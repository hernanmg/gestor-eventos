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S ENERO 2025" sheetId="1" r:id="rId4"/>
    <sheet state="visible" name="CONSUMOS FEBRERO 2025" sheetId="2" r:id="rId5"/>
    <sheet state="visible" name="CONSUMOS MARZO 2025" sheetId="3" r:id="rId6"/>
    <sheet state="visible" name="CONSUMOS ABRIL 2025" sheetId="4" r:id="rId7"/>
    <sheet state="visible" name="CONSUMOS MAYO 2025 " sheetId="5" r:id="rId8"/>
    <sheet state="visible" name="CONSUMOS JUNIO 2025" sheetId="6" r:id="rId9"/>
    <sheet state="visible" name="CONSUMOS JULIO 2025 " sheetId="7" r:id="rId10"/>
    <sheet state="visible" name="CONSUMOS AGOSTO 2025 " sheetId="8" r:id="rId11"/>
    <sheet state="visible" name="CONSUMOS SEPTIEMBRE 2025" sheetId="9" r:id="rId12"/>
    <sheet state="visible" name="CONSUMOS OCTUBRE 2025" sheetId="10" r:id="rId13"/>
    <sheet state="visible" name="CONSUMOS NOVIEMBRE 2025  " sheetId="11" r:id="rId14"/>
    <sheet state="visible" name="CONSUMOS DICIEMBRE 2025 " sheetId="12" r:id="rId15"/>
  </sheets>
  <definedNames/>
  <calcPr/>
  <extLst>
    <ext uri="GoogleSheetsCustomDataVersion2">
      <go:sheetsCustomData xmlns:go="http://customooxmlschemas.google.com/" r:id="rId16" roundtripDataChecksum="SKtM0PReqzJSYCf0CT8cgxrrO82e0j+Y2gG/Vewix7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3">
      <text>
        <t xml:space="preserve">======
ID#AAABvnxA63U
LENOVO    (2026-03-03 16:31:07)
Este fue una devolución de un error mío, porque le debo haber mandado con la tarjeta con Pollo, me di cuenta y lo cambié, porque vino junto con un viaje mío</t>
      </text>
    </comment>
    <comment authorId="0" ref="F163">
      <text>
        <t xml:space="preserve">======
ID#AAABvnxA63E
LENOVO    (2026-03-03 16:31:07)
Tengo un mensaje explicándole a Matías y con su Ok que esa plata me la debitaron de mi cuenta de Mp y me hice la devolución con la Corpo, pero tenía que hacerlo a lo de Milton porque no me dejaba a la mía</t>
      </text>
    </comment>
  </commentList>
  <extLst>
    <ext uri="GoogleSheetsCustomDataVersion2">
      <go:sheetsCustomData xmlns:go="http://customooxmlschemas.google.com/" r:id="rId1" roundtripDataSignature="AMtx7mjOCBXFLeDKFeX1i/yolIXwdK6SL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1">
      <text>
        <t xml:space="preserve">======
ID#AAABvnxA63Q
LENOVO    (2026-03-03 16:31:07)
Lo perdió - Descontar según mensaje RRHH</t>
      </text>
    </comment>
    <comment authorId="0" ref="F24">
      <text>
        <t xml:space="preserve">======
ID#AAABvnxA63I
LENOVO    (2026-03-03 16:31:07)
Descuento a Personal</t>
      </text>
    </comment>
    <comment authorId="0" ref="F143">
      <text>
        <t xml:space="preserve">======
ID#AAABvnxA63M
LENOVO    (2026-03-03 16:31:07)
Descuento a Personal</t>
      </text>
    </comment>
    <comment authorId="0" ref="F142">
      <text>
        <t xml:space="preserve">======
ID#AAABvnxA63A
LENOVO    (2026-03-03 16:31:07)
Descuento a Personal</t>
      </text>
    </comment>
    <comment authorId="0" ref="F159">
      <text>
        <t xml:space="preserve">======
ID#AAABvnxA628
LENOVO    (2026-03-03 16:31:07)
Descontar a Jaz -
Emití el pasaje a nombre de Alejandro Calivar en vez del hermano, Emiliano Calivar (que en realidad es quien viajó). Al devolverlo me cobraron este importe por retención y cargos por servicio</t>
      </text>
    </comment>
    <comment authorId="0" ref="F162">
      <text>
        <t xml:space="preserve">======
ID#AAABvnxA620
LENOVO    (2026-03-03 16:31:07)
Pareja de Tati - Ver con Matias</t>
      </text>
    </comment>
    <comment authorId="0" ref="F23">
      <text>
        <t xml:space="preserve">======
ID#AAABvnxA624
LENOVO    (2026-03-03 16:31:07)
Descuento a Personal</t>
      </text>
    </comment>
    <comment authorId="0" ref="F141">
      <text>
        <t xml:space="preserve">======
ID#AAABvnxA62w
LENOVO    (2026-03-03 16:31:07)
Descuento a Personal</t>
      </text>
    </comment>
  </commentList>
  <extLst>
    <ext uri="GoogleSheetsCustomDataVersion2">
      <go:sheetsCustomData xmlns:go="http://customooxmlschemas.google.com/" r:id="rId1" roundtripDataSignature="AMtx7mhnetnSwGGv8W5EbB9e/WI+8Qxmqw=="/>
    </ext>
  </extLst>
</comments>
</file>

<file path=xl/sharedStrings.xml><?xml version="1.0" encoding="utf-8"?>
<sst xmlns="http://schemas.openxmlformats.org/spreadsheetml/2006/main" count="3921" uniqueCount="1189">
  <si>
    <t>MONTOS INDIVIDUALES DE CONSUMOS</t>
  </si>
  <si>
    <t>MES:</t>
  </si>
  <si>
    <t>ENERO</t>
  </si>
  <si>
    <t>AÑO:</t>
  </si>
  <si>
    <t>RESPONSABLES</t>
  </si>
  <si>
    <t>TOTAL INDIVIDUAL</t>
  </si>
  <si>
    <t>TOTAL PERÍODO</t>
  </si>
  <si>
    <t>POLLO $</t>
  </si>
  <si>
    <t>CONTROL DE CONSUMOS MENSUAL - TC GALICIA</t>
  </si>
  <si>
    <t>POLLO USD</t>
  </si>
  <si>
    <t>ANDRE PERSONAL</t>
  </si>
  <si>
    <t>ANDRE EMPRESA</t>
  </si>
  <si>
    <t>VECKY PERSONAL</t>
  </si>
  <si>
    <t>VECKY EMPRESA</t>
  </si>
  <si>
    <t>MAYRA</t>
  </si>
  <si>
    <t>JAZ</t>
  </si>
  <si>
    <t>RESPONSABLE</t>
  </si>
  <si>
    <t>FECHA</t>
  </si>
  <si>
    <t>MONTO $</t>
  </si>
  <si>
    <t>MONTO USD</t>
  </si>
  <si>
    <t>DETALLE</t>
  </si>
  <si>
    <t>OBSERVACIONES</t>
  </si>
  <si>
    <t>EMPRESA</t>
  </si>
  <si>
    <t>POLLO</t>
  </si>
  <si>
    <t>MERPAGO*PASAJESCDP</t>
  </si>
  <si>
    <t>Pasaje ida Nicolás Baradero - Retiro / Córdoba</t>
  </si>
  <si>
    <t>DOS57</t>
  </si>
  <si>
    <t>Pasajes ida x 4 Brujas - San Juan / Córdoba</t>
  </si>
  <si>
    <t>Pasajes ida x 3 Brujas - San Juan / Córdoba</t>
  </si>
  <si>
    <t>APPYPF 12149 TIENDA</t>
  </si>
  <si>
    <t>Combustible</t>
  </si>
  <si>
    <t>APPLE.COM/BILL MSD2DY822USD 2,99</t>
  </si>
  <si>
    <t>Almacenamiento Memoria Apple - Iphone Pollo</t>
  </si>
  <si>
    <t>K MERPAGO*APPYPFTIENDA</t>
  </si>
  <si>
    <t>K MERPAGO*APPYPFCOMB</t>
  </si>
  <si>
    <t>ESER S.A SHELL</t>
  </si>
  <si>
    <t>CHIA GOOD FOOD</t>
  </si>
  <si>
    <t>Córdoba (Cerro, Guemes, Cofico)</t>
  </si>
  <si>
    <t>K MERPAGO*TECWAVES</t>
  </si>
  <si>
    <t>Hogar y Tecnología Bs As</t>
  </si>
  <si>
    <t>MERPAGO*A4SERVICIOSGRAFIC</t>
  </si>
  <si>
    <t>Imprenta</t>
  </si>
  <si>
    <t>SANCOR COOP SE0000000591329-310-000</t>
  </si>
  <si>
    <t>Royal Enfield 350 Meteor Fireball Red/Yellow - Patente A193NED</t>
  </si>
  <si>
    <t>PERSONAL</t>
  </si>
  <si>
    <t>RENTAS CORDOBA D 600000001903769</t>
  </si>
  <si>
    <t>Rentas LVX455</t>
  </si>
  <si>
    <t>RENTAS CORDOBA D 600000001983812</t>
  </si>
  <si>
    <t>Rentas AG337MY</t>
  </si>
  <si>
    <t>RENTAS CORDOBA D 600000001996366</t>
  </si>
  <si>
    <t>Rentas AA830QO</t>
  </si>
  <si>
    <t>SEGURIDAD ELECTR 000000000002056</t>
  </si>
  <si>
    <t>RP - Central de Alarma</t>
  </si>
  <si>
    <t>ENJOY</t>
  </si>
  <si>
    <t>GOOGLE *Google O P182PNc9 USD 1,99</t>
  </si>
  <si>
    <t>Almacenamiento Memoria - Gmail Pollo</t>
  </si>
  <si>
    <t>PAYU*AR*UBER</t>
  </si>
  <si>
    <t>Uber Martin Vildozo - Casa Valle a Terminal</t>
  </si>
  <si>
    <t>K MERPAGO*4PRODUCTOS</t>
  </si>
  <si>
    <t>2 conservadoras 70l + 1 bolsa de tornillos autoperforantes t1 y t2</t>
  </si>
  <si>
    <t>Pasaje Cesar Salinas - Córdoba / San Juan</t>
  </si>
  <si>
    <t>APPYPF 02759 COMBUST</t>
  </si>
  <si>
    <t>APPYPF 02846 COMBUST</t>
  </si>
  <si>
    <t>APPYPF 02846 TIENDA</t>
  </si>
  <si>
    <t>EXPERTA SEGURO0000027783610-004-000</t>
  </si>
  <si>
    <t>Seguro Ranger HLW156</t>
  </si>
  <si>
    <t>EXPERTA SEGURO0000027809502-004-000</t>
  </si>
  <si>
    <t>Seguro Ranger IHX980</t>
  </si>
  <si>
    <t>SEGUROS BERNAR0660212878408-002-000</t>
  </si>
  <si>
    <t>Seguro Camión WNO918</t>
  </si>
  <si>
    <t>SEGUROS BERNAR0660222011201-002-000</t>
  </si>
  <si>
    <t>Seguro Trailer KJR926</t>
  </si>
  <si>
    <t>SEGUROS BERNAR0660212878108-002-000</t>
  </si>
  <si>
    <t>Seguro Trailer IHX980</t>
  </si>
  <si>
    <t>SEGUROS BERNAR0660211143210-002-000</t>
  </si>
  <si>
    <t>Seguro Trailer OBX448</t>
  </si>
  <si>
    <t>SEGUROS BERNAR0660211484710-002-000</t>
  </si>
  <si>
    <t>Seguro Trailer WNO918</t>
  </si>
  <si>
    <t>SEGUROS BERNAR0660212878208-002-000</t>
  </si>
  <si>
    <t>Seguro Trailer HLW156</t>
  </si>
  <si>
    <t>K PEDIDOSYA RESTAURANTE</t>
  </si>
  <si>
    <t>K PEDIDOSYA</t>
  </si>
  <si>
    <t>BBVA SEGUROS A2043000529330-024-000</t>
  </si>
  <si>
    <t>Pasaje Elizabeth Vera - Córdoba / Corrientes</t>
  </si>
  <si>
    <t>K MERPAGO*RENTASCORDOBA</t>
  </si>
  <si>
    <t>Multa WNO918 de Leandro Navarro por no tener luces bajas encendidas</t>
  </si>
  <si>
    <t>Pasaje Rodrigo Ivan (Choli) - Córdoba / San Juan</t>
  </si>
  <si>
    <t>GOOGLE *Google O P18k6a4V USD 1,99</t>
  </si>
  <si>
    <t>Pasaje Nicolas Leopoldino - Bs As / Córdoba</t>
  </si>
  <si>
    <t>Pasaje Franco Silva - La Rioja / Córdoba</t>
  </si>
  <si>
    <t>Pasajes 5 Pax Bruja´s - San Juan / San Rafael</t>
  </si>
  <si>
    <t>Pasajes 5 Pax Mora´s - San Juan / San Rafael</t>
  </si>
  <si>
    <t>EXPERTA SEGURO0000029362317-004-001</t>
  </si>
  <si>
    <t>Flota Dos57</t>
  </si>
  <si>
    <t>MERPAGO*RENTASCORDOBA</t>
  </si>
  <si>
    <t>Multa LVX455 de Fofi por no llevar luz encendida</t>
  </si>
  <si>
    <t>Multa AG337MY de Enzo Ochoa por exceso de velocidad</t>
  </si>
  <si>
    <t>Multa KJR926 a Fausto por circular sin licencia de conducir</t>
  </si>
  <si>
    <t>Pasaje Luciano Mercado - La Rioja / Córdoba</t>
  </si>
  <si>
    <t>PYU*UBER</t>
  </si>
  <si>
    <t>Pasaje Elizabeth Vera - Corrientes / Córdoba</t>
  </si>
  <si>
    <t>Pasaje Elizabeth Vera - Mendoza / San Rafael</t>
  </si>
  <si>
    <t>Pasaje 2 Pax Mora - San Juan / Córdoba</t>
  </si>
  <si>
    <t>SANCOR COOP SE0000008137525-060-000</t>
  </si>
  <si>
    <t>AP Personal Andre</t>
  </si>
  <si>
    <t>APPLE.COM/BILL MSD2HXG30USD 2,99</t>
  </si>
  <si>
    <t>Devolución de un error Jaz</t>
  </si>
  <si>
    <t>Multa KEX251 de Gabriel Mora por no exhibir documentación</t>
  </si>
  <si>
    <t>Pasaje Yoset Gutierrez - San Juan / Córdoba</t>
  </si>
  <si>
    <t>Pasaje Mario Lopez - Córdoba / Mendoza</t>
  </si>
  <si>
    <t>Pasaje Mario Lopez - Mendoza / San Rafael</t>
  </si>
  <si>
    <t>SUBTOTAL GASTOS</t>
  </si>
  <si>
    <t>ANDRE</t>
  </si>
  <si>
    <t>HP FARMA</t>
  </si>
  <si>
    <t>Gasto Personal Andre (Se descontó en Vale)</t>
  </si>
  <si>
    <t>MERPAGO*SANITARIOSDE 01/03</t>
  </si>
  <si>
    <t>ALMACOR</t>
  </si>
  <si>
    <t>MERPAGO*SHELLTROPEZON</t>
  </si>
  <si>
    <t>Combustible Andre Personal (Se descontó en Vale)</t>
  </si>
  <si>
    <t>SUPERMERCADO SUPER SRL</t>
  </si>
  <si>
    <t>YPF SANTA BARBARA SA</t>
  </si>
  <si>
    <t>Combustible YPF David LVX455</t>
  </si>
  <si>
    <t>Combustible YPF Leandro WNO918</t>
  </si>
  <si>
    <t>Combustible YPF Miguel FTL303 + Combustible YPF Furia NSN325</t>
  </si>
  <si>
    <t>Combustible YPF Leandro Bidón 20 lt Hidrolavadora</t>
  </si>
  <si>
    <t>VECKY</t>
  </si>
  <si>
    <t>MAIPU AUTOMOTORES SA 03/03</t>
  </si>
  <si>
    <t>Uso Vecky</t>
  </si>
  <si>
    <t>CORREDORES VIALE 000000177356184</t>
  </si>
  <si>
    <t>AUTOPISTAS URBAN 000000004187583</t>
  </si>
  <si>
    <t>MERPAGO*SIMCAFERACER</t>
  </si>
  <si>
    <t>AUTOPISTA DEL OE 960002078560702</t>
  </si>
  <si>
    <t>POSITANO RESTOBAR</t>
  </si>
  <si>
    <t>MERPAGO*URBANCAFE</t>
  </si>
  <si>
    <t>EST DE SERV EL CRUCE</t>
  </si>
  <si>
    <t>Café + Jugos con Pollo - Avanzada LR - T1 Drive</t>
  </si>
  <si>
    <t>Desayuno Mati, Pollo, Vecky - Avanzada LR - T2 Drive</t>
  </si>
  <si>
    <t>CASA BLANCA</t>
  </si>
  <si>
    <t>DROGUER*FARMACIA RIC</t>
  </si>
  <si>
    <t>ALT GAS</t>
  </si>
  <si>
    <t>DISCO SM 954</t>
  </si>
  <si>
    <t>SHOP SHELL</t>
  </si>
  <si>
    <t>ESTACION LA ROTONDA</t>
  </si>
  <si>
    <t>SHELL SELECT VILLA GEN</t>
  </si>
  <si>
    <t>CAMINOS RIO URUG 000000180876803</t>
  </si>
  <si>
    <t>K CORREDORES VIALE 000000180876803</t>
  </si>
  <si>
    <t>SUPERMERCADOS BECERRA</t>
  </si>
  <si>
    <t>YPF ACA SAN RAFAEL</t>
  </si>
  <si>
    <t>YPF MONTECOMAN</t>
  </si>
  <si>
    <t>LIZZI JORGE OSVALDO</t>
  </si>
  <si>
    <t>AXION SPOT</t>
  </si>
  <si>
    <t>MERPAGO*FERRETERIASANMART</t>
  </si>
  <si>
    <t>PASTELLA</t>
  </si>
  <si>
    <t>FARMACIA MAYO</t>
  </si>
  <si>
    <t>CELULARES SAN RAFAEL</t>
  </si>
  <si>
    <t>Pasaje vuelta Mendoza - Córdoba // Jazmín Valdivia</t>
  </si>
  <si>
    <t>Pasaje Chófer Sprinter San Rafael - Córdoba</t>
  </si>
  <si>
    <t>Pasaje Matías Mut La Rioja - Mendoza</t>
  </si>
  <si>
    <t>Pasaje Matías Mut Mendoza - San Rafael</t>
  </si>
  <si>
    <t>Pasaje Nicolas Leopoldino/ Retiro - Córdoba</t>
  </si>
  <si>
    <t>COMISION RENO.ANUAL(12M)</t>
  </si>
  <si>
    <t>Banco Comision</t>
  </si>
  <si>
    <t>K MERPAGO*PASAJESCDP</t>
  </si>
  <si>
    <t>Pasaje ida Cesar Bruja - Carlos Paz / Córdoba</t>
  </si>
  <si>
    <t xml:space="preserve">Pasaje ida Franco Bruja - La Rioja / Córdoba </t>
  </si>
  <si>
    <t>K MERPAGO*MILTONJONATHANDIA</t>
  </si>
  <si>
    <t>Pasaje ida Eli - Corrientes / Córdoba</t>
  </si>
  <si>
    <t>MERPAGO*DRUGSTORE</t>
  </si>
  <si>
    <t>Algo para Kempes Bum Bum</t>
  </si>
  <si>
    <t>CARREFOUR CBA. COLON</t>
  </si>
  <si>
    <t>EASY CORDOBA CARCANO</t>
  </si>
  <si>
    <t>Tarugos para Kempes</t>
  </si>
  <si>
    <t xml:space="preserve">Tarugos - guantes - bolsas de consorcio para Kempes </t>
  </si>
  <si>
    <t>Pasaje Matias Mut - Córdoba / La Rioja</t>
  </si>
  <si>
    <t>PLATAFORMA 10 SA</t>
  </si>
  <si>
    <t>Pasaje Martin Vildozo - Córdoba / San Juan</t>
  </si>
  <si>
    <t>Pasaje Luciano Mercado - Córdoba / La Rioja</t>
  </si>
  <si>
    <t>Pasaje Nicolas Leopoldino - Córdoba / Buenos Aires</t>
  </si>
  <si>
    <t>Pasaje Ezequiel Gutierrez - Córdoba / San Juan</t>
  </si>
  <si>
    <t>LIBERTAD SA</t>
  </si>
  <si>
    <t>Compras Super</t>
  </si>
  <si>
    <t>Compras Super (Nos olvidabamos cosas y volvimos a comprar eso)</t>
  </si>
  <si>
    <t>Pasaje Franco Silva - Córdoba / La Rioja</t>
  </si>
  <si>
    <t>Pasaje Vazquez + Barroso - Córdoba / Villa Mercedes</t>
  </si>
  <si>
    <t>Pasaje Pablo Segovia - Córdoba / Mendoza</t>
  </si>
  <si>
    <t>Pasaje Villafañe + Perez - Córdoba / San Juan</t>
  </si>
  <si>
    <t>Cargos por intento de sacar pasaje en Plataforma 10???</t>
  </si>
  <si>
    <t>TOTAL GASTOS PERÍODO</t>
  </si>
  <si>
    <t>FEBRERO</t>
  </si>
  <si>
    <t>POSTA URBANA</t>
  </si>
  <si>
    <t>Av. Fader Córdoba</t>
  </si>
  <si>
    <t>Pasaje 3 Pax Brujas - San Juan / Córdoba</t>
  </si>
  <si>
    <t>Pasaje Fabricio Roberto - Tucumán / Córdoba</t>
  </si>
  <si>
    <t>Pasaje Jose Luis Perez (Pepo) - Córdoba / San Juan</t>
  </si>
  <si>
    <t>MERPAGO*PARRILLABIALET</t>
  </si>
  <si>
    <t>Bialet</t>
  </si>
  <si>
    <t>ESTACION DE SERVICIO S</t>
  </si>
  <si>
    <t>BLACK CAT</t>
  </si>
  <si>
    <t>PEDIDOSYA RESTAURANTE</t>
  </si>
  <si>
    <t>K PEDIDOSYA PROPINAS</t>
  </si>
  <si>
    <t>Pasaje Facundo Caribone - Rosario / Córdoba</t>
  </si>
  <si>
    <t>APPYPF 01740 TIENDA</t>
  </si>
  <si>
    <t>GOOGLE *Google O P18Or6WQ USD 1,99</t>
  </si>
  <si>
    <t>YPF DEL LAGO</t>
  </si>
  <si>
    <t>OPESSA CORDOBA 2 BOXES</t>
  </si>
  <si>
    <t>Multa AF728AT de Gerardo Machado por conducir utilizando el teléfono</t>
  </si>
  <si>
    <t>SEGUROS BERNAR0660211143211-002-000</t>
  </si>
  <si>
    <t>SEGUROS BERNAR0660212878209-002-000</t>
  </si>
  <si>
    <t>SEGUROS BERNAR0660222011202-002-000</t>
  </si>
  <si>
    <t>SEGUROS BERNAR0660211484711-002-000</t>
  </si>
  <si>
    <t>SEGUROS BERNAR0660212878109-002-000</t>
  </si>
  <si>
    <t>SEGUROS BERNAR0660212878409-002-000</t>
  </si>
  <si>
    <t>Shell Autopista</t>
  </si>
  <si>
    <t>EL TORI</t>
  </si>
  <si>
    <t>K MERPAGO*SHELLBOX</t>
  </si>
  <si>
    <t>Uber Calivar, Escudero Y Jorquera - De Hospital Privado a Hospital De Clínicas</t>
  </si>
  <si>
    <t>Uber Moto Comida G. Calivar - De Kempes a Casa Valle</t>
  </si>
  <si>
    <t>Uber Calivar, Escudero Y Jorquera - De Hospital Clínicas a Farmacia a Casa Valle</t>
  </si>
  <si>
    <t>Pasaje Peñaloza X 2 - San Juan / Córdoba</t>
  </si>
  <si>
    <t>Pasaje Yoset Gutierrez - Córdoba / San Juan</t>
  </si>
  <si>
    <t>Pasaje Gerardo Calivar - Córdoba / San Juan</t>
  </si>
  <si>
    <t>APPYPF 01740 COMBUST</t>
  </si>
  <si>
    <t>Uber Personal Mora/Bruja - De Casa Valle a Terminal</t>
  </si>
  <si>
    <t>MERPAGO*CHURROEXPRESS</t>
  </si>
  <si>
    <t>MERPAGO*LAPLAZA</t>
  </si>
  <si>
    <t>SANCOR COOP SE0000030364378-020-000</t>
  </si>
  <si>
    <t>Autoelevador Torre Triple By Lion // N°Chasis A250 H7GH04155 // N°Motor 21176480</t>
  </si>
  <si>
    <t>GOOGLE *Google O P195shTF USD 1,99</t>
  </si>
  <si>
    <t>MERPAGO*TOTOBAR</t>
  </si>
  <si>
    <t>YPF</t>
  </si>
  <si>
    <t>MC DONALDS (NVC)</t>
  </si>
  <si>
    <t>K MERPAGO*MERCADOLIBRE</t>
  </si>
  <si>
    <t>Cámara de Monopatín Nicolás</t>
  </si>
  <si>
    <t>APPYPF 31177 TIENDA</t>
  </si>
  <si>
    <t>Pasaje 3 Pax Extranjeros - Córdoba / San Juan</t>
  </si>
  <si>
    <t>Pasaje Elizabeth Vera - Córdoba / Buenos Aires</t>
  </si>
  <si>
    <t>MERPAGO*APPYPFTIENDA</t>
  </si>
  <si>
    <t>MERPAGO*SANITARIOSDE 02/03</t>
  </si>
  <si>
    <t>CAMINOS DE LAS SIERRAS</t>
  </si>
  <si>
    <t>ESSFE PLAYA</t>
  </si>
  <si>
    <t>Combustible LVX455</t>
  </si>
  <si>
    <t>SIRO*FUNDACION RENAULT 01/03</t>
  </si>
  <si>
    <t>SHELL C45</t>
  </si>
  <si>
    <t>LINKINGPOS-08002220830</t>
  </si>
  <si>
    <t>Combustible - LR - T20 Drive</t>
  </si>
  <si>
    <t>Combustible - LR - T25 Drive</t>
  </si>
  <si>
    <t>Combustible - LR - T31 Drive</t>
  </si>
  <si>
    <t>ESTACION DE SERVICIO GOLF</t>
  </si>
  <si>
    <t>MERPAGO*MINIMERCADOFA</t>
  </si>
  <si>
    <t>YPF LA CUMBRE</t>
  </si>
  <si>
    <t>COMBUSTIBLE NISSAN</t>
  </si>
  <si>
    <t>MINIMERCADO Y CARNICER</t>
  </si>
  <si>
    <t>HIELO - ACTRON - AGUA</t>
  </si>
  <si>
    <t>SUPER - AGUAS - HIELO</t>
  </si>
  <si>
    <t>FARMACIA LA CUMBRE</t>
  </si>
  <si>
    <t>ACTRON PALMER</t>
  </si>
  <si>
    <t>VIA VERDE</t>
  </si>
  <si>
    <t>COMISIÓN POR REPOSICIÓN</t>
  </si>
  <si>
    <t>VECKY TC NUEVA</t>
  </si>
  <si>
    <t>10 Baliza Triangulo Auto Homologada Reflectiva Obligatoria</t>
  </si>
  <si>
    <t>K MERPAGO*TONERCORDOBA</t>
  </si>
  <si>
    <t>Tonner para impresora Pollo + Ex Oficina</t>
  </si>
  <si>
    <t>Pasaje Nicolas Leopoldino - Córdoba / San Rafael</t>
  </si>
  <si>
    <t>Pasaje Luis Ramirez - La Rioja / Córdoba</t>
  </si>
  <si>
    <t>Pasaje Hernan Caballero - La Rioja / Córdoba</t>
  </si>
  <si>
    <t xml:space="preserve">Pasaje Jose Luis Perez (Pepo) - San Juan / Córdoba + Cargo servicio pasaje </t>
  </si>
  <si>
    <t>Pasaje Ida Y Vuelta Franco Silva - Córdoba / La Rioja / Córdoba</t>
  </si>
  <si>
    <t>Pasaje Martin Silvarez - Córdoba / San Juan</t>
  </si>
  <si>
    <t>Pasaje Mario Barroso - Villa Mercedes / Córdoba</t>
  </si>
  <si>
    <t>Uber Franco Silva - De Casa Valle a Terminal</t>
  </si>
  <si>
    <t>Uber Calivar - De Hospital Privado a Casa Valle</t>
  </si>
  <si>
    <t>Uber Calivar, Escudero y Jorquera - De Casa Valle a Hospital Privado</t>
  </si>
  <si>
    <t>Pasaje Carlos Olivares - San Juan / Córdoba</t>
  </si>
  <si>
    <t>Sandwichs para Instituto (MAS) - Andre no pudo pedir con Fortunato</t>
  </si>
  <si>
    <t>Traslado del team Bruja desde algún punto que no tengo recuerdo a Casa Valle</t>
  </si>
  <si>
    <t>Uber Gerardo Calivar - De Casa Valle a Hospital Privado</t>
  </si>
  <si>
    <t>Uber Gerardo Calivar - De Hospital Privado a Casa Valle</t>
  </si>
  <si>
    <t>Uber Gustavo Jorquera - De Clínica Sancor a Casa Valle</t>
  </si>
  <si>
    <t>Uber Gustavo Jorquera - De Kempes a Clínica Sancor</t>
  </si>
  <si>
    <t>Pasaje Ida y Vuelta Rodrigo Fernandez (Choli) - Córdoba / San Juan / Córdoba</t>
  </si>
  <si>
    <t>Pasaje Gerardo Villafañe - Córdoba / San Juan</t>
  </si>
  <si>
    <t>Error De Jazmín por datos de pasajero</t>
  </si>
  <si>
    <t>Pasaje Emiliano Calivar - Córdoba / San Juan</t>
  </si>
  <si>
    <t>Pasaje Carlos Olivares - Córdoba / San Juan</t>
  </si>
  <si>
    <t>Pasaje Yanina Benitez - Buenos Aires / Córdoba</t>
  </si>
  <si>
    <t>Almuerzo de Matias Mut</t>
  </si>
  <si>
    <t>Uber Matias Mut - Departamento Nueva Córdoba a Sanatorio Allende</t>
  </si>
  <si>
    <t>Uber Matias Mut - Sanatorio Allende a Departamento Nueva Córdoba</t>
  </si>
  <si>
    <t>Uber Brujas - Casa Valle a Terminal</t>
  </si>
  <si>
    <t>MARZO</t>
  </si>
  <si>
    <t>Multa HLW156 de Vazquez Guillermo (Mora) por luces</t>
  </si>
  <si>
    <t>Multa KJR926 de Tomas Romero por no tener carnet para carro</t>
  </si>
  <si>
    <t>Pasaje vuelta Eli - Córdoba / Bs As</t>
  </si>
  <si>
    <t>APPYPF 03247 TIENDA</t>
  </si>
  <si>
    <t>APPLE.COM/BILL MSD2LW6TQUSD 2,99</t>
  </si>
  <si>
    <t>Pasaje vuelta Mati Mut - Córdoba / La Rioja</t>
  </si>
  <si>
    <t>APPYPF 02061 COMBUST</t>
  </si>
  <si>
    <t>K MERPAGO*MUETTOBJETOS</t>
  </si>
  <si>
    <t>K GOOGLE *Google O P19xAbvM USD 1,99</t>
  </si>
  <si>
    <t>Multa NSN325 de Denis Celiz por no tener licencia de conducir</t>
  </si>
  <si>
    <t>Multa Alexis Sosa</t>
  </si>
  <si>
    <t>LORETO COMBUSTIBLE</t>
  </si>
  <si>
    <t>G.O</t>
  </si>
  <si>
    <t>SEGURIDAD ELECTR 335CB19EBEFB4DD</t>
  </si>
  <si>
    <t>SEGUROS BERNAR0660211484712-002-000</t>
  </si>
  <si>
    <t>SEGUROS BERNAR0660212878110-002-000</t>
  </si>
  <si>
    <t>SEGUROS BERNAR0660212878210-002-000</t>
  </si>
  <si>
    <t>SEGUROS BERNAR0660212878410-002-000</t>
  </si>
  <si>
    <t>SEGUROS BERNAR0660222011203-002-000</t>
  </si>
  <si>
    <t>GOOGLE *Google O P19OPMVT USD 1,99</t>
  </si>
  <si>
    <t>MERPAGO*OPUSINSP</t>
  </si>
  <si>
    <t>Pasaje Gerardo Machado - Córdoba / Bs As</t>
  </si>
  <si>
    <t>APPYPF 30592 TIENDA</t>
  </si>
  <si>
    <t>AEROLINEAS ARGENTINAS SA</t>
  </si>
  <si>
    <t>Pasaje aéreo Jose Luis Perez - Bs As / San Juan</t>
  </si>
  <si>
    <t>MERPAGO*SANITARIOSDE 03/03</t>
  </si>
  <si>
    <t>SIRO*FUNDACION RENAULT 02/03</t>
  </si>
  <si>
    <t>Combustible Amarok NSN</t>
  </si>
  <si>
    <t>HIPER CHANGOMAS CBA ES</t>
  </si>
  <si>
    <t>Accesorios: cubrevolante + escobillas Amarok</t>
  </si>
  <si>
    <t>MERPAGO*MCDONALDSECOMM</t>
  </si>
  <si>
    <t>WWW.BUENOSAIRES.GOB.AR/IN</t>
  </si>
  <si>
    <t>Almuerzo Matias Mut</t>
  </si>
  <si>
    <t>Pasaje Gustavo Jorquera - Córdoba / San Juan</t>
  </si>
  <si>
    <t>Pasaje Ever Cortez - Córdoba / San Juan</t>
  </si>
  <si>
    <t>Pasaje Yanina Benitez - Córdoba / Buenos Aires</t>
  </si>
  <si>
    <t>FERNIPLAST</t>
  </si>
  <si>
    <t>Compra de vajilla e insumos para la oficina de administración y técnica</t>
  </si>
  <si>
    <t>Pasaje Ida y Vuelta Franco Silva - Córdoba / La Rioja / Córdoba</t>
  </si>
  <si>
    <t>Pasaje José Luis - San Luis / San Juan</t>
  </si>
  <si>
    <t>Pasaje José Luis - San Juan / Córdoba</t>
  </si>
  <si>
    <t>Uber Bruja - De Depto. Nva Córdoba a Kempes</t>
  </si>
  <si>
    <t>Uber Rodrigo (Jona) - De Kempes a su casa</t>
  </si>
  <si>
    <t>Pasaje Carlos Escudero - Córdoba / San Juan</t>
  </si>
  <si>
    <t>Ganchos para cortina Volvo</t>
  </si>
  <si>
    <t>Compra de Super Oficina</t>
  </si>
  <si>
    <t>Pasaje Fabricio Roberto - Córdoba / Tucumán</t>
  </si>
  <si>
    <t>Pasaje Fabricio Roberto - Tucumán / Bs As</t>
  </si>
  <si>
    <t>Pasaje Fabián Simonsen - Bs As / Córdoba</t>
  </si>
  <si>
    <t>Pasaje Fabián Simonsen - Córdoba / Bs As</t>
  </si>
  <si>
    <t>Pasaje Bruja - Bs As / San Juan</t>
  </si>
  <si>
    <t>K CORREDORES VIALE 000000191864277</t>
  </si>
  <si>
    <t>ECOWASH</t>
  </si>
  <si>
    <t>LAVADO CHATA X KEMPES + VIAE</t>
  </si>
  <si>
    <t>PANADERIA DEL PILAR HIPER</t>
  </si>
  <si>
    <t>MERPAGO*PANADERIADELPILAR</t>
  </si>
  <si>
    <t>MEDIALUNAS + CRIOLLOS VIAJ</t>
  </si>
  <si>
    <t>KM 103</t>
  </si>
  <si>
    <t>DIESEL NISSAN VIAJE ($ 50.013)</t>
  </si>
  <si>
    <t>YPF LEONES</t>
  </si>
  <si>
    <t>VIAJE A B S AS</t>
  </si>
  <si>
    <t>EXPRESS J B ALBERDI 5494</t>
  </si>
  <si>
    <t>AGUA+LECHE+PAN+MERMELADA+QUESO+CAFE+EDULORANTE+ATUN</t>
  </si>
  <si>
    <t>MERPAGO*REYDELPANINI</t>
  </si>
  <si>
    <t>CENA</t>
  </si>
  <si>
    <t>YPF AUTODROMO</t>
  </si>
  <si>
    <t>NAFTA CLARK + CARGA LLENA TOYOTA</t>
  </si>
  <si>
    <t>OPESSA AUTODROM BOXES</t>
  </si>
  <si>
    <t>AGUAS - OTROS VECK</t>
  </si>
  <si>
    <t>TANQUE LLENO SPRINTER</t>
  </si>
  <si>
    <t>YPF RED PETROL SA</t>
  </si>
  <si>
    <t>CAFE - MARIO</t>
  </si>
  <si>
    <t>RINCON PQUE BROWN</t>
  </si>
  <si>
    <t>ALMUERZO-CENA</t>
  </si>
  <si>
    <t>RED PETROL PLAYA</t>
  </si>
  <si>
    <t>HIELO + DIESEL CLARK</t>
  </si>
  <si>
    <t>K CORREDORES VIALE 000000195503976</t>
  </si>
  <si>
    <t>DIESELCLARK</t>
  </si>
  <si>
    <t>EASY PARQUE B II</t>
  </si>
  <si>
    <t>LLAVE FRANCESA OFF</t>
  </si>
  <si>
    <t>JUMBO ESCALADA</t>
  </si>
  <si>
    <t>HIELO</t>
  </si>
  <si>
    <t>SHELL</t>
  </si>
  <si>
    <t>RODILLOS</t>
  </si>
  <si>
    <t>CONSTRUCTORA MH SURASI</t>
  </si>
  <si>
    <t>2 TANQUES LASTRE</t>
  </si>
  <si>
    <t>CENA SUPER</t>
  </si>
  <si>
    <t>K AUTOPISTAS DEL S 960002078560702</t>
  </si>
  <si>
    <t>DIRECA</t>
  </si>
  <si>
    <t>ALMUERZO (X VIANDA) MARIO/VE</t>
  </si>
  <si>
    <t>CAFE CON LECH</t>
  </si>
  <si>
    <t>COMBUSTIBLE REGRESO CHATA Y HIELO</t>
  </si>
  <si>
    <t>TORNILLOS</t>
  </si>
  <si>
    <t>EXPRESS CORDOBA 4967</t>
  </si>
  <si>
    <t>AUTOGEN SA</t>
  </si>
  <si>
    <t>DESAYUNO ALMUERZO</t>
  </si>
  <si>
    <t>GRUPO CASO</t>
  </si>
  <si>
    <t>CAFE VIAJE</t>
  </si>
  <si>
    <t>COMBUSTIBLE SPRINTER TANQUE LLENO</t>
  </si>
  <si>
    <t>DESAYUNI + JUGO FABRIZIO POR ALERG</t>
  </si>
  <si>
    <t>AGUA RED BBULL VIAJE</t>
  </si>
  <si>
    <t>MERPAGO*KIOSCO</t>
  </si>
  <si>
    <t>ABRIL</t>
  </si>
  <si>
    <t>Pasaje Elizabeth Vera - Bs As / Corrientes</t>
  </si>
  <si>
    <t>APPLE.COM BILL 10100805 USD 2,99</t>
  </si>
  <si>
    <t>Pasajes Vásquez Y Mercado - Córdoba / Villa Mercedes</t>
  </si>
  <si>
    <t>Pasajes Fernández Y Peñaloza - Córdoba / San Juan</t>
  </si>
  <si>
    <t>GOOGLE *Google O P1ajPpCo USD 1,99</t>
  </si>
  <si>
    <t>Multa AF728AT de Gerardo Machado por no tener carnet adecuado</t>
  </si>
  <si>
    <t>APPYPF 31177 COMBUSTIB</t>
  </si>
  <si>
    <t>EL RINCON CULTURAL</t>
  </si>
  <si>
    <t>SEGURIDAD ELECTR 9675DDC370E345D</t>
  </si>
  <si>
    <t>BBVA SEGUROS A2043000804454-024-000</t>
  </si>
  <si>
    <t>SEGUROS BERNAR0660212878411-002-000</t>
  </si>
  <si>
    <t>SEGUROS BERNAR0660212878111-002-000</t>
  </si>
  <si>
    <t>SEGUROS BERNAR0660226398001-002-000</t>
  </si>
  <si>
    <t>SEGUROS BERNAR0660212878211-002-000</t>
  </si>
  <si>
    <t>SEGUROS BERNAR0660222011204-002-000</t>
  </si>
  <si>
    <t>GOOGLE *Google O P1aAIEj4 USD 1,99</t>
  </si>
  <si>
    <t>DANTINO</t>
  </si>
  <si>
    <t>FLOPO SAS</t>
  </si>
  <si>
    <t>APPLE.COM/BILL MSD2VFJ8ZUSD 2,99</t>
  </si>
  <si>
    <t>Multa KJR926 de Jonathan Checa por no tener carnet para carro</t>
  </si>
  <si>
    <t>SIPAGO *FUNDACION PARA LA</t>
  </si>
  <si>
    <t>SIRO*FUNDACION RENAULT 03/03</t>
  </si>
  <si>
    <t>RANHILL</t>
  </si>
  <si>
    <t>VETERINARIA LA SERRANI</t>
  </si>
  <si>
    <t>FERNIPLAST 01/03</t>
  </si>
  <si>
    <t>SHELL AUTOPISTA</t>
  </si>
  <si>
    <t>SUPER MAMI</t>
  </si>
  <si>
    <t>LUBRICENTRO AGOTE</t>
  </si>
  <si>
    <t>Accesorios - 4 cubrevolantes + lámparas</t>
  </si>
  <si>
    <t>MERPAGO*CLOCLO</t>
  </si>
  <si>
    <t>Adelanto Ely (Pollería) - Se le descontó en Vale</t>
  </si>
  <si>
    <t>WWW.AUSA.COM.AR</t>
  </si>
  <si>
    <t>JARRA PARA CAFETERA OF. TECNICA (MERCADO LIBRE)</t>
  </si>
  <si>
    <t>COMPRAS DE SUPER</t>
  </si>
  <si>
    <t>OFICINA Y ARTE SRL</t>
  </si>
  <si>
    <t>IMPRESIONES DE STICKERS EN TINTA AMARILLA</t>
  </si>
  <si>
    <t>SERVI HIERROS</t>
  </si>
  <si>
    <t>CINTAS AILANTES PARA RESETEO</t>
  </si>
  <si>
    <t>K MERPAGO*LABULONERACENTRAL</t>
  </si>
  <si>
    <t>CADENA DE SEGURIDAD (MERCADO LIBRE)</t>
  </si>
  <si>
    <t>PASAJE VUELTA FRANCO SILVA / CORDOBA - LA RIOJA</t>
  </si>
  <si>
    <t>K MERPAGO*MAYORISTAHERRAMIE</t>
  </si>
  <si>
    <t>3 ESCUADRAS HERRERIA (MERCADO LIBRE)</t>
  </si>
  <si>
    <t>ESTACION RECTA</t>
  </si>
  <si>
    <t>COMBUSTIBLE</t>
  </si>
  <si>
    <t>PUERTO COLON</t>
  </si>
  <si>
    <t>REUNION CON POLLO</t>
  </si>
  <si>
    <t>K CORREDORES VIALE 000000199285085</t>
  </si>
  <si>
    <t>MERPAGO*ELBOLLITOSAS</t>
  </si>
  <si>
    <t>CAMINO PQUE B AY 909600020785607</t>
  </si>
  <si>
    <t>CVSA ACCESOS 909600020785607</t>
  </si>
  <si>
    <t>APPYPF 31094 COMBUST</t>
  </si>
  <si>
    <t>K TELEPEAJE PLUS 000000202819712</t>
  </si>
  <si>
    <t>K AA2000 000000202819712</t>
  </si>
  <si>
    <t>K CORREDORES VIALE 000000202819712</t>
  </si>
  <si>
    <t>FREDDO</t>
  </si>
  <si>
    <t>JAZMIN ESPERANDO</t>
  </si>
  <si>
    <t>SANTA BARBARA REUNION</t>
  </si>
  <si>
    <t>APPYPF 31094 TIENDA</t>
  </si>
  <si>
    <t>PIRELUX</t>
  </si>
  <si>
    <t>ARTICULOS DE LIMPIEZA</t>
  </si>
  <si>
    <t>BAR</t>
  </si>
  <si>
    <t>POSITANO</t>
  </si>
  <si>
    <t>SHELL TROPEZON</t>
  </si>
  <si>
    <t>TINTA AMARILLA</t>
  </si>
  <si>
    <t>HIPER CHANGOMAS CBA OE</t>
  </si>
  <si>
    <t>REUNION- POSITANO</t>
  </si>
  <si>
    <t>MAYO</t>
  </si>
  <si>
    <t>APPYPF 03247 COMBUST</t>
  </si>
  <si>
    <t>Multa Furia - No llevar luz encendida</t>
  </si>
  <si>
    <t>SANCOR COOP SE0000098952202-060-000</t>
  </si>
  <si>
    <t>YPF AM EMPRENDIMIENTOS</t>
  </si>
  <si>
    <t>SEGURIDAD ELECTR C9DC8EA59E664A8</t>
  </si>
  <si>
    <t>K Google One A88621231USD 1,99</t>
  </si>
  <si>
    <t>SEGUROS BERNAR0660212878112-002-000</t>
  </si>
  <si>
    <t>SEGUROS BERNAR0660212878212-002-000</t>
  </si>
  <si>
    <t>SEGUROS BERNAR0660226398002-002-000</t>
  </si>
  <si>
    <t>SEGUROS BERNAR0660212878412-002-000</t>
  </si>
  <si>
    <t>SEGUROS BERNAR0660222011205-002-000</t>
  </si>
  <si>
    <t>APPYPF 12149 COMBUST</t>
  </si>
  <si>
    <t>K Google One A49991376USD 1,99</t>
  </si>
  <si>
    <t>Multa Chara - Luces + No tener carnet habilitado</t>
  </si>
  <si>
    <t>APPYPF 30773 TIENDA</t>
  </si>
  <si>
    <t>APPLE.COM BILL 10000871 USD 2,99</t>
  </si>
  <si>
    <t>MERPAGO*MIGUELJORGE</t>
  </si>
  <si>
    <t>MERPAGO*PITSTOPCABALE</t>
  </si>
  <si>
    <t>FERNIPLAST 2/3</t>
  </si>
  <si>
    <t>COMBUSTIBLE LVX 455 (NESTOR)</t>
  </si>
  <si>
    <t>SUPER-ALMACOR-ANDREA</t>
  </si>
  <si>
    <t>SUPER-ALMACOR-POLO</t>
  </si>
  <si>
    <t>COMBUSTIBLE-ANDREA</t>
  </si>
  <si>
    <t>COMBUSTIBLE AMAROK-EQUIPO NESTOR</t>
  </si>
  <si>
    <t>SUPER-ALMACOR-P/POLO-OFICINA</t>
  </si>
  <si>
    <t>COMUSTIBLE KEX-EQUIPO SANTA MARIA</t>
  </si>
  <si>
    <t>ESER S A</t>
  </si>
  <si>
    <t>VETERINARIA-ANDREA</t>
  </si>
  <si>
    <t>FARMACIA LA CUESTA-FARMA</t>
  </si>
  <si>
    <t>FARMACIA</t>
  </si>
  <si>
    <t>NALDO LOMBARDI C. PAZ</t>
  </si>
  <si>
    <t>NALDO-(1/3)-ESTUFA (AUTORIZADO MATIAS)</t>
  </si>
  <si>
    <t>PASAJE IDA FABRICIO ROBERTO / CORDOBA - TUCUMAN</t>
  </si>
  <si>
    <t>COLCHON INFLABLE PARA GIRA</t>
  </si>
  <si>
    <t>PASAJE IDA GUILLERMO VASQUEZ / CORDOBA - VILLA MERCEDES</t>
  </si>
  <si>
    <t>PASAJE VUELTA GUILLERMO VASQUEZ / VILLA MERCEDES - CORDOBA</t>
  </si>
  <si>
    <t>K MERPAGO*DISTRIJOVIC</t>
  </si>
  <si>
    <t>GRASERA PARA TALLER</t>
  </si>
  <si>
    <t>PASAJE IDA LUCIANO MERCADO / CORDOBA - LA RIOJA</t>
  </si>
  <si>
    <t>PASAJE IDA GUTIERREZ X 2 Y PEREZ / CORDOBA - SAN JUAN</t>
  </si>
  <si>
    <t>PASAJE IDA Y VUELTA ANDRES RAMIREZ / CORDOBA - TUCUMAN - CORDOBA</t>
  </si>
  <si>
    <t>PASAJE IDA EVER CORTEZ / CORDOBA - SAN JUAN</t>
  </si>
  <si>
    <t>PASAJE IDA FACUNDO CARIBONE / CORDOBA - MARCOS JUAREZ</t>
  </si>
  <si>
    <t>SHELL ALTA GRACIA</t>
  </si>
  <si>
    <t>CARPINTERIA</t>
  </si>
  <si>
    <t>REUNION CRISTIAN</t>
  </si>
  <si>
    <t>LA RECTA IMPRENTA</t>
  </si>
  <si>
    <t>IMPRENTA ($4.400)</t>
  </si>
  <si>
    <t>NAFTA</t>
  </si>
  <si>
    <t>PILAR</t>
  </si>
  <si>
    <t>ALMUERZO AVANZADA CABALEN</t>
  </si>
  <si>
    <t>ACA V.OJO DE AGUA COMB</t>
  </si>
  <si>
    <t>COMBUSTIBLE TERMAS</t>
  </si>
  <si>
    <t>MALENO SA 1</t>
  </si>
  <si>
    <t>MERPAGO*LAPANAWALLMAR</t>
  </si>
  <si>
    <t>REUNION INTERNER ARQUITECTO</t>
  </si>
  <si>
    <t>MERPAGO*BAKERIA</t>
  </si>
  <si>
    <t>REPARKER CORDOBA S A</t>
  </si>
  <si>
    <t>BAR OSO KUKI</t>
  </si>
  <si>
    <t>DESAYUNO</t>
  </si>
  <si>
    <t>CARLOS JOSE</t>
  </si>
  <si>
    <t>CENA (PEBETE Y COCA)</t>
  </si>
  <si>
    <t>JUNIO</t>
  </si>
  <si>
    <t>MC DONALDS (ANC)</t>
  </si>
  <si>
    <t>K Google One A60899163USD 1,99</t>
  </si>
  <si>
    <t>SEGUROS BERNAR0660228236101-002-000</t>
  </si>
  <si>
    <t>SEGUROS BERNAR0660228236001-002-000</t>
  </si>
  <si>
    <t>SEGUROS BERNAR0660226398003-002-000</t>
  </si>
  <si>
    <t xml:space="preserve"> </t>
  </si>
  <si>
    <t>SEGUROS BERNAR0660222011206-002-000</t>
  </si>
  <si>
    <t>SEGUROS BERNAR0660228236301-002-000</t>
  </si>
  <si>
    <t>Multa Fofi - No tener carnet para carro</t>
  </si>
  <si>
    <t>EXPERTA SEGURO0000029362317-004-000</t>
  </si>
  <si>
    <t>MERPAGO*GYGACCESORIOS</t>
  </si>
  <si>
    <t>Cobertor para camionetas</t>
  </si>
  <si>
    <t>K Google One A69823454USD 1,99</t>
  </si>
  <si>
    <t>FERNIPLAST 3/3</t>
  </si>
  <si>
    <t>SHELL-COMBUSTIBLE-ANDREA</t>
  </si>
  <si>
    <t>SANTA BARBARA-COMBUSTIBLE-POLO</t>
  </si>
  <si>
    <t>RIO SHOP DECO</t>
  </si>
  <si>
    <t>RIO SHOP-POLO-UTENSILLOS</t>
  </si>
  <si>
    <t>RIO SHOP-POLO-ANAFES X2 ($ 142.999,87)-1/3</t>
  </si>
  <si>
    <t>TIENDA ARCO IRIS</t>
  </si>
  <si>
    <t>ARCO IRIS-ANDREA-1/3</t>
  </si>
  <si>
    <t>K PAYU*AR*UBER</t>
  </si>
  <si>
    <t>POLO-KEMPES</t>
  </si>
  <si>
    <t>PASAJE IDA RODRIGO FERNANDEZ / CORDOBA - SAN JUAN</t>
  </si>
  <si>
    <t>K MERPAGO*PASAJESCDP    01/03</t>
  </si>
  <si>
    <t>PASAJE VUELTA RODRIGO FERNANDEZ / SAN JUAN - CORDOBA</t>
  </si>
  <si>
    <t>PASAJE VUELTA MATIAS MUT / LA RIOJA - CORDOBA</t>
  </si>
  <si>
    <t>PASAJE IDA GABRIEL MORA / CORDOBA - SAN LUIS</t>
  </si>
  <si>
    <t>PASAJE VUELTA MIGUEL MARTINEZ / VILLA MERCEDES - CORDOBA</t>
  </si>
  <si>
    <t>NAFTA CLARK</t>
  </si>
  <si>
    <t>K CORREDORES VIALE 000000218165358</t>
  </si>
  <si>
    <t>JULIO</t>
  </si>
  <si>
    <t>FURIA</t>
  </si>
  <si>
    <t>APPLE.COM/BILL MSD3138ZVUSD 2,99</t>
  </si>
  <si>
    <t>Multa Nico Bibiloni - No llevar la luz baja encendida</t>
  </si>
  <si>
    <t>APPLE.COM/BILL USD 7,60</t>
  </si>
  <si>
    <t>K Google One A53295896USD 1,99</t>
  </si>
  <si>
    <t>Multa Leandro - No llevar luz baja encendida</t>
  </si>
  <si>
    <t>Multa Nico Bibiloni - Mal funcionamiento luz baja lado derecho</t>
  </si>
  <si>
    <t>SEGUROS BERNAR0660228236002-002-000</t>
  </si>
  <si>
    <t>SEGUROS BERNAR0660222011207-002-000</t>
  </si>
  <si>
    <t>SEGUROS BERNAR0660228236102-002-000</t>
  </si>
  <si>
    <t>SEGUROS BERNAR0660228236302-002-000</t>
  </si>
  <si>
    <t>SEGUROS BERNAR0660226398004-002-000</t>
  </si>
  <si>
    <t>CORREDORES VIALE 000000226079950</t>
  </si>
  <si>
    <t>K Google One A17973005USD 1,99</t>
  </si>
  <si>
    <t>CVSA ACCESOS 908030716175061</t>
  </si>
  <si>
    <t>CORREDORES VIALE 000000230047447</t>
  </si>
  <si>
    <t>NALDO-ESTUFA (AUTORIZADO MATIAS) 2/3</t>
  </si>
  <si>
    <t>RIO SHOP DECO 2/3-(ANAFES)</t>
  </si>
  <si>
    <t>ARCO IRIS-ANDREA-2/3</t>
  </si>
  <si>
    <t>MERPAGO*SANITARIOSDE</t>
  </si>
  <si>
    <t>FERRETERIA-ANDREA-1/3</t>
  </si>
  <si>
    <t>YPF-COMBUSTIBLE-ANDREA</t>
  </si>
  <si>
    <t>ALMACOR-POLO</t>
  </si>
  <si>
    <t>ALMACOR-ANDREA</t>
  </si>
  <si>
    <t>GRANDIET</t>
  </si>
  <si>
    <t>PRODUCTOS VARIOS GRANDIET-POLO</t>
  </si>
  <si>
    <t>CAMINOS DE LA SIERRA PEAJES-JUNIO 2025</t>
  </si>
  <si>
    <t>CAMBIO ACEITE VEHICULO ANDREA</t>
  </si>
  <si>
    <t>VETERINARIA</t>
  </si>
  <si>
    <t>ALMACOR-ANDREA ($ 99.793,74)-POLO ($ 14.495,98)</t>
  </si>
  <si>
    <t>PERSONAL Y DOS57</t>
  </si>
  <si>
    <t>PERSONSAL</t>
  </si>
  <si>
    <t>FERRETERIA-ANDREA</t>
  </si>
  <si>
    <t>COMISION RENOVACION ANUAL-BCO</t>
  </si>
  <si>
    <t>PASAJE IDA MIGUEL MARTINEZ / CORDOBA - VILLA MERCEDES</t>
  </si>
  <si>
    <t xml:space="preserve">PASAJE VUELTA GUILLERMO VASQUEZ / VILLA MERCEDES - CORDOBA </t>
  </si>
  <si>
    <t xml:space="preserve">PASAJE VUELTA JOSE LUIS PEREZ / SAN JUAN - CORDOBA </t>
  </si>
  <si>
    <t xml:space="preserve">PASAJES MUJER E HIJA PEPO / SAN JUAN - CORDOBA </t>
  </si>
  <si>
    <t>PASAJE IDA RODRIGO FERNANDEZ / SAN JUAN - CATAMARCA</t>
  </si>
  <si>
    <t xml:space="preserve">PASAJE VUELTA CORTEZ, VILDOZO Y SALINAS / SAN JUAN - CORDOBA </t>
  </si>
  <si>
    <t xml:space="preserve">PASAJE VUELTA LUCIANO MERCADO / LA RIOJA- CORDOBA </t>
  </si>
  <si>
    <t>PASAJE IDA GABRIEL MORA / SAN LUIS - SANTIAGO DEL ESTERO</t>
  </si>
  <si>
    <t>SUPER ADMINISTRACIÓN</t>
  </si>
  <si>
    <t>PASAJE VUELTA TATI Y ALE / SANTIAGO DEL ESTERO - CORDOBA</t>
  </si>
  <si>
    <t>PASAJE IDA TATI Y ALE / CORDOBA - SANTIAGO DEL ESTERO</t>
  </si>
  <si>
    <t>K MERPAGO*TECNOLIVEUSA</t>
  </si>
  <si>
    <t>INCLINOMETRO DIGITAL 1</t>
  </si>
  <si>
    <t>PASAJE IDA MACHADO / CORDOBA - SANTIAGO DEL ESTERO</t>
  </si>
  <si>
    <t xml:space="preserve">PASAJE IDA CORTEZ, VILDOZO Y SALINAS / CATAMARCA - SAN JUAN </t>
  </si>
  <si>
    <t>PASAJE IDA LUCIANO MERCADO / CATAMARCA - LA RIOJA</t>
  </si>
  <si>
    <t>PASAJE IDA MATIAS MUT / CATAMARCA - LA RIOJA</t>
  </si>
  <si>
    <t>K MERPAGO*REPUESTOSYP</t>
  </si>
  <si>
    <t>INCLINOMETRO DIGITAL 2</t>
  </si>
  <si>
    <t>COMISIÓN ANUAL (?)</t>
  </si>
  <si>
    <t>REUNION BAR X RIO IV TC PICK UP CON AGUSTINOY</t>
  </si>
  <si>
    <t>REUNION BAR X RIO IV TC PICKUP</t>
  </si>
  <si>
    <t>EGEO AUTOMOTORES  01/03</t>
  </si>
  <si>
    <t>NISSAN CONCESIONARIO</t>
  </si>
  <si>
    <t>CAFÉ CON LECHE-OJO DE AGUA</t>
  </si>
  <si>
    <t>COMBUSTIBLE-NISSAN-OJO DE AGUA</t>
  </si>
  <si>
    <t>VEA SM 013</t>
  </si>
  <si>
    <t>INMIGRANTES RESTO BAR</t>
  </si>
  <si>
    <t>MERPAGO*BONAFIDESGO</t>
  </si>
  <si>
    <t>MERIENDA</t>
  </si>
  <si>
    <t>BONAFIDE</t>
  </si>
  <si>
    <t>ASADO</t>
  </si>
  <si>
    <t>DESAYUNO CON MARIO</t>
  </si>
  <si>
    <t>MERPAGO*SANVALENTIN</t>
  </si>
  <si>
    <t>MERIENDA VECK</t>
  </si>
  <si>
    <t>FRANCECE FERRETERIA</t>
  </si>
  <si>
    <t>LLAVES ALEM</t>
  </si>
  <si>
    <t>ALMUERZO</t>
  </si>
  <si>
    <t>LO BRUNO SA</t>
  </si>
  <si>
    <t>CHAPAS</t>
  </si>
  <si>
    <t>MOSTAZA</t>
  </si>
  <si>
    <t>BONAFIDE 2 MERIENDAS</t>
  </si>
  <si>
    <t>FABIAN ENRICO SRL</t>
  </si>
  <si>
    <t>COMBUSTIBLE SPRINTER</t>
  </si>
  <si>
    <t>COMBUSTIBLE PFG</t>
  </si>
  <si>
    <t>VEA-MUNICIPALIDAD PRESENTE</t>
  </si>
  <si>
    <t>SEÑOR HELADO</t>
  </si>
  <si>
    <t>HELADERIA MARIO (Ticket 28) dice ($16.000)</t>
  </si>
  <si>
    <t>ALTOS DEL ESTERO</t>
  </si>
  <si>
    <t>2 CENAS + 2 MERIENDAS HOTEL</t>
  </si>
  <si>
    <t>REUNION CARPINTERIA</t>
  </si>
  <si>
    <t>COMPRA OJO DE AGUA CON ELY</t>
  </si>
  <si>
    <t>COMBUSTIBLE OJO DE AGUA</t>
  </si>
  <si>
    <t>AGOSTO</t>
  </si>
  <si>
    <t>K MERPAGO*SUDINEROSEGURO</t>
  </si>
  <si>
    <t>APPLE.COM/BILL MSD34NYXXUSD 9,99</t>
  </si>
  <si>
    <t>AUTOPISTAS URBAN 000000004711329</t>
  </si>
  <si>
    <t>MERPAGO*TONERCORDOBA</t>
  </si>
  <si>
    <t>Compra Nico Tonner Oficina</t>
  </si>
  <si>
    <t>AUTOPISTA DEL OE 803071617506101</t>
  </si>
  <si>
    <t>AUTOPISTAS DEL S 803071617506101</t>
  </si>
  <si>
    <t>K Google One A52899914USD 1,99</t>
  </si>
  <si>
    <t>SEGUROS BERNAR0660222011208-002-000</t>
  </si>
  <si>
    <t>SEGUROS BERNAR0660228236303-002-000</t>
  </si>
  <si>
    <t>SEGUROS BERNAR0660228236003-002-000</t>
  </si>
  <si>
    <t>SEGUROS BERNAR0660228236103-002-000</t>
  </si>
  <si>
    <t>SEGUROS BERNAR0660226398005-002-000</t>
  </si>
  <si>
    <t>AA2000 000000233911144</t>
  </si>
  <si>
    <t>CORREDORES VIALE 000000233911144</t>
  </si>
  <si>
    <t>APPYPF 31134 TIENDA</t>
  </si>
  <si>
    <t>GOOGLE *Google O P1dJFzZD USD 1,99</t>
  </si>
  <si>
    <t>CAMINO PQUE B AY 908030716175061</t>
  </si>
  <si>
    <t>K CVSA ACCESOS 908030716175061</t>
  </si>
  <si>
    <t>NALDO-ESTUFA (AUTORIZADO MATIAS) 3/3</t>
  </si>
  <si>
    <t>RIO SHOP DECO 3/3-(ANAFES-POLO)</t>
  </si>
  <si>
    <t>ARCO IRIS-ANDREA-3/3</t>
  </si>
  <si>
    <t>FERRETERIA-ANDREA -2/3</t>
  </si>
  <si>
    <t>SHELL-COMBUSTIBLE</t>
  </si>
  <si>
    <t>ALMACOR-ANDREA+POLO</t>
  </si>
  <si>
    <t>SANTA BARBARA-BIDON GENERADOR LEANDRO</t>
  </si>
  <si>
    <t>MERPAGO*YPFDELLAGO</t>
  </si>
  <si>
    <t>YPF-COMUSTIBLE</t>
  </si>
  <si>
    <t>CAMINOS DE LAS S 000000001775865</t>
  </si>
  <si>
    <t>CAMINO DE LA SIERRA-PEAJE-JULIO</t>
  </si>
  <si>
    <t>SANCHEZ ANTONIOLLI 24</t>
  </si>
  <si>
    <t>FARMACIA-ANDREA</t>
  </si>
  <si>
    <t>SANTA BARBARA-AMAROK-NSN-FAUSTO</t>
  </si>
  <si>
    <t>SANTA BARBARA-CAMION PLANCHA-LEANDRO</t>
  </si>
  <si>
    <t>SUPER-CLOCLO-ANDREA</t>
  </si>
  <si>
    <t>SANTA BARBARA-DESCUBIERTO - CTA CTE</t>
  </si>
  <si>
    <t>K MERPAGO*PRISCILASOFIACHAP</t>
  </si>
  <si>
    <t>PLANO A1 PARA RIO IV</t>
  </si>
  <si>
    <t>TRASLADO PLANO PARA RIO IV</t>
  </si>
  <si>
    <t>K MERPAGO*TODOFERSA</t>
  </si>
  <si>
    <t>ACRILICOS PARA MASCARA DE SOLDAR (POLA)</t>
  </si>
  <si>
    <t>K MERPAGO*2PRODUCTOS</t>
  </si>
  <si>
    <t>MICROONDAS PARA PERSONAL (POLO)</t>
  </si>
  <si>
    <t>K MERPAGO*3PRODUCTOS</t>
  </si>
  <si>
    <t>ALMOHADA/SABANAS/COLCHA PARA VW NEGRO</t>
  </si>
  <si>
    <t>PASAJE VUELTA FRANCO SILVA / LA RIOJA - CORDOBA</t>
  </si>
  <si>
    <t>PASAJE VUELTA EVER CORTEZ / SAN JUAN - CORDOBA</t>
  </si>
  <si>
    <t>PASAJE VUELTA GUILLERMO VASQUEZ / VILLA MERCEDES - SAN LUIS</t>
  </si>
  <si>
    <t>K MERPAGO*A4SERVICIOSGR</t>
  </si>
  <si>
    <t>IMPRESIONES PARA REUNIÓN NEPER</t>
  </si>
  <si>
    <t>SALDO DE CANCELACIÓN PASAJE ALEJANDRO PARA VOLVER A CÓRDOBA DE VILLA MERCEDES</t>
  </si>
  <si>
    <t>K MERPAGO*BEVILACQUAGRISELD</t>
  </si>
  <si>
    <t>PLANIMETRÍA RIO IV</t>
  </si>
  <si>
    <t>MERPAGO*BUSESLEP</t>
  </si>
  <si>
    <t>PASAJE IDA JAZMIN VALDIVIA / CORDOBA - RIO IV</t>
  </si>
  <si>
    <t>EGEO AUTOMOTORES 2/3</t>
  </si>
  <si>
    <t>LA SIFONDA NEPER</t>
  </si>
  <si>
    <t>FIDESUR</t>
  </si>
  <si>
    <t>CAFÉ RIO IV</t>
  </si>
  <si>
    <t>CARLOS JOSE SAS</t>
  </si>
  <si>
    <t>COMBUSTIBLE VIAJE RIO IV</t>
  </si>
  <si>
    <t>REUNION JAZ</t>
  </si>
  <si>
    <t>NAFTA KEX</t>
  </si>
  <si>
    <t>MERPAGO*POLO52</t>
  </si>
  <si>
    <t>REUNION JAZ MARIO POLO</t>
  </si>
  <si>
    <t>COMBUSTIBLE CVIAJE RIO IV</t>
  </si>
  <si>
    <t>ESTACION SHELL BERROTA</t>
  </si>
  <si>
    <t>MARIA MB DE SOLDANO Y</t>
  </si>
  <si>
    <t>VIAJE RIO IV</t>
  </si>
  <si>
    <t>K CORREDORES VIALE 000000234044646</t>
  </si>
  <si>
    <t>RIIING</t>
  </si>
  <si>
    <t>ESTACION PUNTO PANORAM</t>
  </si>
  <si>
    <t>ALMUERZO ARQUITECTO, VECK ELY MARIO RIO IV</t>
  </si>
  <si>
    <t>REUNION EN SHELL TROPEZON</t>
  </si>
  <si>
    <t>PARA VIAJE RIO IV ARQUITECTO</t>
  </si>
  <si>
    <t>NAFTA ARQUITECTO AGUSTINOY</t>
  </si>
  <si>
    <t>COMBUSTIBLE RIO IV AVANZADA</t>
  </si>
  <si>
    <t>PROVIMARK SUPER EXPRES</t>
  </si>
  <si>
    <t>SEPTIEMBRE</t>
  </si>
  <si>
    <t>CORREDORES VIALE 000000237972888</t>
  </si>
  <si>
    <t>APPLE.COM/BILL MSD37H0KGUSD 9,99</t>
  </si>
  <si>
    <t>SANCOR COOP SE0000030814776-310-000</t>
  </si>
  <si>
    <t>Multa Facu Ceballos - exceso de velocidad</t>
  </si>
  <si>
    <t>Multa Fofi - sin placas de dominio</t>
  </si>
  <si>
    <t>Multa Lucas Galara - No llevar luz encendida</t>
  </si>
  <si>
    <t>Multa Gabi Mora - sin placas de dominio</t>
  </si>
  <si>
    <t>Multa Vazquez Guillermo - Conducir alcoholemia</t>
  </si>
  <si>
    <t>Multa Leandro - Exceso velocidad</t>
  </si>
  <si>
    <t>K Google One A28963901USD 1,99</t>
  </si>
  <si>
    <t>LENO PERON-LENO PERON</t>
  </si>
  <si>
    <t>APPYPF 31077 COMBUST</t>
  </si>
  <si>
    <t>APPYPF 31077 TIENDA</t>
  </si>
  <si>
    <t>PASAJE VUELTA PATO'S / TUCUMÁN - CORDOBA</t>
  </si>
  <si>
    <t>PASAJE IDA TATI / CORDOBA - TUCUMAN</t>
  </si>
  <si>
    <t xml:space="preserve">PASAJE IDA 4 BRUJAS / SAN JUAN - CORDOBA </t>
  </si>
  <si>
    <t>MERPAGO*UBEVSAS</t>
  </si>
  <si>
    <t>PASAJE IDA GERA / CORDOBA - TUCUMAN</t>
  </si>
  <si>
    <t>CORREDORES VIALE 000000241956323</t>
  </si>
  <si>
    <t>PASAJE VUELTA 4 BRUJAS / CORDOBA - SAN JUAN</t>
  </si>
  <si>
    <t>SEGUROS BERNAR0660222011209-002-000</t>
  </si>
  <si>
    <t>SEGUROS BERNAR0660228236104-002-000</t>
  </si>
  <si>
    <t>SEGUROS BERNAR0660228236304-002-000</t>
  </si>
  <si>
    <t>SEGUROS BERNAR0660226398006-002-000</t>
  </si>
  <si>
    <t>SEGUROS BERNAR0660228236004-002-000</t>
  </si>
  <si>
    <t>AUBASA 803071617506101</t>
  </si>
  <si>
    <t>K Google One A12996326USD 1,99</t>
  </si>
  <si>
    <t>K MERPAGO*OSPSICOFISICO</t>
  </si>
  <si>
    <t>PASAJE VUELTA EVER CORTEZ / CORDOBA - SAN JUAN</t>
  </si>
  <si>
    <t>PASAJE VUELTA NICO LEOPOLDINO / CORDOBA - BS AS</t>
  </si>
  <si>
    <t>BURGER KING-DINO MALL</t>
  </si>
  <si>
    <t>PASAJE VUELTA EZE GUTIERREZ / CORDOBA - SAN JUAN</t>
  </si>
  <si>
    <t>FERRETERIA-ANDREA- 3/3</t>
  </si>
  <si>
    <t>SANTA BARBARA-CUENTA CORRIENTE</t>
  </si>
  <si>
    <t>GOOGLE *Google O P1e85rgs USD 0,99</t>
  </si>
  <si>
    <t>GOOGLE ONE-ANDREA</t>
  </si>
  <si>
    <t>ALMACOR-POLO (ARTICULOS DE LIMPIEZA+ACCESORIOS OFICINA POLLO)</t>
  </si>
  <si>
    <t>YPF-COMBUSTIBLE</t>
  </si>
  <si>
    <t>PAGOS360*EPEC</t>
  </si>
  <si>
    <t>EPEC-ANDREA</t>
  </si>
  <si>
    <t>PEAJES-CAMINO SIERRAS</t>
  </si>
  <si>
    <t>FERNIPLAST-JAZ COMPRA SABANAS+ACCESORIOS CASA EXTRANJERO</t>
  </si>
  <si>
    <t>FARMACIA BRAC</t>
  </si>
  <si>
    <t>MERPAGO*JETSMART</t>
  </si>
  <si>
    <t>PASAJE-TUCUMAN BUENOS AIRES-VECKY (PEDIDO JAZ)</t>
  </si>
  <si>
    <t>PASAJE-BUENOS AIRES TUCUMAN-VECKY (PEDIDO JAZ)</t>
  </si>
  <si>
    <t>TRASLADO-MAY</t>
  </si>
  <si>
    <t>MERPAGO*BUSESLEP 2/3</t>
  </si>
  <si>
    <t xml:space="preserve">PASAJE VUELTA JAZMIN VALDIVIA / RIO IV - CORDOBA </t>
  </si>
  <si>
    <t>K MERPAGO*BUSESLEP</t>
  </si>
  <si>
    <t>PASAJES CARPAS TAGLES (X4) - RIO IV A CORDOBA</t>
  </si>
  <si>
    <t>PASAJE IDA Y VUELTA DELFINA MERINO (LEONAS) / BS AS - CORDOBA - BS AS</t>
  </si>
  <si>
    <t>K MERPAGO*AJAXGOLD</t>
  </si>
  <si>
    <t>BOLSO DEPORTIVO PARA LEANDRO (ALEMÁN)</t>
  </si>
  <si>
    <t>PASAJE IDA MATI MUT / CORDOBA - LA RIOJA</t>
  </si>
  <si>
    <t>MODIFICACION PASAJE IDA Y VUELTA DELFINA MERINO (LEONAS) / BS AS - CORDOBA - BS AS</t>
  </si>
  <si>
    <t>PASAJE IDA NICO LEOPOLDINO / CORDOBA - BS AS</t>
  </si>
  <si>
    <t>PASAJE IDA 4 MORAS / CORDOBA - SAN JUAN</t>
  </si>
  <si>
    <t>PASAJE IDA JONAS / CORDOBA - SAN LUIS</t>
  </si>
  <si>
    <t>COMPRA SUPER ADMINISTRACION</t>
  </si>
  <si>
    <t>PASAJE IDA 2 HARLEY'S / CORDOBA - TUCUMAN</t>
  </si>
  <si>
    <t>PASAJE IDA PATO'S / CORDOBA - TUCUMÁN</t>
  </si>
  <si>
    <t>PASAJE VUELTA TATI / TUCUMÁN - CORDOBA</t>
  </si>
  <si>
    <t>PASAJE VUELTA 2 HARLEY'S / TUCUMÁN - CORDOBA</t>
  </si>
  <si>
    <t>REGATONES PLÁSTICOS PARA HERRERÍA</t>
  </si>
  <si>
    <t>CINTURON PORTA HERRAMIENTAS PARA PAÑOL</t>
  </si>
  <si>
    <t>EGEO AUTOMOTORES 03/03</t>
  </si>
  <si>
    <t>ESTACION DE SERVICIOS AXI</t>
  </si>
  <si>
    <t>COMBUSTIBLE REGRESO RIO IV</t>
  </si>
  <si>
    <t>CENA Y REGRESO RIO IV</t>
  </si>
  <si>
    <t>REUNION</t>
  </si>
  <si>
    <t>REUNION CBA</t>
  </si>
  <si>
    <t>MERPAGO*LUISACARRIZOYCIAS</t>
  </si>
  <si>
    <t>VIAJE 5.9 - CAFÉ MARIO, VECK CHOLI</t>
  </si>
  <si>
    <t>PETROARSA SA</t>
  </si>
  <si>
    <t>COMBUSTIBLE CLARK</t>
  </si>
  <si>
    <t>COMBUSTIBLE SALIDA VIAJE</t>
  </si>
  <si>
    <t>MOSTAZA TUCUMAN 4</t>
  </si>
  <si>
    <t>ALMUERZO MARIO, CHOLI, VECK LLAGADA TUCUMAN</t>
  </si>
  <si>
    <t>CENTRO DE COMPRAS GOMEZ P</t>
  </si>
  <si>
    <t>CATERING-PILAS LASER</t>
  </si>
  <si>
    <t>AXION LAVALLE SANTA ADEL</t>
  </si>
  <si>
    <t>COMBUSTIBLE VIAJE NISSAN</t>
  </si>
  <si>
    <t>MERPAGO*CRISTOMARKET</t>
  </si>
  <si>
    <t>ALMUERZO VECKY Y MARIO 6.5</t>
  </si>
  <si>
    <t>MUNDO PAPEL 2</t>
  </si>
  <si>
    <t>CARPETAS, FOLIOS</t>
  </si>
  <si>
    <t>COBRO SUR</t>
  </si>
  <si>
    <t>DESAYUNO 6.9</t>
  </si>
  <si>
    <t>PILAS PARA LASER</t>
  </si>
  <si>
    <t>FERREMARKET 01/03</t>
  </si>
  <si>
    <t>TANZA</t>
  </si>
  <si>
    <t>AGUA MINERAL, LIMPIEZA</t>
  </si>
  <si>
    <t>MORITZ FOODIE BAR</t>
  </si>
  <si>
    <t xml:space="preserve">ALMUERZO VECKY MARIO </t>
  </si>
  <si>
    <t>2 MOPAS PARA LONAS MAS ALMACEN VECK</t>
  </si>
  <si>
    <t>EST.DE SERV.AEROPUERTO</t>
  </si>
  <si>
    <t>SHELL SHOP</t>
  </si>
  <si>
    <t>CENA VECKI POST VIAJE A LA PLATA ($7.878)</t>
  </si>
  <si>
    <t>ARRIBOS SA</t>
  </si>
  <si>
    <t>CAFÉ</t>
  </si>
  <si>
    <t>ALMUERZO 11.9</t>
  </si>
  <si>
    <t>COMBUSTIBLE KEX</t>
  </si>
  <si>
    <t>DESAYUNO 9.11</t>
  </si>
  <si>
    <t>DSA-FCIA SU FARM YERBA</t>
  </si>
  <si>
    <t>GOTAS PARA OJOS</t>
  </si>
  <si>
    <t>DESAYUNO 14.9</t>
  </si>
  <si>
    <t>FREDDO - SOLAR DEL CERRO</t>
  </si>
  <si>
    <t>ALMUERZO 15.9</t>
  </si>
  <si>
    <t>MERPAGO*EKOMARKET</t>
  </si>
  <si>
    <t>MERPAGO*ALMACENDEAMIGOS</t>
  </si>
  <si>
    <t>AGUA+QUESO+CENA 14.9</t>
  </si>
  <si>
    <t>LIBRERÍA PARA MONSTER</t>
  </si>
  <si>
    <t>DESAYUNO 15.9</t>
  </si>
  <si>
    <t>LLORVANDI HNOS SRL</t>
  </si>
  <si>
    <t>CAFÉ  AGUAS VIAJE REGRESO</t>
  </si>
  <si>
    <t>COMBUSTIBLE REGRESO A CBA</t>
  </si>
  <si>
    <t>CAFES REGRESO</t>
  </si>
  <si>
    <t>ZOCO PUERTO A</t>
  </si>
  <si>
    <t>DESAYUNO 16.9</t>
  </si>
  <si>
    <t>LA CARPINTERIA</t>
  </si>
  <si>
    <t>MERPAGO*POSITANORESTOBAR</t>
  </si>
  <si>
    <t>MERPAGO*AMASAR</t>
  </si>
  <si>
    <t>LA EUROPEA</t>
  </si>
  <si>
    <t>ESTACIONAMIENTO DEAN FUNE</t>
  </si>
  <si>
    <t>MERPAGO*KIOSCO365</t>
  </si>
  <si>
    <t>BEAUTY PHONE SAS</t>
  </si>
  <si>
    <t>OCTUBRE</t>
  </si>
  <si>
    <t>MARIO</t>
  </si>
  <si>
    <t>PASAJE VUELTA MARTIN VILDOZO / CORDOBA - BS AS</t>
  </si>
  <si>
    <t>PASAJE VUELTA YPSET GUTIERREZ / CORDOBA - SAN JUAN</t>
  </si>
  <si>
    <t>4 CINTA METRICA DE 100 MTS</t>
  </si>
  <si>
    <t>MERPAGO*MERCADOLIBRE</t>
  </si>
  <si>
    <t>CONSERVADORA 12LTS PARA MANOLO (LA SUYA SE LA DIÓ A LEANDRO)</t>
  </si>
  <si>
    <t>APPLE.COM/BILL MSD3BD100USD 9,99</t>
  </si>
  <si>
    <t>Multa Fausto - Circular sin licencia de conducir</t>
  </si>
  <si>
    <t>APPYPF 31230 TIENDA</t>
  </si>
  <si>
    <t>K GOOGLE *Google O P1f5kVzL USD 1,99</t>
  </si>
  <si>
    <t>Multa Pollo - Exceso de velocidad</t>
  </si>
  <si>
    <t>CF MOTO CORDOBA</t>
  </si>
  <si>
    <t>SEGUROS BERNAR0660226398007-002-000</t>
  </si>
  <si>
    <t>SEGUROS BERNAR0660228236305-002-000</t>
  </si>
  <si>
    <t>SEGUROS BERNAR0660228236105-002-000</t>
  </si>
  <si>
    <t>SEGUROS BERNAR0660222011210-002-000</t>
  </si>
  <si>
    <t>SEGUROS BERNAR0660228236005-002-000</t>
  </si>
  <si>
    <t>K AA2000 000000250188537</t>
  </si>
  <si>
    <t>CORREDORES VIALE 000000250188537</t>
  </si>
  <si>
    <t>P Microsoft*Micros Microsoft*Microsof</t>
  </si>
  <si>
    <t>K AUTOPISTAS URBAN 000000004711329</t>
  </si>
  <si>
    <t>K Google One A04850880USD 1,99</t>
  </si>
  <si>
    <t>APPYPF 02102 TIENDA</t>
  </si>
  <si>
    <t>SAN URBANO S A</t>
  </si>
  <si>
    <t>K AUTOPISTAS DEL S 803071617506101</t>
  </si>
  <si>
    <t>APPYPF 31230 COMBUSTIB</t>
  </si>
  <si>
    <t>Multa Nico Bibiloni - Luces bajas apagadas</t>
  </si>
  <si>
    <t>DISTRICAR 01/03</t>
  </si>
  <si>
    <t>REPUESTOS AUTOPARTES ANDREA 1/3</t>
  </si>
  <si>
    <t>GOOGLE *Google O P1eU5uYp USD 0,99</t>
  </si>
  <si>
    <t>GOOGLE ONE</t>
  </si>
  <si>
    <t>YPF-DEL LAGO-ANDREA</t>
  </si>
  <si>
    <t>ALMACOR-ANDREA-POLO</t>
  </si>
  <si>
    <t>PINTECORD 01/03</t>
  </si>
  <si>
    <t>FERRETERIA-PINTECORD-ANDREA</t>
  </si>
  <si>
    <t>PEAJE-CAMINOS DE LA SIERRAS-SEPTIEMBRE</t>
  </si>
  <si>
    <t>CTA SANTA BARBARA-YPF</t>
  </si>
  <si>
    <t>VANETTI SERGIO</t>
  </si>
  <si>
    <t>VIVERO-OFICINA ADMINISTRACION</t>
  </si>
  <si>
    <t>VIVERO-OFICINA POLLO</t>
  </si>
  <si>
    <t>SUPER MAMI 01/03</t>
  </si>
  <si>
    <t>HELADERIA GRIDO</t>
  </si>
  <si>
    <t>GRIDO</t>
  </si>
  <si>
    <t>MERPAGO*SHELLBOX</t>
  </si>
  <si>
    <t>MERPAGO*FARMACIANOYA</t>
  </si>
  <si>
    <t>K DLO*STARLINK</t>
  </si>
  <si>
    <t>STARLINK-ANDREA</t>
  </si>
  <si>
    <t xml:space="preserve"> Coffee (kempes)</t>
  </si>
  <si>
    <t>MERPAGO*BUSESLEP 03/03</t>
  </si>
  <si>
    <t>MERPAGO*BUSESLEP 02/03</t>
  </si>
  <si>
    <t>PASAJE IDA Y VUELTA CHOLI / CORDOBA - SAN JUAN - CORDOBA</t>
  </si>
  <si>
    <t>PASAJE IDA Y VUELTA GUILLE VASQUEZ / CORDOBA - VILLA MERCEDES - CORDOBA</t>
  </si>
  <si>
    <t>PASAJE IDA NICO LEOPOLDINO / BS AS - CORDOBA</t>
  </si>
  <si>
    <t>PASAJE IDA EVER CORTEZ / SAN JUAN - CORDOBA</t>
  </si>
  <si>
    <t>PASAJE IDA FABRICIO ROBERTO / TUCUMÁN - CORDOBA</t>
  </si>
  <si>
    <t>K MERPAGO*TECNOFAST</t>
  </si>
  <si>
    <t>CONSERVADORA 12 LTS PARA GERA MACHADO</t>
  </si>
  <si>
    <t>PASAJE IDA MATIAS MUT / LA RIOJA - CORDOBA</t>
  </si>
  <si>
    <t>PASAJE IDA Y VUELTA JAIME / CORDOBA - LA RIOJA - CORDOBA</t>
  </si>
  <si>
    <t>PASAJE IDA JAIME / CORDOBA - LA RIOJA</t>
  </si>
  <si>
    <t>K MERPAGO*21PRODUCTOS</t>
  </si>
  <si>
    <t>LISTADO COMPRAS CASA EXTRANJEROS</t>
  </si>
  <si>
    <t>K MERPAGO*BATTAGLIAAGUSTINL</t>
  </si>
  <si>
    <t>IMPRESION PLANOS PARA VECK</t>
  </si>
  <si>
    <t>K MERPAGO*OPENFACTORY</t>
  </si>
  <si>
    <t>CONSERVADORA 42LTS PARA PRODUCCION (MARIO)</t>
  </si>
  <si>
    <t>K MERPAGO*TIENDACOLUCCI</t>
  </si>
  <si>
    <t>TERMOLAR PARA PRODUCCION (MARIO)</t>
  </si>
  <si>
    <t>REUNIÓN PRODUCCIONES VARIAS (MONSTER JAM - EVENTOS DOS57)</t>
  </si>
  <si>
    <t>PASAJE IDA 3 MORAS / CORDOBA - SAN JUAN</t>
  </si>
  <si>
    <t>COMPRAS EN EASY NECESIDAD KEMPES (CREEPY)</t>
  </si>
  <si>
    <t>FERREMARKET 02/03</t>
  </si>
  <si>
    <t>COMBUSTIBLE PARA VIAJE</t>
  </si>
  <si>
    <t>FARMACITY RECTA MARTINOLI</t>
  </si>
  <si>
    <t>MERPAGO*TECNOLOGIA</t>
  </si>
  <si>
    <t>AGUAS PARA VIAJE</t>
  </si>
  <si>
    <t>YPF ESTADIO</t>
  </si>
  <si>
    <t>ALMUERZO ELY, MARIO, VECK</t>
  </si>
  <si>
    <t>ALMUERZO PAUL T</t>
  </si>
  <si>
    <t>COMIDA CAMINO</t>
  </si>
  <si>
    <t>DEHEZA 1736</t>
  </si>
  <si>
    <t>2MIL10Y7 SRL</t>
  </si>
  <si>
    <t>DESAYUNO VIAJE</t>
  </si>
  <si>
    <t>YPF-LA CUARTA</t>
  </si>
  <si>
    <t>AMERO SA</t>
  </si>
  <si>
    <t>MERPAGO*BONAFIDE</t>
  </si>
  <si>
    <t>MERPAGO*SOCIALLIBRER</t>
  </si>
  <si>
    <t>PUMA-EZEIZA</t>
  </si>
  <si>
    <t>FLORIDA GARDEN</t>
  </si>
  <si>
    <t>FLYBONDI A BORDO _COR_</t>
  </si>
  <si>
    <t>FOOD PATAGONIA SA</t>
  </si>
  <si>
    <t>EGEO AUTOMOTORES 01/03</t>
  </si>
  <si>
    <t>SERVICE CAMIONETA</t>
  </si>
  <si>
    <t>MERPAGO*THETECHSPOT</t>
  </si>
  <si>
    <t>REUNION POSITANO</t>
  </si>
  <si>
    <t>NOVIEMBRE</t>
  </si>
  <si>
    <t>K AA2000 000000254295206</t>
  </si>
  <si>
    <t>CORREDORES VIALE 000000254295206</t>
  </si>
  <si>
    <t>APPYPF 30773 COMBUST</t>
  </si>
  <si>
    <t>APPYPF 02933 TIENDA</t>
  </si>
  <si>
    <t>APPLE.COM BILL 10325278 USD 9,99</t>
  </si>
  <si>
    <t>PASAJE IDA PEPO / BS AS - CÓRDOBA</t>
  </si>
  <si>
    <t>K MERPAGO*FASMOTOS</t>
  </si>
  <si>
    <t>K PLATAFORMA 10 SA</t>
  </si>
  <si>
    <t>Pasaje de JAIME (Franco silva) de Córdoba a La Rioja</t>
  </si>
  <si>
    <t>K GOOGLE *Google O P1fYfL2U USD 1,99</t>
  </si>
  <si>
    <t>K MERPAGO*AMCOMPUTACION</t>
  </si>
  <si>
    <t>UBER PARA TRASLADO MENU HAKA A LAWN TENIS</t>
  </si>
  <si>
    <t>K MERPAGO*RIDERPRO</t>
  </si>
  <si>
    <t>UBER DESDE CASA EXTRANJEROS A TERMINAL</t>
  </si>
  <si>
    <t>SEGUROS BERNAR0660228236006-002-000</t>
  </si>
  <si>
    <t>SEGUROS BERNAR0660226398008-002-000</t>
  </si>
  <si>
    <t>SEGUROS BERNAR0660228236306-002-000</t>
  </si>
  <si>
    <t>SEGUROS BERNAR0660228236106-002-000</t>
  </si>
  <si>
    <t>SEGUROS BERNAR0660222011211-002-000</t>
  </si>
  <si>
    <t>UBER TRASLADO CARPETAS MONSTER JAM A CASA VECK</t>
  </si>
  <si>
    <t>PASAJE VUELTA 2 MORAS / CORDOBA - SAN JUAN</t>
  </si>
  <si>
    <t>PASAJE VUELTA ALE (CAPIBARA) / CORDOBA - SAN JUAN</t>
  </si>
  <si>
    <t>PASAJE VUELTA NICO LEOPOLDINO / CORDOBA - SAN JUAN</t>
  </si>
  <si>
    <t xml:space="preserve">PASAJE IDA Y VUELTA FABRICIO ROBERTO / CORDOBA - TUCUMAN - CORDOBA </t>
  </si>
  <si>
    <t>PASAJE VUELTA ALE (CAPIBARA) / CORDOBA - VILLA MERCEDES</t>
  </si>
  <si>
    <t>K TELEPEAJE PLUS 000000258540455</t>
  </si>
  <si>
    <t>CORREDORES VIALE 000000258540455</t>
  </si>
  <si>
    <t>EXPERTA SEGURO0000029362317-004-003</t>
  </si>
  <si>
    <t>Multa Mario - Compuerta camioneta abierta</t>
  </si>
  <si>
    <t>PASAJE IDA 3 MORA'S / LA RIOJA - CÓRDOBA</t>
  </si>
  <si>
    <t>PASAJE IDA 4 MORA'S / SAN JUAN - CÓRDOBA</t>
  </si>
  <si>
    <t>K AUTOPISTA DEL OE 803071617506101</t>
  </si>
  <si>
    <t>MERPAGO*PASESHOW</t>
  </si>
  <si>
    <t>PASAJE IDA MARIANO (FAUSTO) / MENDOZA - CÓRDOBA</t>
  </si>
  <si>
    <t>K GOOGLE *Google O P1gh1yFC USD 1,99</t>
  </si>
  <si>
    <t xml:space="preserve">SALDO PASAJE CANCELADO MATI MUT </t>
  </si>
  <si>
    <t>K PEDIDOSYA SUPERMERCADO</t>
  </si>
  <si>
    <t>MERPAGO*MILTONJONATHANDIA</t>
  </si>
  <si>
    <t>ALMUERZO TEAM MILTON PLAZA DE LA MUSICA (ERA FERIADO, NO HABÍA BANCOS Y NO TRABAJABA ADMINISTRACIÓN)</t>
  </si>
  <si>
    <t>PASAJE IDA MATI MUT / LA RIOJA - CÓRDOBA</t>
  </si>
  <si>
    <t>DISTRICAR 02/03</t>
  </si>
  <si>
    <t>REP.AUTOPARTES DISTRICAR 2/3</t>
  </si>
  <si>
    <t>PINTECORD 02/03</t>
  </si>
  <si>
    <t xml:space="preserve"> FERRETERIA-PINTECORD-ANDREA 2/3</t>
  </si>
  <si>
    <t>SUPER MAMI 02/03</t>
  </si>
  <si>
    <t>SUPER MAMI 2/3</t>
  </si>
  <si>
    <t>SHELL-COMBUSTIBLE-PAGO NESTOR</t>
  </si>
  <si>
    <t xml:space="preserve"> SUPERMERCADO SUPER SRL</t>
  </si>
  <si>
    <t xml:space="preserve">SUPER-ALMACOR-ANDREA-POLO </t>
  </si>
  <si>
    <t>CTA CTE -SANTA BARBARA</t>
  </si>
  <si>
    <t>FRAVEGA CARLOS PAZ</t>
  </si>
  <si>
    <t>FRAVEGA -CELULAR ANDREA</t>
  </si>
  <si>
    <t>SANTA BARBARA -AA183 PK-TOYOTA NVA</t>
  </si>
  <si>
    <t xml:space="preserve">PEAJES-CAMINO DE LA SIERRA </t>
  </si>
  <si>
    <t>FERRETERIA</t>
  </si>
  <si>
    <t>TEJANO 01/03</t>
  </si>
  <si>
    <t xml:space="preserve">USO PERSONAL MAYRA </t>
  </si>
  <si>
    <t>MAXI CBA J B JUSTO 01/03</t>
  </si>
  <si>
    <t>MAS VISION 01/06</t>
  </si>
  <si>
    <t>PASAJE IDA CHOLI / BELL VILLE - BS AS</t>
  </si>
  <si>
    <t>PASAJE IDA CHOLI / CORDOBA - BS AS</t>
  </si>
  <si>
    <t>COMPUTADORAS SANTI Y JAZ</t>
  </si>
  <si>
    <t>UBER VUELTA A CASA (MARIO)</t>
  </si>
  <si>
    <t>PASAJE IDA 3 MORAS / BS AS - BELL VILLE</t>
  </si>
  <si>
    <t>ENVIO HERRAMIENTAS KEMPES A FORJA</t>
  </si>
  <si>
    <t>PASAJE VUELTA JAIME / CORDOBA - LA RIOJA</t>
  </si>
  <si>
    <t>PASAJE VUELTA 2 FAUSTERAS / VILLA GRAL BELGRANO - CORDOBA</t>
  </si>
  <si>
    <t>GOOGLE *Google One USD 9,99</t>
  </si>
  <si>
    <t>AMPLIACIÓN ESPACIO DRIVE DOS57</t>
  </si>
  <si>
    <t>FERREMARKET 03/03</t>
  </si>
  <si>
    <t>EGEO AUTOMOTORES 02/03</t>
  </si>
  <si>
    <t>KEMPES POSITANO</t>
  </si>
  <si>
    <t>DIESEL</t>
  </si>
  <si>
    <t>REUNION CON CHINO</t>
  </si>
  <si>
    <t>REUNIONES 3 FRENTE KEMPES ($45.000)</t>
  </si>
  <si>
    <t>LIBREMART</t>
  </si>
  <si>
    <t>LIBRERIA ANILLADO IMPRESION LEY</t>
  </si>
  <si>
    <t>REUNION CALL BURSTYN</t>
  </si>
  <si>
    <t>YPF OPESSA ARGUELLO</t>
  </si>
  <si>
    <t>JAZ, JK, VECK PRO PO</t>
  </si>
  <si>
    <t>CAFE REUNION</t>
  </si>
  <si>
    <t>TODO EL DIA TRABAJO CON CHINO</t>
  </si>
  <si>
    <t>REUNION CHINO</t>
  </si>
  <si>
    <t>CAFÉ CON LECHE</t>
  </si>
  <si>
    <t>PARADOR SAN PEDRO SRL</t>
  </si>
  <si>
    <t>AN AGRO SRL-AN AGRO SRL</t>
  </si>
  <si>
    <t>AXION LIMA</t>
  </si>
  <si>
    <t>HOWARD JOHNSON LA PLATA</t>
  </si>
  <si>
    <t>EST SERVICIO ALAMINOS</t>
  </si>
  <si>
    <t>produ kempes</t>
  </si>
  <si>
    <t>DICIEMBRE</t>
  </si>
  <si>
    <t>UBER TRASLADO PLANOS A VECK</t>
  </si>
  <si>
    <t>CORREDORES VIALE 000000262903870</t>
  </si>
  <si>
    <t>PASAJE IDA 5 NESTOR / CORDOBA - BS AS</t>
  </si>
  <si>
    <t>PASAJE VUELTA GERA MACHADO / BS AS - RIO IV</t>
  </si>
  <si>
    <t>APPLE.COM/BILL MSD3K15VVUSD 9,99</t>
  </si>
  <si>
    <t>PASAJE IDA 6 CROSTY'S / SAN JUAN - RIO IV</t>
  </si>
  <si>
    <t>Express Av Santa Fe 5052</t>
  </si>
  <si>
    <t>COBRE BODEGON ARGENTINO</t>
  </si>
  <si>
    <t>SATRINCHA S.A</t>
  </si>
  <si>
    <t>HIPER CHANGOMAS</t>
  </si>
  <si>
    <t>COBRO SUR 115</t>
  </si>
  <si>
    <t>Multa Fofi - Exceso de velocidad // Multa Gerardo - Acompañantes sin cinturon</t>
  </si>
  <si>
    <t>Multa Gabi Mora - Exceso de Velocidad</t>
  </si>
  <si>
    <t>Multa Fofi - No estar habilitado para conducir trailer</t>
  </si>
  <si>
    <t>MERPAGO*LACANITA</t>
  </si>
  <si>
    <t>YPF CONSTITUYENTES</t>
  </si>
  <si>
    <t>KIRO SA</t>
  </si>
  <si>
    <t>K GOOGLE *Google O P1gP2eNS USD 1,99</t>
  </si>
  <si>
    <t>K DLO*PEDIDOSYA HATSU SU</t>
  </si>
  <si>
    <t>K DLO*PEDIDOSYA PROPINA</t>
  </si>
  <si>
    <t>D ACCORDO</t>
  </si>
  <si>
    <t>MERPAGO*FERRODELIVERY</t>
  </si>
  <si>
    <t>DISTRITO FEDERAL-DISTRIT</t>
  </si>
  <si>
    <t>K AUTOPISTA PROVIN 908030716175061</t>
  </si>
  <si>
    <t>K TELEPEAJE PLUS 000000267042377</t>
  </si>
  <si>
    <t>CORREDORES VIALE 000000267042377</t>
  </si>
  <si>
    <t>SEGUROS BERNAR0660222011212-002-000</t>
  </si>
  <si>
    <t>SEGUROS BERNAR0660226398009-002-000</t>
  </si>
  <si>
    <t>SEGUROS BERNAR0660228236307-002-000</t>
  </si>
  <si>
    <t>SEGUROS BERNAR0660228236007-002-000</t>
  </si>
  <si>
    <t>SEGUROS BERNAR0660228236107-002-000</t>
  </si>
  <si>
    <t>MERPAGO*CARDAMOMOPANADERI</t>
  </si>
  <si>
    <t>K Google One A23175567USD 1,99</t>
  </si>
  <si>
    <t>Multa Gonzalo Arias - No llevar luz encendida</t>
  </si>
  <si>
    <t>OPESSA ARGUELLO BOXES</t>
  </si>
  <si>
    <t>PASAJE JONAS MOYANO / SAN LUIS - CORDOBA</t>
  </si>
  <si>
    <t>PASAJE 3 MORAS / SAN JUAN - CORDOBA</t>
  </si>
  <si>
    <t>K DLO*PEDIDOSYA CHE SUSH</t>
  </si>
  <si>
    <t>DISTRICAR 03/03</t>
  </si>
  <si>
    <t>REP.AUTOPARTES ANDREA 3/3</t>
  </si>
  <si>
    <t>PINTECORD 03/03</t>
  </si>
  <si>
    <t xml:space="preserve"> FERRETERIA-PINTECORD-ANDREA 3/3</t>
  </si>
  <si>
    <t>SUPER MAMI 03/03</t>
  </si>
  <si>
    <t>SUPER MAMI 3/3</t>
  </si>
  <si>
    <t>COMBUSTIBLE- CASA MATIAS (DINERO SUELDOS)</t>
  </si>
  <si>
    <t>AF JEANS CS 01/03</t>
  </si>
  <si>
    <t>MOCHILA P/ COMPU-ANDREA 1/3</t>
  </si>
  <si>
    <t>ALMACOR -ANDREA-POLO</t>
  </si>
  <si>
    <t>COMBUSTIBLE- PAGO NESTOR Y ELY</t>
  </si>
  <si>
    <t>SANTA BARBARA-CTA CTE</t>
  </si>
  <si>
    <t>DON AFIF</t>
  </si>
  <si>
    <t>FERIADO-ALMUERZO  P/ POLO X 10 PAX</t>
  </si>
  <si>
    <t>SHELL-ANDREA</t>
  </si>
  <si>
    <t>CAMINO DE LA SIERRA PEAJE NOV</t>
  </si>
  <si>
    <t xml:space="preserve">COMBUSTIBLE- PAGO NESTOR </t>
  </si>
  <si>
    <t>YPF-ANDREA</t>
  </si>
  <si>
    <t>ALMACOR -ANDREA</t>
  </si>
  <si>
    <t>CARNES GUADALUPE</t>
  </si>
  <si>
    <t>SUPER-CARNES GUADALUPE</t>
  </si>
  <si>
    <t>AIRPORT</t>
  </si>
  <si>
    <t>AIRPORT TECNOL-PENDRIVE P/ COMPU</t>
  </si>
  <si>
    <t>COMBUSTIBLE- NESTOR Y CAJA NAVIDEÑA ELY</t>
  </si>
  <si>
    <t>VETERINARIA LA SERRANI 01/03</t>
  </si>
  <si>
    <t>VETERINARIA 1/3</t>
  </si>
  <si>
    <t>MERCADO CLOCLO-ANDREA</t>
  </si>
  <si>
    <t>SUPERMERCADO SUPER SRL 01/03</t>
  </si>
  <si>
    <t>ALMACOR ANDREA 1/3</t>
  </si>
  <si>
    <t>COMBUSTIBLE- CASA ELY P/COMPU+POLO</t>
  </si>
  <si>
    <t xml:space="preserve">ALMACOR ANDREA </t>
  </si>
  <si>
    <t>TEJANO 02/03</t>
  </si>
  <si>
    <t>USO PERSONAL MAYRA</t>
  </si>
  <si>
    <t>MAXI CBA J B JUSTO 02/03</t>
  </si>
  <si>
    <t>ALMUERZO VIAJE A MONSTER JAM</t>
  </si>
  <si>
    <t>ESTACION LIMA SA</t>
  </si>
  <si>
    <t>CARGA DE COMBUSTIBLE CAMIONETA MATIAS (VIAJE A MJ)</t>
  </si>
  <si>
    <t>AXION ARROYO SECO</t>
  </si>
  <si>
    <t>MERIENDA VIAJE A MONSTER JAM</t>
  </si>
  <si>
    <t>PASAJE VUELTA GERA Y CHARA / BS AS - CORDOBA</t>
  </si>
  <si>
    <t>K MERPAGO*ROBERTOOSCARSCARP</t>
  </si>
  <si>
    <t>PAGO MEDIA SOMBRA MONSTER JAM</t>
  </si>
  <si>
    <t xml:space="preserve">PASAJE IDA GERA MACHADO / CORDOBA - BS AS </t>
  </si>
  <si>
    <t>PASAJE VUELTA 5 NESTOR / BS AS - CORDOBA</t>
  </si>
  <si>
    <t>PASAJE VUELTA GUSTAVO JORQUERA / CORDOBA - SAN JUAN</t>
  </si>
  <si>
    <t>UBER ENVIO COMIDA TECNÓPOLIS</t>
  </si>
  <si>
    <t>UBER ENVIO DESDE POLO A CENTRO DE CONVENCIONES (PARA ARMADO ENJOY)</t>
  </si>
  <si>
    <t>PASAJE VUELTA NICO L. / CORDOBA - BS AS</t>
  </si>
  <si>
    <t>PASAJE VUELTA MARIANO (FAUSTO) / CORDOBA - MENDOZA</t>
  </si>
  <si>
    <t>PASAJE VUELTA 3 MORAS / CORDOBA - LA RIOJA</t>
  </si>
  <si>
    <t>PASAJE VUELTA FABRICIO ROBERTO / CORDOBA - TUCUMAN</t>
  </si>
  <si>
    <t>UBER TRASLADO 2 PAX DE RESCOLDO A POLO</t>
  </si>
  <si>
    <t>UBER TRASLADO CHICOS HOTEL A POLO</t>
  </si>
  <si>
    <t>PASAJE VUELTA MARTIN VILDOZO / CORDOBA - SAN JUAN</t>
  </si>
  <si>
    <t>UBER TRASLADO PERSONAL CASA EXTRANJEROS A POLO</t>
  </si>
  <si>
    <t>UBER TRASLADO JAZ DE POLO A CASA EXTRANJEROS</t>
  </si>
  <si>
    <t>UBER TRASLADO JAZ DE CASA EXTRANJEROS A POLO</t>
  </si>
  <si>
    <t>PASAJE CHOLI / SAN JUAN - CORDOBA</t>
  </si>
  <si>
    <t>PASAJE PEPO / SAN JUAN - CORDOBA</t>
  </si>
  <si>
    <t>PASAJE FABRICIO ROBERTO / TUCUMAN - CORDOBA</t>
  </si>
  <si>
    <t>PASAJE CESAR SALINAS / SAN JUAN - CORDOBA</t>
  </si>
  <si>
    <t>PASAJE 3 MORAS / LA RIOJA - CORDOBA</t>
  </si>
  <si>
    <t>PASAJE CHOLI (IDA Y VUELTA AÑO NUEVO) / CORDOBA - SAN JUAN - CORDOBA</t>
  </si>
  <si>
    <t>K FARMACIA ECONOMET</t>
  </si>
  <si>
    <t xml:space="preserve">COMPRA FARMACIA PARA BOTIQUIN EVENTOS </t>
  </si>
  <si>
    <t>REUNION ALMUERZO</t>
  </si>
  <si>
    <t>FOURMAX SRL</t>
  </si>
  <si>
    <t>CAFÉ RAMALLO</t>
  </si>
  <si>
    <t>VIAJE</t>
  </si>
  <si>
    <t>Serena</t>
  </si>
  <si>
    <t>DESAYUNO  X 2</t>
  </si>
  <si>
    <t>MERPAGO*CAFEMARTINEZ</t>
  </si>
  <si>
    <t>CAFE AEROPUERTO</t>
  </si>
  <si>
    <t>MERPAGO*DRUGSTOREKAPR</t>
  </si>
  <si>
    <t>FAUSTO</t>
  </si>
  <si>
    <t>CAFÉ AEROPUERTO</t>
  </si>
  <si>
    <t>DAZZLER</t>
  </si>
  <si>
    <t>LOBBY BAR SHERATON CLP 9.240,00</t>
  </si>
  <si>
    <t>ERIC KAYSER CLP 6.700,00</t>
  </si>
  <si>
    <t>AREAS S.A CHILE LIMITADA</t>
  </si>
  <si>
    <t>CAFE &amp; BAKERY SCL CLP 23.210,00</t>
  </si>
  <si>
    <t>CAFÉ BAKERY SCL</t>
  </si>
  <si>
    <t>EMPRENDE PLAZA CHILE T2 CLP 20.250,00</t>
  </si>
  <si>
    <t>CARGADOR TIPO C</t>
  </si>
  <si>
    <t>COOPERATIVA OBRERA</t>
  </si>
  <si>
    <t>SUPERMERCADO</t>
  </si>
  <si>
    <t>ALMUERZO GRILLO-PALO-VECK</t>
  </si>
  <si>
    <t>LA LAVANDERIA</t>
  </si>
  <si>
    <t>LAVANDERIA</t>
  </si>
  <si>
    <t>MERPAGO*FARMACIASOTO</t>
  </si>
  <si>
    <t>Market La Plata I</t>
  </si>
  <si>
    <t>MERPAGO*CITYNOTEBOOKS</t>
  </si>
  <si>
    <t>CABEZAL-CABLE</t>
  </si>
  <si>
    <t>ALMUERZO CENA CON CHINO</t>
  </si>
  <si>
    <t>MINISHOP</t>
  </si>
  <si>
    <t>MERCANTE HNOS</t>
  </si>
  <si>
    <t xml:space="preserve">REUNION  </t>
  </si>
  <si>
    <t>REUNION RECTA</t>
  </si>
  <si>
    <t>ISWITCH</t>
  </si>
  <si>
    <t>OPESSA GRAL BELGRA BOX</t>
  </si>
  <si>
    <t>SUPERMERCADO CORDIEZ</t>
  </si>
  <si>
    <t>HIELO + ALMACEN</t>
  </si>
  <si>
    <t>LA PALMERA SRL</t>
  </si>
  <si>
    <t>ESTACION DINKELEY</t>
  </si>
  <si>
    <t>COMBUSTIBLE (RIO IV)</t>
  </si>
  <si>
    <t>YPF MARIJO SA</t>
  </si>
  <si>
    <t>FARMACIA MAZZETTI</t>
  </si>
  <si>
    <t>FARMACIA-FAUSTITO</t>
  </si>
  <si>
    <t>PASAJES (TAGLE-KROSTY-SEGURIDAD)</t>
  </si>
  <si>
    <t xml:space="preserve">PASAJE </t>
  </si>
  <si>
    <t>MERPAGO*20DEJUNIO</t>
  </si>
  <si>
    <t>MERPAGO*COMBUSTIBLE</t>
  </si>
  <si>
    <t xml:space="preserve">COMBUSTIBLE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</si>
</sst>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[$$-2C0A]\ * #,##0.00_-;\-[$$-2C0A]\ * #,##0.00_-;_-[$$-2C0A]\ * &quot;-&quot;??_-;_-@"/>
  </numFmts>
  <fonts count="10">
    <font>
      <sz val="11.0"/>
      <color theme="1"/>
      <name val="Calibri"/>
      <scheme val="minor"/>
    </font>
    <font>
      <sz val="12.0"/>
      <color theme="0"/>
      <name val="Federo"/>
    </font>
    <font/>
    <font>
      <b/>
      <sz val="18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</fills>
  <borders count="7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/>
      <top style="medium">
        <color rgb="FF000000"/>
      </top>
      <bottom style="double">
        <color rgb="FF000000"/>
      </bottom>
    </border>
    <border>
      <left/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/>
      <right/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right" vertical="center"/>
    </xf>
    <xf borderId="5" fillId="0" fontId="2" numFmtId="0" xfId="0" applyBorder="1" applyFont="1"/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3" numFmtId="0" xfId="0" applyAlignment="1" applyBorder="1" applyFont="1">
      <alignment horizontal="right" vertical="center"/>
    </xf>
    <xf borderId="12" fillId="0" fontId="2" numFmtId="0" xfId="0" applyBorder="1" applyFont="1"/>
    <xf borderId="13" fillId="3" fontId="3" numFmtId="0" xfId="0" applyAlignment="1" applyBorder="1" applyFont="1">
      <alignment horizontal="center" vertical="center"/>
    </xf>
    <xf borderId="14" fillId="0" fontId="2" numFmtId="0" xfId="0" applyBorder="1" applyFont="1"/>
    <xf borderId="15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8" fillId="0" fontId="2" numFmtId="0" xfId="0" applyBorder="1" applyFont="1"/>
    <xf borderId="19" fillId="3" fontId="3" numFmtId="164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4" numFmtId="164" xfId="0" applyAlignment="1" applyBorder="1" applyFont="1" applyNumberFormat="1">
      <alignment horizontal="center" vertical="center"/>
    </xf>
    <xf borderId="17" fillId="0" fontId="4" numFmtId="164" xfId="0" applyAlignment="1" applyBorder="1" applyFont="1" applyNumberFormat="1">
      <alignment vertical="center"/>
    </xf>
    <xf borderId="20" fillId="4" fontId="3" numFmtId="0" xfId="0" applyAlignment="1" applyBorder="1" applyFill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0" fontId="4" numFmtId="0" xfId="0" applyAlignment="1" applyBorder="1" applyFont="1">
      <alignment horizontal="center" vertical="center"/>
    </xf>
    <xf borderId="24" fillId="0" fontId="4" numFmtId="164" xfId="0" applyAlignment="1" applyBorder="1" applyFont="1" applyNumberFormat="1">
      <alignment horizontal="center" vertical="center"/>
    </xf>
    <xf borderId="25" fillId="0" fontId="4" numFmtId="164" xfId="0" applyAlignment="1" applyBorder="1" applyFont="1" applyNumberFormat="1">
      <alignment vertical="center"/>
    </xf>
    <xf borderId="26" fillId="0" fontId="2" numFmtId="0" xfId="0" applyBorder="1" applyFont="1"/>
    <xf borderId="27" fillId="0" fontId="2" numFmtId="0" xfId="0" applyBorder="1" applyFont="1"/>
    <xf borderId="28" fillId="0" fontId="4" numFmtId="0" xfId="0" applyAlignment="1" applyBorder="1" applyFont="1">
      <alignment horizontal="center" vertical="center"/>
    </xf>
    <xf borderId="29" fillId="0" fontId="4" numFmtId="164" xfId="0" applyAlignment="1" applyBorder="1" applyFont="1" applyNumberFormat="1">
      <alignment horizontal="center" vertical="center"/>
    </xf>
    <xf borderId="30" fillId="0" fontId="4" numFmtId="164" xfId="0" applyAlignment="1" applyBorder="1" applyFont="1" applyNumberFormat="1">
      <alignment horizontal="center" vertical="center"/>
    </xf>
    <xf borderId="31" fillId="0" fontId="2" numFmtId="0" xfId="0" applyBorder="1" applyFont="1"/>
    <xf borderId="32" fillId="0" fontId="4" numFmtId="0" xfId="0" applyAlignment="1" applyBorder="1" applyFont="1">
      <alignment horizontal="center" vertical="center"/>
    </xf>
    <xf borderId="33" fillId="0" fontId="4" numFmtId="164" xfId="0" applyAlignment="1" applyBorder="1" applyFont="1" applyNumberFormat="1">
      <alignment horizontal="center" vertical="center"/>
    </xf>
    <xf borderId="34" fillId="0" fontId="4" numFmtId="164" xfId="0" applyAlignment="1" applyBorder="1" applyFont="1" applyNumberFormat="1">
      <alignment vertical="center"/>
    </xf>
    <xf borderId="35" fillId="0" fontId="4" numFmtId="0" xfId="0" applyAlignment="1" applyBorder="1" applyFont="1">
      <alignment horizontal="center" vertical="center"/>
    </xf>
    <xf borderId="36" fillId="0" fontId="4" numFmtId="164" xfId="0" applyAlignment="1" applyBorder="1" applyFont="1" applyNumberFormat="1">
      <alignment horizontal="center" vertical="center"/>
    </xf>
    <xf borderId="37" fillId="0" fontId="4" numFmtId="164" xfId="0" applyAlignment="1" applyBorder="1" applyFont="1" applyNumberFormat="1">
      <alignment vertical="center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5" fontId="4" numFmtId="0" xfId="0" applyAlignment="1" applyBorder="1" applyFill="1" applyFont="1">
      <alignment horizontal="center" vertical="center"/>
    </xf>
    <xf borderId="42" fillId="5" fontId="4" numFmtId="0" xfId="0" applyAlignment="1" applyBorder="1" applyFont="1">
      <alignment horizontal="center" vertical="center"/>
    </xf>
    <xf borderId="43" fillId="5" fontId="4" numFmtId="0" xfId="0" applyAlignment="1" applyBorder="1" applyFont="1">
      <alignment horizontal="center" vertical="center"/>
    </xf>
    <xf borderId="44" fillId="3" fontId="5" numFmtId="0" xfId="0" applyAlignment="1" applyBorder="1" applyFont="1">
      <alignment horizontal="center" vertical="center"/>
    </xf>
    <xf borderId="45" fillId="3" fontId="5" numFmtId="0" xfId="0" applyAlignment="1" applyBorder="1" applyFont="1">
      <alignment horizontal="center" vertical="center"/>
    </xf>
    <xf borderId="46" fillId="0" fontId="6" numFmtId="0" xfId="0" applyAlignment="1" applyBorder="1" applyFont="1">
      <alignment horizontal="center" vertical="center"/>
    </xf>
    <xf borderId="47" fillId="0" fontId="7" numFmtId="16" xfId="0" applyAlignment="1" applyBorder="1" applyFont="1" applyNumberFormat="1">
      <alignment horizontal="center"/>
    </xf>
    <xf borderId="47" fillId="0" fontId="7" numFmtId="164" xfId="0" applyAlignment="1" applyBorder="1" applyFont="1" applyNumberFormat="1">
      <alignment horizontal="center"/>
    </xf>
    <xf borderId="47" fillId="0" fontId="8" numFmtId="0" xfId="0" applyAlignment="1" applyBorder="1" applyFont="1">
      <alignment horizontal="center"/>
    </xf>
    <xf borderId="47" fillId="0" fontId="7" numFmtId="0" xfId="0" applyAlignment="1" applyBorder="1" applyFont="1">
      <alignment horizontal="center"/>
    </xf>
    <xf borderId="48" fillId="0" fontId="7" numFmtId="0" xfId="0" applyAlignment="1" applyBorder="1" applyFont="1">
      <alignment horizontal="center"/>
    </xf>
    <xf borderId="49" fillId="0" fontId="2" numFmtId="0" xfId="0" applyBorder="1" applyFont="1"/>
    <xf borderId="50" fillId="0" fontId="7" numFmtId="16" xfId="0" applyAlignment="1" applyBorder="1" applyFont="1" applyNumberFormat="1">
      <alignment horizontal="center"/>
    </xf>
    <xf borderId="50" fillId="0" fontId="7" numFmtId="164" xfId="0" applyAlignment="1" applyBorder="1" applyFont="1" applyNumberFormat="1">
      <alignment horizontal="center"/>
    </xf>
    <xf borderId="50" fillId="0" fontId="8" numFmtId="0" xfId="0" applyAlignment="1" applyBorder="1" applyFont="1">
      <alignment horizontal="center"/>
    </xf>
    <xf borderId="50" fillId="0" fontId="7" numFmtId="0" xfId="0" applyAlignment="1" applyBorder="1" applyFont="1">
      <alignment horizontal="center"/>
    </xf>
    <xf borderId="51" fillId="0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/>
    </xf>
    <xf borderId="17" fillId="0" fontId="7" numFmtId="0" xfId="0" applyAlignment="1" applyBorder="1" applyFont="1">
      <alignment horizontal="center"/>
    </xf>
    <xf borderId="16" fillId="0" fontId="7" numFmtId="164" xfId="0" applyAlignment="1" applyBorder="1" applyFont="1" applyNumberFormat="1">
      <alignment horizontal="center"/>
    </xf>
    <xf borderId="16" fillId="0" fontId="8" numFmtId="0" xfId="0" applyAlignment="1" applyBorder="1" applyFont="1">
      <alignment horizontal="center"/>
    </xf>
    <xf borderId="16" fillId="0" fontId="7" numFmtId="16" xfId="0" applyAlignment="1" applyBorder="1" applyFont="1" applyNumberFormat="1">
      <alignment horizontal="center"/>
    </xf>
    <xf borderId="16" fillId="6" fontId="7" numFmtId="16" xfId="0" applyAlignment="1" applyBorder="1" applyFill="1" applyFont="1" applyNumberFormat="1">
      <alignment horizontal="center"/>
    </xf>
    <xf borderId="16" fillId="6" fontId="7" numFmtId="164" xfId="0" applyAlignment="1" applyBorder="1" applyFont="1" applyNumberFormat="1">
      <alignment horizontal="center"/>
    </xf>
    <xf borderId="16" fillId="6" fontId="8" numFmtId="0" xfId="0" applyAlignment="1" applyBorder="1" applyFont="1">
      <alignment horizontal="center"/>
    </xf>
    <xf borderId="16" fillId="6" fontId="7" numFmtId="0" xfId="0" applyAlignment="1" applyBorder="1" applyFont="1">
      <alignment horizontal="center"/>
    </xf>
    <xf borderId="17" fillId="6" fontId="7" numFmtId="0" xfId="0" applyAlignment="1" applyBorder="1" applyFont="1">
      <alignment horizontal="center"/>
    </xf>
    <xf borderId="16" fillId="7" fontId="7" numFmtId="16" xfId="0" applyAlignment="1" applyBorder="1" applyFill="1" applyFont="1" applyNumberFormat="1">
      <alignment horizontal="center"/>
    </xf>
    <xf borderId="16" fillId="7" fontId="7" numFmtId="164" xfId="0" applyAlignment="1" applyBorder="1" applyFont="1" applyNumberFormat="1">
      <alignment horizontal="center"/>
    </xf>
    <xf borderId="16" fillId="7" fontId="8" numFmtId="0" xfId="0" applyAlignment="1" applyBorder="1" applyFont="1">
      <alignment horizontal="center"/>
    </xf>
    <xf borderId="16" fillId="7" fontId="7" numFmtId="0" xfId="0" applyAlignment="1" applyBorder="1" applyFont="1">
      <alignment horizontal="center"/>
    </xf>
    <xf borderId="17" fillId="7" fontId="7" numFmtId="0" xfId="0" applyAlignment="1" applyBorder="1" applyFont="1">
      <alignment horizontal="center"/>
    </xf>
    <xf borderId="52" fillId="0" fontId="2" numFmtId="0" xfId="0" applyBorder="1" applyFont="1"/>
    <xf borderId="53" fillId="0" fontId="7" numFmtId="0" xfId="0" applyAlignment="1" applyBorder="1" applyFont="1">
      <alignment horizontal="center"/>
    </xf>
    <xf borderId="54" fillId="0" fontId="6" numFmtId="0" xfId="0" applyAlignment="1" applyBorder="1" applyFont="1">
      <alignment horizontal="right"/>
    </xf>
    <xf borderId="55" fillId="0" fontId="2" numFmtId="0" xfId="0" applyBorder="1" applyFont="1"/>
    <xf borderId="56" fillId="0" fontId="7" numFmtId="164" xfId="0" applyAlignment="1" applyBorder="1" applyFont="1" applyNumberFormat="1">
      <alignment horizontal="center"/>
    </xf>
    <xf borderId="2" fillId="0" fontId="8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41" fillId="8" fontId="6" numFmtId="0" xfId="0" applyAlignment="1" applyBorder="1" applyFill="1" applyFont="1">
      <alignment horizontal="center"/>
    </xf>
    <xf borderId="42" fillId="8" fontId="6" numFmtId="0" xfId="0" applyAlignment="1" applyBorder="1" applyFont="1">
      <alignment horizontal="center"/>
    </xf>
    <xf borderId="43" fillId="8" fontId="6" numFmtId="0" xfId="0" applyAlignment="1" applyBorder="1" applyFont="1">
      <alignment horizontal="center"/>
    </xf>
    <xf borderId="16" fillId="9" fontId="7" numFmtId="0" xfId="0" applyAlignment="1" applyBorder="1" applyFill="1" applyFont="1">
      <alignment horizontal="center"/>
    </xf>
    <xf borderId="17" fillId="9" fontId="7" numFmtId="0" xfId="0" applyAlignment="1" applyBorder="1" applyFont="1">
      <alignment horizontal="center"/>
    </xf>
    <xf borderId="16" fillId="0" fontId="7" numFmtId="0" xfId="0" applyAlignment="1" applyBorder="1" applyFont="1">
      <alignment horizontal="center" shrinkToFit="0" wrapText="1"/>
    </xf>
    <xf borderId="57" fillId="0" fontId="7" numFmtId="16" xfId="0" applyAlignment="1" applyBorder="1" applyFont="1" applyNumberFormat="1">
      <alignment horizontal="center"/>
    </xf>
    <xf borderId="57" fillId="0" fontId="7" numFmtId="164" xfId="0" applyAlignment="1" applyBorder="1" applyFont="1" applyNumberFormat="1">
      <alignment horizontal="center"/>
    </xf>
    <xf borderId="57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2" fillId="0" fontId="7" numFmtId="0" xfId="0" applyBorder="1" applyFont="1"/>
    <xf borderId="58" fillId="0" fontId="7" numFmtId="16" xfId="0" applyAlignment="1" applyBorder="1" applyFont="1" applyNumberFormat="1">
      <alignment horizontal="center"/>
    </xf>
    <xf borderId="52" fillId="0" fontId="7" numFmtId="16" xfId="0" applyAlignment="1" applyBorder="1" applyFont="1" applyNumberFormat="1">
      <alignment horizontal="center"/>
    </xf>
    <xf borderId="0" fillId="0" fontId="6" numFmtId="0" xfId="0" applyFont="1"/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47" fillId="6" fontId="7" numFmtId="16" xfId="0" applyAlignment="1" applyBorder="1" applyFont="1" applyNumberFormat="1">
      <alignment horizontal="center"/>
    </xf>
    <xf borderId="47" fillId="6" fontId="7" numFmtId="164" xfId="0" applyAlignment="1" applyBorder="1" applyFont="1" applyNumberFormat="1">
      <alignment horizontal="center"/>
    </xf>
    <xf borderId="47" fillId="6" fontId="8" numFmtId="0" xfId="0" applyAlignment="1" applyBorder="1" applyFont="1">
      <alignment horizontal="center"/>
    </xf>
    <xf borderId="47" fillId="6" fontId="7" numFmtId="0" xfId="0" applyAlignment="1" applyBorder="1" applyFont="1">
      <alignment horizontal="center"/>
    </xf>
    <xf borderId="48" fillId="6" fontId="7" numFmtId="0" xfId="0" applyAlignment="1" applyBorder="1" applyFont="1">
      <alignment horizontal="center"/>
    </xf>
    <xf borderId="59" fillId="6" fontId="7" numFmtId="16" xfId="0" applyAlignment="1" applyBorder="1" applyFont="1" applyNumberFormat="1">
      <alignment horizontal="center"/>
    </xf>
    <xf borderId="59" fillId="6" fontId="7" numFmtId="164" xfId="0" applyAlignment="1" applyBorder="1" applyFont="1" applyNumberFormat="1">
      <alignment horizontal="center"/>
    </xf>
    <xf borderId="59" fillId="6" fontId="8" numFmtId="0" xfId="0" applyAlignment="1" applyBorder="1" applyFont="1">
      <alignment horizontal="center"/>
    </xf>
    <xf borderId="59" fillId="6" fontId="7" numFmtId="0" xfId="0" applyAlignment="1" applyBorder="1" applyFont="1">
      <alignment horizontal="center"/>
    </xf>
    <xf borderId="60" fillId="6" fontId="7" numFmtId="0" xfId="0" applyAlignment="1" applyBorder="1" applyFont="1">
      <alignment horizontal="center"/>
    </xf>
    <xf borderId="53" fillId="6" fontId="7" numFmtId="0" xfId="0" applyAlignment="1" applyBorder="1" applyFont="1">
      <alignment horizontal="center"/>
    </xf>
    <xf borderId="32" fillId="0" fontId="2" numFmtId="0" xfId="0" applyBorder="1" applyFont="1"/>
    <xf borderId="61" fillId="0" fontId="6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/>
    </xf>
    <xf borderId="62" fillId="0" fontId="7" numFmtId="0" xfId="0" applyAlignment="1" applyBorder="1" applyFont="1">
      <alignment horizontal="center"/>
    </xf>
    <xf borderId="54" fillId="5" fontId="4" numFmtId="0" xfId="0" applyAlignment="1" applyBorder="1" applyFont="1">
      <alignment horizontal="center" vertical="center"/>
    </xf>
    <xf borderId="63" fillId="0" fontId="2" numFmtId="0" xfId="0" applyBorder="1" applyFont="1"/>
    <xf borderId="54" fillId="8" fontId="6" numFmtId="0" xfId="0" applyAlignment="1" applyBorder="1" applyFont="1">
      <alignment horizontal="center"/>
    </xf>
    <xf borderId="64" fillId="0" fontId="2" numFmtId="0" xfId="0" applyBorder="1" applyFont="1"/>
    <xf borderId="65" fillId="0" fontId="2" numFmtId="0" xfId="0" applyBorder="1" applyFont="1"/>
    <xf borderId="66" fillId="0" fontId="2" numFmtId="0" xfId="0" applyBorder="1" applyFont="1"/>
    <xf borderId="67" fillId="0" fontId="2" numFmtId="0" xfId="0" applyBorder="1" applyFont="1"/>
    <xf borderId="59" fillId="10" fontId="7" numFmtId="16" xfId="0" applyAlignment="1" applyBorder="1" applyFill="1" applyFont="1" applyNumberFormat="1">
      <alignment horizontal="center"/>
    </xf>
    <xf borderId="59" fillId="10" fontId="7" numFmtId="164" xfId="0" applyAlignment="1" applyBorder="1" applyFont="1" applyNumberFormat="1">
      <alignment horizontal="center"/>
    </xf>
    <xf borderId="59" fillId="10" fontId="8" numFmtId="0" xfId="0" applyAlignment="1" applyBorder="1" applyFont="1">
      <alignment horizontal="center"/>
    </xf>
    <xf borderId="59" fillId="10" fontId="7" numFmtId="0" xfId="0" applyAlignment="1" applyBorder="1" applyFont="1">
      <alignment horizontal="center"/>
    </xf>
    <xf borderId="60" fillId="10" fontId="7" numFmtId="0" xfId="0" applyAlignment="1" applyBorder="1" applyFont="1">
      <alignment horizontal="center"/>
    </xf>
    <xf borderId="59" fillId="6" fontId="8" numFmtId="9" xfId="0" applyAlignment="1" applyBorder="1" applyFont="1" applyNumberFormat="1">
      <alignment horizontal="center"/>
    </xf>
    <xf borderId="16" fillId="10" fontId="7" numFmtId="0" xfId="0" applyAlignment="1" applyBorder="1" applyFont="1">
      <alignment horizontal="center"/>
    </xf>
    <xf borderId="17" fillId="10" fontId="7" numFmtId="0" xfId="0" applyAlignment="1" applyBorder="1" applyFont="1">
      <alignment horizontal="center"/>
    </xf>
    <xf borderId="68" fillId="6" fontId="7" numFmtId="16" xfId="0" applyAlignment="1" applyBorder="1" applyFont="1" applyNumberFormat="1">
      <alignment horizontal="center"/>
    </xf>
    <xf borderId="10" fillId="0" fontId="7" numFmtId="0" xfId="0" applyAlignment="1" applyBorder="1" applyFont="1">
      <alignment horizontal="center"/>
    </xf>
    <xf borderId="16" fillId="0" fontId="8" numFmtId="0" xfId="0" applyBorder="1" applyFont="1"/>
    <xf borderId="69" fillId="0" fontId="7" numFmtId="164" xfId="0" applyAlignment="1" applyBorder="1" applyFont="1" applyNumberFormat="1">
      <alignment horizontal="center"/>
    </xf>
    <xf borderId="0" fillId="0" fontId="9" numFmtId="0" xfId="0" applyFont="1"/>
    <xf borderId="16" fillId="10" fontId="7" numFmtId="164" xfId="0" applyAlignment="1" applyBorder="1" applyFont="1" applyNumberFormat="1">
      <alignment horizontal="center"/>
    </xf>
    <xf borderId="16" fillId="10" fontId="8" numFmtId="0" xfId="0" applyAlignment="1" applyBorder="1" applyFont="1">
      <alignment horizontal="center"/>
    </xf>
    <xf borderId="68" fillId="6" fontId="8" numFmtId="0" xfId="0" applyAlignment="1" applyBorder="1" applyFont="1">
      <alignment horizontal="center" shrinkToFit="0" wrapText="1"/>
    </xf>
    <xf borderId="70" fillId="0" fontId="7" numFmtId="0" xfId="0" applyAlignment="1" applyBorder="1" applyFont="1">
      <alignment horizontal="center"/>
    </xf>
    <xf borderId="47" fillId="6" fontId="8" numFmtId="4" xfId="0" applyAlignment="1" applyBorder="1" applyFont="1" applyNumberFormat="1">
      <alignment horizontal="center"/>
    </xf>
    <xf borderId="71" fillId="0" fontId="8" numFmtId="0" xfId="0" applyAlignment="1" applyBorder="1" applyFont="1">
      <alignment horizontal="center"/>
    </xf>
    <xf borderId="72" fillId="0" fontId="8" numFmtId="0" xfId="0" applyAlignment="1" applyBorder="1" applyFont="1">
      <alignment horizontal="center"/>
    </xf>
    <xf borderId="16" fillId="0" fontId="8" numFmtId="0" xfId="0" applyAlignment="1" applyBorder="1" applyFont="1">
      <alignment horizontal="center" shrinkToFit="0" vertical="center" wrapText="1"/>
    </xf>
    <xf borderId="73" fillId="0" fontId="7" numFmtId="164" xfId="0" applyAlignment="1" applyBorder="1" applyFont="1" applyNumberFormat="1">
      <alignment horizontal="center"/>
    </xf>
    <xf borderId="74" fillId="0" fontId="7" numFmtId="0" xfId="0" applyAlignment="1" applyBorder="1" applyFont="1">
      <alignment horizontal="center"/>
    </xf>
    <xf borderId="16" fillId="0" fontId="8" numFmtId="0" xfId="0" applyAlignment="1" applyBorder="1" applyFont="1">
      <alignment horizontal="center" shrinkToFit="0" wrapText="1"/>
    </xf>
    <xf borderId="71" fillId="0" fontId="7" numFmtId="0" xfId="0" applyAlignment="1" applyBorder="1" applyFont="1">
      <alignment horizontal="center"/>
    </xf>
    <xf borderId="75" fillId="0" fontId="8" numFmtId="0" xfId="0" applyAlignment="1" applyBorder="1" applyFont="1">
      <alignment horizontal="center"/>
    </xf>
    <xf borderId="76" fillId="0" fontId="7" numFmtId="0" xfId="0" applyAlignment="1" applyBorder="1" applyFont="1">
      <alignment horizontal="center"/>
    </xf>
    <xf borderId="77" fillId="0" fontId="7" numFmtId="0" xfId="0" applyAlignment="1" applyBorder="1" applyFont="1">
      <alignment horizontal="center"/>
    </xf>
    <xf borderId="78" fillId="3" fontId="5" numFmtId="0" xfId="0" applyAlignment="1" applyBorder="1" applyFont="1">
      <alignment horizontal="center" vertical="center"/>
    </xf>
    <xf borderId="16" fillId="10" fontId="7" numFmtId="16" xfId="0" applyAlignment="1" applyBorder="1" applyFont="1" applyNumberFormat="1">
      <alignment horizontal="center"/>
    </xf>
    <xf borderId="16" fillId="9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47" fillId="0" fontId="8" numFmtId="4" xfId="0" applyAlignment="1" applyBorder="1" applyFont="1" applyNumberFormat="1">
      <alignment horizontal="center"/>
    </xf>
    <xf borderId="0" fillId="0" fontId="7" numFmtId="4" xfId="0" applyFont="1" applyNumberFormat="1"/>
    <xf borderId="54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62.43"/>
    <col customWidth="1" min="7" max="7" width="11.86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2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8961637.01</v>
      </c>
      <c r="G8" s="14"/>
    </row>
    <row r="9" ht="19.5" customHeight="1">
      <c r="A9" s="20" t="s">
        <v>7</v>
      </c>
      <c r="B9" s="21">
        <f>+C88</f>
        <v>5895304.8</v>
      </c>
      <c r="C9" s="22">
        <f t="shared" ref="C9:C10" si="1">+B9</f>
        <v>5895304.8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+D88</f>
        <v>9.96</v>
      </c>
      <c r="C10" s="28">
        <f t="shared" si="1"/>
        <v>9.96</v>
      </c>
      <c r="D10" s="29"/>
      <c r="G10" s="30"/>
    </row>
    <row r="11" ht="19.5" customHeight="1">
      <c r="A11" s="31" t="s">
        <v>10</v>
      </c>
      <c r="B11" s="32">
        <f>+C90+C91+C92+C93+C94+C97+C100+C101</f>
        <v>281828.47</v>
      </c>
      <c r="C11" s="33">
        <f>SUM(B11:B12)</f>
        <v>721148.47</v>
      </c>
      <c r="D11" s="29"/>
      <c r="G11" s="30"/>
    </row>
    <row r="12" ht="19.5" customHeight="1">
      <c r="A12" s="26" t="s">
        <v>11</v>
      </c>
      <c r="B12" s="27">
        <f>+C102-B11</f>
        <v>439320</v>
      </c>
      <c r="C12" s="34"/>
      <c r="D12" s="29"/>
      <c r="G12" s="30"/>
    </row>
    <row r="13" ht="19.5" customHeight="1">
      <c r="A13" s="31" t="s">
        <v>12</v>
      </c>
      <c r="B13" s="32">
        <v>0.0</v>
      </c>
      <c r="C13" s="33">
        <f>SUM(B13:B14)</f>
        <v>0</v>
      </c>
      <c r="D13" s="29"/>
      <c r="G13" s="30"/>
    </row>
    <row r="14" ht="19.5" customHeight="1">
      <c r="A14" s="26" t="s">
        <v>13</v>
      </c>
      <c r="B14" s="27">
        <v>0.0</v>
      </c>
      <c r="C14" s="34"/>
      <c r="D14" s="29"/>
      <c r="G14" s="30"/>
    </row>
    <row r="15" ht="19.5" customHeight="1">
      <c r="A15" s="35" t="s">
        <v>14</v>
      </c>
      <c r="B15" s="36">
        <f>+C159</f>
        <v>237875</v>
      </c>
      <c r="C15" s="37">
        <f t="shared" ref="C15:C16" si="2">+B15</f>
        <v>237875</v>
      </c>
      <c r="D15" s="29"/>
      <c r="G15" s="30"/>
    </row>
    <row r="16" ht="19.5" customHeight="1">
      <c r="A16" s="38" t="s">
        <v>15</v>
      </c>
      <c r="B16" s="39">
        <f>+C180</f>
        <v>989451.72</v>
      </c>
      <c r="C16" s="40">
        <f t="shared" si="2"/>
        <v>989451.72</v>
      </c>
      <c r="D16" s="41"/>
      <c r="E16" s="42"/>
      <c r="F16" s="42"/>
      <c r="G16" s="43"/>
    </row>
    <row r="17" ht="4.5" customHeight="1">
      <c r="A17" s="44"/>
      <c r="B17" s="45"/>
      <c r="C17" s="45"/>
      <c r="D17" s="45"/>
      <c r="E17" s="45"/>
      <c r="F17" s="45"/>
      <c r="G17" s="46"/>
    </row>
    <row r="18" ht="24.75" customHeight="1">
      <c r="A18" s="47" t="s">
        <v>16</v>
      </c>
      <c r="B18" s="47" t="s">
        <v>17</v>
      </c>
      <c r="C18" s="47" t="s">
        <v>18</v>
      </c>
      <c r="D18" s="47" t="s">
        <v>19</v>
      </c>
      <c r="E18" s="48" t="s">
        <v>20</v>
      </c>
      <c r="F18" s="48" t="s">
        <v>21</v>
      </c>
      <c r="G18" s="48" t="s">
        <v>22</v>
      </c>
    </row>
    <row r="19" ht="19.5" customHeight="1">
      <c r="A19" s="49" t="s">
        <v>23</v>
      </c>
      <c r="B19" s="50">
        <v>45652.0</v>
      </c>
      <c r="C19" s="51">
        <v>59650.0</v>
      </c>
      <c r="D19" s="51"/>
      <c r="E19" s="52" t="s">
        <v>24</v>
      </c>
      <c r="F19" s="53" t="s">
        <v>25</v>
      </c>
      <c r="G19" s="54" t="s">
        <v>26</v>
      </c>
    </row>
    <row r="20" ht="19.5" customHeight="1">
      <c r="A20" s="55"/>
      <c r="B20" s="56">
        <v>45652.0</v>
      </c>
      <c r="C20" s="57">
        <v>163132.2</v>
      </c>
      <c r="D20" s="57"/>
      <c r="E20" s="58" t="s">
        <v>24</v>
      </c>
      <c r="F20" s="59" t="s">
        <v>27</v>
      </c>
      <c r="G20" s="60" t="s">
        <v>26</v>
      </c>
    </row>
    <row r="21" ht="19.5" customHeight="1">
      <c r="A21" s="55"/>
      <c r="B21" s="56">
        <v>45652.0</v>
      </c>
      <c r="C21" s="57">
        <v>122349.15</v>
      </c>
      <c r="D21" s="57"/>
      <c r="E21" s="58" t="s">
        <v>24</v>
      </c>
      <c r="F21" s="59" t="s">
        <v>28</v>
      </c>
      <c r="G21" s="60" t="s">
        <v>26</v>
      </c>
    </row>
    <row r="22" ht="19.5" customHeight="1">
      <c r="A22" s="55"/>
      <c r="B22" s="56">
        <v>45652.0</v>
      </c>
      <c r="C22" s="57">
        <v>13005.0</v>
      </c>
      <c r="D22" s="57"/>
      <c r="E22" s="58" t="s">
        <v>29</v>
      </c>
      <c r="F22" s="59" t="s">
        <v>30</v>
      </c>
      <c r="G22" s="60"/>
    </row>
    <row r="23" ht="19.5" customHeight="1">
      <c r="A23" s="55"/>
      <c r="B23" s="56">
        <v>45653.0</v>
      </c>
      <c r="C23" s="57"/>
      <c r="D23" s="57">
        <v>2.99</v>
      </c>
      <c r="E23" s="58" t="s">
        <v>31</v>
      </c>
      <c r="F23" s="59" t="s">
        <v>32</v>
      </c>
      <c r="G23" s="60" t="s">
        <v>26</v>
      </c>
    </row>
    <row r="24" ht="19.5" customHeight="1">
      <c r="A24" s="55"/>
      <c r="B24" s="56">
        <v>45654.0</v>
      </c>
      <c r="C24" s="57">
        <v>19280.0</v>
      </c>
      <c r="D24" s="57"/>
      <c r="E24" s="58" t="s">
        <v>33</v>
      </c>
      <c r="F24" s="59" t="s">
        <v>30</v>
      </c>
      <c r="G24" s="60"/>
    </row>
    <row r="25" ht="19.5" customHeight="1">
      <c r="A25" s="55"/>
      <c r="B25" s="56">
        <v>45656.0</v>
      </c>
      <c r="C25" s="57">
        <v>88999.96</v>
      </c>
      <c r="D25" s="57"/>
      <c r="E25" s="58" t="s">
        <v>34</v>
      </c>
      <c r="F25" s="59" t="s">
        <v>30</v>
      </c>
      <c r="G25" s="60"/>
    </row>
    <row r="26" ht="19.5" customHeight="1">
      <c r="A26" s="55"/>
      <c r="B26" s="56">
        <v>45656.0</v>
      </c>
      <c r="C26" s="57">
        <v>5050.0</v>
      </c>
      <c r="D26" s="57"/>
      <c r="E26" s="58" t="s">
        <v>33</v>
      </c>
      <c r="F26" s="59" t="s">
        <v>30</v>
      </c>
      <c r="G26" s="60"/>
    </row>
    <row r="27" ht="19.5" customHeight="1">
      <c r="A27" s="55"/>
      <c r="B27" s="56">
        <v>45659.0</v>
      </c>
      <c r="C27" s="57">
        <v>11600.0</v>
      </c>
      <c r="D27" s="57"/>
      <c r="E27" s="58" t="s">
        <v>35</v>
      </c>
      <c r="F27" s="59" t="s">
        <v>30</v>
      </c>
      <c r="G27" s="60"/>
    </row>
    <row r="28" ht="19.5" customHeight="1">
      <c r="A28" s="55"/>
      <c r="B28" s="56">
        <v>45659.0</v>
      </c>
      <c r="C28" s="57">
        <v>14500.0</v>
      </c>
      <c r="D28" s="57"/>
      <c r="E28" s="58" t="s">
        <v>36</v>
      </c>
      <c r="F28" s="59" t="s">
        <v>37</v>
      </c>
      <c r="G28" s="60"/>
    </row>
    <row r="29" ht="19.5" customHeight="1">
      <c r="A29" s="55"/>
      <c r="B29" s="56">
        <v>45660.0</v>
      </c>
      <c r="C29" s="57">
        <v>13408.35</v>
      </c>
      <c r="D29" s="57"/>
      <c r="E29" s="58" t="s">
        <v>38</v>
      </c>
      <c r="F29" s="59" t="s">
        <v>39</v>
      </c>
      <c r="G29" s="60"/>
    </row>
    <row r="30" ht="19.5" customHeight="1">
      <c r="A30" s="55"/>
      <c r="B30" s="56">
        <v>45660.0</v>
      </c>
      <c r="C30" s="57">
        <v>70000.0</v>
      </c>
      <c r="D30" s="57"/>
      <c r="E30" s="58" t="s">
        <v>40</v>
      </c>
      <c r="F30" s="59" t="s">
        <v>41</v>
      </c>
      <c r="G30" s="60"/>
    </row>
    <row r="31" ht="19.5" customHeight="1">
      <c r="A31" s="55"/>
      <c r="B31" s="56">
        <v>45661.0</v>
      </c>
      <c r="C31" s="57">
        <v>9730.0</v>
      </c>
      <c r="D31" s="57"/>
      <c r="E31" s="58" t="s">
        <v>33</v>
      </c>
      <c r="F31" s="59" t="s">
        <v>30</v>
      </c>
      <c r="G31" s="60"/>
    </row>
    <row r="32" ht="19.5" customHeight="1">
      <c r="A32" s="55"/>
      <c r="B32" s="56">
        <v>45661.0</v>
      </c>
      <c r="C32" s="57">
        <v>13010.95</v>
      </c>
      <c r="D32" s="57"/>
      <c r="E32" s="58" t="s">
        <v>34</v>
      </c>
      <c r="F32" s="59" t="s">
        <v>30</v>
      </c>
      <c r="G32" s="60"/>
    </row>
    <row r="33" ht="19.5" customHeight="1">
      <c r="A33" s="55"/>
      <c r="B33" s="56">
        <v>45662.0</v>
      </c>
      <c r="C33" s="57">
        <v>103002.97</v>
      </c>
      <c r="D33" s="57"/>
      <c r="E33" s="58" t="s">
        <v>34</v>
      </c>
      <c r="F33" s="59" t="s">
        <v>30</v>
      </c>
      <c r="G33" s="60"/>
    </row>
    <row r="34" ht="19.5" customHeight="1">
      <c r="A34" s="55"/>
      <c r="B34" s="56">
        <v>45663.0</v>
      </c>
      <c r="C34" s="57">
        <v>24651.0</v>
      </c>
      <c r="D34" s="57"/>
      <c r="E34" s="58" t="s">
        <v>42</v>
      </c>
      <c r="F34" s="59" t="s">
        <v>43</v>
      </c>
      <c r="G34" s="60" t="s">
        <v>44</v>
      </c>
    </row>
    <row r="35" ht="19.5" customHeight="1">
      <c r="A35" s="55"/>
      <c r="B35" s="56">
        <v>45666.0</v>
      </c>
      <c r="C35" s="57">
        <v>12340.0</v>
      </c>
      <c r="D35" s="57"/>
      <c r="E35" s="58" t="s">
        <v>45</v>
      </c>
      <c r="F35" s="61" t="s">
        <v>46</v>
      </c>
      <c r="G35" s="60" t="s">
        <v>26</v>
      </c>
    </row>
    <row r="36" ht="19.5" customHeight="1">
      <c r="A36" s="55"/>
      <c r="B36" s="56">
        <v>45666.0</v>
      </c>
      <c r="C36" s="57">
        <v>20640.0</v>
      </c>
      <c r="D36" s="57"/>
      <c r="E36" s="58" t="s">
        <v>47</v>
      </c>
      <c r="F36" s="61" t="s">
        <v>48</v>
      </c>
      <c r="G36" s="60" t="s">
        <v>26</v>
      </c>
    </row>
    <row r="37" ht="19.5" customHeight="1">
      <c r="A37" s="55"/>
      <c r="B37" s="56">
        <v>45666.0</v>
      </c>
      <c r="C37" s="57">
        <v>6670.0</v>
      </c>
      <c r="D37" s="57"/>
      <c r="E37" s="58" t="s">
        <v>49</v>
      </c>
      <c r="F37" s="61" t="s">
        <v>50</v>
      </c>
      <c r="G37" s="60" t="s">
        <v>26</v>
      </c>
    </row>
    <row r="38" ht="19.5" customHeight="1">
      <c r="A38" s="55"/>
      <c r="B38" s="56">
        <v>45666.0</v>
      </c>
      <c r="C38" s="57">
        <v>17200.0</v>
      </c>
      <c r="D38" s="57"/>
      <c r="E38" s="58" t="s">
        <v>51</v>
      </c>
      <c r="F38" s="61" t="s">
        <v>52</v>
      </c>
      <c r="G38" s="60" t="s">
        <v>53</v>
      </c>
    </row>
    <row r="39" ht="19.5" customHeight="1">
      <c r="A39" s="55"/>
      <c r="B39" s="56">
        <v>45666.0</v>
      </c>
      <c r="C39" s="57"/>
      <c r="D39" s="57">
        <v>1.99</v>
      </c>
      <c r="E39" s="58" t="s">
        <v>54</v>
      </c>
      <c r="F39" s="61" t="s">
        <v>55</v>
      </c>
      <c r="G39" s="62" t="s">
        <v>26</v>
      </c>
    </row>
    <row r="40" ht="19.5" customHeight="1">
      <c r="A40" s="55"/>
      <c r="B40" s="56">
        <v>45667.0</v>
      </c>
      <c r="C40" s="57">
        <v>5530.0</v>
      </c>
      <c r="D40" s="57"/>
      <c r="E40" s="58" t="s">
        <v>33</v>
      </c>
      <c r="F40" s="59" t="s">
        <v>30</v>
      </c>
      <c r="G40" s="60"/>
    </row>
    <row r="41" ht="19.5" customHeight="1">
      <c r="A41" s="55"/>
      <c r="B41" s="56">
        <v>45669.0</v>
      </c>
      <c r="C41" s="57">
        <v>105000.02</v>
      </c>
      <c r="D41" s="57"/>
      <c r="E41" s="58" t="s">
        <v>34</v>
      </c>
      <c r="F41" s="59" t="s">
        <v>30</v>
      </c>
      <c r="G41" s="60"/>
    </row>
    <row r="42" ht="19.5" customHeight="1">
      <c r="A42" s="55"/>
      <c r="B42" s="56">
        <v>45669.0</v>
      </c>
      <c r="C42" s="57">
        <v>12170.0</v>
      </c>
      <c r="D42" s="57"/>
      <c r="E42" s="58" t="s">
        <v>56</v>
      </c>
      <c r="F42" s="59" t="s">
        <v>57</v>
      </c>
      <c r="G42" s="60" t="s">
        <v>26</v>
      </c>
    </row>
    <row r="43" ht="19.5" customHeight="1">
      <c r="A43" s="55"/>
      <c r="B43" s="56">
        <v>45670.0</v>
      </c>
      <c r="C43" s="57">
        <v>253696.24</v>
      </c>
      <c r="D43" s="57"/>
      <c r="E43" s="58" t="s">
        <v>58</v>
      </c>
      <c r="F43" s="61" t="s">
        <v>59</v>
      </c>
      <c r="G43" s="62" t="s">
        <v>26</v>
      </c>
    </row>
    <row r="44" ht="19.5" customHeight="1">
      <c r="A44" s="55"/>
      <c r="B44" s="56">
        <v>45671.0</v>
      </c>
      <c r="C44" s="57">
        <v>37343.0</v>
      </c>
      <c r="D44" s="57"/>
      <c r="E44" s="58" t="s">
        <v>24</v>
      </c>
      <c r="F44" s="61" t="s">
        <v>60</v>
      </c>
      <c r="G44" s="62" t="s">
        <v>26</v>
      </c>
    </row>
    <row r="45" ht="19.5" customHeight="1">
      <c r="A45" s="55"/>
      <c r="B45" s="56">
        <v>45671.0</v>
      </c>
      <c r="C45" s="57">
        <v>66804.86</v>
      </c>
      <c r="D45" s="57"/>
      <c r="E45" s="58" t="s">
        <v>61</v>
      </c>
      <c r="F45" s="61" t="s">
        <v>30</v>
      </c>
      <c r="G45" s="62"/>
    </row>
    <row r="46" ht="19.5" customHeight="1">
      <c r="A46" s="55"/>
      <c r="B46" s="56">
        <v>45671.0</v>
      </c>
      <c r="C46" s="57">
        <v>58999.94</v>
      </c>
      <c r="D46" s="57"/>
      <c r="E46" s="58" t="s">
        <v>62</v>
      </c>
      <c r="F46" s="59" t="s">
        <v>30</v>
      </c>
      <c r="G46" s="60"/>
    </row>
    <row r="47" ht="19.5" customHeight="1">
      <c r="A47" s="55"/>
      <c r="B47" s="56">
        <v>45671.0</v>
      </c>
      <c r="C47" s="57">
        <v>70005.93</v>
      </c>
      <c r="D47" s="57"/>
      <c r="E47" s="58" t="s">
        <v>62</v>
      </c>
      <c r="F47" s="61" t="s">
        <v>30</v>
      </c>
      <c r="G47" s="62"/>
    </row>
    <row r="48" ht="19.5" customHeight="1">
      <c r="A48" s="55"/>
      <c r="B48" s="56">
        <v>45671.0</v>
      </c>
      <c r="C48" s="57">
        <v>5950.0</v>
      </c>
      <c r="D48" s="57"/>
      <c r="E48" s="58" t="s">
        <v>63</v>
      </c>
      <c r="F48" s="59" t="s">
        <v>30</v>
      </c>
      <c r="G48" s="60"/>
    </row>
    <row r="49" ht="19.5" customHeight="1">
      <c r="A49" s="55"/>
      <c r="B49" s="56">
        <v>45671.0</v>
      </c>
      <c r="C49" s="63">
        <v>363369.0</v>
      </c>
      <c r="D49" s="63"/>
      <c r="E49" s="64" t="s">
        <v>64</v>
      </c>
      <c r="F49" s="61" t="s">
        <v>65</v>
      </c>
      <c r="G49" s="62" t="s">
        <v>26</v>
      </c>
    </row>
    <row r="50" ht="19.5" customHeight="1">
      <c r="A50" s="55"/>
      <c r="B50" s="56">
        <v>45671.0</v>
      </c>
      <c r="C50" s="63">
        <v>384720.0</v>
      </c>
      <c r="D50" s="63"/>
      <c r="E50" s="64" t="s">
        <v>66</v>
      </c>
      <c r="F50" s="61" t="s">
        <v>67</v>
      </c>
      <c r="G50" s="62" t="s">
        <v>26</v>
      </c>
    </row>
    <row r="51" ht="19.5" customHeight="1">
      <c r="A51" s="55"/>
      <c r="B51" s="56">
        <v>45672.0</v>
      </c>
      <c r="C51" s="63">
        <v>86367.0</v>
      </c>
      <c r="D51" s="63"/>
      <c r="E51" s="64" t="s">
        <v>68</v>
      </c>
      <c r="F51" s="61" t="s">
        <v>69</v>
      </c>
      <c r="G51" s="62" t="s">
        <v>26</v>
      </c>
    </row>
    <row r="52" ht="19.5" customHeight="1">
      <c r="A52" s="55"/>
      <c r="B52" s="56">
        <v>45672.0</v>
      </c>
      <c r="C52" s="63">
        <v>15658.68</v>
      </c>
      <c r="D52" s="63"/>
      <c r="E52" s="64" t="s">
        <v>70</v>
      </c>
      <c r="F52" s="61" t="s">
        <v>71</v>
      </c>
      <c r="G52" s="62" t="s">
        <v>26</v>
      </c>
    </row>
    <row r="53" ht="19.5" customHeight="1">
      <c r="A53" s="55"/>
      <c r="B53" s="56">
        <v>45672.0</v>
      </c>
      <c r="C53" s="63">
        <v>16311.0</v>
      </c>
      <c r="D53" s="63"/>
      <c r="E53" s="64" t="s">
        <v>72</v>
      </c>
      <c r="F53" s="61" t="s">
        <v>73</v>
      </c>
      <c r="G53" s="62" t="s">
        <v>26</v>
      </c>
    </row>
    <row r="54" ht="19.5" customHeight="1">
      <c r="A54" s="55"/>
      <c r="B54" s="56">
        <v>45672.0</v>
      </c>
      <c r="C54" s="63">
        <v>14971.0</v>
      </c>
      <c r="D54" s="63"/>
      <c r="E54" s="64" t="s">
        <v>74</v>
      </c>
      <c r="F54" s="61" t="s">
        <v>75</v>
      </c>
      <c r="G54" s="62" t="s">
        <v>26</v>
      </c>
    </row>
    <row r="55" ht="19.5" customHeight="1">
      <c r="A55" s="55"/>
      <c r="B55" s="56">
        <v>45672.0</v>
      </c>
      <c r="C55" s="63">
        <v>15648.0</v>
      </c>
      <c r="D55" s="63"/>
      <c r="E55" s="64" t="s">
        <v>76</v>
      </c>
      <c r="F55" s="61" t="s">
        <v>77</v>
      </c>
      <c r="G55" s="62" t="s">
        <v>26</v>
      </c>
    </row>
    <row r="56" ht="19.5" customHeight="1">
      <c r="A56" s="55"/>
      <c r="B56" s="56">
        <v>45672.0</v>
      </c>
      <c r="C56" s="63">
        <v>16311.0</v>
      </c>
      <c r="D56" s="63"/>
      <c r="E56" s="64" t="s">
        <v>78</v>
      </c>
      <c r="F56" s="61" t="s">
        <v>79</v>
      </c>
      <c r="G56" s="62" t="s">
        <v>26</v>
      </c>
    </row>
    <row r="57" ht="19.5" customHeight="1">
      <c r="A57" s="55"/>
      <c r="B57" s="65">
        <v>45673.0</v>
      </c>
      <c r="C57" s="63">
        <v>54502.98</v>
      </c>
      <c r="D57" s="63"/>
      <c r="E57" s="64" t="s">
        <v>34</v>
      </c>
      <c r="F57" s="61" t="s">
        <v>30</v>
      </c>
      <c r="G57" s="62"/>
    </row>
    <row r="58" ht="19.5" customHeight="1">
      <c r="A58" s="55"/>
      <c r="B58" s="66">
        <v>45673.0</v>
      </c>
      <c r="C58" s="67">
        <v>9239.0</v>
      </c>
      <c r="D58" s="67"/>
      <c r="E58" s="68" t="s">
        <v>80</v>
      </c>
      <c r="F58" s="69"/>
      <c r="G58" s="70"/>
    </row>
    <row r="59" ht="19.5" customHeight="1">
      <c r="A59" s="55"/>
      <c r="B59" s="65">
        <v>45673.0</v>
      </c>
      <c r="C59" s="63">
        <v>11610.0</v>
      </c>
      <c r="D59" s="63"/>
      <c r="E59" s="64" t="s">
        <v>29</v>
      </c>
      <c r="F59" s="61" t="s">
        <v>30</v>
      </c>
      <c r="G59" s="62"/>
    </row>
    <row r="60" ht="19.5" customHeight="1">
      <c r="A60" s="55"/>
      <c r="B60" s="66">
        <v>45673.0</v>
      </c>
      <c r="C60" s="67">
        <v>8087.3</v>
      </c>
      <c r="D60" s="67"/>
      <c r="E60" s="68" t="s">
        <v>81</v>
      </c>
      <c r="F60" s="69"/>
      <c r="G60" s="70"/>
    </row>
    <row r="61" ht="19.5" customHeight="1">
      <c r="A61" s="55"/>
      <c r="B61" s="66">
        <v>45673.0</v>
      </c>
      <c r="C61" s="67">
        <v>18413.3</v>
      </c>
      <c r="D61" s="67"/>
      <c r="E61" s="68" t="s">
        <v>81</v>
      </c>
      <c r="F61" s="69"/>
      <c r="G61" s="70"/>
    </row>
    <row r="62" ht="19.5" customHeight="1">
      <c r="A62" s="55"/>
      <c r="B62" s="66">
        <v>45673.0</v>
      </c>
      <c r="C62" s="67">
        <v>21019.0</v>
      </c>
      <c r="D62" s="67"/>
      <c r="E62" s="68" t="s">
        <v>81</v>
      </c>
      <c r="F62" s="69"/>
      <c r="G62" s="70"/>
    </row>
    <row r="63" ht="19.5" customHeight="1">
      <c r="A63" s="55"/>
      <c r="B63" s="71">
        <v>45674.0</v>
      </c>
      <c r="C63" s="72">
        <v>36616.69</v>
      </c>
      <c r="D63" s="72"/>
      <c r="E63" s="73" t="s">
        <v>82</v>
      </c>
      <c r="F63" s="74"/>
      <c r="G63" s="75"/>
    </row>
    <row r="64" ht="19.5" customHeight="1">
      <c r="A64" s="55"/>
      <c r="B64" s="65">
        <v>45675.0</v>
      </c>
      <c r="C64" s="63">
        <v>83674.0</v>
      </c>
      <c r="D64" s="63"/>
      <c r="E64" s="64" t="s">
        <v>24</v>
      </c>
      <c r="F64" s="61" t="s">
        <v>83</v>
      </c>
      <c r="G64" s="62" t="s">
        <v>26</v>
      </c>
    </row>
    <row r="65" ht="19.5" customHeight="1">
      <c r="A65" s="55"/>
      <c r="B65" s="65">
        <v>45677.0</v>
      </c>
      <c r="C65" s="63">
        <v>60000.0</v>
      </c>
      <c r="D65" s="63"/>
      <c r="E65" s="64" t="s">
        <v>84</v>
      </c>
      <c r="F65" s="61" t="s">
        <v>85</v>
      </c>
      <c r="G65" s="62" t="s">
        <v>26</v>
      </c>
    </row>
    <row r="66" ht="19.5" customHeight="1">
      <c r="A66" s="55"/>
      <c r="B66" s="65">
        <v>45677.0</v>
      </c>
      <c r="C66" s="63">
        <v>49220.0</v>
      </c>
      <c r="D66" s="63"/>
      <c r="E66" s="64" t="s">
        <v>24</v>
      </c>
      <c r="F66" s="61" t="s">
        <v>86</v>
      </c>
      <c r="G66" s="62" t="s">
        <v>26</v>
      </c>
    </row>
    <row r="67" ht="19.5" customHeight="1">
      <c r="A67" s="55"/>
      <c r="B67" s="65">
        <v>45677.0</v>
      </c>
      <c r="C67" s="63"/>
      <c r="D67" s="63">
        <v>1.99</v>
      </c>
      <c r="E67" s="64" t="s">
        <v>87</v>
      </c>
      <c r="F67" s="61" t="s">
        <v>55</v>
      </c>
      <c r="G67" s="62" t="s">
        <v>26</v>
      </c>
    </row>
    <row r="68" ht="19.5" customHeight="1">
      <c r="A68" s="55"/>
      <c r="B68" s="65">
        <v>45678.0</v>
      </c>
      <c r="C68" s="63">
        <v>45740.0</v>
      </c>
      <c r="D68" s="63"/>
      <c r="E68" s="64" t="s">
        <v>24</v>
      </c>
      <c r="F68" s="61" t="s">
        <v>88</v>
      </c>
      <c r="G68" s="62" t="s">
        <v>26</v>
      </c>
    </row>
    <row r="69" ht="19.5" customHeight="1">
      <c r="A69" s="55"/>
      <c r="B69" s="65">
        <v>45678.0</v>
      </c>
      <c r="C69" s="63">
        <v>32900.0</v>
      </c>
      <c r="D69" s="63"/>
      <c r="E69" s="64" t="s">
        <v>24</v>
      </c>
      <c r="F69" s="61" t="s">
        <v>89</v>
      </c>
      <c r="G69" s="62" t="s">
        <v>26</v>
      </c>
    </row>
    <row r="70" ht="19.5" customHeight="1">
      <c r="A70" s="55"/>
      <c r="B70" s="65">
        <v>45678.0</v>
      </c>
      <c r="C70" s="63">
        <v>143781.25</v>
      </c>
      <c r="D70" s="63"/>
      <c r="E70" s="64" t="s">
        <v>24</v>
      </c>
      <c r="F70" s="61" t="s">
        <v>90</v>
      </c>
      <c r="G70" s="62" t="s">
        <v>26</v>
      </c>
    </row>
    <row r="71" ht="19.5" customHeight="1">
      <c r="A71" s="55"/>
      <c r="B71" s="65">
        <v>45678.0</v>
      </c>
      <c r="C71" s="63">
        <v>115025.0</v>
      </c>
      <c r="D71" s="63"/>
      <c r="E71" s="64" t="s">
        <v>24</v>
      </c>
      <c r="F71" s="61" t="s">
        <v>91</v>
      </c>
      <c r="G71" s="62" t="s">
        <v>26</v>
      </c>
    </row>
    <row r="72" ht="19.5" customHeight="1">
      <c r="A72" s="55"/>
      <c r="B72" s="65">
        <v>45678.0</v>
      </c>
      <c r="C72" s="63">
        <v>1493309.54</v>
      </c>
      <c r="D72" s="63"/>
      <c r="E72" s="64" t="s">
        <v>92</v>
      </c>
      <c r="F72" s="61" t="s">
        <v>93</v>
      </c>
      <c r="G72" s="62" t="s">
        <v>26</v>
      </c>
    </row>
    <row r="73" ht="19.5" customHeight="1">
      <c r="A73" s="55"/>
      <c r="B73" s="65">
        <v>45679.0</v>
      </c>
      <c r="C73" s="63">
        <v>120000.0</v>
      </c>
      <c r="D73" s="63"/>
      <c r="E73" s="64" t="s">
        <v>94</v>
      </c>
      <c r="F73" s="61" t="s">
        <v>95</v>
      </c>
      <c r="G73" s="62" t="s">
        <v>26</v>
      </c>
    </row>
    <row r="74" ht="19.5" customHeight="1">
      <c r="A74" s="55"/>
      <c r="B74" s="65">
        <v>45679.0</v>
      </c>
      <c r="C74" s="63">
        <v>135000.0</v>
      </c>
      <c r="D74" s="63"/>
      <c r="E74" s="64" t="s">
        <v>84</v>
      </c>
      <c r="F74" s="61" t="s">
        <v>96</v>
      </c>
      <c r="G74" s="62" t="s">
        <v>26</v>
      </c>
    </row>
    <row r="75" ht="19.5" customHeight="1">
      <c r="A75" s="55"/>
      <c r="B75" s="65">
        <v>45679.0</v>
      </c>
      <c r="C75" s="63">
        <v>120000.0</v>
      </c>
      <c r="D75" s="63"/>
      <c r="E75" s="64" t="s">
        <v>84</v>
      </c>
      <c r="F75" s="61" t="s">
        <v>97</v>
      </c>
      <c r="G75" s="62" t="s">
        <v>26</v>
      </c>
    </row>
    <row r="76" ht="19.5" customHeight="1">
      <c r="A76" s="55"/>
      <c r="B76" s="65">
        <v>45679.0</v>
      </c>
      <c r="C76" s="63">
        <v>32100.0</v>
      </c>
      <c r="D76" s="63"/>
      <c r="E76" s="64" t="s">
        <v>24</v>
      </c>
      <c r="F76" s="61" t="s">
        <v>98</v>
      </c>
      <c r="G76" s="62" t="s">
        <v>26</v>
      </c>
    </row>
    <row r="77" ht="19.5" customHeight="1">
      <c r="A77" s="55"/>
      <c r="B77" s="66">
        <v>45680.0</v>
      </c>
      <c r="C77" s="67">
        <v>13958.0</v>
      </c>
      <c r="D77" s="67"/>
      <c r="E77" s="68" t="s">
        <v>99</v>
      </c>
      <c r="F77" s="69"/>
      <c r="G77" s="70"/>
    </row>
    <row r="78" ht="19.5" customHeight="1">
      <c r="A78" s="55"/>
      <c r="B78" s="65">
        <v>45681.0</v>
      </c>
      <c r="C78" s="63">
        <v>116146.0</v>
      </c>
      <c r="D78" s="63"/>
      <c r="E78" s="64" t="s">
        <v>24</v>
      </c>
      <c r="F78" s="61" t="s">
        <v>100</v>
      </c>
      <c r="G78" s="62" t="s">
        <v>26</v>
      </c>
    </row>
    <row r="79" ht="19.5" customHeight="1">
      <c r="A79" s="55"/>
      <c r="B79" s="65">
        <v>45681.0</v>
      </c>
      <c r="C79" s="63">
        <v>14070.5</v>
      </c>
      <c r="D79" s="63"/>
      <c r="E79" s="64" t="s">
        <v>24</v>
      </c>
      <c r="F79" s="61" t="s">
        <v>101</v>
      </c>
      <c r="G79" s="62" t="s">
        <v>26</v>
      </c>
    </row>
    <row r="80" ht="19.5" customHeight="1">
      <c r="A80" s="55"/>
      <c r="B80" s="65">
        <v>45684.0</v>
      </c>
      <c r="C80" s="63">
        <v>77040.0</v>
      </c>
      <c r="D80" s="63"/>
      <c r="E80" s="64" t="s">
        <v>24</v>
      </c>
      <c r="F80" s="61" t="s">
        <v>102</v>
      </c>
      <c r="G80" s="62" t="s">
        <v>26</v>
      </c>
    </row>
    <row r="81" ht="19.5" customHeight="1">
      <c r="A81" s="55"/>
      <c r="B81" s="65">
        <v>45684.0</v>
      </c>
      <c r="C81" s="63">
        <v>538003.99</v>
      </c>
      <c r="D81" s="63"/>
      <c r="E81" s="64" t="s">
        <v>103</v>
      </c>
      <c r="F81" s="61" t="s">
        <v>104</v>
      </c>
      <c r="G81" s="62" t="s">
        <v>26</v>
      </c>
    </row>
    <row r="82" ht="19.5" customHeight="1">
      <c r="A82" s="55"/>
      <c r="B82" s="65">
        <v>45684.0</v>
      </c>
      <c r="C82" s="63"/>
      <c r="D82" s="63">
        <v>2.99</v>
      </c>
      <c r="E82" s="64" t="s">
        <v>105</v>
      </c>
      <c r="F82" s="61" t="s">
        <v>32</v>
      </c>
      <c r="G82" s="62" t="s">
        <v>26</v>
      </c>
    </row>
    <row r="83" ht="19.5" customHeight="1">
      <c r="A83" s="55"/>
      <c r="B83" s="65">
        <v>45685.0</v>
      </c>
      <c r="C83" s="63">
        <v>-8547.5</v>
      </c>
      <c r="D83" s="63"/>
      <c r="E83" s="64" t="s">
        <v>24</v>
      </c>
      <c r="F83" s="59" t="s">
        <v>106</v>
      </c>
      <c r="G83" s="62" t="s">
        <v>26</v>
      </c>
    </row>
    <row r="84" ht="19.5" customHeight="1">
      <c r="A84" s="55"/>
      <c r="B84" s="65">
        <v>45686.0</v>
      </c>
      <c r="C84" s="63">
        <v>121600.0</v>
      </c>
      <c r="D84" s="63"/>
      <c r="E84" s="64" t="s">
        <v>84</v>
      </c>
      <c r="F84" s="61" t="s">
        <v>107</v>
      </c>
      <c r="G84" s="62" t="s">
        <v>26</v>
      </c>
    </row>
    <row r="85" ht="19.5" customHeight="1">
      <c r="A85" s="55"/>
      <c r="B85" s="65">
        <v>45686.0</v>
      </c>
      <c r="C85" s="63">
        <v>38520.0</v>
      </c>
      <c r="D85" s="63"/>
      <c r="E85" s="64" t="s">
        <v>24</v>
      </c>
      <c r="F85" s="61" t="s">
        <v>108</v>
      </c>
      <c r="G85" s="62" t="s">
        <v>26</v>
      </c>
    </row>
    <row r="86" ht="19.5" customHeight="1">
      <c r="A86" s="55"/>
      <c r="B86" s="65">
        <v>45686.0</v>
      </c>
      <c r="C86" s="63">
        <v>63130.0</v>
      </c>
      <c r="D86" s="63"/>
      <c r="E86" s="64" t="s">
        <v>24</v>
      </c>
      <c r="F86" s="61" t="s">
        <v>109</v>
      </c>
      <c r="G86" s="62" t="s">
        <v>26</v>
      </c>
    </row>
    <row r="87" ht="19.5" customHeight="1">
      <c r="A87" s="76"/>
      <c r="B87" s="65">
        <v>45686.0</v>
      </c>
      <c r="C87" s="63">
        <v>14070.5</v>
      </c>
      <c r="D87" s="63"/>
      <c r="E87" s="64" t="s">
        <v>24</v>
      </c>
      <c r="F87" s="61" t="s">
        <v>110</v>
      </c>
      <c r="G87" s="77" t="s">
        <v>26</v>
      </c>
    </row>
    <row r="88" ht="30.0" customHeight="1">
      <c r="A88" s="78" t="s">
        <v>111</v>
      </c>
      <c r="B88" s="79"/>
      <c r="C88" s="80">
        <f t="shared" ref="C88:D88" si="3">SUM(C19:C87)</f>
        <v>5895304.8</v>
      </c>
      <c r="D88" s="80">
        <f t="shared" si="3"/>
        <v>9.96</v>
      </c>
      <c r="E88" s="81"/>
      <c r="F88" s="82"/>
    </row>
    <row r="89" ht="4.5" customHeight="1">
      <c r="A89" s="83"/>
      <c r="B89" s="84"/>
      <c r="C89" s="84"/>
      <c r="D89" s="84"/>
      <c r="E89" s="84"/>
      <c r="F89" s="84"/>
      <c r="G89" s="85"/>
    </row>
    <row r="90" ht="19.5" customHeight="1">
      <c r="A90" s="49" t="s">
        <v>112</v>
      </c>
      <c r="B90" s="65">
        <v>45652.0</v>
      </c>
      <c r="C90" s="63">
        <v>19007.18</v>
      </c>
      <c r="D90" s="51"/>
      <c r="E90" s="64" t="s">
        <v>113</v>
      </c>
      <c r="F90" s="61" t="s">
        <v>114</v>
      </c>
      <c r="G90" s="62" t="s">
        <v>44</v>
      </c>
    </row>
    <row r="91" ht="19.5" customHeight="1">
      <c r="A91" s="55"/>
      <c r="B91" s="65">
        <v>45657.0</v>
      </c>
      <c r="C91" s="63">
        <v>8666.68</v>
      </c>
      <c r="D91" s="57"/>
      <c r="E91" s="64" t="s">
        <v>115</v>
      </c>
      <c r="F91" s="61" t="s">
        <v>114</v>
      </c>
      <c r="G91" s="62" t="s">
        <v>44</v>
      </c>
    </row>
    <row r="92" ht="19.5" customHeight="1">
      <c r="A92" s="55"/>
      <c r="B92" s="65">
        <v>45657.0</v>
      </c>
      <c r="C92" s="63">
        <v>82626.28</v>
      </c>
      <c r="D92" s="57"/>
      <c r="E92" s="64" t="s">
        <v>116</v>
      </c>
      <c r="F92" s="61" t="s">
        <v>114</v>
      </c>
      <c r="G92" s="62" t="s">
        <v>44</v>
      </c>
    </row>
    <row r="93" ht="19.5" customHeight="1">
      <c r="A93" s="55"/>
      <c r="B93" s="65">
        <v>45659.0</v>
      </c>
      <c r="C93" s="63">
        <v>20000.0</v>
      </c>
      <c r="D93" s="57"/>
      <c r="E93" s="64" t="s">
        <v>117</v>
      </c>
      <c r="F93" s="61" t="s">
        <v>118</v>
      </c>
      <c r="G93" s="62" t="s">
        <v>44</v>
      </c>
    </row>
    <row r="94" ht="19.5" customHeight="1">
      <c r="A94" s="55"/>
      <c r="B94" s="65">
        <v>45662.0</v>
      </c>
      <c r="C94" s="63">
        <v>55300.04</v>
      </c>
      <c r="D94" s="57"/>
      <c r="E94" s="64" t="s">
        <v>119</v>
      </c>
      <c r="F94" s="61" t="s">
        <v>114</v>
      </c>
      <c r="G94" s="62" t="s">
        <v>44</v>
      </c>
    </row>
    <row r="95" ht="19.5" customHeight="1">
      <c r="A95" s="55"/>
      <c r="B95" s="65">
        <v>45665.0</v>
      </c>
      <c r="C95" s="63">
        <v>35000.0</v>
      </c>
      <c r="D95" s="57"/>
      <c r="E95" s="64" t="s">
        <v>120</v>
      </c>
      <c r="F95" s="61" t="s">
        <v>121</v>
      </c>
      <c r="G95" s="62" t="s">
        <v>26</v>
      </c>
    </row>
    <row r="96" ht="19.5" customHeight="1">
      <c r="A96" s="55"/>
      <c r="B96" s="65">
        <v>45672.0</v>
      </c>
      <c r="C96" s="63">
        <v>100000.0</v>
      </c>
      <c r="D96" s="57"/>
      <c r="E96" s="64" t="s">
        <v>120</v>
      </c>
      <c r="F96" s="61" t="s">
        <v>122</v>
      </c>
      <c r="G96" s="62" t="s">
        <v>26</v>
      </c>
    </row>
    <row r="97" ht="19.5" customHeight="1">
      <c r="A97" s="55"/>
      <c r="B97" s="65">
        <v>45673.0</v>
      </c>
      <c r="C97" s="63">
        <v>20000.0</v>
      </c>
      <c r="D97" s="57"/>
      <c r="E97" s="64" t="s">
        <v>117</v>
      </c>
      <c r="F97" s="61" t="s">
        <v>118</v>
      </c>
      <c r="G97" s="62" t="s">
        <v>44</v>
      </c>
    </row>
    <row r="98" ht="19.5" customHeight="1">
      <c r="A98" s="55"/>
      <c r="B98" s="65">
        <v>45677.0</v>
      </c>
      <c r="C98" s="63">
        <v>280000.0</v>
      </c>
      <c r="D98" s="57"/>
      <c r="E98" s="64" t="s">
        <v>120</v>
      </c>
      <c r="F98" s="61" t="s">
        <v>123</v>
      </c>
      <c r="G98" s="62" t="s">
        <v>26</v>
      </c>
    </row>
    <row r="99" ht="19.5" customHeight="1">
      <c r="A99" s="55"/>
      <c r="B99" s="65">
        <v>45678.0</v>
      </c>
      <c r="C99" s="63">
        <v>24320.0</v>
      </c>
      <c r="D99" s="63"/>
      <c r="E99" s="64" t="s">
        <v>120</v>
      </c>
      <c r="F99" s="61" t="s">
        <v>124</v>
      </c>
      <c r="G99" s="62" t="s">
        <v>26</v>
      </c>
    </row>
    <row r="100" ht="19.5" customHeight="1">
      <c r="A100" s="55"/>
      <c r="B100" s="65">
        <v>45680.0</v>
      </c>
      <c r="C100" s="63">
        <v>59450.42</v>
      </c>
      <c r="D100" s="63"/>
      <c r="E100" s="64" t="s">
        <v>119</v>
      </c>
      <c r="F100" s="61" t="s">
        <v>114</v>
      </c>
      <c r="G100" s="62" t="s">
        <v>44</v>
      </c>
    </row>
    <row r="101" ht="19.5" customHeight="1">
      <c r="A101" s="55"/>
      <c r="B101" s="65">
        <v>45686.0</v>
      </c>
      <c r="C101" s="63">
        <v>16777.87</v>
      </c>
      <c r="D101" s="63"/>
      <c r="E101" s="64" t="s">
        <v>119</v>
      </c>
      <c r="F101" s="61" t="s">
        <v>114</v>
      </c>
      <c r="G101" s="77" t="s">
        <v>44</v>
      </c>
    </row>
    <row r="102" ht="30.0" customHeight="1">
      <c r="A102" s="78" t="s">
        <v>111</v>
      </c>
      <c r="B102" s="79"/>
      <c r="C102" s="80">
        <f t="shared" ref="C102:D102" si="4">SUM(C90:C101)</f>
        <v>721148.47</v>
      </c>
      <c r="D102" s="80">
        <f t="shared" si="4"/>
        <v>0</v>
      </c>
      <c r="E102" s="81"/>
      <c r="F102" s="82"/>
    </row>
    <row r="103" ht="4.5" customHeight="1">
      <c r="A103" s="83"/>
      <c r="B103" s="84"/>
      <c r="C103" s="84"/>
      <c r="D103" s="84"/>
      <c r="E103" s="84"/>
      <c r="F103" s="84"/>
      <c r="G103" s="85"/>
    </row>
    <row r="104" ht="19.5" customHeight="1">
      <c r="A104" s="49" t="s">
        <v>125</v>
      </c>
      <c r="B104" s="50">
        <v>45610.0</v>
      </c>
      <c r="C104" s="51">
        <v>200000.0</v>
      </c>
      <c r="D104" s="51"/>
      <c r="E104" s="52" t="s">
        <v>126</v>
      </c>
      <c r="F104" s="86" t="s">
        <v>127</v>
      </c>
      <c r="G104" s="87" t="s">
        <v>44</v>
      </c>
    </row>
    <row r="105" ht="19.5" customHeight="1">
      <c r="A105" s="55"/>
      <c r="B105" s="56">
        <v>45659.0</v>
      </c>
      <c r="C105" s="57">
        <v>13842.14</v>
      </c>
      <c r="D105" s="57"/>
      <c r="E105" s="58" t="s">
        <v>128</v>
      </c>
      <c r="F105" s="88"/>
      <c r="G105" s="62"/>
    </row>
    <row r="106" ht="19.5" customHeight="1">
      <c r="A106" s="55"/>
      <c r="B106" s="56">
        <v>45662.0</v>
      </c>
      <c r="C106" s="57">
        <v>5745.65</v>
      </c>
      <c r="D106" s="57"/>
      <c r="E106" s="58" t="s">
        <v>129</v>
      </c>
      <c r="F106" s="61"/>
      <c r="G106" s="62"/>
    </row>
    <row r="107" ht="19.5" customHeight="1">
      <c r="A107" s="55"/>
      <c r="B107" s="56">
        <v>45666.0</v>
      </c>
      <c r="C107" s="57">
        <v>12400.0</v>
      </c>
      <c r="D107" s="57"/>
      <c r="E107" s="58" t="s">
        <v>130</v>
      </c>
      <c r="F107" s="61"/>
      <c r="G107" s="62"/>
    </row>
    <row r="108" ht="19.5" customHeight="1">
      <c r="A108" s="55"/>
      <c r="B108" s="56">
        <v>45666.0</v>
      </c>
      <c r="C108" s="57">
        <v>1677.86</v>
      </c>
      <c r="D108" s="57"/>
      <c r="E108" s="58" t="s">
        <v>131</v>
      </c>
      <c r="F108" s="61"/>
      <c r="G108" s="62"/>
    </row>
    <row r="109" ht="19.5" customHeight="1">
      <c r="A109" s="55"/>
      <c r="B109" s="56">
        <v>45668.0</v>
      </c>
      <c r="C109" s="57">
        <v>11000.0</v>
      </c>
      <c r="D109" s="57"/>
      <c r="E109" s="58" t="s">
        <v>132</v>
      </c>
      <c r="F109" s="61"/>
      <c r="G109" s="62"/>
    </row>
    <row r="110" ht="19.5" customHeight="1">
      <c r="A110" s="55"/>
      <c r="B110" s="56">
        <v>45669.0</v>
      </c>
      <c r="C110" s="57">
        <v>7700.0</v>
      </c>
      <c r="D110" s="57"/>
      <c r="E110" s="58" t="s">
        <v>133</v>
      </c>
      <c r="F110" s="61"/>
      <c r="G110" s="62"/>
    </row>
    <row r="111" ht="19.5" customHeight="1">
      <c r="A111" s="55"/>
      <c r="B111" s="56">
        <v>45671.0</v>
      </c>
      <c r="C111" s="57">
        <v>10235.0</v>
      </c>
      <c r="D111" s="57"/>
      <c r="E111" s="58" t="s">
        <v>134</v>
      </c>
      <c r="F111" s="61" t="s">
        <v>135</v>
      </c>
      <c r="G111" s="62" t="s">
        <v>26</v>
      </c>
    </row>
    <row r="112" ht="19.5" customHeight="1">
      <c r="A112" s="55"/>
      <c r="B112" s="56">
        <v>45671.0</v>
      </c>
      <c r="C112" s="57">
        <v>21450.0</v>
      </c>
      <c r="D112" s="57"/>
      <c r="E112" s="58" t="s">
        <v>134</v>
      </c>
      <c r="F112" s="61" t="s">
        <v>136</v>
      </c>
      <c r="G112" s="62" t="s">
        <v>26</v>
      </c>
    </row>
    <row r="113" ht="19.5" customHeight="1">
      <c r="A113" s="55"/>
      <c r="B113" s="56">
        <v>45671.0</v>
      </c>
      <c r="C113" s="57">
        <v>14300.0</v>
      </c>
      <c r="D113" s="57"/>
      <c r="E113" s="58" t="s">
        <v>137</v>
      </c>
      <c r="F113" s="59"/>
      <c r="G113" s="60"/>
    </row>
    <row r="114" ht="19.5" customHeight="1">
      <c r="A114" s="55"/>
      <c r="B114" s="56">
        <v>45672.0</v>
      </c>
      <c r="C114" s="57">
        <v>28700.0</v>
      </c>
      <c r="D114" s="57"/>
      <c r="E114" s="58" t="s">
        <v>132</v>
      </c>
      <c r="F114" s="59"/>
      <c r="G114" s="60"/>
    </row>
    <row r="115" ht="19.5" customHeight="1">
      <c r="A115" s="55"/>
      <c r="B115" s="56">
        <v>45673.0</v>
      </c>
      <c r="C115" s="57">
        <v>10340.0</v>
      </c>
      <c r="D115" s="57"/>
      <c r="E115" s="58" t="s">
        <v>138</v>
      </c>
      <c r="F115" s="59"/>
      <c r="G115" s="60"/>
    </row>
    <row r="116" ht="19.5" customHeight="1">
      <c r="A116" s="55"/>
      <c r="B116" s="56">
        <v>45673.0</v>
      </c>
      <c r="C116" s="57">
        <v>12800.0</v>
      </c>
      <c r="D116" s="57"/>
      <c r="E116" s="58" t="s">
        <v>139</v>
      </c>
      <c r="F116" s="59"/>
      <c r="G116" s="60"/>
    </row>
    <row r="117" ht="19.5" customHeight="1">
      <c r="A117" s="55"/>
      <c r="B117" s="56">
        <v>45673.0</v>
      </c>
      <c r="C117" s="57">
        <v>5005.76</v>
      </c>
      <c r="D117" s="57"/>
      <c r="E117" s="58" t="s">
        <v>140</v>
      </c>
      <c r="F117" s="59"/>
      <c r="G117" s="60"/>
    </row>
    <row r="118" ht="19.5" customHeight="1">
      <c r="A118" s="55"/>
      <c r="B118" s="56">
        <v>45673.0</v>
      </c>
      <c r="C118" s="57">
        <v>38900.0</v>
      </c>
      <c r="D118" s="57"/>
      <c r="E118" s="58" t="s">
        <v>141</v>
      </c>
      <c r="F118" s="59"/>
      <c r="G118" s="60"/>
    </row>
    <row r="119" ht="19.5" customHeight="1">
      <c r="A119" s="55"/>
      <c r="B119" s="56">
        <v>45673.0</v>
      </c>
      <c r="C119" s="57">
        <v>30000.0</v>
      </c>
      <c r="D119" s="57"/>
      <c r="E119" s="58" t="s">
        <v>142</v>
      </c>
      <c r="F119" s="59"/>
      <c r="G119" s="60"/>
    </row>
    <row r="120" ht="19.5" customHeight="1">
      <c r="A120" s="55"/>
      <c r="B120" s="56">
        <v>45673.0</v>
      </c>
      <c r="C120" s="57">
        <v>11800.0</v>
      </c>
      <c r="D120" s="57"/>
      <c r="E120" s="58" t="s">
        <v>142</v>
      </c>
      <c r="F120" s="59"/>
      <c r="G120" s="60"/>
    </row>
    <row r="121" ht="19.5" customHeight="1">
      <c r="A121" s="55"/>
      <c r="B121" s="56">
        <v>45673.0</v>
      </c>
      <c r="C121" s="57">
        <v>9400.0</v>
      </c>
      <c r="D121" s="57"/>
      <c r="E121" s="58" t="s">
        <v>143</v>
      </c>
      <c r="F121" s="59"/>
      <c r="G121" s="60"/>
    </row>
    <row r="122" ht="19.5" customHeight="1">
      <c r="A122" s="55"/>
      <c r="B122" s="56">
        <v>45673.0</v>
      </c>
      <c r="C122" s="57">
        <v>9600.0</v>
      </c>
      <c r="D122" s="57"/>
      <c r="E122" s="58" t="s">
        <v>143</v>
      </c>
      <c r="F122" s="59"/>
      <c r="G122" s="60"/>
    </row>
    <row r="123" ht="19.5" customHeight="1">
      <c r="A123" s="55"/>
      <c r="B123" s="56">
        <v>45673.0</v>
      </c>
      <c r="C123" s="63">
        <v>838.92</v>
      </c>
      <c r="D123" s="63"/>
      <c r="E123" s="64" t="s">
        <v>144</v>
      </c>
      <c r="F123" s="61"/>
      <c r="G123" s="62"/>
    </row>
    <row r="124" ht="19.5" customHeight="1">
      <c r="A124" s="55"/>
      <c r="B124" s="56">
        <v>45673.0</v>
      </c>
      <c r="C124" s="63">
        <v>5033.52</v>
      </c>
      <c r="D124" s="63"/>
      <c r="E124" s="64" t="s">
        <v>145</v>
      </c>
      <c r="F124" s="61"/>
      <c r="G124" s="62"/>
    </row>
    <row r="125" ht="19.5" customHeight="1">
      <c r="A125" s="55"/>
      <c r="B125" s="65">
        <v>45674.0</v>
      </c>
      <c r="C125" s="63">
        <v>16875.3</v>
      </c>
      <c r="D125" s="63"/>
      <c r="E125" s="64" t="s">
        <v>146</v>
      </c>
      <c r="F125" s="61"/>
      <c r="G125" s="62"/>
    </row>
    <row r="126" ht="19.5" customHeight="1">
      <c r="A126" s="55"/>
      <c r="B126" s="65">
        <v>45674.0</v>
      </c>
      <c r="C126" s="63">
        <v>5900.0</v>
      </c>
      <c r="D126" s="63"/>
      <c r="E126" s="64" t="s">
        <v>142</v>
      </c>
      <c r="F126" s="61"/>
      <c r="G126" s="62"/>
    </row>
    <row r="127" ht="19.5" customHeight="1">
      <c r="A127" s="55"/>
      <c r="B127" s="65">
        <v>45674.0</v>
      </c>
      <c r="C127" s="63">
        <v>5900.0</v>
      </c>
      <c r="D127" s="63"/>
      <c r="E127" s="64" t="s">
        <v>142</v>
      </c>
      <c r="F127" s="61"/>
      <c r="G127" s="62"/>
    </row>
    <row r="128" ht="19.5" customHeight="1">
      <c r="A128" s="55"/>
      <c r="B128" s="65">
        <v>45674.0</v>
      </c>
      <c r="C128" s="63">
        <v>8700.0</v>
      </c>
      <c r="D128" s="63"/>
      <c r="E128" s="64" t="s">
        <v>143</v>
      </c>
      <c r="F128" s="61"/>
      <c r="G128" s="62"/>
    </row>
    <row r="129" ht="19.5" customHeight="1">
      <c r="A129" s="55"/>
      <c r="B129" s="65">
        <v>45675.0</v>
      </c>
      <c r="C129" s="63">
        <v>30000.0</v>
      </c>
      <c r="D129" s="63"/>
      <c r="E129" s="64" t="s">
        <v>142</v>
      </c>
      <c r="F129" s="61"/>
      <c r="G129" s="62"/>
    </row>
    <row r="130" ht="19.5" customHeight="1">
      <c r="A130" s="55"/>
      <c r="B130" s="65">
        <v>45675.0</v>
      </c>
      <c r="C130" s="63">
        <v>4800.0</v>
      </c>
      <c r="D130" s="63"/>
      <c r="E130" s="64" t="s">
        <v>143</v>
      </c>
      <c r="F130" s="61"/>
      <c r="G130" s="62"/>
    </row>
    <row r="131" ht="19.5" customHeight="1">
      <c r="A131" s="55"/>
      <c r="B131" s="65">
        <v>45676.0</v>
      </c>
      <c r="C131" s="63">
        <v>12268.0</v>
      </c>
      <c r="D131" s="63"/>
      <c r="E131" s="64" t="s">
        <v>146</v>
      </c>
      <c r="F131" s="61"/>
      <c r="G131" s="62"/>
    </row>
    <row r="132" ht="19.5" customHeight="1">
      <c r="A132" s="55"/>
      <c r="B132" s="65">
        <v>45676.0</v>
      </c>
      <c r="C132" s="63">
        <v>24822.0</v>
      </c>
      <c r="D132" s="63"/>
      <c r="E132" s="64" t="s">
        <v>142</v>
      </c>
      <c r="F132" s="61"/>
      <c r="G132" s="62"/>
    </row>
    <row r="133" ht="19.5" customHeight="1">
      <c r="A133" s="55"/>
      <c r="B133" s="65">
        <v>45676.0</v>
      </c>
      <c r="C133" s="63">
        <v>5000.0</v>
      </c>
      <c r="D133" s="63"/>
      <c r="E133" s="64" t="s">
        <v>143</v>
      </c>
      <c r="F133" s="61"/>
      <c r="G133" s="62"/>
    </row>
    <row r="134" ht="19.5" customHeight="1">
      <c r="A134" s="55"/>
      <c r="B134" s="65">
        <v>45676.0</v>
      </c>
      <c r="C134" s="63">
        <v>5800.0</v>
      </c>
      <c r="D134" s="63"/>
      <c r="E134" s="64" t="s">
        <v>143</v>
      </c>
      <c r="F134" s="61"/>
      <c r="G134" s="62"/>
    </row>
    <row r="135" ht="19.5" customHeight="1">
      <c r="A135" s="55"/>
      <c r="B135" s="65">
        <v>45677.0</v>
      </c>
      <c r="C135" s="63">
        <v>5447.0</v>
      </c>
      <c r="D135" s="63"/>
      <c r="E135" s="64" t="s">
        <v>146</v>
      </c>
      <c r="F135" s="61"/>
      <c r="G135" s="62"/>
    </row>
    <row r="136" ht="19.5" customHeight="1">
      <c r="A136" s="55"/>
      <c r="B136" s="65">
        <v>45677.0</v>
      </c>
      <c r="C136" s="63">
        <v>17936.7</v>
      </c>
      <c r="D136" s="63"/>
      <c r="E136" s="64" t="s">
        <v>146</v>
      </c>
      <c r="F136" s="61"/>
      <c r="G136" s="62"/>
    </row>
    <row r="137" ht="19.5" customHeight="1">
      <c r="A137" s="55"/>
      <c r="B137" s="65">
        <v>45677.0</v>
      </c>
      <c r="C137" s="63">
        <v>55821.0</v>
      </c>
      <c r="D137" s="63"/>
      <c r="E137" s="64" t="s">
        <v>142</v>
      </c>
      <c r="F137" s="61"/>
      <c r="G137" s="62"/>
    </row>
    <row r="138" ht="19.5" customHeight="1">
      <c r="A138" s="55"/>
      <c r="B138" s="65">
        <v>45677.0</v>
      </c>
      <c r="C138" s="63">
        <v>5800.0</v>
      </c>
      <c r="D138" s="63"/>
      <c r="E138" s="64" t="s">
        <v>143</v>
      </c>
      <c r="F138" s="61"/>
      <c r="G138" s="62"/>
    </row>
    <row r="139" ht="19.5" customHeight="1">
      <c r="A139" s="55"/>
      <c r="B139" s="65">
        <v>45680.0</v>
      </c>
      <c r="C139" s="63">
        <v>59999.93</v>
      </c>
      <c r="D139" s="63"/>
      <c r="E139" s="64" t="s">
        <v>147</v>
      </c>
      <c r="F139" s="61"/>
      <c r="G139" s="62"/>
    </row>
    <row r="140" ht="19.5" customHeight="1">
      <c r="A140" s="55"/>
      <c r="B140" s="65">
        <v>45680.0</v>
      </c>
      <c r="C140" s="63">
        <v>4000.0</v>
      </c>
      <c r="D140" s="63"/>
      <c r="E140" s="64" t="s">
        <v>148</v>
      </c>
      <c r="F140" s="61"/>
      <c r="G140" s="62"/>
    </row>
    <row r="141" ht="19.5" customHeight="1">
      <c r="A141" s="55"/>
      <c r="B141" s="65">
        <v>45680.0</v>
      </c>
      <c r="C141" s="63">
        <v>34002.0</v>
      </c>
      <c r="D141" s="63"/>
      <c r="E141" s="64" t="s">
        <v>149</v>
      </c>
      <c r="F141" s="61"/>
      <c r="G141" s="62"/>
    </row>
    <row r="142" ht="19.5" customHeight="1">
      <c r="A142" s="55"/>
      <c r="B142" s="65">
        <v>45680.0</v>
      </c>
      <c r="C142" s="63">
        <v>17700.0</v>
      </c>
      <c r="D142" s="63"/>
      <c r="E142" s="64" t="s">
        <v>150</v>
      </c>
      <c r="F142" s="61"/>
      <c r="G142" s="62"/>
    </row>
    <row r="143" ht="19.5" customHeight="1">
      <c r="A143" s="55"/>
      <c r="B143" s="65">
        <v>45680.0</v>
      </c>
      <c r="C143" s="63">
        <v>11200.0</v>
      </c>
      <c r="D143" s="63"/>
      <c r="E143" s="64" t="s">
        <v>150</v>
      </c>
      <c r="F143" s="61"/>
      <c r="G143" s="62"/>
    </row>
    <row r="144" ht="19.5" customHeight="1">
      <c r="A144" s="55"/>
      <c r="B144" s="65">
        <v>45681.0</v>
      </c>
      <c r="C144" s="63">
        <v>1677.86</v>
      </c>
      <c r="D144" s="63"/>
      <c r="E144" s="64" t="s">
        <v>131</v>
      </c>
      <c r="F144" s="61"/>
      <c r="G144" s="62"/>
    </row>
    <row r="145" ht="19.5" customHeight="1">
      <c r="A145" s="55"/>
      <c r="B145" s="65">
        <v>45682.0</v>
      </c>
      <c r="C145" s="63">
        <v>32000.0</v>
      </c>
      <c r="D145" s="63"/>
      <c r="E145" s="64" t="s">
        <v>151</v>
      </c>
      <c r="F145" s="61"/>
      <c r="G145" s="62"/>
    </row>
    <row r="146" ht="19.5" customHeight="1">
      <c r="A146" s="55"/>
      <c r="B146" s="65">
        <v>45682.0</v>
      </c>
      <c r="C146" s="63">
        <v>3800.0</v>
      </c>
      <c r="D146" s="63"/>
      <c r="E146" s="64" t="s">
        <v>152</v>
      </c>
      <c r="F146" s="61"/>
      <c r="G146" s="62"/>
    </row>
    <row r="147" ht="19.5" customHeight="1">
      <c r="A147" s="55"/>
      <c r="B147" s="65">
        <v>45683.0</v>
      </c>
      <c r="C147" s="63">
        <v>31967.23</v>
      </c>
      <c r="D147" s="63"/>
      <c r="E147" s="64" t="s">
        <v>153</v>
      </c>
      <c r="F147" s="61"/>
      <c r="G147" s="62"/>
    </row>
    <row r="148" ht="19.5" customHeight="1">
      <c r="A148" s="55"/>
      <c r="B148" s="65">
        <v>45685.0</v>
      </c>
      <c r="C148" s="63">
        <v>50000.0</v>
      </c>
      <c r="D148" s="63"/>
      <c r="E148" s="64" t="s">
        <v>147</v>
      </c>
      <c r="F148" s="61"/>
      <c r="G148" s="62"/>
    </row>
    <row r="149" ht="19.5" customHeight="1">
      <c r="A149" s="55"/>
      <c r="B149" s="65">
        <v>45685.0</v>
      </c>
      <c r="C149" s="63">
        <v>49999.94</v>
      </c>
      <c r="D149" s="63"/>
      <c r="E149" s="64" t="s">
        <v>147</v>
      </c>
      <c r="F149" s="61"/>
      <c r="G149" s="62"/>
    </row>
    <row r="150" ht="19.5" customHeight="1">
      <c r="A150" s="55"/>
      <c r="B150" s="65">
        <v>45685.0</v>
      </c>
      <c r="C150" s="63">
        <v>12000.0</v>
      </c>
      <c r="D150" s="63"/>
      <c r="E150" s="64" t="s">
        <v>154</v>
      </c>
      <c r="F150" s="61"/>
      <c r="G150" s="77"/>
    </row>
    <row r="151" ht="30.0" customHeight="1">
      <c r="A151" s="78" t="s">
        <v>111</v>
      </c>
      <c r="B151" s="79"/>
      <c r="C151" s="80">
        <f>SUM(C104:C150)</f>
        <v>974185.81</v>
      </c>
      <c r="D151" s="80">
        <f>SUM(D105:D150)</f>
        <v>0</v>
      </c>
      <c r="E151" s="81"/>
      <c r="F151" s="82"/>
    </row>
    <row r="152" ht="4.5" customHeight="1">
      <c r="A152" s="83"/>
      <c r="B152" s="84"/>
      <c r="C152" s="84"/>
      <c r="D152" s="84"/>
      <c r="E152" s="84"/>
      <c r="F152" s="84"/>
      <c r="G152" s="85"/>
    </row>
    <row r="153" ht="19.5" customHeight="1">
      <c r="A153" s="49" t="s">
        <v>14</v>
      </c>
      <c r="B153" s="50">
        <v>45679.0</v>
      </c>
      <c r="C153" s="51">
        <v>50985.5</v>
      </c>
      <c r="D153" s="51"/>
      <c r="E153" s="52" t="s">
        <v>24</v>
      </c>
      <c r="F153" s="53" t="s">
        <v>155</v>
      </c>
      <c r="G153" s="54" t="s">
        <v>26</v>
      </c>
    </row>
    <row r="154" ht="19.5" customHeight="1">
      <c r="A154" s="55"/>
      <c r="B154" s="65">
        <v>45680.0</v>
      </c>
      <c r="C154" s="63">
        <v>50985.5</v>
      </c>
      <c r="D154" s="63"/>
      <c r="E154" s="64" t="s">
        <v>24</v>
      </c>
      <c r="F154" s="61" t="s">
        <v>156</v>
      </c>
      <c r="G154" s="62" t="s">
        <v>26</v>
      </c>
    </row>
    <row r="155" ht="19.5" customHeight="1">
      <c r="A155" s="55"/>
      <c r="B155" s="65">
        <v>45680.0</v>
      </c>
      <c r="C155" s="63">
        <v>65323.5</v>
      </c>
      <c r="D155" s="63"/>
      <c r="E155" s="64" t="s">
        <v>24</v>
      </c>
      <c r="F155" s="61" t="s">
        <v>157</v>
      </c>
      <c r="G155" s="62" t="s">
        <v>26</v>
      </c>
    </row>
    <row r="156" ht="19.5" customHeight="1">
      <c r="A156" s="55"/>
      <c r="B156" s="65">
        <v>45680.0</v>
      </c>
      <c r="C156" s="63">
        <v>14070.5</v>
      </c>
      <c r="D156" s="63"/>
      <c r="E156" s="64" t="s">
        <v>24</v>
      </c>
      <c r="F156" s="61" t="s">
        <v>158</v>
      </c>
      <c r="G156" s="62" t="s">
        <v>26</v>
      </c>
    </row>
    <row r="157" ht="19.5" customHeight="1">
      <c r="A157" s="55"/>
      <c r="B157" s="65">
        <v>45680.0</v>
      </c>
      <c r="C157" s="63">
        <v>44940.0</v>
      </c>
      <c r="D157" s="63"/>
      <c r="E157" s="64" t="s">
        <v>24</v>
      </c>
      <c r="F157" s="61" t="s">
        <v>159</v>
      </c>
      <c r="G157" s="62" t="s">
        <v>26</v>
      </c>
    </row>
    <row r="158" ht="19.5" customHeight="1">
      <c r="A158" s="55"/>
      <c r="B158" s="89">
        <v>45687.0</v>
      </c>
      <c r="C158" s="90">
        <v>11570.0</v>
      </c>
      <c r="D158" s="63"/>
      <c r="E158" s="91" t="s">
        <v>160</v>
      </c>
      <c r="F158" s="61" t="s">
        <v>161</v>
      </c>
      <c r="G158" s="77" t="s">
        <v>26</v>
      </c>
    </row>
    <row r="159" ht="30.0" customHeight="1">
      <c r="A159" s="78" t="s">
        <v>111</v>
      </c>
      <c r="B159" s="79"/>
      <c r="C159" s="80">
        <f t="shared" ref="C159:D159" si="5">SUM(C153:C158)</f>
        <v>237875</v>
      </c>
      <c r="D159" s="80">
        <f t="shared" si="5"/>
        <v>0</v>
      </c>
      <c r="E159" s="92"/>
      <c r="F159" s="82"/>
      <c r="G159" s="93"/>
    </row>
    <row r="160" ht="4.5" customHeight="1">
      <c r="A160" s="83"/>
      <c r="B160" s="84"/>
      <c r="C160" s="84"/>
      <c r="D160" s="84"/>
      <c r="E160" s="84"/>
      <c r="F160" s="84"/>
      <c r="G160" s="85"/>
    </row>
    <row r="161" ht="19.5" customHeight="1">
      <c r="A161" s="49" t="s">
        <v>15</v>
      </c>
      <c r="B161" s="94">
        <v>45652.0</v>
      </c>
      <c r="C161" s="51">
        <v>4601.0</v>
      </c>
      <c r="D161" s="51"/>
      <c r="E161" s="52" t="s">
        <v>162</v>
      </c>
      <c r="F161" s="54" t="s">
        <v>163</v>
      </c>
      <c r="G161" s="54" t="s">
        <v>26</v>
      </c>
    </row>
    <row r="162" ht="19.5" customHeight="1">
      <c r="A162" s="55"/>
      <c r="B162" s="95">
        <v>45652.0</v>
      </c>
      <c r="C162" s="57">
        <v>32100.0</v>
      </c>
      <c r="D162" s="57"/>
      <c r="E162" s="58" t="s">
        <v>162</v>
      </c>
      <c r="F162" s="60" t="s">
        <v>164</v>
      </c>
      <c r="G162" s="60" t="s">
        <v>26</v>
      </c>
    </row>
    <row r="163" ht="19.5" customHeight="1">
      <c r="A163" s="55"/>
      <c r="B163" s="95">
        <v>45656.0</v>
      </c>
      <c r="C163" s="57">
        <v>66588.36</v>
      </c>
      <c r="D163" s="57"/>
      <c r="E163" s="58" t="s">
        <v>165</v>
      </c>
      <c r="F163" s="60" t="s">
        <v>166</v>
      </c>
      <c r="G163" s="60" t="s">
        <v>26</v>
      </c>
    </row>
    <row r="164" ht="19.5" customHeight="1">
      <c r="A164" s="55"/>
      <c r="B164" s="95">
        <v>45659.0</v>
      </c>
      <c r="C164" s="57">
        <v>20350.0</v>
      </c>
      <c r="D164" s="57"/>
      <c r="E164" s="58" t="s">
        <v>167</v>
      </c>
      <c r="F164" s="60" t="s">
        <v>168</v>
      </c>
      <c r="G164" s="60" t="s">
        <v>26</v>
      </c>
    </row>
    <row r="165" ht="19.5" customHeight="1">
      <c r="A165" s="55"/>
      <c r="B165" s="95">
        <v>45663.0</v>
      </c>
      <c r="C165" s="57">
        <v>127667.2</v>
      </c>
      <c r="D165" s="57"/>
      <c r="E165" s="58" t="s">
        <v>169</v>
      </c>
      <c r="F165" s="60" t="s">
        <v>168</v>
      </c>
      <c r="G165" s="60" t="s">
        <v>26</v>
      </c>
    </row>
    <row r="166" ht="19.5" customHeight="1">
      <c r="A166" s="55"/>
      <c r="B166" s="95">
        <v>45664.0</v>
      </c>
      <c r="C166" s="57">
        <v>10870.0</v>
      </c>
      <c r="D166" s="57"/>
      <c r="E166" s="58" t="s">
        <v>170</v>
      </c>
      <c r="F166" s="60" t="s">
        <v>171</v>
      </c>
      <c r="G166" s="60" t="s">
        <v>26</v>
      </c>
    </row>
    <row r="167" ht="19.5" customHeight="1">
      <c r="A167" s="55"/>
      <c r="B167" s="95">
        <v>45666.0</v>
      </c>
      <c r="C167" s="57">
        <v>60940.0</v>
      </c>
      <c r="D167" s="57"/>
      <c r="E167" s="58" t="s">
        <v>170</v>
      </c>
      <c r="F167" s="60" t="s">
        <v>172</v>
      </c>
      <c r="G167" s="60" t="s">
        <v>26</v>
      </c>
    </row>
    <row r="168" ht="19.5" customHeight="1">
      <c r="A168" s="55"/>
      <c r="B168" s="95">
        <v>45668.0</v>
      </c>
      <c r="C168" s="57">
        <v>38785.0</v>
      </c>
      <c r="D168" s="57"/>
      <c r="E168" s="58" t="s">
        <v>162</v>
      </c>
      <c r="F168" s="60" t="s">
        <v>173</v>
      </c>
      <c r="G168" s="60" t="s">
        <v>26</v>
      </c>
    </row>
    <row r="169" ht="19.5" customHeight="1">
      <c r="A169" s="55"/>
      <c r="B169" s="95">
        <v>45669.0</v>
      </c>
      <c r="C169" s="57">
        <v>35175.0</v>
      </c>
      <c r="D169" s="57"/>
      <c r="E169" s="58" t="s">
        <v>174</v>
      </c>
      <c r="F169" s="60" t="s">
        <v>175</v>
      </c>
      <c r="G169" s="60" t="s">
        <v>26</v>
      </c>
    </row>
    <row r="170" ht="19.5" customHeight="1">
      <c r="A170" s="55"/>
      <c r="B170" s="95">
        <v>45671.0</v>
      </c>
      <c r="C170" s="57">
        <v>37985.0</v>
      </c>
      <c r="D170" s="57"/>
      <c r="E170" s="58" t="s">
        <v>162</v>
      </c>
      <c r="F170" s="60" t="s">
        <v>176</v>
      </c>
      <c r="G170" s="60" t="s">
        <v>26</v>
      </c>
    </row>
    <row r="171" ht="19.5" customHeight="1">
      <c r="A171" s="55"/>
      <c r="B171" s="95">
        <v>45671.0</v>
      </c>
      <c r="C171" s="57">
        <v>54300.0</v>
      </c>
      <c r="D171" s="57"/>
      <c r="E171" s="58" t="s">
        <v>162</v>
      </c>
      <c r="F171" s="60" t="s">
        <v>177</v>
      </c>
      <c r="G171" s="60" t="s">
        <v>26</v>
      </c>
    </row>
    <row r="172" ht="19.5" customHeight="1">
      <c r="A172" s="55"/>
      <c r="B172" s="95">
        <v>45672.0</v>
      </c>
      <c r="C172" s="57">
        <v>49220.0</v>
      </c>
      <c r="D172" s="57"/>
      <c r="E172" s="58" t="s">
        <v>162</v>
      </c>
      <c r="F172" s="60" t="s">
        <v>178</v>
      </c>
      <c r="G172" s="60" t="s">
        <v>26</v>
      </c>
    </row>
    <row r="173" ht="19.5" customHeight="1">
      <c r="A173" s="55"/>
      <c r="B173" s="95">
        <v>45672.0</v>
      </c>
      <c r="C173" s="57">
        <v>203984.03</v>
      </c>
      <c r="D173" s="57"/>
      <c r="E173" s="58" t="s">
        <v>179</v>
      </c>
      <c r="F173" s="60" t="s">
        <v>180</v>
      </c>
      <c r="G173" s="60" t="s">
        <v>26</v>
      </c>
    </row>
    <row r="174" ht="19.5" customHeight="1">
      <c r="A174" s="55"/>
      <c r="B174" s="95">
        <v>45672.0</v>
      </c>
      <c r="C174" s="57">
        <v>31080.13</v>
      </c>
      <c r="D174" s="57"/>
      <c r="E174" s="58" t="s">
        <v>179</v>
      </c>
      <c r="F174" s="60" t="s">
        <v>181</v>
      </c>
      <c r="G174" s="60" t="s">
        <v>26</v>
      </c>
    </row>
    <row r="175" ht="19.5" customHeight="1">
      <c r="A175" s="55"/>
      <c r="B175" s="95">
        <v>45673.0</v>
      </c>
      <c r="C175" s="57">
        <v>32900.0</v>
      </c>
      <c r="D175" s="57"/>
      <c r="E175" s="58" t="s">
        <v>162</v>
      </c>
      <c r="F175" s="60" t="s">
        <v>182</v>
      </c>
      <c r="G175" s="60" t="s">
        <v>26</v>
      </c>
    </row>
    <row r="176" ht="19.5" customHeight="1">
      <c r="A176" s="55"/>
      <c r="B176" s="95">
        <v>45674.0</v>
      </c>
      <c r="C176" s="57">
        <v>49434.0</v>
      </c>
      <c r="D176" s="57"/>
      <c r="E176" s="58" t="s">
        <v>162</v>
      </c>
      <c r="F176" s="60" t="s">
        <v>183</v>
      </c>
      <c r="G176" s="60" t="s">
        <v>26</v>
      </c>
    </row>
    <row r="177" ht="19.5" customHeight="1">
      <c r="A177" s="55"/>
      <c r="B177" s="95">
        <v>45674.0</v>
      </c>
      <c r="C177" s="57">
        <v>48578.0</v>
      </c>
      <c r="D177" s="57"/>
      <c r="E177" s="58" t="s">
        <v>162</v>
      </c>
      <c r="F177" s="60" t="s">
        <v>184</v>
      </c>
      <c r="G177" s="60" t="s">
        <v>26</v>
      </c>
    </row>
    <row r="178" ht="19.5" customHeight="1">
      <c r="A178" s="55"/>
      <c r="B178" s="95">
        <v>45674.0</v>
      </c>
      <c r="C178" s="57">
        <v>77040.0</v>
      </c>
      <c r="D178" s="57"/>
      <c r="E178" s="58" t="s">
        <v>162</v>
      </c>
      <c r="F178" s="60" t="s">
        <v>185</v>
      </c>
      <c r="G178" s="60" t="s">
        <v>26</v>
      </c>
    </row>
    <row r="179" ht="19.5" customHeight="1">
      <c r="A179" s="55"/>
      <c r="B179" s="95">
        <v>45675.0</v>
      </c>
      <c r="C179" s="57">
        <v>7854.0</v>
      </c>
      <c r="D179" s="57"/>
      <c r="E179" s="58" t="s">
        <v>174</v>
      </c>
      <c r="F179" s="60" t="s">
        <v>186</v>
      </c>
      <c r="G179" s="60" t="s">
        <v>26</v>
      </c>
    </row>
    <row r="180" ht="30.0" customHeight="1">
      <c r="A180" s="78" t="s">
        <v>111</v>
      </c>
      <c r="B180" s="79"/>
      <c r="C180" s="80">
        <f t="shared" ref="C180:D180" si="6">SUM(C161:C179)</f>
        <v>989451.72</v>
      </c>
      <c r="D180" s="80">
        <f t="shared" si="6"/>
        <v>0</v>
      </c>
      <c r="E180" s="81"/>
      <c r="F180" s="82"/>
    </row>
    <row r="181" ht="4.5" customHeight="1">
      <c r="A181" s="83"/>
      <c r="B181" s="84"/>
      <c r="C181" s="84"/>
      <c r="D181" s="84"/>
      <c r="E181" s="96"/>
      <c r="F181" s="96"/>
      <c r="G181" s="96"/>
    </row>
    <row r="182" ht="30.0" customHeight="1">
      <c r="A182" s="78" t="s">
        <v>187</v>
      </c>
      <c r="B182" s="79"/>
      <c r="C182" s="80">
        <f>+C88+C102+C151+C180+C159</f>
        <v>8817965.8</v>
      </c>
      <c r="D182" s="80">
        <f>SUM(D88+D102+D151+D180+D159)</f>
        <v>9.96</v>
      </c>
      <c r="E182" s="97"/>
      <c r="F182" s="98"/>
    </row>
    <row r="183" ht="19.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6:C7"/>
    <mergeCell ref="D6:E6"/>
    <mergeCell ref="F6:G6"/>
    <mergeCell ref="D7:E7"/>
    <mergeCell ref="F7:G7"/>
    <mergeCell ref="D8:E8"/>
    <mergeCell ref="F8:G8"/>
    <mergeCell ref="A104:A150"/>
    <mergeCell ref="A151:B151"/>
    <mergeCell ref="A153:A158"/>
    <mergeCell ref="A159:B159"/>
    <mergeCell ref="A161:A179"/>
    <mergeCell ref="A180:B180"/>
    <mergeCell ref="A182:B182"/>
    <mergeCell ref="D9:G16"/>
    <mergeCell ref="C11:C12"/>
    <mergeCell ref="C13:C14"/>
    <mergeCell ref="A19:A87"/>
    <mergeCell ref="A88:B88"/>
    <mergeCell ref="A90:A101"/>
    <mergeCell ref="A102:B102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1.71"/>
    <col customWidth="1" min="7" max="7" width="11.86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188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7556181.59</v>
      </c>
      <c r="G8" s="14"/>
    </row>
    <row r="9" ht="19.5" customHeight="1">
      <c r="A9" s="20" t="s">
        <v>7</v>
      </c>
      <c r="B9" s="21">
        <f>+C104</f>
        <v>5490243.35</v>
      </c>
      <c r="C9" s="22">
        <f t="shared" ref="C9:C10" si="1">+B9</f>
        <v>5490243.35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+D104</f>
        <v>3.98</v>
      </c>
      <c r="C10" s="28">
        <f t="shared" si="1"/>
        <v>3.98</v>
      </c>
      <c r="D10" s="29"/>
      <c r="G10" s="30"/>
    </row>
    <row r="11" ht="19.5" customHeight="1">
      <c r="A11" s="31" t="s">
        <v>10</v>
      </c>
      <c r="B11" s="32">
        <f>+C106+C107+C108+C110+C111</f>
        <v>249962.25</v>
      </c>
      <c r="C11" s="33">
        <f>SUM(B11:B12)</f>
        <v>289962.25</v>
      </c>
      <c r="D11" s="29"/>
      <c r="G11" s="30"/>
    </row>
    <row r="12" ht="19.5" customHeight="1">
      <c r="A12" s="26" t="s">
        <v>11</v>
      </c>
      <c r="B12" s="27">
        <f>+C112-B11</f>
        <v>40000</v>
      </c>
      <c r="C12" s="34"/>
      <c r="D12" s="29"/>
      <c r="G12" s="30"/>
    </row>
    <row r="13" ht="19.5" customHeight="1">
      <c r="A13" s="31" t="s">
        <v>12</v>
      </c>
      <c r="B13" s="32">
        <v>0.0</v>
      </c>
      <c r="C13" s="33">
        <f>SUM(B13:B14)</f>
        <v>0</v>
      </c>
      <c r="D13" s="29"/>
      <c r="G13" s="30"/>
    </row>
    <row r="14" ht="19.5" customHeight="1">
      <c r="A14" s="26" t="s">
        <v>13</v>
      </c>
      <c r="B14" s="27">
        <v>0.0</v>
      </c>
      <c r="C14" s="34"/>
      <c r="D14" s="29"/>
      <c r="G14" s="30"/>
    </row>
    <row r="15" ht="19.5" customHeight="1">
      <c r="A15" s="35" t="s">
        <v>14</v>
      </c>
      <c r="B15" s="36">
        <f>+C135</f>
        <v>100980</v>
      </c>
      <c r="C15" s="37">
        <f t="shared" ref="C15:C16" si="2">+B15</f>
        <v>100980</v>
      </c>
      <c r="D15" s="29"/>
      <c r="G15" s="30"/>
    </row>
    <row r="16" ht="19.5" customHeight="1">
      <c r="A16" s="38" t="s">
        <v>15</v>
      </c>
      <c r="B16" s="39">
        <f>+C168</f>
        <v>955517.22</v>
      </c>
      <c r="C16" s="40">
        <f t="shared" si="2"/>
        <v>955517.22</v>
      </c>
      <c r="D16" s="41"/>
      <c r="E16" s="42"/>
      <c r="F16" s="42"/>
      <c r="G16" s="43"/>
    </row>
    <row r="17" ht="4.5" customHeight="1">
      <c r="A17" s="44"/>
      <c r="B17" s="45"/>
      <c r="C17" s="45"/>
      <c r="D17" s="45"/>
      <c r="E17" s="45"/>
      <c r="F17" s="45"/>
      <c r="G17" s="46"/>
    </row>
    <row r="18" ht="24.75" customHeight="1">
      <c r="A18" s="47" t="s">
        <v>16</v>
      </c>
      <c r="B18" s="47" t="s">
        <v>17</v>
      </c>
      <c r="C18" s="47" t="s">
        <v>18</v>
      </c>
      <c r="D18" s="47" t="s">
        <v>19</v>
      </c>
      <c r="E18" s="48" t="s">
        <v>20</v>
      </c>
      <c r="F18" s="48" t="s">
        <v>21</v>
      </c>
      <c r="G18" s="48" t="s">
        <v>22</v>
      </c>
    </row>
    <row r="19" ht="19.5" customHeight="1">
      <c r="A19" s="49" t="s">
        <v>23</v>
      </c>
      <c r="B19" s="99">
        <v>45691.0</v>
      </c>
      <c r="C19" s="100">
        <v>37290.0</v>
      </c>
      <c r="D19" s="100"/>
      <c r="E19" s="101" t="s">
        <v>189</v>
      </c>
      <c r="F19" s="102" t="s">
        <v>190</v>
      </c>
      <c r="G19" s="103"/>
    </row>
    <row r="20" ht="19.5" customHeight="1">
      <c r="A20" s="55"/>
      <c r="B20" s="56">
        <v>45693.0</v>
      </c>
      <c r="C20" s="57">
        <v>31993.0</v>
      </c>
      <c r="D20" s="57"/>
      <c r="E20" s="58" t="s">
        <v>24</v>
      </c>
      <c r="F20" s="59" t="s">
        <v>60</v>
      </c>
      <c r="G20" s="60" t="s">
        <v>26</v>
      </c>
    </row>
    <row r="21" ht="19.5" customHeight="1">
      <c r="A21" s="55"/>
      <c r="B21" s="56">
        <v>45694.0</v>
      </c>
      <c r="C21" s="57">
        <v>115560.0</v>
      </c>
      <c r="D21" s="57"/>
      <c r="E21" s="58" t="s">
        <v>24</v>
      </c>
      <c r="F21" s="59" t="s">
        <v>191</v>
      </c>
      <c r="G21" s="60" t="s">
        <v>26</v>
      </c>
    </row>
    <row r="22" ht="19.5" customHeight="1">
      <c r="A22" s="55"/>
      <c r="B22" s="56">
        <v>45694.0</v>
      </c>
      <c r="C22" s="57">
        <v>60078.0</v>
      </c>
      <c r="D22" s="57"/>
      <c r="E22" s="58" t="s">
        <v>24</v>
      </c>
      <c r="F22" s="59" t="s">
        <v>192</v>
      </c>
      <c r="G22" s="60" t="s">
        <v>26</v>
      </c>
    </row>
    <row r="23" ht="19.5" customHeight="1">
      <c r="A23" s="55"/>
      <c r="B23" s="56">
        <v>45694.0</v>
      </c>
      <c r="C23" s="57">
        <v>38785.0</v>
      </c>
      <c r="D23" s="57"/>
      <c r="E23" s="58" t="s">
        <v>24</v>
      </c>
      <c r="F23" s="59" t="s">
        <v>176</v>
      </c>
      <c r="G23" s="60" t="s">
        <v>26</v>
      </c>
    </row>
    <row r="24" ht="19.5" customHeight="1">
      <c r="A24" s="55"/>
      <c r="B24" s="56">
        <v>45694.0</v>
      </c>
      <c r="C24" s="57">
        <v>38520.0</v>
      </c>
      <c r="D24" s="57"/>
      <c r="E24" s="58" t="s">
        <v>24</v>
      </c>
      <c r="F24" s="59" t="s">
        <v>193</v>
      </c>
      <c r="G24" s="60" t="s">
        <v>26</v>
      </c>
    </row>
    <row r="25" ht="19.5" customHeight="1">
      <c r="A25" s="55"/>
      <c r="B25" s="104">
        <v>45694.0</v>
      </c>
      <c r="C25" s="105">
        <v>38000.0</v>
      </c>
      <c r="D25" s="105"/>
      <c r="E25" s="106" t="s">
        <v>194</v>
      </c>
      <c r="F25" s="107" t="s">
        <v>195</v>
      </c>
      <c r="G25" s="108"/>
    </row>
    <row r="26" ht="19.5" customHeight="1">
      <c r="A26" s="55"/>
      <c r="B26" s="56">
        <v>45694.0</v>
      </c>
      <c r="C26" s="57">
        <v>25004.0</v>
      </c>
      <c r="D26" s="57"/>
      <c r="E26" s="58" t="s">
        <v>42</v>
      </c>
      <c r="F26" s="61" t="s">
        <v>43</v>
      </c>
      <c r="G26" s="62" t="s">
        <v>44</v>
      </c>
    </row>
    <row r="27" ht="19.5" customHeight="1">
      <c r="A27" s="55"/>
      <c r="B27" s="56">
        <v>45694.0</v>
      </c>
      <c r="C27" s="57">
        <v>11500.0</v>
      </c>
      <c r="D27" s="57"/>
      <c r="E27" s="58" t="s">
        <v>196</v>
      </c>
      <c r="F27" s="59" t="s">
        <v>30</v>
      </c>
      <c r="G27" s="60"/>
    </row>
    <row r="28" ht="19.5" customHeight="1">
      <c r="A28" s="55"/>
      <c r="B28" s="104">
        <v>45694.0</v>
      </c>
      <c r="C28" s="105">
        <v>11124.0</v>
      </c>
      <c r="D28" s="105"/>
      <c r="E28" s="106" t="s">
        <v>197</v>
      </c>
      <c r="F28" s="107"/>
      <c r="G28" s="108"/>
    </row>
    <row r="29" ht="19.5" customHeight="1">
      <c r="A29" s="55"/>
      <c r="B29" s="104">
        <v>45695.0</v>
      </c>
      <c r="C29" s="105">
        <v>19438.0</v>
      </c>
      <c r="D29" s="105"/>
      <c r="E29" s="106" t="s">
        <v>198</v>
      </c>
      <c r="F29" s="107"/>
      <c r="G29" s="108"/>
    </row>
    <row r="30" ht="19.5" customHeight="1">
      <c r="A30" s="55"/>
      <c r="B30" s="104">
        <v>45695.0</v>
      </c>
      <c r="C30" s="105">
        <v>14900.0</v>
      </c>
      <c r="D30" s="105"/>
      <c r="E30" s="106" t="s">
        <v>197</v>
      </c>
      <c r="F30" s="107"/>
      <c r="G30" s="108"/>
    </row>
    <row r="31" ht="19.5" customHeight="1">
      <c r="A31" s="55"/>
      <c r="B31" s="104">
        <v>45695.0</v>
      </c>
      <c r="C31" s="105">
        <v>9000.0</v>
      </c>
      <c r="D31" s="105"/>
      <c r="E31" s="106" t="s">
        <v>197</v>
      </c>
      <c r="F31" s="107"/>
      <c r="G31" s="108"/>
    </row>
    <row r="32" ht="19.5" customHeight="1">
      <c r="A32" s="55"/>
      <c r="B32" s="56">
        <v>45696.0</v>
      </c>
      <c r="C32" s="57">
        <v>11793.0</v>
      </c>
      <c r="D32" s="57"/>
      <c r="E32" s="58" t="s">
        <v>33</v>
      </c>
      <c r="F32" s="59" t="s">
        <v>30</v>
      </c>
      <c r="G32" s="60"/>
    </row>
    <row r="33" ht="19.5" customHeight="1">
      <c r="A33" s="55"/>
      <c r="B33" s="104">
        <v>45696.0</v>
      </c>
      <c r="C33" s="105">
        <v>450.0</v>
      </c>
      <c r="D33" s="105"/>
      <c r="E33" s="106" t="s">
        <v>199</v>
      </c>
      <c r="F33" s="107"/>
      <c r="G33" s="108"/>
    </row>
    <row r="34" ht="19.5" customHeight="1">
      <c r="A34" s="55"/>
      <c r="B34" s="104">
        <v>45696.0</v>
      </c>
      <c r="C34" s="105">
        <v>20267.0</v>
      </c>
      <c r="D34" s="105"/>
      <c r="E34" s="106" t="s">
        <v>81</v>
      </c>
      <c r="F34" s="107"/>
      <c r="G34" s="108"/>
    </row>
    <row r="35" ht="19.5" customHeight="1">
      <c r="A35" s="55"/>
      <c r="B35" s="56">
        <v>45697.0</v>
      </c>
      <c r="C35" s="57">
        <v>29690.0</v>
      </c>
      <c r="D35" s="57"/>
      <c r="E35" s="58" t="s">
        <v>24</v>
      </c>
      <c r="F35" s="59" t="s">
        <v>200</v>
      </c>
      <c r="G35" s="60" t="s">
        <v>26</v>
      </c>
    </row>
    <row r="36" ht="19.5" customHeight="1">
      <c r="A36" s="55"/>
      <c r="B36" s="56">
        <v>45697.0</v>
      </c>
      <c r="C36" s="57">
        <v>7470.0</v>
      </c>
      <c r="D36" s="57"/>
      <c r="E36" s="58" t="s">
        <v>33</v>
      </c>
      <c r="F36" s="59" t="s">
        <v>30</v>
      </c>
      <c r="G36" s="60"/>
    </row>
    <row r="37" ht="19.5" customHeight="1">
      <c r="A37" s="55"/>
      <c r="B37" s="56">
        <v>45697.0</v>
      </c>
      <c r="C37" s="57">
        <v>85006.97</v>
      </c>
      <c r="D37" s="57"/>
      <c r="E37" s="58" t="s">
        <v>34</v>
      </c>
      <c r="F37" s="59" t="s">
        <v>30</v>
      </c>
      <c r="G37" s="60"/>
    </row>
    <row r="38" ht="19.5" customHeight="1">
      <c r="A38" s="55"/>
      <c r="B38" s="56">
        <v>45697.0</v>
      </c>
      <c r="C38" s="57">
        <v>10760.0</v>
      </c>
      <c r="D38" s="57"/>
      <c r="E38" s="58" t="s">
        <v>201</v>
      </c>
      <c r="F38" s="59" t="s">
        <v>30</v>
      </c>
      <c r="G38" s="60"/>
    </row>
    <row r="39" ht="19.5" customHeight="1">
      <c r="A39" s="55"/>
      <c r="B39" s="56">
        <v>45697.0</v>
      </c>
      <c r="C39" s="57"/>
      <c r="D39" s="57">
        <v>1.99</v>
      </c>
      <c r="E39" s="58" t="s">
        <v>202</v>
      </c>
      <c r="F39" s="61" t="s">
        <v>55</v>
      </c>
      <c r="G39" s="60" t="s">
        <v>26</v>
      </c>
    </row>
    <row r="40" ht="19.5" customHeight="1">
      <c r="A40" s="55"/>
      <c r="B40" s="56">
        <v>45698.0</v>
      </c>
      <c r="C40" s="57">
        <v>12900.0</v>
      </c>
      <c r="D40" s="57"/>
      <c r="E40" s="58" t="s">
        <v>203</v>
      </c>
      <c r="F40" s="59" t="s">
        <v>30</v>
      </c>
      <c r="G40" s="60"/>
    </row>
    <row r="41" ht="19.5" customHeight="1">
      <c r="A41" s="55"/>
      <c r="B41" s="56">
        <v>45698.0</v>
      </c>
      <c r="C41" s="57">
        <v>14690.0</v>
      </c>
      <c r="D41" s="57"/>
      <c r="E41" s="58" t="s">
        <v>204</v>
      </c>
      <c r="F41" s="59" t="s">
        <v>30</v>
      </c>
      <c r="G41" s="60"/>
    </row>
    <row r="42" ht="19.5" customHeight="1">
      <c r="A42" s="55"/>
      <c r="B42" s="56">
        <v>45698.0</v>
      </c>
      <c r="C42" s="57">
        <v>15300.0</v>
      </c>
      <c r="D42" s="57"/>
      <c r="E42" s="58" t="s">
        <v>196</v>
      </c>
      <c r="F42" s="59" t="s">
        <v>30</v>
      </c>
      <c r="G42" s="60"/>
    </row>
    <row r="43" ht="19.5" customHeight="1">
      <c r="A43" s="55"/>
      <c r="B43" s="56">
        <v>45699.0</v>
      </c>
      <c r="C43" s="57">
        <v>13980.0</v>
      </c>
      <c r="D43" s="57"/>
      <c r="E43" s="58" t="s">
        <v>203</v>
      </c>
      <c r="F43" s="59" t="s">
        <v>30</v>
      </c>
      <c r="G43" s="62"/>
    </row>
    <row r="44" ht="19.5" customHeight="1">
      <c r="A44" s="55"/>
      <c r="B44" s="104">
        <v>45699.0</v>
      </c>
      <c r="C44" s="105">
        <v>28486.31</v>
      </c>
      <c r="D44" s="105"/>
      <c r="E44" s="106" t="s">
        <v>116</v>
      </c>
      <c r="F44" s="69"/>
      <c r="G44" s="70"/>
    </row>
    <row r="45" ht="19.5" customHeight="1">
      <c r="A45" s="55"/>
      <c r="B45" s="56">
        <v>45699.0</v>
      </c>
      <c r="C45" s="57">
        <v>20100.0</v>
      </c>
      <c r="D45" s="57"/>
      <c r="E45" s="58" t="s">
        <v>51</v>
      </c>
      <c r="F45" s="61" t="s">
        <v>52</v>
      </c>
      <c r="G45" s="60" t="s">
        <v>53</v>
      </c>
    </row>
    <row r="46" ht="19.5" customHeight="1">
      <c r="A46" s="55"/>
      <c r="B46" s="56">
        <v>45699.0</v>
      </c>
      <c r="C46" s="57">
        <v>351472.0</v>
      </c>
      <c r="D46" s="57"/>
      <c r="E46" s="58" t="s">
        <v>64</v>
      </c>
      <c r="F46" s="61" t="s">
        <v>65</v>
      </c>
      <c r="G46" s="62" t="s">
        <v>26</v>
      </c>
    </row>
    <row r="47" ht="19.5" customHeight="1">
      <c r="A47" s="55"/>
      <c r="B47" s="56">
        <v>45699.0</v>
      </c>
      <c r="C47" s="57">
        <v>372234.0</v>
      </c>
      <c r="D47" s="57"/>
      <c r="E47" s="58" t="s">
        <v>66</v>
      </c>
      <c r="F47" s="61" t="s">
        <v>67</v>
      </c>
      <c r="G47" s="62" t="s">
        <v>26</v>
      </c>
    </row>
    <row r="48" ht="19.5" customHeight="1">
      <c r="A48" s="55"/>
      <c r="B48" s="56">
        <v>45700.0</v>
      </c>
      <c r="C48" s="57">
        <v>60800.0</v>
      </c>
      <c r="D48" s="57"/>
      <c r="E48" s="58" t="s">
        <v>84</v>
      </c>
      <c r="F48" s="59" t="s">
        <v>205</v>
      </c>
      <c r="G48" s="60" t="s">
        <v>26</v>
      </c>
    </row>
    <row r="49" ht="19.5" customHeight="1">
      <c r="A49" s="55"/>
      <c r="B49" s="56">
        <v>45700.0</v>
      </c>
      <c r="C49" s="63">
        <v>15884.0</v>
      </c>
      <c r="D49" s="63"/>
      <c r="E49" s="64" t="s">
        <v>206</v>
      </c>
      <c r="F49" s="61" t="s">
        <v>75</v>
      </c>
      <c r="G49" s="62" t="s">
        <v>26</v>
      </c>
    </row>
    <row r="50" ht="19.5" customHeight="1">
      <c r="A50" s="55"/>
      <c r="B50" s="56">
        <v>45700.0</v>
      </c>
      <c r="C50" s="63">
        <v>16801.0</v>
      </c>
      <c r="D50" s="63"/>
      <c r="E50" s="64" t="s">
        <v>207</v>
      </c>
      <c r="F50" s="61" t="s">
        <v>73</v>
      </c>
      <c r="G50" s="62" t="s">
        <v>26</v>
      </c>
    </row>
    <row r="51" ht="19.5" customHeight="1">
      <c r="A51" s="55"/>
      <c r="B51" s="56">
        <v>45700.0</v>
      </c>
      <c r="C51" s="63">
        <v>15658.67</v>
      </c>
      <c r="D51" s="63"/>
      <c r="E51" s="64" t="s">
        <v>208</v>
      </c>
      <c r="F51" s="61" t="s">
        <v>71</v>
      </c>
      <c r="G51" s="62" t="s">
        <v>26</v>
      </c>
    </row>
    <row r="52" ht="19.5" customHeight="1">
      <c r="A52" s="55"/>
      <c r="B52" s="56">
        <v>45700.0</v>
      </c>
      <c r="C52" s="63">
        <v>16601.0</v>
      </c>
      <c r="D52" s="63"/>
      <c r="E52" s="64" t="s">
        <v>209</v>
      </c>
      <c r="F52" s="61" t="s">
        <v>77</v>
      </c>
      <c r="G52" s="62" t="s">
        <v>26</v>
      </c>
    </row>
    <row r="53" ht="19.5" customHeight="1">
      <c r="A53" s="55"/>
      <c r="B53" s="56">
        <v>45700.0</v>
      </c>
      <c r="C53" s="63">
        <v>16801.0</v>
      </c>
      <c r="D53" s="63"/>
      <c r="E53" s="64" t="s">
        <v>210</v>
      </c>
      <c r="F53" s="61" t="s">
        <v>79</v>
      </c>
      <c r="G53" s="62" t="s">
        <v>26</v>
      </c>
    </row>
    <row r="54" ht="19.5" customHeight="1">
      <c r="A54" s="55"/>
      <c r="B54" s="56">
        <v>45700.0</v>
      </c>
      <c r="C54" s="63">
        <v>88958.0</v>
      </c>
      <c r="D54" s="63"/>
      <c r="E54" s="64" t="s">
        <v>211</v>
      </c>
      <c r="F54" s="61" t="s">
        <v>69</v>
      </c>
      <c r="G54" s="62" t="s">
        <v>26</v>
      </c>
    </row>
    <row r="55" ht="19.5" customHeight="1">
      <c r="A55" s="55"/>
      <c r="B55" s="56">
        <v>45700.0</v>
      </c>
      <c r="C55" s="63">
        <v>17300.0</v>
      </c>
      <c r="D55" s="63"/>
      <c r="E55" s="64" t="s">
        <v>212</v>
      </c>
      <c r="F55" s="59" t="s">
        <v>30</v>
      </c>
      <c r="G55" s="62"/>
    </row>
    <row r="56" ht="19.5" customHeight="1">
      <c r="A56" s="55"/>
      <c r="B56" s="104">
        <v>45700.0</v>
      </c>
      <c r="C56" s="67">
        <v>33000.0</v>
      </c>
      <c r="D56" s="67"/>
      <c r="E56" s="68" t="s">
        <v>213</v>
      </c>
      <c r="F56" s="69"/>
      <c r="G56" s="70"/>
    </row>
    <row r="57" ht="19.5" customHeight="1">
      <c r="A57" s="55"/>
      <c r="B57" s="71">
        <v>45701.0</v>
      </c>
      <c r="C57" s="72">
        <v>38445.19</v>
      </c>
      <c r="D57" s="72"/>
      <c r="E57" s="73" t="s">
        <v>82</v>
      </c>
      <c r="F57" s="74"/>
      <c r="G57" s="75"/>
    </row>
    <row r="58" ht="19.5" customHeight="1">
      <c r="A58" s="55"/>
      <c r="B58" s="65">
        <v>45701.0</v>
      </c>
      <c r="C58" s="63">
        <v>21600.0</v>
      </c>
      <c r="D58" s="63"/>
      <c r="E58" s="64" t="s">
        <v>212</v>
      </c>
      <c r="F58" s="59" t="s">
        <v>30</v>
      </c>
      <c r="G58" s="62"/>
    </row>
    <row r="59" ht="19.5" customHeight="1">
      <c r="A59" s="55"/>
      <c r="B59" s="65">
        <v>45702.0</v>
      </c>
      <c r="C59" s="63">
        <v>30860.0</v>
      </c>
      <c r="D59" s="63"/>
      <c r="E59" s="64" t="s">
        <v>117</v>
      </c>
      <c r="F59" s="59" t="s">
        <v>30</v>
      </c>
      <c r="G59" s="62"/>
    </row>
    <row r="60" ht="19.5" customHeight="1">
      <c r="A60" s="55"/>
      <c r="B60" s="65">
        <v>45702.0</v>
      </c>
      <c r="C60" s="63">
        <v>5200.0</v>
      </c>
      <c r="D60" s="63"/>
      <c r="E60" s="64" t="s">
        <v>214</v>
      </c>
      <c r="F60" s="59" t="s">
        <v>30</v>
      </c>
      <c r="G60" s="62"/>
    </row>
    <row r="61" ht="19.5" customHeight="1">
      <c r="A61" s="55"/>
      <c r="B61" s="65">
        <v>45703.0</v>
      </c>
      <c r="C61" s="63">
        <v>4750.0</v>
      </c>
      <c r="D61" s="63"/>
      <c r="E61" s="64" t="s">
        <v>33</v>
      </c>
      <c r="F61" s="59" t="s">
        <v>30</v>
      </c>
      <c r="G61" s="62"/>
    </row>
    <row r="62" ht="19.5" customHeight="1">
      <c r="A62" s="55"/>
      <c r="B62" s="65">
        <v>45703.0</v>
      </c>
      <c r="C62" s="63">
        <v>110007.02</v>
      </c>
      <c r="D62" s="63"/>
      <c r="E62" s="64" t="s">
        <v>34</v>
      </c>
      <c r="F62" s="59" t="s">
        <v>30</v>
      </c>
      <c r="G62" s="62"/>
    </row>
    <row r="63" ht="19.5" customHeight="1">
      <c r="A63" s="55"/>
      <c r="B63" s="65">
        <v>45703.0</v>
      </c>
      <c r="C63" s="63">
        <v>6289.0</v>
      </c>
      <c r="D63" s="63"/>
      <c r="E63" s="64" t="s">
        <v>56</v>
      </c>
      <c r="F63" s="61" t="s">
        <v>215</v>
      </c>
      <c r="G63" s="62" t="s">
        <v>26</v>
      </c>
    </row>
    <row r="64" ht="19.5" customHeight="1">
      <c r="A64" s="55"/>
      <c r="B64" s="65">
        <v>45704.0</v>
      </c>
      <c r="C64" s="63">
        <v>1998.0</v>
      </c>
      <c r="D64" s="63"/>
      <c r="E64" s="64" t="s">
        <v>99</v>
      </c>
      <c r="F64" s="61" t="s">
        <v>216</v>
      </c>
      <c r="G64" s="62" t="s">
        <v>26</v>
      </c>
    </row>
    <row r="65" ht="19.5" customHeight="1">
      <c r="A65" s="55"/>
      <c r="B65" s="65">
        <v>45704.0</v>
      </c>
      <c r="C65" s="63">
        <v>9328.0</v>
      </c>
      <c r="D65" s="63"/>
      <c r="E65" s="64" t="s">
        <v>99</v>
      </c>
      <c r="F65" s="61" t="s">
        <v>217</v>
      </c>
      <c r="G65" s="62" t="s">
        <v>26</v>
      </c>
    </row>
    <row r="66" ht="19.5" customHeight="1">
      <c r="A66" s="55"/>
      <c r="B66" s="65">
        <v>45705.0</v>
      </c>
      <c r="C66" s="63">
        <v>77040.0</v>
      </c>
      <c r="D66" s="63"/>
      <c r="E66" s="64" t="s">
        <v>24</v>
      </c>
      <c r="F66" s="61" t="s">
        <v>218</v>
      </c>
      <c r="G66" s="62" t="s">
        <v>26</v>
      </c>
    </row>
    <row r="67" ht="19.5" customHeight="1">
      <c r="A67" s="55"/>
      <c r="B67" s="65">
        <v>45705.0</v>
      </c>
      <c r="C67" s="63">
        <v>38520.0</v>
      </c>
      <c r="D67" s="63"/>
      <c r="E67" s="64" t="s">
        <v>24</v>
      </c>
      <c r="F67" s="61" t="s">
        <v>219</v>
      </c>
      <c r="G67" s="62" t="s">
        <v>26</v>
      </c>
    </row>
    <row r="68" ht="19.5" customHeight="1">
      <c r="A68" s="55"/>
      <c r="B68" s="65">
        <v>45705.0</v>
      </c>
      <c r="C68" s="63">
        <v>38520.0</v>
      </c>
      <c r="D68" s="63"/>
      <c r="E68" s="64" t="s">
        <v>24</v>
      </c>
      <c r="F68" s="61" t="s">
        <v>178</v>
      </c>
      <c r="G68" s="62" t="s">
        <v>26</v>
      </c>
    </row>
    <row r="69" ht="19.5" customHeight="1">
      <c r="A69" s="55"/>
      <c r="B69" s="65">
        <v>45705.0</v>
      </c>
      <c r="C69" s="63">
        <v>38520.0</v>
      </c>
      <c r="D69" s="63"/>
      <c r="E69" s="64" t="s">
        <v>24</v>
      </c>
      <c r="F69" s="61" t="s">
        <v>220</v>
      </c>
      <c r="G69" s="62" t="s">
        <v>26</v>
      </c>
    </row>
    <row r="70" ht="19.5" customHeight="1">
      <c r="A70" s="55"/>
      <c r="B70" s="65">
        <v>45705.0</v>
      </c>
      <c r="C70" s="63">
        <v>3900.0</v>
      </c>
      <c r="D70" s="63"/>
      <c r="E70" s="64" t="s">
        <v>33</v>
      </c>
      <c r="F70" s="59" t="s">
        <v>30</v>
      </c>
      <c r="G70" s="62"/>
    </row>
    <row r="71" ht="19.5" customHeight="1">
      <c r="A71" s="55"/>
      <c r="B71" s="65">
        <v>45705.0</v>
      </c>
      <c r="C71" s="63">
        <v>122910.06</v>
      </c>
      <c r="D71" s="63"/>
      <c r="E71" s="64" t="s">
        <v>221</v>
      </c>
      <c r="F71" s="59" t="s">
        <v>30</v>
      </c>
      <c r="G71" s="62"/>
    </row>
    <row r="72" ht="19.5" customHeight="1">
      <c r="A72" s="55"/>
      <c r="B72" s="65">
        <v>45705.0</v>
      </c>
      <c r="C72" s="63">
        <v>12430.0</v>
      </c>
      <c r="D72" s="63"/>
      <c r="E72" s="64" t="s">
        <v>201</v>
      </c>
      <c r="F72" s="61" t="s">
        <v>30</v>
      </c>
      <c r="G72" s="62"/>
    </row>
    <row r="73" ht="19.5" customHeight="1">
      <c r="A73" s="55"/>
      <c r="B73" s="65">
        <v>45705.0</v>
      </c>
      <c r="C73" s="63">
        <v>6738.0</v>
      </c>
      <c r="D73" s="63"/>
      <c r="E73" s="64" t="s">
        <v>99</v>
      </c>
      <c r="F73" s="61" t="s">
        <v>222</v>
      </c>
      <c r="G73" s="62" t="s">
        <v>26</v>
      </c>
    </row>
    <row r="74" ht="19.5" customHeight="1">
      <c r="A74" s="55"/>
      <c r="B74" s="66">
        <v>45706.0</v>
      </c>
      <c r="C74" s="67">
        <v>30500.0</v>
      </c>
      <c r="D74" s="67"/>
      <c r="E74" s="68" t="s">
        <v>223</v>
      </c>
      <c r="F74" s="69"/>
      <c r="G74" s="70"/>
    </row>
    <row r="75" ht="19.5" customHeight="1">
      <c r="A75" s="55"/>
      <c r="B75" s="65">
        <v>45706.0</v>
      </c>
      <c r="C75" s="63">
        <v>11850.0</v>
      </c>
      <c r="D75" s="63"/>
      <c r="E75" s="64" t="s">
        <v>33</v>
      </c>
      <c r="F75" s="59" t="s">
        <v>30</v>
      </c>
      <c r="G75" s="62"/>
    </row>
    <row r="76" ht="19.5" customHeight="1">
      <c r="A76" s="55"/>
      <c r="B76" s="65">
        <v>45706.0</v>
      </c>
      <c r="C76" s="63">
        <v>1493309.54</v>
      </c>
      <c r="D76" s="63"/>
      <c r="E76" s="64" t="s">
        <v>92</v>
      </c>
      <c r="F76" s="61" t="s">
        <v>93</v>
      </c>
      <c r="G76" s="62" t="s">
        <v>26</v>
      </c>
    </row>
    <row r="77" ht="19.5" customHeight="1">
      <c r="A77" s="55"/>
      <c r="B77" s="66">
        <v>45707.0</v>
      </c>
      <c r="C77" s="67">
        <v>16610.0</v>
      </c>
      <c r="D77" s="67"/>
      <c r="E77" s="68" t="s">
        <v>224</v>
      </c>
      <c r="F77" s="69"/>
      <c r="G77" s="70"/>
    </row>
    <row r="78" ht="19.5" customHeight="1">
      <c r="A78" s="55"/>
      <c r="B78" s="65">
        <v>45707.0</v>
      </c>
      <c r="C78" s="63">
        <v>10365.0</v>
      </c>
      <c r="D78" s="63"/>
      <c r="E78" s="64" t="s">
        <v>33</v>
      </c>
      <c r="F78" s="59" t="s">
        <v>30</v>
      </c>
      <c r="G78" s="62"/>
    </row>
    <row r="79" ht="19.5" customHeight="1">
      <c r="A79" s="55"/>
      <c r="B79" s="65">
        <v>45707.0</v>
      </c>
      <c r="C79" s="63">
        <v>109002.0</v>
      </c>
      <c r="D79" s="63"/>
      <c r="E79" s="64" t="s">
        <v>34</v>
      </c>
      <c r="F79" s="59" t="s">
        <v>30</v>
      </c>
      <c r="G79" s="62"/>
    </row>
    <row r="80" ht="19.5" customHeight="1">
      <c r="A80" s="55"/>
      <c r="B80" s="65">
        <v>45707.0</v>
      </c>
      <c r="C80" s="63">
        <v>6400.0</v>
      </c>
      <c r="D80" s="63"/>
      <c r="E80" s="64" t="s">
        <v>214</v>
      </c>
      <c r="F80" s="59" t="s">
        <v>30</v>
      </c>
      <c r="G80" s="62"/>
    </row>
    <row r="81" ht="19.5" customHeight="1">
      <c r="A81" s="55"/>
      <c r="B81" s="65">
        <v>45707.0</v>
      </c>
      <c r="C81" s="63">
        <v>42058.04</v>
      </c>
      <c r="D81" s="63"/>
      <c r="E81" s="64" t="s">
        <v>225</v>
      </c>
      <c r="F81" s="61" t="s">
        <v>226</v>
      </c>
      <c r="G81" s="62" t="s">
        <v>26</v>
      </c>
    </row>
    <row r="82" ht="19.5" customHeight="1">
      <c r="A82" s="55"/>
      <c r="B82" s="65">
        <v>45707.0</v>
      </c>
      <c r="C82" s="63">
        <v>926654.38</v>
      </c>
      <c r="D82" s="63"/>
      <c r="E82" s="64" t="s">
        <v>103</v>
      </c>
      <c r="F82" s="61" t="s">
        <v>104</v>
      </c>
      <c r="G82" s="62" t="s">
        <v>26</v>
      </c>
    </row>
    <row r="83" ht="19.5" customHeight="1">
      <c r="A83" s="55"/>
      <c r="B83" s="66">
        <v>45707.0</v>
      </c>
      <c r="C83" s="67">
        <v>30639.0</v>
      </c>
      <c r="D83" s="67"/>
      <c r="E83" s="68" t="s">
        <v>81</v>
      </c>
      <c r="F83" s="69"/>
      <c r="G83" s="70"/>
    </row>
    <row r="84" ht="19.5" customHeight="1">
      <c r="A84" s="55"/>
      <c r="B84" s="66">
        <v>45708.0</v>
      </c>
      <c r="C84" s="67">
        <v>30690.0</v>
      </c>
      <c r="D84" s="67"/>
      <c r="E84" s="68" t="s">
        <v>224</v>
      </c>
      <c r="F84" s="69"/>
      <c r="G84" s="70"/>
    </row>
    <row r="85" ht="19.5" customHeight="1">
      <c r="A85" s="55"/>
      <c r="B85" s="66">
        <v>45708.0</v>
      </c>
      <c r="C85" s="67">
        <v>13300.0</v>
      </c>
      <c r="D85" s="67"/>
      <c r="E85" s="68" t="s">
        <v>224</v>
      </c>
      <c r="F85" s="69"/>
      <c r="G85" s="70"/>
    </row>
    <row r="86" ht="19.5" customHeight="1">
      <c r="A86" s="55"/>
      <c r="B86" s="65">
        <v>45708.0</v>
      </c>
      <c r="C86" s="63">
        <v>11700.0</v>
      </c>
      <c r="D86" s="63"/>
      <c r="E86" s="64" t="s">
        <v>214</v>
      </c>
      <c r="F86" s="59" t="s">
        <v>30</v>
      </c>
      <c r="G86" s="62"/>
    </row>
    <row r="87" ht="19.5" customHeight="1">
      <c r="A87" s="55"/>
      <c r="B87" s="65">
        <v>45708.0</v>
      </c>
      <c r="C87" s="63">
        <v>13275.98</v>
      </c>
      <c r="D87" s="63"/>
      <c r="E87" s="64" t="s">
        <v>214</v>
      </c>
      <c r="F87" s="59" t="s">
        <v>30</v>
      </c>
      <c r="G87" s="62"/>
    </row>
    <row r="88" ht="19.5" customHeight="1">
      <c r="A88" s="55"/>
      <c r="B88" s="65">
        <v>45708.0</v>
      </c>
      <c r="C88" s="63">
        <v>21900.0</v>
      </c>
      <c r="D88" s="63"/>
      <c r="E88" s="64" t="s">
        <v>212</v>
      </c>
      <c r="F88" s="59" t="s">
        <v>30</v>
      </c>
      <c r="G88" s="62"/>
    </row>
    <row r="89" ht="19.5" customHeight="1">
      <c r="A89" s="55"/>
      <c r="B89" s="65">
        <v>45708.0</v>
      </c>
      <c r="C89" s="63"/>
      <c r="D89" s="63">
        <v>1.99</v>
      </c>
      <c r="E89" s="64" t="s">
        <v>227</v>
      </c>
      <c r="F89" s="61" t="s">
        <v>55</v>
      </c>
      <c r="G89" s="62"/>
    </row>
    <row r="90" ht="19.5" customHeight="1">
      <c r="A90" s="55"/>
      <c r="B90" s="66">
        <v>45709.0</v>
      </c>
      <c r="C90" s="67">
        <v>8000.0</v>
      </c>
      <c r="D90" s="67"/>
      <c r="E90" s="68" t="s">
        <v>228</v>
      </c>
      <c r="F90" s="69"/>
      <c r="G90" s="70"/>
    </row>
    <row r="91" ht="19.5" customHeight="1">
      <c r="A91" s="55"/>
      <c r="B91" s="66">
        <v>45709.0</v>
      </c>
      <c r="C91" s="67">
        <v>10500.0</v>
      </c>
      <c r="D91" s="67"/>
      <c r="E91" s="68" t="s">
        <v>223</v>
      </c>
      <c r="F91" s="69"/>
      <c r="G91" s="70"/>
    </row>
    <row r="92" ht="19.5" customHeight="1">
      <c r="A92" s="55"/>
      <c r="B92" s="65">
        <v>45709.0</v>
      </c>
      <c r="C92" s="63">
        <v>12860.0</v>
      </c>
      <c r="D92" s="63"/>
      <c r="E92" s="64" t="s">
        <v>229</v>
      </c>
      <c r="F92" s="59" t="s">
        <v>30</v>
      </c>
      <c r="G92" s="62"/>
    </row>
    <row r="93" ht="19.5" customHeight="1">
      <c r="A93" s="55"/>
      <c r="B93" s="65">
        <v>45709.0</v>
      </c>
      <c r="C93" s="63">
        <v>114003.0</v>
      </c>
      <c r="D93" s="63"/>
      <c r="E93" s="64" t="s">
        <v>229</v>
      </c>
      <c r="F93" s="59" t="s">
        <v>30</v>
      </c>
      <c r="G93" s="62"/>
    </row>
    <row r="94" ht="19.5" customHeight="1">
      <c r="A94" s="55"/>
      <c r="B94" s="65">
        <v>45709.0</v>
      </c>
      <c r="C94" s="63">
        <v>22900.0</v>
      </c>
      <c r="D94" s="63"/>
      <c r="E94" s="64" t="s">
        <v>212</v>
      </c>
      <c r="F94" s="59" t="s">
        <v>30</v>
      </c>
      <c r="G94" s="62"/>
    </row>
    <row r="95" ht="19.5" customHeight="1">
      <c r="A95" s="55"/>
      <c r="B95" s="65">
        <v>45710.0</v>
      </c>
      <c r="C95" s="63">
        <v>8610.0</v>
      </c>
      <c r="D95" s="63"/>
      <c r="E95" s="64" t="s">
        <v>33</v>
      </c>
      <c r="F95" s="59" t="s">
        <v>30</v>
      </c>
      <c r="G95" s="62"/>
    </row>
    <row r="96" ht="19.5" customHeight="1">
      <c r="A96" s="55"/>
      <c r="B96" s="66">
        <v>45710.0</v>
      </c>
      <c r="C96" s="67">
        <v>12700.0</v>
      </c>
      <c r="D96" s="67"/>
      <c r="E96" s="68" t="s">
        <v>230</v>
      </c>
      <c r="F96" s="69"/>
      <c r="G96" s="70"/>
    </row>
    <row r="97" ht="19.5" customHeight="1">
      <c r="A97" s="55"/>
      <c r="B97" s="65">
        <v>45711.0</v>
      </c>
      <c r="C97" s="63">
        <v>11150.0</v>
      </c>
      <c r="D97" s="63"/>
      <c r="E97" s="64" t="s">
        <v>33</v>
      </c>
      <c r="F97" s="59" t="s">
        <v>30</v>
      </c>
      <c r="G97" s="62"/>
    </row>
    <row r="98" ht="19.5" customHeight="1">
      <c r="A98" s="55"/>
      <c r="B98" s="65">
        <v>45712.0</v>
      </c>
      <c r="C98" s="63">
        <v>18285.19</v>
      </c>
      <c r="D98" s="63"/>
      <c r="E98" s="64" t="s">
        <v>231</v>
      </c>
      <c r="F98" s="61" t="s">
        <v>232</v>
      </c>
      <c r="G98" s="62" t="s">
        <v>26</v>
      </c>
    </row>
    <row r="99" ht="19.5" customHeight="1">
      <c r="A99" s="55"/>
      <c r="B99" s="65">
        <v>45712.0</v>
      </c>
      <c r="C99" s="63">
        <v>6205.0</v>
      </c>
      <c r="D99" s="63"/>
      <c r="E99" s="64" t="s">
        <v>233</v>
      </c>
      <c r="F99" s="59" t="s">
        <v>30</v>
      </c>
      <c r="G99" s="62"/>
    </row>
    <row r="100" ht="19.5" customHeight="1">
      <c r="A100" s="55"/>
      <c r="B100" s="65">
        <v>45714.0</v>
      </c>
      <c r="C100" s="63">
        <v>115560.0</v>
      </c>
      <c r="D100" s="63"/>
      <c r="E100" s="64" t="s">
        <v>24</v>
      </c>
      <c r="F100" s="61" t="s">
        <v>234</v>
      </c>
      <c r="G100" s="62" t="s">
        <v>26</v>
      </c>
    </row>
    <row r="101" ht="19.5" customHeight="1">
      <c r="A101" s="55"/>
      <c r="B101" s="65">
        <v>45714.0</v>
      </c>
      <c r="C101" s="63">
        <v>62060.0</v>
      </c>
      <c r="D101" s="63"/>
      <c r="E101" s="64" t="s">
        <v>24</v>
      </c>
      <c r="F101" s="61" t="s">
        <v>235</v>
      </c>
      <c r="G101" s="62" t="s">
        <v>26</v>
      </c>
    </row>
    <row r="102" ht="19.5" customHeight="1">
      <c r="A102" s="55"/>
      <c r="B102" s="65">
        <v>45714.0</v>
      </c>
      <c r="C102" s="63">
        <v>5337.0</v>
      </c>
      <c r="D102" s="63"/>
      <c r="E102" s="64" t="s">
        <v>236</v>
      </c>
      <c r="F102" s="61" t="s">
        <v>30</v>
      </c>
      <c r="G102" s="62"/>
    </row>
    <row r="103" ht="19.5" customHeight="1">
      <c r="A103" s="76"/>
      <c r="B103" s="66">
        <v>45714.0</v>
      </c>
      <c r="C103" s="67">
        <v>19169.0</v>
      </c>
      <c r="D103" s="67"/>
      <c r="E103" s="68" t="s">
        <v>80</v>
      </c>
      <c r="F103" s="69"/>
      <c r="G103" s="109"/>
    </row>
    <row r="104" ht="30.0" customHeight="1">
      <c r="A104" s="78" t="s">
        <v>111</v>
      </c>
      <c r="B104" s="79"/>
      <c r="C104" s="80">
        <f t="shared" ref="C104:D104" si="3">SUM(C19:C103)</f>
        <v>5490243.35</v>
      </c>
      <c r="D104" s="80">
        <f t="shared" si="3"/>
        <v>3.98</v>
      </c>
      <c r="E104" s="81"/>
      <c r="F104" s="82"/>
    </row>
    <row r="105" ht="4.5" customHeight="1">
      <c r="A105" s="83"/>
      <c r="B105" s="84"/>
      <c r="C105" s="84"/>
      <c r="D105" s="84"/>
      <c r="E105" s="84"/>
      <c r="F105" s="84"/>
      <c r="G105" s="85"/>
    </row>
    <row r="106" ht="19.5" customHeight="1">
      <c r="A106" s="49" t="s">
        <v>112</v>
      </c>
      <c r="B106" s="65">
        <v>45657.0</v>
      </c>
      <c r="C106" s="63">
        <v>8666.66</v>
      </c>
      <c r="D106" s="51"/>
      <c r="E106" s="64" t="s">
        <v>237</v>
      </c>
      <c r="F106" s="61" t="s">
        <v>114</v>
      </c>
      <c r="G106" s="62" t="s">
        <v>44</v>
      </c>
    </row>
    <row r="107" ht="19.5" customHeight="1">
      <c r="A107" s="55"/>
      <c r="B107" s="65">
        <v>45689.0</v>
      </c>
      <c r="C107" s="63">
        <v>70843.64</v>
      </c>
      <c r="D107" s="63"/>
      <c r="E107" s="64" t="s">
        <v>119</v>
      </c>
      <c r="F107" s="61" t="s">
        <v>114</v>
      </c>
      <c r="G107" s="62" t="s">
        <v>44</v>
      </c>
    </row>
    <row r="108" ht="19.5" customHeight="1">
      <c r="A108" s="55"/>
      <c r="B108" s="65">
        <v>45693.0</v>
      </c>
      <c r="C108" s="63">
        <v>40598.61</v>
      </c>
      <c r="D108" s="63"/>
      <c r="E108" s="64" t="s">
        <v>238</v>
      </c>
      <c r="F108" s="61" t="s">
        <v>114</v>
      </c>
      <c r="G108" s="62" t="s">
        <v>44</v>
      </c>
    </row>
    <row r="109" ht="19.5" customHeight="1">
      <c r="A109" s="55"/>
      <c r="B109" s="65">
        <v>45698.0</v>
      </c>
      <c r="C109" s="63">
        <v>40000.0</v>
      </c>
      <c r="D109" s="63"/>
      <c r="E109" s="64" t="s">
        <v>239</v>
      </c>
      <c r="F109" s="61" t="s">
        <v>240</v>
      </c>
      <c r="G109" s="62" t="s">
        <v>26</v>
      </c>
    </row>
    <row r="110" ht="19.5" customHeight="1">
      <c r="A110" s="55"/>
      <c r="B110" s="65">
        <v>45704.0</v>
      </c>
      <c r="C110" s="63">
        <v>109853.34</v>
      </c>
      <c r="D110" s="63"/>
      <c r="E110" s="64" t="s">
        <v>241</v>
      </c>
      <c r="F110" s="61" t="s">
        <v>114</v>
      </c>
      <c r="G110" s="62" t="s">
        <v>44</v>
      </c>
    </row>
    <row r="111" ht="19.5" customHeight="1">
      <c r="A111" s="55"/>
      <c r="B111" s="65">
        <v>45711.0</v>
      </c>
      <c r="C111" s="63">
        <v>20000.0</v>
      </c>
      <c r="D111" s="63"/>
      <c r="E111" s="64" t="s">
        <v>242</v>
      </c>
      <c r="F111" s="61" t="s">
        <v>114</v>
      </c>
      <c r="G111" s="77" t="s">
        <v>44</v>
      </c>
    </row>
    <row r="112" ht="30.0" customHeight="1">
      <c r="A112" s="78" t="s">
        <v>111</v>
      </c>
      <c r="B112" s="79"/>
      <c r="C112" s="80">
        <f t="shared" ref="C112:D112" si="4">SUM(C106:C111)</f>
        <v>289962.25</v>
      </c>
      <c r="D112" s="80">
        <f t="shared" si="4"/>
        <v>0</v>
      </c>
      <c r="E112" s="81"/>
      <c r="F112" s="82"/>
    </row>
    <row r="113" ht="4.5" customHeight="1">
      <c r="A113" s="83"/>
      <c r="B113" s="84"/>
      <c r="C113" s="84"/>
      <c r="D113" s="84"/>
      <c r="E113" s="84"/>
      <c r="F113" s="84"/>
      <c r="G113" s="85"/>
    </row>
    <row r="114" ht="19.5" customHeight="1">
      <c r="A114" s="49" t="s">
        <v>125</v>
      </c>
      <c r="B114" s="50">
        <v>45687.0</v>
      </c>
      <c r="C114" s="51">
        <v>62883.79</v>
      </c>
      <c r="D114" s="51"/>
      <c r="E114" s="52" t="s">
        <v>243</v>
      </c>
      <c r="F114" s="61"/>
      <c r="G114" s="62"/>
    </row>
    <row r="115" ht="19.5" customHeight="1">
      <c r="A115" s="55"/>
      <c r="B115" s="56">
        <v>45690.0</v>
      </c>
      <c r="C115" s="57">
        <v>61049.07</v>
      </c>
      <c r="D115" s="57"/>
      <c r="E115" s="58" t="s">
        <v>147</v>
      </c>
      <c r="F115" s="61" t="s">
        <v>244</v>
      </c>
      <c r="G115" s="62" t="s">
        <v>26</v>
      </c>
    </row>
    <row r="116" ht="19.5" customHeight="1">
      <c r="A116" s="55"/>
      <c r="B116" s="56">
        <v>45690.0</v>
      </c>
      <c r="C116" s="57">
        <v>91620.96</v>
      </c>
      <c r="D116" s="57"/>
      <c r="E116" s="58" t="s">
        <v>147</v>
      </c>
      <c r="F116" s="61" t="s">
        <v>245</v>
      </c>
      <c r="G116" s="62" t="s">
        <v>26</v>
      </c>
    </row>
    <row r="117" ht="19.5" customHeight="1">
      <c r="A117" s="55"/>
      <c r="B117" s="56">
        <v>45690.0</v>
      </c>
      <c r="C117" s="57">
        <v>106030.97</v>
      </c>
      <c r="D117" s="57"/>
      <c r="E117" s="58" t="s">
        <v>147</v>
      </c>
      <c r="F117" s="61"/>
      <c r="G117" s="62"/>
    </row>
    <row r="118" ht="19.5" customHeight="1">
      <c r="A118" s="55"/>
      <c r="B118" s="56">
        <v>45690.0</v>
      </c>
      <c r="C118" s="57">
        <v>14780.0</v>
      </c>
      <c r="D118" s="57"/>
      <c r="E118" s="58" t="s">
        <v>147</v>
      </c>
      <c r="F118" s="61" t="s">
        <v>246</v>
      </c>
      <c r="G118" s="62" t="s">
        <v>26</v>
      </c>
    </row>
    <row r="119" ht="19.5" customHeight="1">
      <c r="A119" s="55"/>
      <c r="B119" s="56">
        <v>45690.0</v>
      </c>
      <c r="C119" s="57">
        <v>83986.0</v>
      </c>
      <c r="D119" s="57"/>
      <c r="E119" s="58" t="s">
        <v>247</v>
      </c>
      <c r="F119" s="61" t="s">
        <v>246</v>
      </c>
      <c r="G119" s="62" t="s">
        <v>26</v>
      </c>
    </row>
    <row r="120" ht="19.5" customHeight="1">
      <c r="A120" s="55"/>
      <c r="B120" s="56">
        <v>45691.0</v>
      </c>
      <c r="C120" s="57">
        <v>7700.0</v>
      </c>
      <c r="D120" s="57"/>
      <c r="E120" s="58" t="s">
        <v>133</v>
      </c>
      <c r="F120" s="61"/>
      <c r="G120" s="62"/>
    </row>
    <row r="121" ht="19.5" customHeight="1">
      <c r="A121" s="55"/>
      <c r="B121" s="56">
        <v>45692.0</v>
      </c>
      <c r="C121" s="57">
        <v>19300.0</v>
      </c>
      <c r="D121" s="57"/>
      <c r="E121" s="58" t="s">
        <v>248</v>
      </c>
      <c r="F121" s="61"/>
      <c r="G121" s="62"/>
    </row>
    <row r="122" ht="19.5" customHeight="1">
      <c r="A122" s="55"/>
      <c r="B122" s="56">
        <v>45692.0</v>
      </c>
      <c r="C122" s="57">
        <v>4797.44</v>
      </c>
      <c r="D122" s="57"/>
      <c r="E122" s="58" t="s">
        <v>129</v>
      </c>
      <c r="F122" s="61"/>
      <c r="G122" s="62"/>
    </row>
    <row r="123" ht="19.5" customHeight="1">
      <c r="A123" s="55"/>
      <c r="B123" s="56">
        <v>45695.0</v>
      </c>
      <c r="C123" s="57">
        <v>40000.0</v>
      </c>
      <c r="D123" s="57"/>
      <c r="E123" s="58" t="s">
        <v>249</v>
      </c>
      <c r="F123" s="59" t="s">
        <v>250</v>
      </c>
      <c r="G123" s="60"/>
    </row>
    <row r="124" ht="19.5" customHeight="1">
      <c r="A124" s="55"/>
      <c r="B124" s="56">
        <v>45695.0</v>
      </c>
      <c r="C124" s="57">
        <v>26500.0</v>
      </c>
      <c r="D124" s="57"/>
      <c r="E124" s="58" t="s">
        <v>251</v>
      </c>
      <c r="F124" s="59" t="s">
        <v>252</v>
      </c>
      <c r="G124" s="60"/>
    </row>
    <row r="125" ht="19.5" customHeight="1">
      <c r="A125" s="55"/>
      <c r="B125" s="56">
        <v>45696.0</v>
      </c>
      <c r="C125" s="57">
        <v>12500.0</v>
      </c>
      <c r="D125" s="57"/>
      <c r="E125" s="58" t="s">
        <v>248</v>
      </c>
      <c r="F125" s="59" t="s">
        <v>253</v>
      </c>
      <c r="G125" s="60"/>
    </row>
    <row r="126" ht="19.5" customHeight="1">
      <c r="A126" s="55"/>
      <c r="B126" s="56">
        <v>45696.0</v>
      </c>
      <c r="C126" s="57">
        <v>2779.0</v>
      </c>
      <c r="D126" s="57"/>
      <c r="E126" s="58" t="s">
        <v>254</v>
      </c>
      <c r="F126" s="59" t="s">
        <v>255</v>
      </c>
      <c r="G126" s="60"/>
    </row>
    <row r="127" ht="19.5" customHeight="1">
      <c r="A127" s="55"/>
      <c r="B127" s="56">
        <v>45697.0</v>
      </c>
      <c r="C127" s="57">
        <v>40000.0</v>
      </c>
      <c r="D127" s="57"/>
      <c r="E127" s="58" t="s">
        <v>117</v>
      </c>
      <c r="F127" s="59" t="s">
        <v>250</v>
      </c>
      <c r="G127" s="60"/>
    </row>
    <row r="128" ht="19.5" customHeight="1">
      <c r="A128" s="55"/>
      <c r="B128" s="56">
        <v>45697.0</v>
      </c>
      <c r="C128" s="57">
        <v>11700.0</v>
      </c>
      <c r="D128" s="57"/>
      <c r="E128" s="58" t="s">
        <v>256</v>
      </c>
      <c r="F128" s="59" t="s">
        <v>253</v>
      </c>
      <c r="G128" s="60"/>
    </row>
    <row r="129" ht="19.5" customHeight="1">
      <c r="A129" s="110"/>
      <c r="B129" s="56">
        <v>45715.0</v>
      </c>
      <c r="C129" s="57">
        <v>8016.53</v>
      </c>
      <c r="D129" s="57"/>
      <c r="E129" s="58" t="s">
        <v>257</v>
      </c>
      <c r="F129" s="59"/>
      <c r="G129" s="62"/>
    </row>
    <row r="130" ht="19.5" customHeight="1">
      <c r="A130" s="111" t="s">
        <v>258</v>
      </c>
      <c r="B130" s="56">
        <v>45708.0</v>
      </c>
      <c r="C130" s="57">
        <v>5872.4</v>
      </c>
      <c r="D130" s="57"/>
      <c r="E130" s="58" t="s">
        <v>131</v>
      </c>
      <c r="F130" s="59"/>
      <c r="G130" s="112"/>
    </row>
    <row r="131" ht="30.0" customHeight="1">
      <c r="A131" s="78" t="s">
        <v>111</v>
      </c>
      <c r="B131" s="79"/>
      <c r="C131" s="80">
        <f>SUM(C114:C130)</f>
        <v>599516.16</v>
      </c>
      <c r="D131" s="80">
        <f>SUM(D115:D129)</f>
        <v>0</v>
      </c>
      <c r="E131" s="81"/>
      <c r="F131" s="82"/>
    </row>
    <row r="132" ht="4.5" customHeight="1">
      <c r="A132" s="83"/>
      <c r="B132" s="84"/>
      <c r="C132" s="84"/>
      <c r="D132" s="84"/>
      <c r="E132" s="84"/>
      <c r="F132" s="84"/>
      <c r="G132" s="85"/>
    </row>
    <row r="133" ht="19.5" customHeight="1">
      <c r="A133" s="49" t="s">
        <v>14</v>
      </c>
      <c r="B133" s="50">
        <v>45688.0</v>
      </c>
      <c r="C133" s="51">
        <v>40900.0</v>
      </c>
      <c r="D133" s="51"/>
      <c r="E133" s="52" t="s">
        <v>231</v>
      </c>
      <c r="F133" s="53" t="s">
        <v>259</v>
      </c>
      <c r="G133" s="54" t="s">
        <v>26</v>
      </c>
    </row>
    <row r="134" ht="19.5" customHeight="1">
      <c r="A134" s="55"/>
      <c r="B134" s="65">
        <v>45691.0</v>
      </c>
      <c r="C134" s="63">
        <v>60080.0</v>
      </c>
      <c r="D134" s="63"/>
      <c r="E134" s="64" t="s">
        <v>260</v>
      </c>
      <c r="F134" s="61" t="s">
        <v>261</v>
      </c>
      <c r="G134" s="62" t="s">
        <v>26</v>
      </c>
    </row>
    <row r="135" ht="30.0" customHeight="1">
      <c r="A135" s="78" t="s">
        <v>111</v>
      </c>
      <c r="B135" s="79"/>
      <c r="C135" s="80">
        <f t="shared" ref="C135:D135" si="5">SUM(C133:C134)</f>
        <v>100980</v>
      </c>
      <c r="D135" s="80">
        <f t="shared" si="5"/>
        <v>0</v>
      </c>
      <c r="E135" s="92"/>
      <c r="F135" s="82"/>
      <c r="G135" s="93"/>
    </row>
    <row r="136" ht="4.5" customHeight="1">
      <c r="A136" s="83"/>
      <c r="B136" s="84"/>
      <c r="C136" s="84"/>
      <c r="D136" s="84"/>
      <c r="E136" s="84"/>
      <c r="F136" s="84"/>
      <c r="G136" s="85"/>
    </row>
    <row r="137" ht="19.5" customHeight="1">
      <c r="A137" s="49" t="s">
        <v>15</v>
      </c>
      <c r="B137" s="94">
        <v>45691.0</v>
      </c>
      <c r="C137" s="51">
        <v>50932.0</v>
      </c>
      <c r="D137" s="51"/>
      <c r="E137" s="52" t="s">
        <v>162</v>
      </c>
      <c r="F137" s="54" t="s">
        <v>262</v>
      </c>
      <c r="G137" s="54" t="s">
        <v>26</v>
      </c>
    </row>
    <row r="138" ht="19.5" customHeight="1">
      <c r="A138" s="55"/>
      <c r="B138" s="95">
        <v>45694.0</v>
      </c>
      <c r="C138" s="57">
        <v>29900.0</v>
      </c>
      <c r="D138" s="57"/>
      <c r="E138" s="58" t="s">
        <v>162</v>
      </c>
      <c r="F138" s="60" t="s">
        <v>263</v>
      </c>
      <c r="G138" s="60" t="s">
        <v>26</v>
      </c>
    </row>
    <row r="139" ht="19.5" customHeight="1">
      <c r="A139" s="55"/>
      <c r="B139" s="95">
        <v>45694.0</v>
      </c>
      <c r="C139" s="57">
        <v>29690.0</v>
      </c>
      <c r="D139" s="57"/>
      <c r="E139" s="58" t="s">
        <v>162</v>
      </c>
      <c r="F139" s="60" t="s">
        <v>264</v>
      </c>
      <c r="G139" s="60" t="s">
        <v>26</v>
      </c>
    </row>
    <row r="140" ht="19.5" customHeight="1">
      <c r="A140" s="55"/>
      <c r="B140" s="95">
        <v>45695.0</v>
      </c>
      <c r="C140" s="57">
        <v>177074.22</v>
      </c>
      <c r="D140" s="57"/>
      <c r="E140" s="58" t="s">
        <v>179</v>
      </c>
      <c r="F140" s="60" t="s">
        <v>180</v>
      </c>
      <c r="G140" s="60" t="s">
        <v>26</v>
      </c>
    </row>
    <row r="141" ht="19.5" customHeight="1">
      <c r="A141" s="55"/>
      <c r="B141" s="95">
        <v>45697.0</v>
      </c>
      <c r="C141" s="57">
        <v>28140.0</v>
      </c>
      <c r="D141" s="57"/>
      <c r="E141" s="58" t="s">
        <v>174</v>
      </c>
      <c r="F141" s="60" t="s">
        <v>265</v>
      </c>
      <c r="G141" s="60" t="s">
        <v>26</v>
      </c>
    </row>
    <row r="142" ht="19.5" customHeight="1">
      <c r="A142" s="55"/>
      <c r="B142" s="95">
        <v>45700.0</v>
      </c>
      <c r="C142" s="57">
        <v>65800.0</v>
      </c>
      <c r="D142" s="57"/>
      <c r="E142" s="58" t="s">
        <v>162</v>
      </c>
      <c r="F142" s="60" t="s">
        <v>266</v>
      </c>
      <c r="G142" s="60" t="s">
        <v>26</v>
      </c>
    </row>
    <row r="143" ht="19.5" customHeight="1">
      <c r="A143" s="55"/>
      <c r="B143" s="95">
        <v>45700.0</v>
      </c>
      <c r="C143" s="57">
        <v>32100.0</v>
      </c>
      <c r="D143" s="57"/>
      <c r="E143" s="58" t="s">
        <v>162</v>
      </c>
      <c r="F143" s="60" t="s">
        <v>98</v>
      </c>
      <c r="G143" s="60" t="s">
        <v>26</v>
      </c>
    </row>
    <row r="144" ht="19.5" customHeight="1">
      <c r="A144" s="55"/>
      <c r="B144" s="95">
        <v>45700.0</v>
      </c>
      <c r="C144" s="57">
        <v>38520.0</v>
      </c>
      <c r="D144" s="57"/>
      <c r="E144" s="58" t="s">
        <v>162</v>
      </c>
      <c r="F144" s="60" t="s">
        <v>267</v>
      </c>
      <c r="G144" s="60" t="s">
        <v>26</v>
      </c>
    </row>
    <row r="145" ht="19.5" customHeight="1">
      <c r="A145" s="55"/>
      <c r="B145" s="95">
        <v>45701.0</v>
      </c>
      <c r="C145" s="57">
        <v>24717.0</v>
      </c>
      <c r="D145" s="57"/>
      <c r="E145" s="58" t="s">
        <v>162</v>
      </c>
      <c r="F145" s="60" t="s">
        <v>268</v>
      </c>
      <c r="G145" s="60" t="s">
        <v>26</v>
      </c>
    </row>
    <row r="146" ht="19.5" customHeight="1">
      <c r="A146" s="55"/>
      <c r="B146" s="95">
        <v>45702.0</v>
      </c>
      <c r="C146" s="57">
        <v>7172.0</v>
      </c>
      <c r="D146" s="57"/>
      <c r="E146" s="58" t="s">
        <v>56</v>
      </c>
      <c r="F146" s="60" t="s">
        <v>269</v>
      </c>
      <c r="G146" s="60" t="s">
        <v>26</v>
      </c>
    </row>
    <row r="147" ht="19.5" customHeight="1">
      <c r="A147" s="55"/>
      <c r="B147" s="95">
        <v>45703.0</v>
      </c>
      <c r="C147" s="57">
        <v>38520.0</v>
      </c>
      <c r="D147" s="57"/>
      <c r="E147" s="58" t="s">
        <v>162</v>
      </c>
      <c r="F147" s="60" t="s">
        <v>175</v>
      </c>
      <c r="G147" s="60" t="s">
        <v>26</v>
      </c>
    </row>
    <row r="148" ht="19.5" customHeight="1">
      <c r="A148" s="55"/>
      <c r="B148" s="95">
        <v>45703.0</v>
      </c>
      <c r="C148" s="57">
        <v>12316.0</v>
      </c>
      <c r="D148" s="57"/>
      <c r="E148" s="58" t="s">
        <v>56</v>
      </c>
      <c r="F148" s="60" t="s">
        <v>270</v>
      </c>
      <c r="G148" s="60" t="s">
        <v>26</v>
      </c>
    </row>
    <row r="149" ht="19.5" customHeight="1">
      <c r="A149" s="55"/>
      <c r="B149" s="95">
        <v>45703.0</v>
      </c>
      <c r="C149" s="57">
        <v>3290.0</v>
      </c>
      <c r="D149" s="57"/>
      <c r="E149" s="58" t="s">
        <v>56</v>
      </c>
      <c r="F149" s="60" t="s">
        <v>271</v>
      </c>
      <c r="G149" s="60" t="s">
        <v>26</v>
      </c>
    </row>
    <row r="150" ht="19.5" customHeight="1">
      <c r="A150" s="55"/>
      <c r="B150" s="95">
        <v>45705.0</v>
      </c>
      <c r="C150" s="57">
        <v>38520.0</v>
      </c>
      <c r="D150" s="57"/>
      <c r="E150" s="58" t="s">
        <v>162</v>
      </c>
      <c r="F150" s="60" t="s">
        <v>272</v>
      </c>
      <c r="G150" s="60" t="s">
        <v>26</v>
      </c>
    </row>
    <row r="151" ht="19.5" customHeight="1">
      <c r="A151" s="55"/>
      <c r="B151" s="95">
        <v>45705.0</v>
      </c>
      <c r="C151" s="57">
        <v>28469.0</v>
      </c>
      <c r="D151" s="57"/>
      <c r="E151" s="58" t="s">
        <v>198</v>
      </c>
      <c r="F151" s="60" t="s">
        <v>273</v>
      </c>
      <c r="G151" s="60" t="s">
        <v>26</v>
      </c>
    </row>
    <row r="152" ht="19.5" customHeight="1">
      <c r="A152" s="55"/>
      <c r="B152" s="95">
        <v>45705.0</v>
      </c>
      <c r="C152" s="57">
        <v>6269.0</v>
      </c>
      <c r="D152" s="57"/>
      <c r="E152" s="58" t="s">
        <v>56</v>
      </c>
      <c r="F152" s="60" t="s">
        <v>274</v>
      </c>
      <c r="G152" s="60" t="s">
        <v>26</v>
      </c>
    </row>
    <row r="153" ht="19.5" customHeight="1">
      <c r="A153" s="55"/>
      <c r="B153" s="95">
        <v>45705.0</v>
      </c>
      <c r="C153" s="57">
        <v>8756.0</v>
      </c>
      <c r="D153" s="57"/>
      <c r="E153" s="58" t="s">
        <v>56</v>
      </c>
      <c r="F153" s="60" t="s">
        <v>275</v>
      </c>
      <c r="G153" s="60" t="s">
        <v>26</v>
      </c>
    </row>
    <row r="154" ht="19.5" customHeight="1">
      <c r="A154" s="55"/>
      <c r="B154" s="95">
        <v>45705.0</v>
      </c>
      <c r="C154" s="57">
        <v>9075.0</v>
      </c>
      <c r="D154" s="57"/>
      <c r="E154" s="58" t="s">
        <v>56</v>
      </c>
      <c r="F154" s="60" t="s">
        <v>276</v>
      </c>
      <c r="G154" s="60" t="s">
        <v>26</v>
      </c>
    </row>
    <row r="155" ht="19.5" customHeight="1">
      <c r="A155" s="55"/>
      <c r="B155" s="95">
        <v>45708.0</v>
      </c>
      <c r="C155" s="57">
        <v>7510.0</v>
      </c>
      <c r="D155" s="57"/>
      <c r="E155" s="58" t="s">
        <v>56</v>
      </c>
      <c r="F155" s="60" t="s">
        <v>277</v>
      </c>
      <c r="G155" s="60" t="s">
        <v>26</v>
      </c>
    </row>
    <row r="156" ht="19.5" customHeight="1">
      <c r="A156" s="55"/>
      <c r="B156" s="95">
        <v>45708.0</v>
      </c>
      <c r="C156" s="57">
        <v>5640.0</v>
      </c>
      <c r="D156" s="57"/>
      <c r="E156" s="58" t="s">
        <v>56</v>
      </c>
      <c r="F156" s="60" t="s">
        <v>278</v>
      </c>
      <c r="G156" s="60" t="s">
        <v>26</v>
      </c>
    </row>
    <row r="157" ht="19.5" customHeight="1">
      <c r="A157" s="55"/>
      <c r="B157" s="95">
        <v>45709.0</v>
      </c>
      <c r="C157" s="57">
        <v>69336.0</v>
      </c>
      <c r="D157" s="57"/>
      <c r="E157" s="58" t="s">
        <v>162</v>
      </c>
      <c r="F157" s="60" t="s">
        <v>279</v>
      </c>
      <c r="G157" s="60" t="s">
        <v>26</v>
      </c>
    </row>
    <row r="158" ht="19.5" customHeight="1">
      <c r="A158" s="55"/>
      <c r="B158" s="95">
        <v>45709.0</v>
      </c>
      <c r="C158" s="57">
        <v>38520.0</v>
      </c>
      <c r="D158" s="57"/>
      <c r="E158" s="58" t="s">
        <v>162</v>
      </c>
      <c r="F158" s="60" t="s">
        <v>280</v>
      </c>
      <c r="G158" s="60" t="s">
        <v>26</v>
      </c>
    </row>
    <row r="159" ht="19.5" customHeight="1">
      <c r="A159" s="55"/>
      <c r="B159" s="95">
        <v>45712.0</v>
      </c>
      <c r="C159" s="57">
        <v>15120.0</v>
      </c>
      <c r="D159" s="57"/>
      <c r="E159" s="58" t="s">
        <v>162</v>
      </c>
      <c r="F159" s="60" t="s">
        <v>281</v>
      </c>
      <c r="G159" s="60" t="s">
        <v>26</v>
      </c>
    </row>
    <row r="160" ht="19.5" customHeight="1">
      <c r="A160" s="55"/>
      <c r="B160" s="95">
        <v>45712.0</v>
      </c>
      <c r="C160" s="57">
        <v>38520.0</v>
      </c>
      <c r="D160" s="57"/>
      <c r="E160" s="58" t="s">
        <v>162</v>
      </c>
      <c r="F160" s="60" t="s">
        <v>282</v>
      </c>
      <c r="G160" s="60" t="s">
        <v>26</v>
      </c>
    </row>
    <row r="161" ht="19.5" customHeight="1">
      <c r="A161" s="55"/>
      <c r="B161" s="95">
        <v>45712.0</v>
      </c>
      <c r="C161" s="57">
        <v>31993.0</v>
      </c>
      <c r="D161" s="57"/>
      <c r="E161" s="58" t="s">
        <v>162</v>
      </c>
      <c r="F161" s="60" t="s">
        <v>283</v>
      </c>
      <c r="G161" s="60" t="s">
        <v>26</v>
      </c>
    </row>
    <row r="162" ht="19.5" customHeight="1">
      <c r="A162" s="55"/>
      <c r="B162" s="95">
        <v>45714.0</v>
      </c>
      <c r="C162" s="57">
        <v>57510.0</v>
      </c>
      <c r="D162" s="57"/>
      <c r="E162" s="58" t="s">
        <v>162</v>
      </c>
      <c r="F162" s="60" t="s">
        <v>284</v>
      </c>
      <c r="G162" s="60" t="s">
        <v>26</v>
      </c>
    </row>
    <row r="163" ht="19.5" customHeight="1">
      <c r="A163" s="55"/>
      <c r="B163" s="95">
        <v>45714.0</v>
      </c>
      <c r="C163" s="57">
        <v>41730.0</v>
      </c>
      <c r="D163" s="57"/>
      <c r="E163" s="58" t="s">
        <v>162</v>
      </c>
      <c r="F163" s="60" t="s">
        <v>177</v>
      </c>
      <c r="G163" s="60" t="s">
        <v>26</v>
      </c>
    </row>
    <row r="164" ht="19.5" customHeight="1">
      <c r="A164" s="55"/>
      <c r="B164" s="95">
        <v>45714.0</v>
      </c>
      <c r="C164" s="57">
        <v>9239.0</v>
      </c>
      <c r="D164" s="63"/>
      <c r="E164" s="58" t="s">
        <v>80</v>
      </c>
      <c r="F164" s="60" t="s">
        <v>285</v>
      </c>
      <c r="G164" s="60" t="s">
        <v>26</v>
      </c>
    </row>
    <row r="165" ht="19.5" customHeight="1">
      <c r="A165" s="55"/>
      <c r="B165" s="95">
        <v>45714.0</v>
      </c>
      <c r="C165" s="57">
        <v>2372.0</v>
      </c>
      <c r="D165" s="63"/>
      <c r="E165" s="58" t="s">
        <v>56</v>
      </c>
      <c r="F165" s="60" t="s">
        <v>286</v>
      </c>
      <c r="G165" s="60" t="s">
        <v>26</v>
      </c>
    </row>
    <row r="166" ht="19.5" customHeight="1">
      <c r="A166" s="55"/>
      <c r="B166" s="95">
        <v>45714.0</v>
      </c>
      <c r="C166" s="57">
        <v>2244.0</v>
      </c>
      <c r="D166" s="63"/>
      <c r="E166" s="58" t="s">
        <v>56</v>
      </c>
      <c r="F166" s="60" t="s">
        <v>287</v>
      </c>
      <c r="G166" s="60" t="s">
        <v>26</v>
      </c>
    </row>
    <row r="167" ht="19.5" customHeight="1">
      <c r="A167" s="55"/>
      <c r="B167" s="95">
        <v>45714.0</v>
      </c>
      <c r="C167" s="57">
        <v>6523.0</v>
      </c>
      <c r="D167" s="63"/>
      <c r="E167" s="58" t="s">
        <v>99</v>
      </c>
      <c r="F167" s="60" t="s">
        <v>288</v>
      </c>
      <c r="G167" s="113" t="s">
        <v>26</v>
      </c>
    </row>
    <row r="168" ht="30.0" customHeight="1">
      <c r="A168" s="78" t="s">
        <v>111</v>
      </c>
      <c r="B168" s="79"/>
      <c r="C168" s="80">
        <f t="shared" ref="C168:D168" si="6">SUM(C137:C167)</f>
        <v>955517.22</v>
      </c>
      <c r="D168" s="80">
        <f t="shared" si="6"/>
        <v>0</v>
      </c>
      <c r="E168" s="81"/>
      <c r="F168" s="82"/>
    </row>
    <row r="169" ht="4.5" customHeight="1">
      <c r="A169" s="83"/>
      <c r="B169" s="84"/>
      <c r="C169" s="84"/>
      <c r="D169" s="84"/>
      <c r="E169" s="96"/>
      <c r="F169" s="96"/>
      <c r="G169" s="96"/>
    </row>
    <row r="170" ht="30.0" customHeight="1">
      <c r="A170" s="78" t="s">
        <v>187</v>
      </c>
      <c r="B170" s="79"/>
      <c r="C170" s="80">
        <f>+C104+C112+C131+C168+C135</f>
        <v>7436218.98</v>
      </c>
      <c r="D170" s="80">
        <f>SUM(D104+D112+D131+D168+D135)</f>
        <v>3.98</v>
      </c>
      <c r="E170" s="97"/>
      <c r="F170" s="98"/>
    </row>
    <row r="171" ht="19.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6:C7"/>
    <mergeCell ref="D6:E6"/>
    <mergeCell ref="F6:G6"/>
    <mergeCell ref="D7:E7"/>
    <mergeCell ref="F7:G7"/>
    <mergeCell ref="D8:E8"/>
    <mergeCell ref="F8:G8"/>
    <mergeCell ref="A114:A129"/>
    <mergeCell ref="A131:B131"/>
    <mergeCell ref="A133:A134"/>
    <mergeCell ref="A135:B135"/>
    <mergeCell ref="A137:A167"/>
    <mergeCell ref="A168:B168"/>
    <mergeCell ref="A170:B170"/>
    <mergeCell ref="D9:G16"/>
    <mergeCell ref="C11:C12"/>
    <mergeCell ref="C13:C14"/>
    <mergeCell ref="A19:A103"/>
    <mergeCell ref="A104:B104"/>
    <mergeCell ref="A106:A111"/>
    <mergeCell ref="A112:B112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1.71"/>
    <col customWidth="1" min="7" max="7" width="11.86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289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8714248.91</v>
      </c>
      <c r="G8" s="14"/>
    </row>
    <row r="9" ht="19.5" customHeight="1">
      <c r="A9" s="20" t="s">
        <v>7</v>
      </c>
      <c r="B9" s="21">
        <f>+C62</f>
        <v>5300422.39</v>
      </c>
      <c r="C9" s="22">
        <f t="shared" ref="C9:C10" si="1">+B9</f>
        <v>5300422.39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+D62</f>
        <v>6.97</v>
      </c>
      <c r="C10" s="28">
        <f t="shared" si="1"/>
        <v>6.97</v>
      </c>
      <c r="D10" s="29"/>
      <c r="G10" s="30"/>
    </row>
    <row r="11" ht="19.5" customHeight="1">
      <c r="A11" s="31" t="s">
        <v>10</v>
      </c>
      <c r="B11" s="32">
        <f>+C64+C65+C66+C67</f>
        <v>243287.96</v>
      </c>
      <c r="C11" s="33">
        <f>SUM(B11:B12)</f>
        <v>312203.98</v>
      </c>
      <c r="D11" s="29"/>
      <c r="G11" s="30"/>
    </row>
    <row r="12" ht="19.5" customHeight="1">
      <c r="A12" s="26" t="s">
        <v>11</v>
      </c>
      <c r="B12" s="27">
        <f>+C70-B11</f>
        <v>68916.02</v>
      </c>
      <c r="C12" s="34"/>
      <c r="D12" s="29"/>
      <c r="G12" s="30"/>
    </row>
    <row r="13" ht="19.5" customHeight="1">
      <c r="A13" s="31" t="s">
        <v>12</v>
      </c>
      <c r="B13" s="32">
        <v>0.0</v>
      </c>
      <c r="C13" s="33">
        <f>SUM(B13:B14)</f>
        <v>0</v>
      </c>
      <c r="D13" s="29"/>
      <c r="G13" s="30"/>
    </row>
    <row r="14" ht="19.5" customHeight="1">
      <c r="A14" s="26" t="s">
        <v>13</v>
      </c>
      <c r="B14" s="27">
        <v>0.0</v>
      </c>
      <c r="C14" s="34"/>
      <c r="D14" s="29"/>
      <c r="G14" s="30"/>
    </row>
    <row r="15" ht="19.5" customHeight="1">
      <c r="A15" s="38" t="s">
        <v>15</v>
      </c>
      <c r="B15" s="39">
        <f>+C98</f>
        <v>985180.84</v>
      </c>
      <c r="C15" s="40">
        <f t="shared" ref="C15:C16" si="2">+B15</f>
        <v>985180.84</v>
      </c>
      <c r="D15" s="29"/>
      <c r="G15" s="30"/>
    </row>
    <row r="16" ht="19.5" customHeight="1">
      <c r="A16" s="35" t="s">
        <v>14</v>
      </c>
      <c r="B16" s="36">
        <f>C74</f>
        <v>275082</v>
      </c>
      <c r="C16" s="37">
        <f t="shared" si="2"/>
        <v>275082</v>
      </c>
      <c r="D16" s="41"/>
      <c r="E16" s="42"/>
      <c r="F16" s="42"/>
      <c r="G16" s="43"/>
    </row>
    <row r="17" ht="4.5" customHeight="1">
      <c r="A17" s="114"/>
      <c r="B17" s="115"/>
      <c r="C17" s="115"/>
      <c r="D17" s="115"/>
      <c r="E17" s="115"/>
      <c r="F17" s="115"/>
      <c r="G17" s="79"/>
    </row>
    <row r="18" ht="24.75" customHeight="1">
      <c r="A18" s="47" t="s">
        <v>16</v>
      </c>
      <c r="B18" s="47" t="s">
        <v>17</v>
      </c>
      <c r="C18" s="47" t="s">
        <v>18</v>
      </c>
      <c r="D18" s="47" t="s">
        <v>19</v>
      </c>
      <c r="E18" s="48" t="s">
        <v>20</v>
      </c>
      <c r="F18" s="48" t="s">
        <v>21</v>
      </c>
      <c r="G18" s="48" t="s">
        <v>22</v>
      </c>
    </row>
    <row r="19" ht="19.5" customHeight="1">
      <c r="A19" s="49" t="s">
        <v>23</v>
      </c>
      <c r="B19" s="50">
        <v>45715.0</v>
      </c>
      <c r="C19" s="51">
        <v>62050.0</v>
      </c>
      <c r="D19" s="51"/>
      <c r="E19" s="52" t="s">
        <v>84</v>
      </c>
      <c r="F19" s="53" t="s">
        <v>290</v>
      </c>
      <c r="G19" s="54" t="s">
        <v>26</v>
      </c>
    </row>
    <row r="20" ht="19.5" customHeight="1">
      <c r="A20" s="55"/>
      <c r="B20" s="56">
        <v>45715.0</v>
      </c>
      <c r="C20" s="57">
        <v>62050.0</v>
      </c>
      <c r="D20" s="57"/>
      <c r="E20" s="58" t="s">
        <v>84</v>
      </c>
      <c r="F20" s="59" t="s">
        <v>291</v>
      </c>
      <c r="G20" s="60" t="s">
        <v>26</v>
      </c>
    </row>
    <row r="21" ht="19.5" customHeight="1">
      <c r="A21" s="55"/>
      <c r="B21" s="56">
        <v>45715.0</v>
      </c>
      <c r="C21" s="57">
        <v>54300.0</v>
      </c>
      <c r="D21" s="57"/>
      <c r="E21" s="58" t="s">
        <v>24</v>
      </c>
      <c r="F21" s="59" t="s">
        <v>292</v>
      </c>
      <c r="G21" s="60" t="s">
        <v>26</v>
      </c>
    </row>
    <row r="22" ht="19.5" customHeight="1">
      <c r="A22" s="55"/>
      <c r="B22" s="56">
        <v>45715.0</v>
      </c>
      <c r="C22" s="57">
        <v>6690.0</v>
      </c>
      <c r="D22" s="57"/>
      <c r="E22" s="58" t="s">
        <v>293</v>
      </c>
      <c r="F22" s="59" t="s">
        <v>30</v>
      </c>
      <c r="G22" s="60"/>
    </row>
    <row r="23" ht="19.5" customHeight="1">
      <c r="A23" s="55"/>
      <c r="B23" s="56">
        <v>45715.0</v>
      </c>
      <c r="C23" s="57">
        <v>11470.0</v>
      </c>
      <c r="D23" s="57"/>
      <c r="E23" s="58" t="s">
        <v>29</v>
      </c>
      <c r="F23" s="59" t="s">
        <v>30</v>
      </c>
      <c r="G23" s="60"/>
    </row>
    <row r="24" ht="19.5" customHeight="1">
      <c r="A24" s="55"/>
      <c r="B24" s="56">
        <v>45715.0</v>
      </c>
      <c r="C24" s="57"/>
      <c r="D24" s="57">
        <v>2.99</v>
      </c>
      <c r="E24" s="58" t="s">
        <v>294</v>
      </c>
      <c r="F24" s="59" t="s">
        <v>32</v>
      </c>
      <c r="G24" s="60" t="s">
        <v>26</v>
      </c>
    </row>
    <row r="25" ht="19.5" customHeight="1">
      <c r="A25" s="55"/>
      <c r="B25" s="56">
        <v>45716.0</v>
      </c>
      <c r="C25" s="57">
        <v>37985.0</v>
      </c>
      <c r="D25" s="57"/>
      <c r="E25" s="58" t="s">
        <v>24</v>
      </c>
      <c r="F25" s="59" t="s">
        <v>295</v>
      </c>
      <c r="G25" s="60" t="s">
        <v>26</v>
      </c>
    </row>
    <row r="26" ht="19.5" customHeight="1">
      <c r="A26" s="55"/>
      <c r="B26" s="56">
        <v>45716.0</v>
      </c>
      <c r="C26" s="57">
        <v>12627.05</v>
      </c>
      <c r="D26" s="57"/>
      <c r="E26" s="58" t="s">
        <v>296</v>
      </c>
      <c r="F26" s="59" t="s">
        <v>30</v>
      </c>
      <c r="G26" s="60"/>
    </row>
    <row r="27" ht="19.5" customHeight="1">
      <c r="A27" s="55"/>
      <c r="B27" s="56">
        <v>45719.0</v>
      </c>
      <c r="C27" s="57">
        <v>12480.0</v>
      </c>
      <c r="D27" s="57"/>
      <c r="E27" s="58" t="s">
        <v>33</v>
      </c>
      <c r="F27" s="59" t="s">
        <v>30</v>
      </c>
      <c r="G27" s="60"/>
    </row>
    <row r="28" ht="19.5" customHeight="1">
      <c r="A28" s="55"/>
      <c r="B28" s="56">
        <v>45719.0</v>
      </c>
      <c r="C28" s="57">
        <v>114018.96</v>
      </c>
      <c r="D28" s="57"/>
      <c r="E28" s="58" t="s">
        <v>34</v>
      </c>
      <c r="F28" s="59" t="s">
        <v>30</v>
      </c>
      <c r="G28" s="60"/>
    </row>
    <row r="29" ht="19.5" customHeight="1">
      <c r="A29" s="55"/>
      <c r="B29" s="104">
        <v>45719.0</v>
      </c>
      <c r="C29" s="105">
        <v>7569.0</v>
      </c>
      <c r="D29" s="105"/>
      <c r="E29" s="106" t="s">
        <v>80</v>
      </c>
      <c r="F29" s="107"/>
      <c r="G29" s="108"/>
    </row>
    <row r="30" ht="19.5" customHeight="1">
      <c r="A30" s="55"/>
      <c r="B30" s="104">
        <v>45720.0</v>
      </c>
      <c r="C30" s="105">
        <v>26258.39</v>
      </c>
      <c r="D30" s="105"/>
      <c r="E30" s="106" t="s">
        <v>297</v>
      </c>
      <c r="F30" s="107"/>
      <c r="G30" s="108"/>
    </row>
    <row r="31" ht="19.5" customHeight="1">
      <c r="A31" s="55"/>
      <c r="B31" s="56">
        <v>45720.0</v>
      </c>
      <c r="C31" s="57">
        <v>634887.38</v>
      </c>
      <c r="D31" s="57"/>
      <c r="E31" s="58" t="s">
        <v>103</v>
      </c>
      <c r="F31" s="61" t="s">
        <v>104</v>
      </c>
      <c r="G31" s="62" t="s">
        <v>26</v>
      </c>
    </row>
    <row r="32" ht="19.5" customHeight="1">
      <c r="A32" s="55"/>
      <c r="B32" s="56">
        <v>45722.0</v>
      </c>
      <c r="C32" s="57">
        <v>26185.0</v>
      </c>
      <c r="D32" s="57"/>
      <c r="E32" s="58" t="s">
        <v>42</v>
      </c>
      <c r="F32" s="61" t="s">
        <v>43</v>
      </c>
      <c r="G32" s="62" t="s">
        <v>44</v>
      </c>
    </row>
    <row r="33" ht="19.5" customHeight="1">
      <c r="A33" s="55"/>
      <c r="B33" s="56">
        <v>45724.0</v>
      </c>
      <c r="C33" s="57">
        <v>10230.0</v>
      </c>
      <c r="D33" s="57"/>
      <c r="E33" s="58" t="s">
        <v>233</v>
      </c>
      <c r="F33" s="59" t="s">
        <v>30</v>
      </c>
      <c r="G33" s="60"/>
    </row>
    <row r="34" ht="19.5" customHeight="1">
      <c r="A34" s="55"/>
      <c r="B34" s="56">
        <v>45725.0</v>
      </c>
      <c r="C34" s="57">
        <v>7770.0</v>
      </c>
      <c r="D34" s="57"/>
      <c r="E34" s="58" t="s">
        <v>33</v>
      </c>
      <c r="F34" s="59" t="s">
        <v>30</v>
      </c>
      <c r="G34" s="60"/>
    </row>
    <row r="35" ht="19.5" customHeight="1">
      <c r="A35" s="55"/>
      <c r="B35" s="56">
        <v>45725.0</v>
      </c>
      <c r="C35" s="57"/>
      <c r="D35" s="57">
        <v>1.99</v>
      </c>
      <c r="E35" s="58" t="s">
        <v>298</v>
      </c>
      <c r="F35" s="61" t="s">
        <v>55</v>
      </c>
      <c r="G35" s="60" t="s">
        <v>26</v>
      </c>
    </row>
    <row r="36" ht="19.5" customHeight="1">
      <c r="A36" s="55"/>
      <c r="B36" s="56">
        <v>45726.0</v>
      </c>
      <c r="C36" s="57">
        <v>110004.0</v>
      </c>
      <c r="D36" s="57"/>
      <c r="E36" s="58" t="s">
        <v>120</v>
      </c>
      <c r="F36" s="59" t="s">
        <v>30</v>
      </c>
      <c r="G36" s="60"/>
    </row>
    <row r="37" ht="19.5" customHeight="1">
      <c r="A37" s="55"/>
      <c r="B37" s="56">
        <v>45726.0</v>
      </c>
      <c r="C37" s="57">
        <v>13050.0</v>
      </c>
      <c r="D37" s="57"/>
      <c r="E37" s="58" t="s">
        <v>120</v>
      </c>
      <c r="F37" s="59" t="s">
        <v>30</v>
      </c>
      <c r="G37" s="60"/>
    </row>
    <row r="38" ht="19.5" customHeight="1">
      <c r="A38" s="55"/>
      <c r="B38" s="56">
        <v>45727.0</v>
      </c>
      <c r="C38" s="57">
        <v>62050.0</v>
      </c>
      <c r="D38" s="57"/>
      <c r="E38" s="58" t="s">
        <v>84</v>
      </c>
      <c r="F38" s="59" t="s">
        <v>299</v>
      </c>
      <c r="G38" s="60" t="s">
        <v>26</v>
      </c>
    </row>
    <row r="39" ht="19.5" customHeight="1">
      <c r="A39" s="55"/>
      <c r="B39" s="56">
        <v>45727.0</v>
      </c>
      <c r="C39" s="57">
        <v>62050.0</v>
      </c>
      <c r="D39" s="57"/>
      <c r="E39" s="58" t="s">
        <v>84</v>
      </c>
      <c r="F39" s="59" t="s">
        <v>300</v>
      </c>
      <c r="G39" s="60" t="s">
        <v>26</v>
      </c>
    </row>
    <row r="40" ht="19.5" customHeight="1">
      <c r="A40" s="55"/>
      <c r="B40" s="56">
        <v>45727.0</v>
      </c>
      <c r="C40" s="57">
        <v>97000.0</v>
      </c>
      <c r="D40" s="57"/>
      <c r="E40" s="58" t="s">
        <v>301</v>
      </c>
      <c r="F40" s="59" t="s">
        <v>30</v>
      </c>
      <c r="G40" s="60"/>
    </row>
    <row r="41" ht="19.5" customHeight="1">
      <c r="A41" s="55"/>
      <c r="B41" s="104">
        <v>45727.0</v>
      </c>
      <c r="C41" s="105">
        <v>30800.0</v>
      </c>
      <c r="D41" s="105"/>
      <c r="E41" s="106" t="s">
        <v>302</v>
      </c>
      <c r="F41" s="107"/>
      <c r="G41" s="108"/>
    </row>
    <row r="42" ht="19.5" customHeight="1">
      <c r="A42" s="55"/>
      <c r="B42" s="56">
        <v>45727.0</v>
      </c>
      <c r="C42" s="57">
        <v>20100.0</v>
      </c>
      <c r="D42" s="57"/>
      <c r="E42" s="58" t="s">
        <v>303</v>
      </c>
      <c r="F42" s="61" t="s">
        <v>52</v>
      </c>
      <c r="G42" s="60" t="s">
        <v>53</v>
      </c>
    </row>
    <row r="43" ht="19.5" customHeight="1">
      <c r="A43" s="55"/>
      <c r="B43" s="56">
        <v>45727.0</v>
      </c>
      <c r="C43" s="57">
        <v>391310.0</v>
      </c>
      <c r="D43" s="57"/>
      <c r="E43" s="58" t="s">
        <v>66</v>
      </c>
      <c r="F43" s="61" t="s">
        <v>67</v>
      </c>
      <c r="G43" s="62" t="s">
        <v>26</v>
      </c>
    </row>
    <row r="44" ht="19.5" customHeight="1">
      <c r="A44" s="55"/>
      <c r="B44" s="56">
        <v>45727.0</v>
      </c>
      <c r="C44" s="57">
        <v>370438.0</v>
      </c>
      <c r="D44" s="57"/>
      <c r="E44" s="58" t="s">
        <v>64</v>
      </c>
      <c r="F44" s="61" t="s">
        <v>65</v>
      </c>
      <c r="G44" s="62" t="s">
        <v>26</v>
      </c>
    </row>
    <row r="45" ht="19.5" customHeight="1">
      <c r="A45" s="55"/>
      <c r="B45" s="56">
        <v>45728.0</v>
      </c>
      <c r="C45" s="57">
        <v>16933.0</v>
      </c>
      <c r="D45" s="57"/>
      <c r="E45" s="58" t="s">
        <v>304</v>
      </c>
      <c r="F45" s="61" t="s">
        <v>77</v>
      </c>
      <c r="G45" s="62" t="s">
        <v>26</v>
      </c>
    </row>
    <row r="46" ht="19.5" customHeight="1">
      <c r="A46" s="55"/>
      <c r="B46" s="56">
        <v>45728.0</v>
      </c>
      <c r="C46" s="57">
        <v>17305.0</v>
      </c>
      <c r="D46" s="57"/>
      <c r="E46" s="58" t="s">
        <v>305</v>
      </c>
      <c r="F46" s="61" t="s">
        <v>73</v>
      </c>
      <c r="G46" s="60" t="s">
        <v>26</v>
      </c>
    </row>
    <row r="47" ht="19.5" customHeight="1">
      <c r="A47" s="55"/>
      <c r="B47" s="56">
        <v>45728.0</v>
      </c>
      <c r="C47" s="57">
        <v>17305.0</v>
      </c>
      <c r="D47" s="57"/>
      <c r="E47" s="58" t="s">
        <v>306</v>
      </c>
      <c r="F47" s="61" t="s">
        <v>79</v>
      </c>
      <c r="G47" s="62" t="s">
        <v>26</v>
      </c>
    </row>
    <row r="48" ht="19.5" customHeight="1">
      <c r="A48" s="55"/>
      <c r="B48" s="56">
        <v>45728.0</v>
      </c>
      <c r="C48" s="57">
        <v>85420.62</v>
      </c>
      <c r="D48" s="57"/>
      <c r="E48" s="58" t="s">
        <v>307</v>
      </c>
      <c r="F48" s="61" t="s">
        <v>69</v>
      </c>
      <c r="G48" s="62" t="s">
        <v>26</v>
      </c>
    </row>
    <row r="49" ht="19.5" customHeight="1">
      <c r="A49" s="55"/>
      <c r="B49" s="56">
        <v>45728.0</v>
      </c>
      <c r="C49" s="63">
        <v>15658.67</v>
      </c>
      <c r="D49" s="63"/>
      <c r="E49" s="64" t="s">
        <v>308</v>
      </c>
      <c r="F49" s="61" t="s">
        <v>71</v>
      </c>
      <c r="G49" s="62" t="s">
        <v>26</v>
      </c>
    </row>
    <row r="50" ht="19.5" customHeight="1">
      <c r="A50" s="55"/>
      <c r="B50" s="56">
        <v>45728.0</v>
      </c>
      <c r="C50" s="63">
        <v>3350.0</v>
      </c>
      <c r="D50" s="63"/>
      <c r="E50" s="64" t="s">
        <v>29</v>
      </c>
      <c r="F50" s="59" t="s">
        <v>30</v>
      </c>
      <c r="G50" s="62"/>
    </row>
    <row r="51" ht="19.5" customHeight="1">
      <c r="A51" s="55"/>
      <c r="B51" s="56">
        <v>45729.0</v>
      </c>
      <c r="C51" s="63">
        <v>7400.0</v>
      </c>
      <c r="D51" s="63"/>
      <c r="E51" s="64" t="s">
        <v>214</v>
      </c>
      <c r="F51" s="59" t="s">
        <v>30</v>
      </c>
      <c r="G51" s="62"/>
    </row>
    <row r="52" ht="19.5" customHeight="1">
      <c r="A52" s="55"/>
      <c r="B52" s="71">
        <v>45729.0</v>
      </c>
      <c r="C52" s="72">
        <v>40361.1</v>
      </c>
      <c r="D52" s="72"/>
      <c r="E52" s="73" t="s">
        <v>82</v>
      </c>
      <c r="F52" s="74"/>
      <c r="G52" s="75"/>
    </row>
    <row r="53" ht="19.5" customHeight="1">
      <c r="A53" s="55"/>
      <c r="B53" s="56">
        <v>45734.0</v>
      </c>
      <c r="C53" s="63">
        <v>1120060.74</v>
      </c>
      <c r="D53" s="63"/>
      <c r="E53" s="64" t="s">
        <v>92</v>
      </c>
      <c r="F53" s="61" t="s">
        <v>93</v>
      </c>
      <c r="G53" s="62" t="s">
        <v>26</v>
      </c>
    </row>
    <row r="54" ht="19.5" customHeight="1">
      <c r="A54" s="55"/>
      <c r="B54" s="65">
        <v>45735.0</v>
      </c>
      <c r="C54" s="63">
        <v>42053.03</v>
      </c>
      <c r="D54" s="63"/>
      <c r="E54" s="64" t="s">
        <v>225</v>
      </c>
      <c r="F54" s="61" t="s">
        <v>226</v>
      </c>
      <c r="G54" s="62" t="s">
        <v>26</v>
      </c>
    </row>
    <row r="55" ht="19.5" customHeight="1">
      <c r="A55" s="55"/>
      <c r="B55" s="65">
        <v>45736.0</v>
      </c>
      <c r="C55" s="63"/>
      <c r="D55" s="63">
        <v>1.99</v>
      </c>
      <c r="E55" s="64" t="s">
        <v>309</v>
      </c>
      <c r="F55" s="61" t="s">
        <v>55</v>
      </c>
      <c r="G55" s="60" t="s">
        <v>26</v>
      </c>
    </row>
    <row r="56" ht="19.5" customHeight="1">
      <c r="A56" s="55"/>
      <c r="B56" s="66">
        <v>45737.0</v>
      </c>
      <c r="C56" s="67">
        <v>46460.0</v>
      </c>
      <c r="D56" s="67"/>
      <c r="E56" s="68" t="s">
        <v>310</v>
      </c>
      <c r="F56" s="69"/>
      <c r="G56" s="70"/>
    </row>
    <row r="57" ht="19.5" customHeight="1">
      <c r="A57" s="55"/>
      <c r="B57" s="66">
        <v>45738.0</v>
      </c>
      <c r="C57" s="67">
        <v>39669.0</v>
      </c>
      <c r="D57" s="67"/>
      <c r="E57" s="68" t="s">
        <v>81</v>
      </c>
      <c r="F57" s="69"/>
      <c r="G57" s="70"/>
    </row>
    <row r="58" ht="19.5" customHeight="1">
      <c r="A58" s="55"/>
      <c r="B58" s="65">
        <v>45740.0</v>
      </c>
      <c r="C58" s="63">
        <v>62060.0</v>
      </c>
      <c r="D58" s="63"/>
      <c r="E58" s="64" t="s">
        <v>24</v>
      </c>
      <c r="F58" s="61" t="s">
        <v>311</v>
      </c>
      <c r="G58" s="62" t="s">
        <v>26</v>
      </c>
    </row>
    <row r="59" ht="19.5" customHeight="1">
      <c r="A59" s="55"/>
      <c r="B59" s="65">
        <v>45740.0</v>
      </c>
      <c r="C59" s="63">
        <v>14410.0</v>
      </c>
      <c r="D59" s="63"/>
      <c r="E59" s="64" t="s">
        <v>312</v>
      </c>
      <c r="F59" s="59" t="s">
        <v>30</v>
      </c>
      <c r="G59" s="62"/>
    </row>
    <row r="60" ht="19.5" customHeight="1">
      <c r="A60" s="55"/>
      <c r="B60" s="65">
        <v>45741.0</v>
      </c>
      <c r="C60" s="63">
        <v>1296153.9</v>
      </c>
      <c r="D60" s="63"/>
      <c r="E60" s="64" t="s">
        <v>103</v>
      </c>
      <c r="F60" s="61" t="s">
        <v>104</v>
      </c>
      <c r="G60" s="62" t="s">
        <v>26</v>
      </c>
    </row>
    <row r="61" ht="19.5" customHeight="1">
      <c r="A61" s="76"/>
      <c r="B61" s="65">
        <v>45741.0</v>
      </c>
      <c r="C61" s="63">
        <v>232449.55</v>
      </c>
      <c r="D61" s="63"/>
      <c r="E61" s="64" t="s">
        <v>313</v>
      </c>
      <c r="F61" s="61" t="s">
        <v>314</v>
      </c>
      <c r="G61" s="77" t="s">
        <v>26</v>
      </c>
    </row>
    <row r="62" ht="30.0" customHeight="1">
      <c r="A62" s="78" t="s">
        <v>111</v>
      </c>
      <c r="B62" s="79"/>
      <c r="C62" s="80">
        <f t="shared" ref="C62:D62" si="3">SUM(C19:C61)</f>
        <v>5300422.39</v>
      </c>
      <c r="D62" s="80">
        <f t="shared" si="3"/>
        <v>6.97</v>
      </c>
      <c r="E62" s="81"/>
      <c r="F62" s="82"/>
    </row>
    <row r="63" ht="4.5" customHeight="1">
      <c r="A63" s="116"/>
      <c r="B63" s="115"/>
      <c r="C63" s="115"/>
      <c r="D63" s="115"/>
      <c r="E63" s="115"/>
      <c r="F63" s="115"/>
      <c r="G63" s="79"/>
    </row>
    <row r="64" ht="19.5" customHeight="1">
      <c r="A64" s="49" t="s">
        <v>112</v>
      </c>
      <c r="B64" s="65">
        <v>45657.0</v>
      </c>
      <c r="C64" s="63">
        <v>8666.66</v>
      </c>
      <c r="D64" s="51"/>
      <c r="E64" s="64" t="s">
        <v>315</v>
      </c>
      <c r="F64" s="61" t="s">
        <v>114</v>
      </c>
      <c r="G64" s="62" t="s">
        <v>44</v>
      </c>
    </row>
    <row r="65" ht="19.5" customHeight="1">
      <c r="A65" s="55"/>
      <c r="B65" s="65">
        <v>45704.0</v>
      </c>
      <c r="C65" s="63">
        <v>109853.33</v>
      </c>
      <c r="D65" s="63"/>
      <c r="E65" s="64" t="s">
        <v>316</v>
      </c>
      <c r="F65" s="61" t="s">
        <v>114</v>
      </c>
      <c r="G65" s="62" t="s">
        <v>44</v>
      </c>
    </row>
    <row r="66" ht="19.5" customHeight="1">
      <c r="A66" s="55"/>
      <c r="B66" s="65">
        <v>45717.0</v>
      </c>
      <c r="C66" s="63">
        <v>20000.0</v>
      </c>
      <c r="D66" s="63"/>
      <c r="E66" s="64" t="s">
        <v>117</v>
      </c>
      <c r="F66" s="61" t="s">
        <v>118</v>
      </c>
      <c r="G66" s="62" t="s">
        <v>44</v>
      </c>
    </row>
    <row r="67" ht="19.5" customHeight="1">
      <c r="A67" s="55"/>
      <c r="B67" s="65">
        <v>45717.0</v>
      </c>
      <c r="C67" s="63">
        <v>104767.97</v>
      </c>
      <c r="D67" s="63"/>
      <c r="E67" s="64" t="s">
        <v>116</v>
      </c>
      <c r="F67" s="61" t="s">
        <v>114</v>
      </c>
      <c r="G67" s="62" t="s">
        <v>44</v>
      </c>
    </row>
    <row r="68" ht="19.5" customHeight="1">
      <c r="A68" s="55"/>
      <c r="B68" s="65">
        <v>45739.0</v>
      </c>
      <c r="C68" s="63">
        <v>30020.0</v>
      </c>
      <c r="D68" s="63"/>
      <c r="E68" s="64" t="s">
        <v>203</v>
      </c>
      <c r="F68" s="61" t="s">
        <v>317</v>
      </c>
      <c r="G68" s="62" t="s">
        <v>26</v>
      </c>
    </row>
    <row r="69" ht="19.5" customHeight="1">
      <c r="A69" s="55"/>
      <c r="B69" s="65">
        <v>45740.0</v>
      </c>
      <c r="C69" s="63">
        <v>38896.02</v>
      </c>
      <c r="D69" s="63"/>
      <c r="E69" s="64" t="s">
        <v>318</v>
      </c>
      <c r="F69" s="61" t="s">
        <v>319</v>
      </c>
      <c r="G69" s="62" t="s">
        <v>26</v>
      </c>
    </row>
    <row r="70" ht="30.0" customHeight="1">
      <c r="A70" s="78" t="s">
        <v>111</v>
      </c>
      <c r="B70" s="79"/>
      <c r="C70" s="80">
        <f t="shared" ref="C70:D70" si="4">SUM(C64:C69)</f>
        <v>312203.98</v>
      </c>
      <c r="D70" s="80">
        <f t="shared" si="4"/>
        <v>0</v>
      </c>
      <c r="E70" s="81"/>
      <c r="F70" s="82"/>
    </row>
    <row r="71" ht="4.5" customHeight="1">
      <c r="A71" s="116"/>
      <c r="B71" s="115"/>
      <c r="C71" s="115"/>
      <c r="D71" s="115"/>
      <c r="E71" s="115"/>
      <c r="F71" s="115"/>
      <c r="G71" s="79"/>
    </row>
    <row r="72" ht="19.5" customHeight="1">
      <c r="A72" s="49" t="s">
        <v>14</v>
      </c>
      <c r="B72" s="50">
        <v>45740.0</v>
      </c>
      <c r="C72" s="51">
        <v>55596.0</v>
      </c>
      <c r="D72" s="51"/>
      <c r="E72" s="52" t="s">
        <v>320</v>
      </c>
      <c r="F72" s="53"/>
      <c r="G72" s="54"/>
    </row>
    <row r="73" ht="19.5" customHeight="1">
      <c r="A73" s="55"/>
      <c r="B73" s="65">
        <v>45741.0</v>
      </c>
      <c r="C73" s="63">
        <v>219486.0</v>
      </c>
      <c r="D73" s="63"/>
      <c r="E73" s="64" t="s">
        <v>321</v>
      </c>
      <c r="F73" s="61"/>
      <c r="G73" s="62"/>
    </row>
    <row r="74" ht="30.0" customHeight="1">
      <c r="A74" s="78" t="s">
        <v>111</v>
      </c>
      <c r="B74" s="79"/>
      <c r="C74" s="80">
        <f t="shared" ref="C74:D74" si="5">SUM(C72:C73)</f>
        <v>275082</v>
      </c>
      <c r="D74" s="80">
        <f t="shared" si="5"/>
        <v>0</v>
      </c>
      <c r="E74" s="92"/>
      <c r="F74" s="82"/>
      <c r="G74" s="93"/>
    </row>
    <row r="75" ht="4.5" customHeight="1">
      <c r="A75" s="116"/>
      <c r="B75" s="115"/>
      <c r="C75" s="115"/>
      <c r="D75" s="115"/>
      <c r="E75" s="115"/>
      <c r="F75" s="115"/>
      <c r="G75" s="79"/>
    </row>
    <row r="76" ht="19.5" customHeight="1">
      <c r="A76" s="49" t="s">
        <v>15</v>
      </c>
      <c r="B76" s="94">
        <v>45715.0</v>
      </c>
      <c r="C76" s="51">
        <v>9049.0</v>
      </c>
      <c r="D76" s="51"/>
      <c r="E76" s="52" t="s">
        <v>80</v>
      </c>
      <c r="F76" s="54" t="s">
        <v>322</v>
      </c>
      <c r="G76" s="54" t="s">
        <v>26</v>
      </c>
    </row>
    <row r="77" ht="19.5" customHeight="1">
      <c r="A77" s="55"/>
      <c r="B77" s="95">
        <v>45716.0</v>
      </c>
      <c r="C77" s="57">
        <v>13149.0</v>
      </c>
      <c r="D77" s="57"/>
      <c r="E77" s="58" t="s">
        <v>80</v>
      </c>
      <c r="F77" s="60" t="s">
        <v>322</v>
      </c>
      <c r="G77" s="60" t="s">
        <v>26</v>
      </c>
    </row>
    <row r="78" ht="19.5" customHeight="1">
      <c r="A78" s="55"/>
      <c r="B78" s="95">
        <v>45717.0</v>
      </c>
      <c r="C78" s="57">
        <v>11199.0</v>
      </c>
      <c r="D78" s="57"/>
      <c r="E78" s="58" t="s">
        <v>80</v>
      </c>
      <c r="F78" s="60" t="s">
        <v>322</v>
      </c>
      <c r="G78" s="60" t="s">
        <v>26</v>
      </c>
    </row>
    <row r="79" ht="19.5" customHeight="1">
      <c r="A79" s="55"/>
      <c r="B79" s="95">
        <v>45719.0</v>
      </c>
      <c r="C79" s="57">
        <v>38520.0</v>
      </c>
      <c r="D79" s="57"/>
      <c r="E79" s="58" t="s">
        <v>162</v>
      </c>
      <c r="F79" s="60" t="s">
        <v>323</v>
      </c>
      <c r="G79" s="60" t="s">
        <v>26</v>
      </c>
    </row>
    <row r="80" ht="19.5" customHeight="1">
      <c r="A80" s="55"/>
      <c r="B80" s="95">
        <v>45719.0</v>
      </c>
      <c r="C80" s="57">
        <v>38520.0</v>
      </c>
      <c r="D80" s="57"/>
      <c r="E80" s="58" t="s">
        <v>162</v>
      </c>
      <c r="F80" s="60" t="s">
        <v>324</v>
      </c>
      <c r="G80" s="60" t="s">
        <v>26</v>
      </c>
    </row>
    <row r="81" ht="19.5" customHeight="1">
      <c r="A81" s="55"/>
      <c r="B81" s="95">
        <v>45719.0</v>
      </c>
      <c r="C81" s="57">
        <v>57510.0</v>
      </c>
      <c r="D81" s="57"/>
      <c r="E81" s="58" t="s">
        <v>162</v>
      </c>
      <c r="F81" s="60" t="s">
        <v>325</v>
      </c>
      <c r="G81" s="60" t="s">
        <v>26</v>
      </c>
    </row>
    <row r="82" ht="19.5" customHeight="1">
      <c r="A82" s="55"/>
      <c r="B82" s="95">
        <v>45721.0</v>
      </c>
      <c r="C82" s="57">
        <v>72989.0</v>
      </c>
      <c r="D82" s="57"/>
      <c r="E82" s="58" t="s">
        <v>326</v>
      </c>
      <c r="F82" s="60" t="s">
        <v>327</v>
      </c>
      <c r="G82" s="60" t="s">
        <v>26</v>
      </c>
    </row>
    <row r="83" ht="19.5" customHeight="1">
      <c r="A83" s="55"/>
      <c r="B83" s="95">
        <v>45722.0</v>
      </c>
      <c r="C83" s="57">
        <v>65800.0</v>
      </c>
      <c r="D83" s="57"/>
      <c r="E83" s="58" t="s">
        <v>162</v>
      </c>
      <c r="F83" s="60" t="s">
        <v>328</v>
      </c>
      <c r="G83" s="60" t="s">
        <v>26</v>
      </c>
    </row>
    <row r="84" ht="19.5" customHeight="1">
      <c r="A84" s="55"/>
      <c r="B84" s="95">
        <v>45722.0</v>
      </c>
      <c r="C84" s="57">
        <v>16050.0</v>
      </c>
      <c r="D84" s="57"/>
      <c r="E84" s="58" t="s">
        <v>162</v>
      </c>
      <c r="F84" s="60" t="s">
        <v>329</v>
      </c>
      <c r="G84" s="60" t="s">
        <v>26</v>
      </c>
    </row>
    <row r="85" ht="19.5" customHeight="1">
      <c r="A85" s="55"/>
      <c r="B85" s="95">
        <v>45722.0</v>
      </c>
      <c r="C85" s="57">
        <v>24503.0</v>
      </c>
      <c r="D85" s="57"/>
      <c r="E85" s="58" t="s">
        <v>162</v>
      </c>
      <c r="F85" s="60" t="s">
        <v>330</v>
      </c>
      <c r="G85" s="60" t="s">
        <v>26</v>
      </c>
    </row>
    <row r="86" ht="19.5" customHeight="1">
      <c r="A86" s="55"/>
      <c r="B86" s="95">
        <v>45723.0</v>
      </c>
      <c r="C86" s="57">
        <v>8327.0</v>
      </c>
      <c r="D86" s="57"/>
      <c r="E86" s="58" t="s">
        <v>99</v>
      </c>
      <c r="F86" s="60" t="s">
        <v>331</v>
      </c>
      <c r="G86" s="60" t="s">
        <v>26</v>
      </c>
    </row>
    <row r="87" ht="19.5" customHeight="1">
      <c r="A87" s="55"/>
      <c r="B87" s="95">
        <v>45726.0</v>
      </c>
      <c r="C87" s="57">
        <v>10382.0</v>
      </c>
      <c r="D87" s="57"/>
      <c r="E87" s="58" t="s">
        <v>56</v>
      </c>
      <c r="F87" s="60" t="s">
        <v>331</v>
      </c>
      <c r="G87" s="60" t="s">
        <v>26</v>
      </c>
    </row>
    <row r="88" ht="19.5" customHeight="1">
      <c r="A88" s="55"/>
      <c r="B88" s="95">
        <v>45726.0</v>
      </c>
      <c r="C88" s="57">
        <v>4807.0</v>
      </c>
      <c r="D88" s="57"/>
      <c r="E88" s="58" t="s">
        <v>56</v>
      </c>
      <c r="F88" s="60" t="s">
        <v>332</v>
      </c>
      <c r="G88" s="60" t="s">
        <v>26</v>
      </c>
    </row>
    <row r="89" ht="19.5" customHeight="1">
      <c r="A89" s="55"/>
      <c r="B89" s="95">
        <v>45727.0</v>
      </c>
      <c r="C89" s="57">
        <v>38520.0</v>
      </c>
      <c r="D89" s="57"/>
      <c r="E89" s="58" t="s">
        <v>162</v>
      </c>
      <c r="F89" s="60" t="s">
        <v>333</v>
      </c>
      <c r="G89" s="60" t="s">
        <v>26</v>
      </c>
    </row>
    <row r="90" ht="19.5" customHeight="1">
      <c r="A90" s="55"/>
      <c r="B90" s="95">
        <v>45727.0</v>
      </c>
      <c r="C90" s="57">
        <v>16043.44</v>
      </c>
      <c r="D90" s="57"/>
      <c r="E90" s="58" t="s">
        <v>231</v>
      </c>
      <c r="F90" s="60" t="s">
        <v>334</v>
      </c>
      <c r="G90" s="60" t="s">
        <v>26</v>
      </c>
    </row>
    <row r="91" ht="19.5" customHeight="1">
      <c r="A91" s="55"/>
      <c r="B91" s="95">
        <v>45728.0</v>
      </c>
      <c r="C91" s="57">
        <v>61632.0</v>
      </c>
      <c r="D91" s="57"/>
      <c r="E91" s="58" t="s">
        <v>162</v>
      </c>
      <c r="F91" s="60" t="s">
        <v>100</v>
      </c>
      <c r="G91" s="60" t="s">
        <v>26</v>
      </c>
    </row>
    <row r="92" ht="19.5" customHeight="1">
      <c r="A92" s="55"/>
      <c r="B92" s="95">
        <v>45728.0</v>
      </c>
      <c r="C92" s="57">
        <v>241762.4</v>
      </c>
      <c r="D92" s="57"/>
      <c r="E92" s="58" t="s">
        <v>179</v>
      </c>
      <c r="F92" s="60" t="s">
        <v>335</v>
      </c>
      <c r="G92" s="60" t="s">
        <v>26</v>
      </c>
    </row>
    <row r="93" ht="19.5" customHeight="1">
      <c r="A93" s="55"/>
      <c r="B93" s="95">
        <v>45729.0</v>
      </c>
      <c r="C93" s="57">
        <v>47401.0</v>
      </c>
      <c r="D93" s="57"/>
      <c r="E93" s="58" t="s">
        <v>162</v>
      </c>
      <c r="F93" s="60" t="s">
        <v>336</v>
      </c>
      <c r="G93" s="60" t="s">
        <v>26</v>
      </c>
    </row>
    <row r="94" ht="19.5" customHeight="1">
      <c r="A94" s="55"/>
      <c r="B94" s="95">
        <v>45729.0</v>
      </c>
      <c r="C94" s="57">
        <v>82334.0</v>
      </c>
      <c r="D94" s="57"/>
      <c r="E94" s="58" t="s">
        <v>162</v>
      </c>
      <c r="F94" s="60" t="s">
        <v>337</v>
      </c>
      <c r="G94" s="60" t="s">
        <v>26</v>
      </c>
    </row>
    <row r="95" ht="19.5" customHeight="1">
      <c r="A95" s="55"/>
      <c r="B95" s="95">
        <v>45735.0</v>
      </c>
      <c r="C95" s="57">
        <v>32900.0</v>
      </c>
      <c r="D95" s="63"/>
      <c r="E95" s="58" t="s">
        <v>162</v>
      </c>
      <c r="F95" s="60" t="s">
        <v>338</v>
      </c>
      <c r="G95" s="60" t="s">
        <v>26</v>
      </c>
    </row>
    <row r="96" ht="19.5" customHeight="1">
      <c r="A96" s="55"/>
      <c r="B96" s="95">
        <v>45735.0</v>
      </c>
      <c r="C96" s="57">
        <v>48950.0</v>
      </c>
      <c r="D96" s="63"/>
      <c r="E96" s="58" t="s">
        <v>162</v>
      </c>
      <c r="F96" s="60" t="s">
        <v>339</v>
      </c>
      <c r="G96" s="60" t="s">
        <v>26</v>
      </c>
    </row>
    <row r="97" ht="19.5" customHeight="1">
      <c r="A97" s="55"/>
      <c r="B97" s="95">
        <v>45741.0</v>
      </c>
      <c r="C97" s="57">
        <v>44833.0</v>
      </c>
      <c r="D97" s="63"/>
      <c r="E97" s="58" t="s">
        <v>162</v>
      </c>
      <c r="F97" s="60" t="s">
        <v>340</v>
      </c>
      <c r="G97" s="60" t="s">
        <v>26</v>
      </c>
    </row>
    <row r="98" ht="30.0" customHeight="1">
      <c r="A98" s="78" t="s">
        <v>111</v>
      </c>
      <c r="B98" s="79"/>
      <c r="C98" s="80">
        <f t="shared" ref="C98:D98" si="6">SUM(C76:C97)</f>
        <v>985180.84</v>
      </c>
      <c r="D98" s="80">
        <f t="shared" si="6"/>
        <v>0</v>
      </c>
      <c r="E98" s="81"/>
      <c r="F98" s="82"/>
    </row>
    <row r="99" ht="4.5" customHeight="1">
      <c r="A99" s="116"/>
      <c r="B99" s="115"/>
      <c r="C99" s="115"/>
      <c r="D99" s="115"/>
      <c r="E99" s="115"/>
      <c r="F99" s="115"/>
      <c r="G99" s="79"/>
    </row>
    <row r="100" ht="19.5" customHeight="1">
      <c r="A100" s="49" t="s">
        <v>125</v>
      </c>
      <c r="B100" s="50">
        <v>45723.0</v>
      </c>
      <c r="C100" s="51">
        <v>5033.5</v>
      </c>
      <c r="D100" s="51"/>
      <c r="E100" s="64" t="s">
        <v>341</v>
      </c>
      <c r="F100" s="61"/>
      <c r="G100" s="62"/>
    </row>
    <row r="101" ht="19.5" customHeight="1">
      <c r="A101" s="55"/>
      <c r="B101" s="56">
        <v>45730.0</v>
      </c>
      <c r="C101" s="57">
        <v>21000.0</v>
      </c>
      <c r="D101" s="57"/>
      <c r="E101" s="58" t="s">
        <v>342</v>
      </c>
      <c r="F101" s="97" t="s">
        <v>343</v>
      </c>
      <c r="G101" s="62"/>
    </row>
    <row r="102" ht="19.5" customHeight="1">
      <c r="A102" s="55"/>
      <c r="B102" s="56">
        <v>45730.0</v>
      </c>
      <c r="C102" s="57">
        <v>5600.0</v>
      </c>
      <c r="D102" s="57"/>
      <c r="E102" s="58" t="s">
        <v>344</v>
      </c>
      <c r="F102" s="61"/>
      <c r="G102" s="62"/>
    </row>
    <row r="103" ht="19.5" customHeight="1">
      <c r="A103" s="55"/>
      <c r="B103" s="56">
        <v>45731.0</v>
      </c>
      <c r="C103" s="57">
        <v>32100.0</v>
      </c>
      <c r="D103" s="57"/>
      <c r="E103" s="58" t="s">
        <v>345</v>
      </c>
      <c r="F103" s="97" t="s">
        <v>346</v>
      </c>
      <c r="G103" s="62"/>
    </row>
    <row r="104" ht="19.5" customHeight="1">
      <c r="A104" s="55"/>
      <c r="B104" s="56">
        <v>45731.0</v>
      </c>
      <c r="C104" s="57">
        <v>50000.0</v>
      </c>
      <c r="D104" s="57"/>
      <c r="E104" s="58" t="s">
        <v>347</v>
      </c>
      <c r="F104" s="61" t="s">
        <v>348</v>
      </c>
      <c r="G104" s="62"/>
    </row>
    <row r="105" ht="19.5" customHeight="1">
      <c r="A105" s="55"/>
      <c r="B105" s="56">
        <v>45731.0</v>
      </c>
      <c r="C105" s="57">
        <v>4200.0</v>
      </c>
      <c r="D105" s="57"/>
      <c r="E105" s="58" t="s">
        <v>347</v>
      </c>
      <c r="F105" s="61"/>
      <c r="G105" s="62"/>
    </row>
    <row r="106" ht="19.5" customHeight="1">
      <c r="A106" s="55"/>
      <c r="B106" s="56">
        <v>45731.0</v>
      </c>
      <c r="C106" s="57">
        <v>13090.0</v>
      </c>
      <c r="D106" s="57"/>
      <c r="E106" s="58" t="s">
        <v>349</v>
      </c>
      <c r="F106" s="97" t="s">
        <v>350</v>
      </c>
      <c r="G106" s="62"/>
    </row>
    <row r="107" ht="19.5" customHeight="1">
      <c r="A107" s="55"/>
      <c r="B107" s="56">
        <v>45731.0</v>
      </c>
      <c r="C107" s="57">
        <v>13500.0</v>
      </c>
      <c r="D107" s="57"/>
      <c r="E107" s="58" t="s">
        <v>349</v>
      </c>
      <c r="F107" s="61"/>
      <c r="G107" s="62"/>
    </row>
    <row r="108" ht="19.5" customHeight="1">
      <c r="A108" s="55"/>
      <c r="B108" s="56">
        <v>45731.0</v>
      </c>
      <c r="C108" s="57">
        <v>38426.0</v>
      </c>
      <c r="D108" s="57"/>
      <c r="E108" s="58" t="s">
        <v>351</v>
      </c>
      <c r="F108" s="97" t="s">
        <v>352</v>
      </c>
      <c r="G108" s="60"/>
    </row>
    <row r="109" ht="19.5" customHeight="1">
      <c r="A109" s="55"/>
      <c r="B109" s="56">
        <v>45732.0</v>
      </c>
      <c r="C109" s="57">
        <v>30200.0</v>
      </c>
      <c r="D109" s="57"/>
      <c r="E109" s="58" t="s">
        <v>353</v>
      </c>
      <c r="F109" s="61" t="s">
        <v>354</v>
      </c>
      <c r="G109" s="60"/>
    </row>
    <row r="110" ht="19.5" customHeight="1">
      <c r="A110" s="55"/>
      <c r="B110" s="56">
        <v>45732.0</v>
      </c>
      <c r="C110" s="57">
        <v>116259.07</v>
      </c>
      <c r="D110" s="57"/>
      <c r="E110" s="58" t="s">
        <v>355</v>
      </c>
      <c r="F110" s="58" t="s">
        <v>356</v>
      </c>
      <c r="G110" s="60"/>
    </row>
    <row r="111" ht="19.5" customHeight="1">
      <c r="A111" s="55"/>
      <c r="B111" s="56">
        <v>45732.0</v>
      </c>
      <c r="C111" s="57">
        <v>7990.0</v>
      </c>
      <c r="D111" s="57"/>
      <c r="E111" s="58" t="s">
        <v>357</v>
      </c>
      <c r="F111" s="59" t="s">
        <v>358</v>
      </c>
      <c r="G111" s="60"/>
    </row>
    <row r="112" ht="19.5" customHeight="1">
      <c r="A112" s="55"/>
      <c r="B112" s="56">
        <v>45733.0</v>
      </c>
      <c r="C112" s="57">
        <v>135600.97</v>
      </c>
      <c r="D112" s="57"/>
      <c r="E112" s="58" t="s">
        <v>355</v>
      </c>
      <c r="F112" s="64" t="s">
        <v>359</v>
      </c>
      <c r="G112" s="60"/>
    </row>
    <row r="113" ht="19.5" customHeight="1">
      <c r="A113" s="55"/>
      <c r="B113" s="56">
        <v>45734.0</v>
      </c>
      <c r="C113" s="57">
        <v>8250.0</v>
      </c>
      <c r="D113" s="57"/>
      <c r="E113" s="58" t="s">
        <v>360</v>
      </c>
      <c r="F113" s="64" t="s">
        <v>361</v>
      </c>
      <c r="G113" s="60"/>
    </row>
    <row r="114" ht="19.5" customHeight="1">
      <c r="A114" s="55"/>
      <c r="B114" s="56">
        <v>45734.0</v>
      </c>
      <c r="C114" s="57">
        <v>9800.0</v>
      </c>
      <c r="D114" s="57"/>
      <c r="E114" s="58" t="s">
        <v>362</v>
      </c>
      <c r="F114" s="97" t="s">
        <v>363</v>
      </c>
      <c r="G114" s="60"/>
    </row>
    <row r="115" ht="19.5" customHeight="1">
      <c r="A115" s="55"/>
      <c r="B115" s="56">
        <v>45734.0</v>
      </c>
      <c r="C115" s="57">
        <v>30000.0</v>
      </c>
      <c r="D115" s="57"/>
      <c r="E115" s="58" t="s">
        <v>364</v>
      </c>
      <c r="F115" s="64" t="s">
        <v>365</v>
      </c>
      <c r="G115" s="60"/>
    </row>
    <row r="116" ht="19.5" customHeight="1">
      <c r="A116" s="55"/>
      <c r="B116" s="56">
        <v>45734.0</v>
      </c>
      <c r="C116" s="57">
        <v>2516.76</v>
      </c>
      <c r="D116" s="57"/>
      <c r="E116" s="58" t="s">
        <v>366</v>
      </c>
      <c r="F116" s="59"/>
      <c r="G116" s="60"/>
    </row>
    <row r="117" ht="19.5" customHeight="1">
      <c r="A117" s="55"/>
      <c r="B117" s="56">
        <v>45735.0</v>
      </c>
      <c r="C117" s="57">
        <v>19999.97</v>
      </c>
      <c r="D117" s="57"/>
      <c r="E117" s="58" t="s">
        <v>355</v>
      </c>
      <c r="F117" s="64" t="s">
        <v>367</v>
      </c>
      <c r="G117" s="60"/>
    </row>
    <row r="118" ht="19.5" customHeight="1">
      <c r="A118" s="55"/>
      <c r="B118" s="65">
        <v>45735.0</v>
      </c>
      <c r="C118" s="63">
        <v>94254.05</v>
      </c>
      <c r="D118" s="63"/>
      <c r="E118" s="64" t="s">
        <v>368</v>
      </c>
      <c r="F118" s="64" t="s">
        <v>369</v>
      </c>
      <c r="G118" s="62"/>
    </row>
    <row r="119" ht="19.5" customHeight="1">
      <c r="A119" s="55"/>
      <c r="B119" s="65">
        <v>45735.0</v>
      </c>
      <c r="C119" s="63">
        <v>4594.4</v>
      </c>
      <c r="D119" s="63"/>
      <c r="E119" s="64" t="s">
        <v>370</v>
      </c>
      <c r="F119" s="97" t="s">
        <v>354</v>
      </c>
      <c r="G119" s="62"/>
    </row>
    <row r="120" ht="19.5" customHeight="1">
      <c r="A120" s="55"/>
      <c r="B120" s="65">
        <v>45735.0</v>
      </c>
      <c r="C120" s="63">
        <v>10000.0</v>
      </c>
      <c r="D120" s="63"/>
      <c r="E120" s="64" t="s">
        <v>364</v>
      </c>
      <c r="F120" s="64" t="s">
        <v>371</v>
      </c>
      <c r="G120" s="62"/>
    </row>
    <row r="121" ht="19.5" customHeight="1">
      <c r="A121" s="55"/>
      <c r="B121" s="65">
        <v>45735.0</v>
      </c>
      <c r="C121" s="63">
        <v>11775.0</v>
      </c>
      <c r="D121" s="63"/>
      <c r="E121" s="64" t="s">
        <v>357</v>
      </c>
      <c r="G121" s="62"/>
    </row>
    <row r="122" ht="19.5" customHeight="1">
      <c r="A122" s="55"/>
      <c r="B122" s="65">
        <v>45736.0</v>
      </c>
      <c r="C122" s="63">
        <v>7550.26</v>
      </c>
      <c r="D122" s="63"/>
      <c r="E122" s="64" t="s">
        <v>131</v>
      </c>
      <c r="F122" s="61"/>
      <c r="G122" s="62"/>
    </row>
    <row r="123" ht="19.5" customHeight="1">
      <c r="A123" s="55"/>
      <c r="B123" s="65">
        <v>45736.0</v>
      </c>
      <c r="C123" s="63">
        <v>3350.0</v>
      </c>
      <c r="D123" s="63"/>
      <c r="E123" s="64" t="s">
        <v>196</v>
      </c>
      <c r="F123" s="64" t="s">
        <v>372</v>
      </c>
      <c r="G123" s="62"/>
    </row>
    <row r="124" ht="19.5" customHeight="1">
      <c r="A124" s="55"/>
      <c r="B124" s="65">
        <v>45736.0</v>
      </c>
      <c r="C124" s="63">
        <v>49801.49</v>
      </c>
      <c r="D124" s="63"/>
      <c r="E124" s="64" t="s">
        <v>368</v>
      </c>
      <c r="F124" s="64" t="s">
        <v>373</v>
      </c>
      <c r="G124" s="62"/>
    </row>
    <row r="125" ht="19.5" customHeight="1">
      <c r="A125" s="55"/>
      <c r="B125" s="65">
        <v>45736.0</v>
      </c>
      <c r="C125" s="63">
        <v>252448.0</v>
      </c>
      <c r="D125" s="63"/>
      <c r="E125" s="64" t="s">
        <v>374</v>
      </c>
      <c r="F125" s="64" t="s">
        <v>375</v>
      </c>
      <c r="G125" s="62"/>
    </row>
    <row r="126" ht="19.5" customHeight="1">
      <c r="A126" s="55"/>
      <c r="B126" s="65">
        <v>45736.0</v>
      </c>
      <c r="C126" s="63">
        <v>10183.57</v>
      </c>
      <c r="D126" s="63"/>
      <c r="E126" s="64" t="s">
        <v>370</v>
      </c>
      <c r="F126" s="64" t="s">
        <v>376</v>
      </c>
      <c r="G126" s="62"/>
    </row>
    <row r="127" ht="19.5" customHeight="1">
      <c r="A127" s="55"/>
      <c r="B127" s="65">
        <v>45736.0</v>
      </c>
      <c r="C127" s="63">
        <v>5033.47</v>
      </c>
      <c r="D127" s="63"/>
      <c r="E127" s="64" t="s">
        <v>377</v>
      </c>
      <c r="F127" s="61"/>
      <c r="G127" s="62"/>
    </row>
    <row r="128" ht="19.5" customHeight="1">
      <c r="A128" s="55"/>
      <c r="B128" s="65">
        <v>45736.0</v>
      </c>
      <c r="C128" s="63">
        <v>14100.0</v>
      </c>
      <c r="D128" s="63"/>
      <c r="E128" s="64" t="s">
        <v>378</v>
      </c>
      <c r="F128" s="97" t="s">
        <v>379</v>
      </c>
      <c r="G128" s="62"/>
    </row>
    <row r="129" ht="19.5" customHeight="1">
      <c r="A129" s="55"/>
      <c r="B129" s="65">
        <v>45737.0</v>
      </c>
      <c r="C129" s="63">
        <v>12000.01</v>
      </c>
      <c r="D129" s="63"/>
      <c r="E129" s="64" t="s">
        <v>360</v>
      </c>
      <c r="F129" s="64" t="s">
        <v>371</v>
      </c>
      <c r="G129" s="62"/>
    </row>
    <row r="130" ht="19.5" customHeight="1">
      <c r="A130" s="55"/>
      <c r="B130" s="65">
        <v>45737.0</v>
      </c>
      <c r="C130" s="63">
        <v>4600.0</v>
      </c>
      <c r="D130" s="63"/>
      <c r="E130" s="64" t="s">
        <v>360</v>
      </c>
      <c r="F130" s="97" t="s">
        <v>380</v>
      </c>
      <c r="G130" s="62"/>
    </row>
    <row r="131" ht="19.5" customHeight="1">
      <c r="A131" s="55"/>
      <c r="B131" s="65">
        <v>45737.0</v>
      </c>
      <c r="C131" s="63">
        <v>70029.0</v>
      </c>
      <c r="D131" s="63"/>
      <c r="E131" s="64" t="s">
        <v>360</v>
      </c>
      <c r="F131" s="64" t="s">
        <v>381</v>
      </c>
      <c r="G131" s="62"/>
    </row>
    <row r="132" ht="19.5" customHeight="1">
      <c r="A132" s="55"/>
      <c r="B132" s="65">
        <v>45737.0</v>
      </c>
      <c r="C132" s="63">
        <v>4286.78</v>
      </c>
      <c r="D132" s="63"/>
      <c r="E132" s="64" t="s">
        <v>368</v>
      </c>
      <c r="F132" s="64" t="s">
        <v>382</v>
      </c>
      <c r="G132" s="62"/>
    </row>
    <row r="133" ht="19.5" customHeight="1">
      <c r="A133" s="55"/>
      <c r="B133" s="65">
        <v>45737.0</v>
      </c>
      <c r="C133" s="63">
        <v>7251.0</v>
      </c>
      <c r="D133" s="63"/>
      <c r="E133" s="64" t="s">
        <v>383</v>
      </c>
      <c r="F133" s="64" t="s">
        <v>354</v>
      </c>
      <c r="G133" s="62"/>
    </row>
    <row r="134" ht="19.5" customHeight="1">
      <c r="A134" s="55"/>
      <c r="B134" s="65">
        <v>45737.0</v>
      </c>
      <c r="C134" s="63">
        <v>235900.0</v>
      </c>
      <c r="D134" s="63"/>
      <c r="E134" s="64" t="s">
        <v>384</v>
      </c>
      <c r="F134" s="61"/>
      <c r="G134" s="62"/>
    </row>
    <row r="135" ht="19.5" customHeight="1">
      <c r="A135" s="55"/>
      <c r="B135" s="65">
        <v>45737.0</v>
      </c>
      <c r="C135" s="63">
        <v>12250.0</v>
      </c>
      <c r="D135" s="63"/>
      <c r="E135" s="64" t="s">
        <v>378</v>
      </c>
      <c r="F135" s="64" t="s">
        <v>385</v>
      </c>
      <c r="G135" s="62"/>
    </row>
    <row r="136" ht="19.5" customHeight="1">
      <c r="A136" s="55"/>
      <c r="B136" s="65">
        <v>45738.0</v>
      </c>
      <c r="C136" s="63">
        <v>12069.5</v>
      </c>
      <c r="D136" s="63"/>
      <c r="E136" s="64" t="s">
        <v>33</v>
      </c>
      <c r="F136" s="64" t="s">
        <v>371</v>
      </c>
      <c r="G136" s="62"/>
    </row>
    <row r="137" ht="19.5" customHeight="1">
      <c r="A137" s="55"/>
      <c r="B137" s="65">
        <v>45738.0</v>
      </c>
      <c r="C137" s="63">
        <v>8100.0</v>
      </c>
      <c r="D137" s="63"/>
      <c r="E137" s="64" t="s">
        <v>362</v>
      </c>
      <c r="F137" s="97" t="s">
        <v>385</v>
      </c>
      <c r="G137" s="62"/>
    </row>
    <row r="138" ht="19.5" customHeight="1">
      <c r="A138" s="55"/>
      <c r="B138" s="65">
        <v>45738.0</v>
      </c>
      <c r="C138" s="63">
        <v>7971.95</v>
      </c>
      <c r="D138" s="63"/>
      <c r="E138" s="64" t="s">
        <v>370</v>
      </c>
      <c r="F138" s="64" t="s">
        <v>354</v>
      </c>
      <c r="G138" s="62"/>
    </row>
    <row r="139" ht="19.5" customHeight="1">
      <c r="A139" s="55"/>
      <c r="B139" s="65">
        <v>45740.0</v>
      </c>
      <c r="C139" s="63">
        <v>74002.03</v>
      </c>
      <c r="D139" s="63"/>
      <c r="E139" s="64" t="s">
        <v>34</v>
      </c>
      <c r="F139" s="64" t="s">
        <v>250</v>
      </c>
      <c r="G139" s="62"/>
    </row>
    <row r="140" ht="19.5" customHeight="1">
      <c r="A140" s="55"/>
      <c r="B140" s="65">
        <v>45740.0</v>
      </c>
      <c r="C140" s="63">
        <v>6050.0</v>
      </c>
      <c r="D140" s="63"/>
      <c r="E140" s="64" t="s">
        <v>386</v>
      </c>
      <c r="F140" s="64" t="s">
        <v>387</v>
      </c>
      <c r="G140" s="62"/>
    </row>
    <row r="141" ht="19.5" customHeight="1">
      <c r="A141" s="55"/>
      <c r="B141" s="65">
        <v>45740.0</v>
      </c>
      <c r="C141" s="63">
        <v>28019.0</v>
      </c>
      <c r="D141" s="63"/>
      <c r="E141" s="64" t="s">
        <v>386</v>
      </c>
      <c r="F141" s="97" t="s">
        <v>250</v>
      </c>
      <c r="G141" s="62"/>
    </row>
    <row r="142" ht="19.5" customHeight="1">
      <c r="A142" s="55"/>
      <c r="B142" s="65">
        <v>45740.0</v>
      </c>
      <c r="C142" s="63">
        <v>130703.02</v>
      </c>
      <c r="D142" s="63"/>
      <c r="E142" s="64" t="s">
        <v>355</v>
      </c>
      <c r="F142" s="64" t="s">
        <v>388</v>
      </c>
      <c r="G142" s="62"/>
    </row>
    <row r="143" ht="19.5" customHeight="1">
      <c r="A143" s="55"/>
      <c r="B143" s="65">
        <v>45740.0</v>
      </c>
      <c r="C143" s="63">
        <v>51997.94</v>
      </c>
      <c r="D143" s="63"/>
      <c r="E143" s="64" t="s">
        <v>349</v>
      </c>
      <c r="F143" s="64" t="s">
        <v>250</v>
      </c>
      <c r="G143" s="62"/>
    </row>
    <row r="144" ht="19.5" customHeight="1">
      <c r="A144" s="55"/>
      <c r="B144" s="65">
        <v>45740.0</v>
      </c>
      <c r="C144" s="63">
        <v>12820.0</v>
      </c>
      <c r="D144" s="63"/>
      <c r="E144" s="64" t="s">
        <v>357</v>
      </c>
      <c r="F144" s="64" t="s">
        <v>389</v>
      </c>
      <c r="G144" s="62"/>
    </row>
    <row r="145" ht="19.5" customHeight="1">
      <c r="A145" s="55"/>
      <c r="B145" s="65">
        <v>45740.0</v>
      </c>
      <c r="C145" s="63">
        <v>7000.0</v>
      </c>
      <c r="D145" s="63"/>
      <c r="E145" s="64" t="s">
        <v>357</v>
      </c>
      <c r="F145" s="97" t="s">
        <v>371</v>
      </c>
      <c r="G145" s="62"/>
    </row>
    <row r="146" ht="19.5" customHeight="1">
      <c r="A146" s="55"/>
      <c r="B146" s="65">
        <v>45740.0</v>
      </c>
      <c r="C146" s="63">
        <v>8983.0</v>
      </c>
      <c r="D146" s="63"/>
      <c r="E146" s="64" t="s">
        <v>357</v>
      </c>
      <c r="F146" s="64" t="s">
        <v>390</v>
      </c>
      <c r="G146" s="62"/>
    </row>
    <row r="147" ht="19.5" customHeight="1">
      <c r="A147" s="110"/>
      <c r="B147" s="65">
        <v>45741.0</v>
      </c>
      <c r="C147" s="63">
        <v>4400.0</v>
      </c>
      <c r="D147" s="63"/>
      <c r="E147" s="64" t="s">
        <v>391</v>
      </c>
      <c r="F147" s="61"/>
      <c r="G147" s="77"/>
    </row>
    <row r="148" ht="30.0" customHeight="1">
      <c r="A148" s="78" t="s">
        <v>111</v>
      </c>
      <c r="B148" s="79"/>
      <c r="C148" s="80">
        <f>SUM(C100:C147)</f>
        <v>1705089.74</v>
      </c>
      <c r="D148" s="80">
        <f>SUM(D101:D147)</f>
        <v>0</v>
      </c>
      <c r="E148" s="81"/>
      <c r="F148" s="82"/>
    </row>
    <row r="149" ht="4.5" customHeight="1">
      <c r="A149" s="116"/>
      <c r="B149" s="115"/>
      <c r="C149" s="115"/>
      <c r="D149" s="117"/>
      <c r="E149" s="96"/>
      <c r="F149" s="96"/>
      <c r="G149" s="96"/>
    </row>
    <row r="150" ht="30.0" customHeight="1">
      <c r="A150" s="78" t="s">
        <v>187</v>
      </c>
      <c r="B150" s="79"/>
      <c r="C150" s="80">
        <f t="shared" ref="C150:D150" si="7">+C62+C70+C74+C98+C148</f>
        <v>8577978.95</v>
      </c>
      <c r="D150" s="80">
        <f t="shared" si="7"/>
        <v>6.97</v>
      </c>
      <c r="E150" s="97"/>
      <c r="F150" s="98"/>
    </row>
    <row r="151" ht="19.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6:C7"/>
    <mergeCell ref="D6:E6"/>
    <mergeCell ref="F6:G6"/>
    <mergeCell ref="D7:E7"/>
    <mergeCell ref="F7:G7"/>
    <mergeCell ref="D8:E8"/>
    <mergeCell ref="F8:G8"/>
    <mergeCell ref="D9:G16"/>
    <mergeCell ref="C11:C12"/>
    <mergeCell ref="C13:C14"/>
    <mergeCell ref="A17:G17"/>
    <mergeCell ref="A19:A61"/>
    <mergeCell ref="A62:B62"/>
    <mergeCell ref="A63:G63"/>
    <mergeCell ref="A98:B98"/>
    <mergeCell ref="A99:G99"/>
    <mergeCell ref="A100:A147"/>
    <mergeCell ref="A148:B148"/>
    <mergeCell ref="A149:D149"/>
    <mergeCell ref="A150:B150"/>
    <mergeCell ref="A64:A69"/>
    <mergeCell ref="A70:B70"/>
    <mergeCell ref="A71:G71"/>
    <mergeCell ref="A72:A73"/>
    <mergeCell ref="A74:B74"/>
    <mergeCell ref="A75:G75"/>
    <mergeCell ref="A76:A97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1.71"/>
    <col customWidth="1" min="7" max="7" width="11.86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392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6235796.37</v>
      </c>
      <c r="G8" s="14"/>
    </row>
    <row r="9" ht="19.5" customHeight="1">
      <c r="A9" s="20" t="s">
        <v>7</v>
      </c>
      <c r="B9" s="21">
        <f>+C67</f>
        <v>3711749.4</v>
      </c>
      <c r="C9" s="22">
        <f t="shared" ref="C9:C10" si="1">+B9</f>
        <v>3711749.4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+D67</f>
        <v>9.96</v>
      </c>
      <c r="C10" s="28">
        <f t="shared" si="1"/>
        <v>9.96</v>
      </c>
      <c r="D10" s="29"/>
      <c r="G10" s="30"/>
    </row>
    <row r="11" ht="19.5" customHeight="1">
      <c r="A11" s="31" t="s">
        <v>10</v>
      </c>
      <c r="B11" s="32">
        <f>+C69+C70+C71+C72+C73+C74+C76+C78</f>
        <v>524743.12</v>
      </c>
      <c r="C11" s="33">
        <f>SUM(B11:B12)</f>
        <v>627693.12</v>
      </c>
      <c r="D11" s="29"/>
      <c r="G11" s="30"/>
    </row>
    <row r="12" ht="19.5" customHeight="1">
      <c r="A12" s="26" t="s">
        <v>11</v>
      </c>
      <c r="B12" s="27">
        <f>+C79-B11</f>
        <v>102950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15</v>
      </c>
      <c r="B15" s="39">
        <f>SUM(C105)</f>
        <v>394757.41</v>
      </c>
      <c r="C15" s="40">
        <f t="shared" ref="C15:C16" si="2">+B15</f>
        <v>394757.41</v>
      </c>
      <c r="D15" s="29"/>
      <c r="G15" s="30"/>
    </row>
    <row r="16" ht="19.5" customHeight="1">
      <c r="A16" s="35" t="s">
        <v>14</v>
      </c>
      <c r="B16" s="36">
        <f>SUM(C96)</f>
        <v>577468.49</v>
      </c>
      <c r="C16" s="37">
        <f t="shared" si="2"/>
        <v>577468.49</v>
      </c>
      <c r="D16" s="41"/>
      <c r="E16" s="42"/>
      <c r="F16" s="42"/>
      <c r="G16" s="43"/>
    </row>
    <row r="17" ht="4.5" customHeight="1">
      <c r="A17" s="114"/>
      <c r="B17" s="115"/>
      <c r="C17" s="115"/>
      <c r="D17" s="115"/>
      <c r="E17" s="115"/>
      <c r="F17" s="115"/>
      <c r="G17" s="79"/>
    </row>
    <row r="18" ht="24.75" customHeight="1">
      <c r="A18" s="47" t="s">
        <v>16</v>
      </c>
      <c r="B18" s="47" t="s">
        <v>17</v>
      </c>
      <c r="C18" s="47" t="s">
        <v>18</v>
      </c>
      <c r="D18" s="47" t="s">
        <v>19</v>
      </c>
      <c r="E18" s="48" t="s">
        <v>20</v>
      </c>
      <c r="F18" s="48" t="s">
        <v>21</v>
      </c>
      <c r="G18" s="48" t="s">
        <v>22</v>
      </c>
    </row>
    <row r="19" ht="19.5" customHeight="1">
      <c r="A19" s="49" t="s">
        <v>23</v>
      </c>
      <c r="B19" s="50">
        <v>45737.0</v>
      </c>
      <c r="C19" s="51">
        <v>200728.94</v>
      </c>
      <c r="D19" s="51"/>
      <c r="E19" s="52" t="s">
        <v>103</v>
      </c>
      <c r="F19" s="61" t="s">
        <v>104</v>
      </c>
      <c r="G19" s="62" t="s">
        <v>26</v>
      </c>
    </row>
    <row r="20" ht="19.5" customHeight="1">
      <c r="A20" s="55"/>
      <c r="B20" s="56">
        <v>45743.0</v>
      </c>
      <c r="C20" s="57">
        <v>94318.0</v>
      </c>
      <c r="D20" s="57"/>
      <c r="E20" s="58" t="s">
        <v>24</v>
      </c>
      <c r="F20" s="61" t="s">
        <v>393</v>
      </c>
      <c r="G20" s="60" t="s">
        <v>26</v>
      </c>
    </row>
    <row r="21" ht="19.5" customHeight="1">
      <c r="A21" s="55"/>
      <c r="B21" s="56">
        <v>45743.0</v>
      </c>
      <c r="C21" s="57">
        <v>5100.0</v>
      </c>
      <c r="D21" s="57"/>
      <c r="E21" s="58" t="s">
        <v>33</v>
      </c>
      <c r="F21" s="59" t="s">
        <v>30</v>
      </c>
      <c r="G21" s="60"/>
    </row>
    <row r="22" ht="19.5" customHeight="1">
      <c r="A22" s="55"/>
      <c r="B22" s="56">
        <v>45743.0</v>
      </c>
      <c r="C22" s="57"/>
      <c r="D22" s="57">
        <v>2.99</v>
      </c>
      <c r="E22" s="58" t="s">
        <v>394</v>
      </c>
      <c r="F22" s="59" t="s">
        <v>32</v>
      </c>
      <c r="G22" s="60" t="s">
        <v>26</v>
      </c>
    </row>
    <row r="23" ht="19.5" customHeight="1">
      <c r="A23" s="55"/>
      <c r="B23" s="56">
        <v>45744.0</v>
      </c>
      <c r="C23" s="57">
        <v>49434.0</v>
      </c>
      <c r="D23" s="57"/>
      <c r="E23" s="58" t="s">
        <v>24</v>
      </c>
      <c r="F23" s="61" t="s">
        <v>395</v>
      </c>
      <c r="G23" s="60" t="s">
        <v>26</v>
      </c>
    </row>
    <row r="24" ht="19.5" customHeight="1">
      <c r="A24" s="55"/>
      <c r="B24" s="56">
        <v>45744.0</v>
      </c>
      <c r="C24" s="57">
        <v>50290.0</v>
      </c>
      <c r="D24" s="57"/>
      <c r="E24" s="58" t="s">
        <v>24</v>
      </c>
      <c r="F24" s="61" t="s">
        <v>396</v>
      </c>
      <c r="G24" s="60" t="s">
        <v>26</v>
      </c>
    </row>
    <row r="25" ht="19.5" customHeight="1">
      <c r="A25" s="55"/>
      <c r="B25" s="56">
        <v>45745.0</v>
      </c>
      <c r="C25" s="57">
        <v>15422.0</v>
      </c>
      <c r="D25" s="57"/>
      <c r="E25" s="58" t="s">
        <v>33</v>
      </c>
      <c r="F25" s="59" t="s">
        <v>30</v>
      </c>
      <c r="G25" s="60"/>
    </row>
    <row r="26" ht="19.5" customHeight="1">
      <c r="A26" s="55"/>
      <c r="B26" s="104">
        <v>45748.0</v>
      </c>
      <c r="C26" s="105">
        <v>4600.0</v>
      </c>
      <c r="D26" s="105"/>
      <c r="E26" s="106" t="s">
        <v>230</v>
      </c>
      <c r="F26" s="107"/>
      <c r="G26" s="108"/>
    </row>
    <row r="27" ht="19.5" customHeight="1">
      <c r="A27" s="55"/>
      <c r="B27" s="56">
        <v>45749.0</v>
      </c>
      <c r="C27" s="57">
        <v>4700.0</v>
      </c>
      <c r="D27" s="57"/>
      <c r="E27" s="58" t="s">
        <v>33</v>
      </c>
      <c r="F27" s="59" t="s">
        <v>30</v>
      </c>
      <c r="G27" s="60"/>
    </row>
    <row r="28" ht="19.5" customHeight="1">
      <c r="A28" s="55"/>
      <c r="B28" s="56">
        <v>45751.0</v>
      </c>
      <c r="C28" s="57">
        <v>108602.98</v>
      </c>
      <c r="D28" s="57"/>
      <c r="E28" s="58" t="s">
        <v>34</v>
      </c>
      <c r="F28" s="59" t="s">
        <v>30</v>
      </c>
      <c r="G28" s="60"/>
    </row>
    <row r="29" ht="19.5" customHeight="1">
      <c r="A29" s="55"/>
      <c r="B29" s="56">
        <v>45752.0</v>
      </c>
      <c r="C29" s="57">
        <v>16794.96</v>
      </c>
      <c r="D29" s="57"/>
      <c r="E29" s="58" t="s">
        <v>34</v>
      </c>
      <c r="F29" s="59" t="s">
        <v>30</v>
      </c>
      <c r="G29" s="60"/>
    </row>
    <row r="30" ht="19.5" customHeight="1">
      <c r="A30" s="55"/>
      <c r="B30" s="56">
        <v>45752.0</v>
      </c>
      <c r="C30" s="57">
        <v>9850.0</v>
      </c>
      <c r="D30" s="57"/>
      <c r="E30" s="58" t="s">
        <v>29</v>
      </c>
      <c r="F30" s="59" t="s">
        <v>30</v>
      </c>
      <c r="G30" s="60"/>
    </row>
    <row r="31" ht="19.5" customHeight="1">
      <c r="A31" s="55"/>
      <c r="B31" s="56">
        <v>45753.0</v>
      </c>
      <c r="C31" s="57">
        <v>26648.0</v>
      </c>
      <c r="D31" s="57"/>
      <c r="E31" s="58" t="s">
        <v>42</v>
      </c>
      <c r="F31" s="61" t="s">
        <v>43</v>
      </c>
      <c r="G31" s="62" t="s">
        <v>44</v>
      </c>
    </row>
    <row r="32" ht="19.5" customHeight="1">
      <c r="A32" s="55"/>
      <c r="B32" s="104">
        <v>45755.0</v>
      </c>
      <c r="C32" s="105">
        <v>7500.0</v>
      </c>
      <c r="D32" s="105"/>
      <c r="E32" s="106" t="s">
        <v>132</v>
      </c>
      <c r="F32" s="107"/>
      <c r="G32" s="108"/>
    </row>
    <row r="33" ht="19.5" customHeight="1">
      <c r="A33" s="55"/>
      <c r="B33" s="56">
        <v>45756.0</v>
      </c>
      <c r="C33" s="57">
        <v>9980.0</v>
      </c>
      <c r="D33" s="57"/>
      <c r="E33" s="58" t="s">
        <v>120</v>
      </c>
      <c r="F33" s="59" t="s">
        <v>30</v>
      </c>
      <c r="G33" s="60"/>
    </row>
    <row r="34" ht="19.5" customHeight="1">
      <c r="A34" s="55"/>
      <c r="B34" s="104">
        <v>45756.0</v>
      </c>
      <c r="C34" s="105">
        <v>17900.0</v>
      </c>
      <c r="D34" s="105"/>
      <c r="E34" s="106" t="s">
        <v>256</v>
      </c>
      <c r="F34" s="107"/>
      <c r="G34" s="108"/>
    </row>
    <row r="35" ht="19.5" customHeight="1">
      <c r="A35" s="55"/>
      <c r="B35" s="56">
        <v>45756.0</v>
      </c>
      <c r="C35" s="57"/>
      <c r="D35" s="57">
        <v>1.99</v>
      </c>
      <c r="E35" s="58" t="s">
        <v>397</v>
      </c>
      <c r="F35" s="61" t="s">
        <v>55</v>
      </c>
      <c r="G35" s="60" t="s">
        <v>26</v>
      </c>
    </row>
    <row r="36" ht="19.5" customHeight="1">
      <c r="A36" s="55"/>
      <c r="B36" s="56">
        <v>45757.0</v>
      </c>
      <c r="C36" s="57">
        <v>126500.0</v>
      </c>
      <c r="D36" s="57"/>
      <c r="E36" s="58" t="s">
        <v>84</v>
      </c>
      <c r="F36" s="59" t="s">
        <v>398</v>
      </c>
      <c r="G36" s="60" t="s">
        <v>26</v>
      </c>
    </row>
    <row r="37" ht="19.5" customHeight="1">
      <c r="A37" s="55"/>
      <c r="B37" s="56">
        <v>45757.0</v>
      </c>
      <c r="C37" s="57">
        <v>111000.98</v>
      </c>
      <c r="D37" s="57"/>
      <c r="E37" s="58" t="s">
        <v>399</v>
      </c>
      <c r="F37" s="59" t="s">
        <v>30</v>
      </c>
      <c r="G37" s="60"/>
    </row>
    <row r="38" ht="19.5" customHeight="1">
      <c r="A38" s="55"/>
      <c r="B38" s="104">
        <v>45758.0</v>
      </c>
      <c r="C38" s="105">
        <v>6500.0</v>
      </c>
      <c r="D38" s="105"/>
      <c r="E38" s="106" t="s">
        <v>400</v>
      </c>
      <c r="F38" s="107"/>
      <c r="G38" s="108"/>
    </row>
    <row r="39" ht="19.5" customHeight="1">
      <c r="A39" s="55"/>
      <c r="B39" s="56">
        <v>45758.0</v>
      </c>
      <c r="C39" s="57">
        <v>20100.0</v>
      </c>
      <c r="D39" s="57"/>
      <c r="E39" s="58" t="s">
        <v>401</v>
      </c>
      <c r="F39" s="61" t="s">
        <v>52</v>
      </c>
      <c r="G39" s="60" t="s">
        <v>53</v>
      </c>
    </row>
    <row r="40" ht="19.5" customHeight="1">
      <c r="A40" s="55"/>
      <c r="B40" s="56">
        <v>45759.0</v>
      </c>
      <c r="C40" s="57">
        <v>7750.0</v>
      </c>
      <c r="D40" s="57"/>
      <c r="E40" s="58" t="s">
        <v>29</v>
      </c>
      <c r="F40" s="59" t="s">
        <v>30</v>
      </c>
      <c r="G40" s="60"/>
    </row>
    <row r="41" ht="19.5" customHeight="1">
      <c r="A41" s="55"/>
      <c r="B41" s="71">
        <v>45762.0</v>
      </c>
      <c r="C41" s="72">
        <v>42010.79</v>
      </c>
      <c r="D41" s="72"/>
      <c r="E41" s="73" t="s">
        <v>402</v>
      </c>
      <c r="F41" s="74"/>
      <c r="G41" s="75"/>
    </row>
    <row r="42" ht="19.5" customHeight="1">
      <c r="A42" s="55"/>
      <c r="B42" s="56">
        <v>45762.0</v>
      </c>
      <c r="C42" s="57">
        <v>93458.0</v>
      </c>
      <c r="D42" s="57"/>
      <c r="E42" s="58" t="s">
        <v>403</v>
      </c>
      <c r="F42" s="61" t="s">
        <v>69</v>
      </c>
      <c r="G42" s="62" t="s">
        <v>26</v>
      </c>
    </row>
    <row r="43" ht="19.5" customHeight="1">
      <c r="A43" s="55"/>
      <c r="B43" s="56">
        <v>45762.0</v>
      </c>
      <c r="C43" s="57">
        <v>17651.0</v>
      </c>
      <c r="D43" s="57"/>
      <c r="E43" s="58" t="s">
        <v>404</v>
      </c>
      <c r="F43" s="61" t="s">
        <v>73</v>
      </c>
      <c r="G43" s="60" t="s">
        <v>26</v>
      </c>
    </row>
    <row r="44" ht="19.5" customHeight="1">
      <c r="A44" s="55"/>
      <c r="B44" s="56">
        <v>45762.0</v>
      </c>
      <c r="C44" s="57">
        <v>16175.43</v>
      </c>
      <c r="D44" s="57"/>
      <c r="E44" s="58" t="s">
        <v>405</v>
      </c>
      <c r="F44" s="61" t="s">
        <v>77</v>
      </c>
      <c r="G44" s="62" t="s">
        <v>26</v>
      </c>
    </row>
    <row r="45" ht="19.5" customHeight="1">
      <c r="A45" s="55"/>
      <c r="B45" s="56">
        <v>45762.0</v>
      </c>
      <c r="C45" s="57">
        <v>17651.0</v>
      </c>
      <c r="D45" s="57"/>
      <c r="E45" s="58" t="s">
        <v>406</v>
      </c>
      <c r="F45" s="61" t="s">
        <v>79</v>
      </c>
      <c r="G45" s="62" t="s">
        <v>26</v>
      </c>
    </row>
    <row r="46" ht="19.5" customHeight="1">
      <c r="A46" s="55"/>
      <c r="B46" s="56">
        <v>45762.0</v>
      </c>
      <c r="C46" s="57">
        <v>16945.0</v>
      </c>
      <c r="D46" s="57"/>
      <c r="E46" s="58" t="s">
        <v>407</v>
      </c>
      <c r="F46" s="61" t="s">
        <v>71</v>
      </c>
      <c r="G46" s="62" t="s">
        <v>26</v>
      </c>
    </row>
    <row r="47" ht="19.5" customHeight="1">
      <c r="A47" s="55"/>
      <c r="B47" s="56">
        <v>45762.0</v>
      </c>
      <c r="C47" s="57">
        <v>392664.0</v>
      </c>
      <c r="D47" s="57"/>
      <c r="E47" s="58" t="s">
        <v>64</v>
      </c>
      <c r="F47" s="61" t="s">
        <v>65</v>
      </c>
      <c r="G47" s="62" t="s">
        <v>26</v>
      </c>
    </row>
    <row r="48" ht="19.5" customHeight="1">
      <c r="A48" s="55"/>
      <c r="B48" s="56">
        <v>45762.0</v>
      </c>
      <c r="C48" s="57">
        <v>414638.0</v>
      </c>
      <c r="D48" s="57"/>
      <c r="E48" s="58" t="s">
        <v>66</v>
      </c>
      <c r="F48" s="61" t="s">
        <v>67</v>
      </c>
      <c r="G48" s="62" t="s">
        <v>26</v>
      </c>
    </row>
    <row r="49" ht="19.5" customHeight="1">
      <c r="A49" s="55"/>
      <c r="B49" s="56">
        <v>45766.0</v>
      </c>
      <c r="C49" s="57">
        <v>42053.02</v>
      </c>
      <c r="D49" s="57"/>
      <c r="E49" s="58" t="s">
        <v>225</v>
      </c>
      <c r="F49" s="61" t="s">
        <v>226</v>
      </c>
      <c r="G49" s="62" t="s">
        <v>26</v>
      </c>
    </row>
    <row r="50" ht="19.5" customHeight="1">
      <c r="A50" s="55"/>
      <c r="B50" s="56">
        <v>45767.0</v>
      </c>
      <c r="C50" s="57"/>
      <c r="D50" s="57">
        <v>1.99</v>
      </c>
      <c r="E50" s="58" t="s">
        <v>408</v>
      </c>
      <c r="F50" s="61" t="s">
        <v>55</v>
      </c>
      <c r="G50" s="60" t="s">
        <v>26</v>
      </c>
    </row>
    <row r="51" ht="19.5" customHeight="1">
      <c r="A51" s="55"/>
      <c r="B51" s="104">
        <v>45768.0</v>
      </c>
      <c r="C51" s="105">
        <v>500.0</v>
      </c>
      <c r="D51" s="105"/>
      <c r="E51" s="106" t="s">
        <v>199</v>
      </c>
      <c r="F51" s="107"/>
      <c r="G51" s="108"/>
    </row>
    <row r="52" ht="19.5" customHeight="1">
      <c r="A52" s="55"/>
      <c r="B52" s="104">
        <v>45768.0</v>
      </c>
      <c r="C52" s="105">
        <v>18419.0</v>
      </c>
      <c r="D52" s="105"/>
      <c r="E52" s="106" t="s">
        <v>81</v>
      </c>
      <c r="F52" s="107"/>
      <c r="G52" s="108"/>
    </row>
    <row r="53" ht="19.5" customHeight="1">
      <c r="A53" s="55"/>
      <c r="B53" s="104">
        <v>45769.0</v>
      </c>
      <c r="C53" s="105">
        <v>39440.0</v>
      </c>
      <c r="D53" s="105"/>
      <c r="E53" s="106" t="s">
        <v>297</v>
      </c>
      <c r="F53" s="107"/>
      <c r="G53" s="108"/>
    </row>
    <row r="54" ht="19.5" customHeight="1">
      <c r="A54" s="55"/>
      <c r="B54" s="56">
        <v>45769.0</v>
      </c>
      <c r="C54" s="57">
        <v>1120060.74</v>
      </c>
      <c r="D54" s="57"/>
      <c r="E54" s="58" t="s">
        <v>92</v>
      </c>
      <c r="F54" s="61" t="s">
        <v>93</v>
      </c>
      <c r="G54" s="62" t="s">
        <v>26</v>
      </c>
    </row>
    <row r="55" ht="19.5" customHeight="1">
      <c r="A55" s="55"/>
      <c r="B55" s="56">
        <v>45770.0</v>
      </c>
      <c r="C55" s="57">
        <v>303268.64</v>
      </c>
      <c r="D55" s="57"/>
      <c r="E55" s="58" t="s">
        <v>103</v>
      </c>
      <c r="F55" s="61" t="s">
        <v>104</v>
      </c>
      <c r="G55" s="62" t="s">
        <v>26</v>
      </c>
    </row>
    <row r="56" ht="19.5" customHeight="1">
      <c r="A56" s="55"/>
      <c r="B56" s="56">
        <v>45771.0</v>
      </c>
      <c r="C56" s="57">
        <v>13510.0</v>
      </c>
      <c r="D56" s="57"/>
      <c r="E56" s="58" t="s">
        <v>29</v>
      </c>
      <c r="F56" s="59" t="s">
        <v>30</v>
      </c>
      <c r="G56" s="60"/>
    </row>
    <row r="57" ht="19.5" customHeight="1">
      <c r="A57" s="55"/>
      <c r="B57" s="104">
        <v>45771.0</v>
      </c>
      <c r="C57" s="105">
        <v>9400.0</v>
      </c>
      <c r="D57" s="105"/>
      <c r="E57" s="106" t="s">
        <v>409</v>
      </c>
      <c r="F57" s="69"/>
      <c r="G57" s="108"/>
    </row>
    <row r="58" ht="19.5" customHeight="1">
      <c r="A58" s="55"/>
      <c r="B58" s="56">
        <v>45772.0</v>
      </c>
      <c r="C58" s="57">
        <v>10900.0</v>
      </c>
      <c r="D58" s="57"/>
      <c r="E58" s="58" t="s">
        <v>29</v>
      </c>
      <c r="F58" s="61" t="s">
        <v>30</v>
      </c>
      <c r="G58" s="62"/>
    </row>
    <row r="59" ht="19.5" customHeight="1">
      <c r="A59" s="55"/>
      <c r="B59" s="104">
        <v>45773.0</v>
      </c>
      <c r="C59" s="105">
        <v>10400.0</v>
      </c>
      <c r="D59" s="105"/>
      <c r="E59" s="106" t="s">
        <v>410</v>
      </c>
      <c r="F59" s="69"/>
      <c r="G59" s="70"/>
    </row>
    <row r="60" ht="19.5" customHeight="1">
      <c r="A60" s="55"/>
      <c r="B60" s="56">
        <v>45774.0</v>
      </c>
      <c r="C60" s="57">
        <v>8460.0</v>
      </c>
      <c r="D60" s="57"/>
      <c r="E60" s="58" t="s">
        <v>33</v>
      </c>
      <c r="F60" s="59" t="s">
        <v>30</v>
      </c>
      <c r="G60" s="62"/>
    </row>
    <row r="61" ht="19.5" customHeight="1">
      <c r="A61" s="55"/>
      <c r="B61" s="56">
        <v>45774.0</v>
      </c>
      <c r="C61" s="57">
        <v>7550.0</v>
      </c>
      <c r="D61" s="57"/>
      <c r="E61" s="58" t="s">
        <v>33</v>
      </c>
      <c r="F61" s="59" t="s">
        <v>30</v>
      </c>
      <c r="G61" s="60"/>
    </row>
    <row r="62" ht="19.5" customHeight="1">
      <c r="A62" s="55"/>
      <c r="B62" s="56">
        <v>45774.0</v>
      </c>
      <c r="C62" s="57"/>
      <c r="D62" s="57">
        <v>2.99</v>
      </c>
      <c r="E62" s="58" t="s">
        <v>411</v>
      </c>
      <c r="F62" s="59" t="s">
        <v>32</v>
      </c>
      <c r="G62" s="60" t="s">
        <v>26</v>
      </c>
    </row>
    <row r="63" ht="19.5" customHeight="1">
      <c r="A63" s="55"/>
      <c r="B63" s="56">
        <v>45775.0</v>
      </c>
      <c r="C63" s="57">
        <v>64350.0</v>
      </c>
      <c r="D63" s="57"/>
      <c r="E63" s="58" t="s">
        <v>84</v>
      </c>
      <c r="F63" s="61" t="s">
        <v>412</v>
      </c>
      <c r="G63" s="62" t="s">
        <v>26</v>
      </c>
    </row>
    <row r="64" ht="19.5" customHeight="1">
      <c r="A64" s="55"/>
      <c r="B64" s="104">
        <v>45775.0</v>
      </c>
      <c r="C64" s="67">
        <v>43000.0</v>
      </c>
      <c r="D64" s="67"/>
      <c r="E64" s="68" t="s">
        <v>413</v>
      </c>
      <c r="F64" s="69"/>
      <c r="G64" s="70"/>
    </row>
    <row r="65" ht="19.5" customHeight="1">
      <c r="A65" s="55"/>
      <c r="B65" s="56">
        <v>45776.0</v>
      </c>
      <c r="C65" s="63">
        <v>110004.92</v>
      </c>
      <c r="D65" s="63"/>
      <c r="E65" s="64" t="s">
        <v>34</v>
      </c>
      <c r="F65" s="59" t="s">
        <v>30</v>
      </c>
      <c r="G65" s="62"/>
    </row>
    <row r="66" ht="19.5" customHeight="1">
      <c r="A66" s="76"/>
      <c r="B66" s="56">
        <v>45776.0</v>
      </c>
      <c r="C66" s="63">
        <v>5520.0</v>
      </c>
      <c r="D66" s="63"/>
      <c r="E66" s="64" t="s">
        <v>33</v>
      </c>
      <c r="F66" s="59" t="s">
        <v>30</v>
      </c>
      <c r="G66" s="62"/>
    </row>
    <row r="67" ht="30.0" customHeight="1">
      <c r="A67" s="78" t="s">
        <v>111</v>
      </c>
      <c r="B67" s="79"/>
      <c r="C67" s="80">
        <f t="shared" ref="C67:D67" si="3">SUM(C19:C66)</f>
        <v>3711749.4</v>
      </c>
      <c r="D67" s="80">
        <f t="shared" si="3"/>
        <v>9.96</v>
      </c>
      <c r="E67" s="81"/>
      <c r="F67" s="82"/>
    </row>
    <row r="68" ht="4.5" customHeight="1">
      <c r="A68" s="116"/>
      <c r="B68" s="115"/>
      <c r="C68" s="115"/>
      <c r="D68" s="115"/>
      <c r="E68" s="115"/>
      <c r="F68" s="115"/>
      <c r="G68" s="79"/>
    </row>
    <row r="69" ht="19.5" customHeight="1">
      <c r="A69" s="49" t="s">
        <v>112</v>
      </c>
      <c r="B69" s="65">
        <v>45704.0</v>
      </c>
      <c r="C69" s="63">
        <v>109853.33</v>
      </c>
      <c r="D69" s="51"/>
      <c r="E69" s="64" t="s">
        <v>414</v>
      </c>
      <c r="F69" s="61" t="s">
        <v>114</v>
      </c>
      <c r="G69" s="62" t="s">
        <v>44</v>
      </c>
    </row>
    <row r="70" ht="19.5" customHeight="1">
      <c r="A70" s="55"/>
      <c r="B70" s="65">
        <v>45747.0</v>
      </c>
      <c r="C70" s="63">
        <v>168900.0</v>
      </c>
      <c r="D70" s="57"/>
      <c r="E70" s="64" t="s">
        <v>415</v>
      </c>
      <c r="F70" s="61" t="s">
        <v>114</v>
      </c>
      <c r="G70" s="62" t="s">
        <v>44</v>
      </c>
    </row>
    <row r="71" ht="19.5" customHeight="1">
      <c r="A71" s="55"/>
      <c r="B71" s="65">
        <v>45747.0</v>
      </c>
      <c r="C71" s="63">
        <v>32750.0</v>
      </c>
      <c r="D71" s="57"/>
      <c r="E71" s="64" t="s">
        <v>416</v>
      </c>
      <c r="F71" s="61" t="s">
        <v>114</v>
      </c>
      <c r="G71" s="62" t="s">
        <v>44</v>
      </c>
    </row>
    <row r="72" ht="19.5" customHeight="1">
      <c r="A72" s="55"/>
      <c r="B72" s="65">
        <v>45748.0</v>
      </c>
      <c r="C72" s="63">
        <v>12464.0</v>
      </c>
      <c r="D72" s="57"/>
      <c r="E72" s="64" t="s">
        <v>417</v>
      </c>
      <c r="F72" s="61" t="s">
        <v>114</v>
      </c>
      <c r="G72" s="62" t="s">
        <v>44</v>
      </c>
    </row>
    <row r="73" ht="19.5" customHeight="1">
      <c r="A73" s="55"/>
      <c r="B73" s="65">
        <v>45750.0</v>
      </c>
      <c r="C73" s="63">
        <v>26480.0</v>
      </c>
      <c r="D73" s="57"/>
      <c r="E73" s="64" t="s">
        <v>418</v>
      </c>
      <c r="F73" s="61" t="s">
        <v>118</v>
      </c>
      <c r="G73" s="62" t="s">
        <v>44</v>
      </c>
    </row>
    <row r="74" ht="19.5" customHeight="1">
      <c r="A74" s="55"/>
      <c r="B74" s="65">
        <v>45751.0</v>
      </c>
      <c r="C74" s="63">
        <v>48389.0</v>
      </c>
      <c r="D74" s="63"/>
      <c r="E74" s="64" t="s">
        <v>419</v>
      </c>
      <c r="F74" s="61" t="s">
        <v>114</v>
      </c>
      <c r="G74" s="62" t="s">
        <v>44</v>
      </c>
    </row>
    <row r="75" ht="19.5" customHeight="1">
      <c r="A75" s="55"/>
      <c r="B75" s="65">
        <v>45756.0</v>
      </c>
      <c r="C75" s="63">
        <v>92000.0</v>
      </c>
      <c r="D75" s="63"/>
      <c r="E75" s="64" t="s">
        <v>420</v>
      </c>
      <c r="F75" s="61" t="s">
        <v>421</v>
      </c>
      <c r="G75" s="62" t="s">
        <v>26</v>
      </c>
    </row>
    <row r="76" ht="19.5" customHeight="1">
      <c r="A76" s="55"/>
      <c r="B76" s="65">
        <v>45759.0</v>
      </c>
      <c r="C76" s="63">
        <v>95906.79</v>
      </c>
      <c r="D76" s="63"/>
      <c r="E76" s="64" t="s">
        <v>119</v>
      </c>
      <c r="F76" s="61" t="s">
        <v>114</v>
      </c>
      <c r="G76" s="62" t="s">
        <v>44</v>
      </c>
    </row>
    <row r="77" ht="19.5" customHeight="1">
      <c r="A77" s="55"/>
      <c r="B77" s="65">
        <v>45768.0</v>
      </c>
      <c r="C77" s="63">
        <v>10950.0</v>
      </c>
      <c r="D77" s="63"/>
      <c r="E77" s="64" t="s">
        <v>422</v>
      </c>
      <c r="F77" s="61" t="s">
        <v>423</v>
      </c>
      <c r="G77" s="62" t="s">
        <v>26</v>
      </c>
    </row>
    <row r="78" ht="19.5" customHeight="1">
      <c r="A78" s="55"/>
      <c r="B78" s="65">
        <v>45776.0</v>
      </c>
      <c r="C78" s="63">
        <v>30000.0</v>
      </c>
      <c r="D78" s="63"/>
      <c r="E78" s="64" t="s">
        <v>418</v>
      </c>
      <c r="F78" s="61" t="s">
        <v>118</v>
      </c>
      <c r="G78" s="62" t="s">
        <v>44</v>
      </c>
    </row>
    <row r="79" ht="30.0" customHeight="1">
      <c r="A79" s="78" t="s">
        <v>111</v>
      </c>
      <c r="B79" s="79"/>
      <c r="C79" s="80">
        <f t="shared" ref="C79:D79" si="4">SUM(C69:C78)</f>
        <v>627693.12</v>
      </c>
      <c r="D79" s="80">
        <f t="shared" si="4"/>
        <v>0</v>
      </c>
      <c r="E79" s="81"/>
      <c r="F79" s="82"/>
    </row>
    <row r="80" ht="4.5" customHeight="1">
      <c r="A80" s="116"/>
      <c r="B80" s="115"/>
      <c r="C80" s="115"/>
      <c r="D80" s="115"/>
      <c r="E80" s="115"/>
      <c r="F80" s="115"/>
      <c r="G80" s="79"/>
    </row>
    <row r="81" ht="19.5" customHeight="1">
      <c r="A81" s="49" t="s">
        <v>14</v>
      </c>
      <c r="B81" s="50">
        <v>45750.0</v>
      </c>
      <c r="C81" s="51">
        <v>40000.0</v>
      </c>
      <c r="D81" s="51"/>
      <c r="E81" s="52" t="s">
        <v>120</v>
      </c>
      <c r="F81" s="53"/>
      <c r="G81" s="54"/>
    </row>
    <row r="82" ht="19.5" customHeight="1">
      <c r="A82" s="55"/>
      <c r="B82" s="56">
        <v>45757.0</v>
      </c>
      <c r="C82" s="57">
        <v>14750.0</v>
      </c>
      <c r="D82" s="57"/>
      <c r="E82" s="58" t="s">
        <v>84</v>
      </c>
      <c r="F82" s="59"/>
      <c r="G82" s="60"/>
    </row>
    <row r="83" ht="19.5" customHeight="1">
      <c r="A83" s="55"/>
      <c r="B83" s="56">
        <v>45757.0</v>
      </c>
      <c r="C83" s="57">
        <v>13420.0</v>
      </c>
      <c r="D83" s="57"/>
      <c r="E83" s="58" t="s">
        <v>84</v>
      </c>
      <c r="F83" s="59"/>
      <c r="G83" s="60"/>
    </row>
    <row r="84" ht="19.5" customHeight="1">
      <c r="A84" s="55"/>
      <c r="B84" s="56">
        <v>45757.0</v>
      </c>
      <c r="C84" s="57">
        <v>59970.0</v>
      </c>
      <c r="D84" s="57"/>
      <c r="E84" s="58" t="s">
        <v>84</v>
      </c>
      <c r="F84" s="59"/>
      <c r="G84" s="60"/>
    </row>
    <row r="85" ht="19.5" customHeight="1">
      <c r="A85" s="55"/>
      <c r="B85" s="56">
        <v>45757.0</v>
      </c>
      <c r="C85" s="57">
        <v>56860.0</v>
      </c>
      <c r="D85" s="57"/>
      <c r="E85" s="58" t="s">
        <v>84</v>
      </c>
      <c r="F85" s="59"/>
      <c r="G85" s="60"/>
    </row>
    <row r="86" ht="19.5" customHeight="1">
      <c r="A86" s="55"/>
      <c r="B86" s="56">
        <v>45757.0</v>
      </c>
      <c r="C86" s="57">
        <v>54610.0</v>
      </c>
      <c r="D86" s="57"/>
      <c r="E86" s="58" t="s">
        <v>84</v>
      </c>
      <c r="F86" s="59"/>
      <c r="G86" s="60"/>
    </row>
    <row r="87" ht="19.5" customHeight="1">
      <c r="A87" s="55"/>
      <c r="B87" s="56">
        <v>45757.0</v>
      </c>
      <c r="C87" s="57">
        <v>40650.0</v>
      </c>
      <c r="D87" s="57"/>
      <c r="E87" s="58" t="s">
        <v>84</v>
      </c>
      <c r="F87" s="59"/>
      <c r="G87" s="60"/>
    </row>
    <row r="88" ht="19.5" customHeight="1">
      <c r="A88" s="55"/>
      <c r="B88" s="56">
        <v>45757.0</v>
      </c>
      <c r="C88" s="57">
        <v>56210.0</v>
      </c>
      <c r="D88" s="57"/>
      <c r="E88" s="58" t="s">
        <v>84</v>
      </c>
      <c r="F88" s="59"/>
      <c r="G88" s="60"/>
    </row>
    <row r="89" ht="19.5" customHeight="1">
      <c r="A89" s="55"/>
      <c r="B89" s="56">
        <v>45757.0</v>
      </c>
      <c r="C89" s="57">
        <v>13590.0</v>
      </c>
      <c r="D89" s="57"/>
      <c r="E89" s="58" t="s">
        <v>84</v>
      </c>
      <c r="F89" s="59"/>
      <c r="G89" s="60"/>
    </row>
    <row r="90" ht="19.5" customHeight="1">
      <c r="A90" s="55"/>
      <c r="B90" s="56">
        <v>45757.0</v>
      </c>
      <c r="C90" s="57">
        <v>22510.0</v>
      </c>
      <c r="D90" s="57"/>
      <c r="E90" s="58" t="s">
        <v>84</v>
      </c>
      <c r="F90" s="59"/>
      <c r="G90" s="60"/>
    </row>
    <row r="91" ht="19.5" customHeight="1">
      <c r="A91" s="55"/>
      <c r="B91" s="56">
        <v>45757.0</v>
      </c>
      <c r="C91" s="57">
        <v>11790.0</v>
      </c>
      <c r="D91" s="57"/>
      <c r="E91" s="58" t="s">
        <v>84</v>
      </c>
      <c r="F91" s="59"/>
      <c r="G91" s="60"/>
    </row>
    <row r="92" ht="19.5" customHeight="1">
      <c r="A92" s="55"/>
      <c r="B92" s="56">
        <v>45757.0</v>
      </c>
      <c r="C92" s="57">
        <v>10750.0</v>
      </c>
      <c r="D92" s="57"/>
      <c r="E92" s="58" t="s">
        <v>84</v>
      </c>
      <c r="F92" s="59"/>
      <c r="G92" s="60"/>
    </row>
    <row r="93" ht="19.5" customHeight="1">
      <c r="A93" s="55"/>
      <c r="B93" s="56">
        <v>45757.0</v>
      </c>
      <c r="C93" s="57">
        <v>7710.0</v>
      </c>
      <c r="D93" s="57"/>
      <c r="E93" s="58" t="s">
        <v>84</v>
      </c>
      <c r="F93" s="59"/>
      <c r="G93" s="60"/>
    </row>
    <row r="94" ht="19.5" customHeight="1">
      <c r="A94" s="55"/>
      <c r="B94" s="56">
        <v>45757.0</v>
      </c>
      <c r="C94" s="57">
        <v>12270.0</v>
      </c>
      <c r="D94" s="57"/>
      <c r="E94" s="58" t="s">
        <v>84</v>
      </c>
      <c r="F94" s="59"/>
      <c r="G94" s="60"/>
    </row>
    <row r="95" ht="19.5" customHeight="1">
      <c r="A95" s="55"/>
      <c r="B95" s="65">
        <v>45772.0</v>
      </c>
      <c r="C95" s="63">
        <v>162378.49</v>
      </c>
      <c r="D95" s="63"/>
      <c r="E95" s="64" t="s">
        <v>424</v>
      </c>
      <c r="F95" s="61"/>
      <c r="G95" s="62"/>
    </row>
    <row r="96" ht="30.0" customHeight="1">
      <c r="A96" s="78" t="s">
        <v>111</v>
      </c>
      <c r="B96" s="79"/>
      <c r="C96" s="80">
        <f t="shared" ref="C96:D96" si="5">SUM(C81:C95)</f>
        <v>577468.49</v>
      </c>
      <c r="D96" s="80">
        <f t="shared" si="5"/>
        <v>0</v>
      </c>
      <c r="E96" s="92"/>
      <c r="F96" s="82"/>
      <c r="G96" s="93"/>
    </row>
    <row r="97" ht="4.5" customHeight="1">
      <c r="A97" s="116"/>
      <c r="B97" s="115"/>
      <c r="C97" s="115"/>
      <c r="D97" s="115"/>
      <c r="E97" s="115"/>
      <c r="F97" s="115"/>
      <c r="G97" s="79"/>
    </row>
    <row r="98" ht="19.5" customHeight="1">
      <c r="A98" s="49" t="s">
        <v>15</v>
      </c>
      <c r="B98" s="94">
        <v>45750.0</v>
      </c>
      <c r="C98" s="51">
        <v>23852.79</v>
      </c>
      <c r="D98" s="51"/>
      <c r="E98" s="52" t="s">
        <v>231</v>
      </c>
      <c r="F98" s="61" t="s">
        <v>425</v>
      </c>
      <c r="G98" s="54" t="s">
        <v>26</v>
      </c>
    </row>
    <row r="99" ht="19.5" customHeight="1">
      <c r="A99" s="55"/>
      <c r="B99" s="95">
        <v>45750.0</v>
      </c>
      <c r="C99" s="57">
        <v>234506.71</v>
      </c>
      <c r="D99" s="57"/>
      <c r="E99" s="58" t="s">
        <v>179</v>
      </c>
      <c r="F99" s="61" t="s">
        <v>426</v>
      </c>
      <c r="G99" s="60" t="s">
        <v>26</v>
      </c>
    </row>
    <row r="100" ht="19.5" customHeight="1">
      <c r="A100" s="55"/>
      <c r="B100" s="95">
        <v>45750.0</v>
      </c>
      <c r="C100" s="57">
        <v>16963.05</v>
      </c>
      <c r="D100" s="57"/>
      <c r="E100" s="58" t="s">
        <v>427</v>
      </c>
      <c r="F100" s="61" t="s">
        <v>428</v>
      </c>
      <c r="G100" s="60" t="s">
        <v>26</v>
      </c>
    </row>
    <row r="101" ht="19.5" customHeight="1">
      <c r="A101" s="55"/>
      <c r="B101" s="95">
        <v>45750.0</v>
      </c>
      <c r="C101" s="57">
        <v>9599.97</v>
      </c>
      <c r="D101" s="57"/>
      <c r="E101" s="58" t="s">
        <v>429</v>
      </c>
      <c r="F101" s="61" t="s">
        <v>430</v>
      </c>
      <c r="G101" s="60" t="s">
        <v>26</v>
      </c>
    </row>
    <row r="102" ht="19.5" customHeight="1">
      <c r="A102" s="55"/>
      <c r="B102" s="95">
        <v>45761.0</v>
      </c>
      <c r="C102" s="57">
        <v>55200.0</v>
      </c>
      <c r="D102" s="57"/>
      <c r="E102" s="58" t="s">
        <v>431</v>
      </c>
      <c r="F102" s="61" t="s">
        <v>432</v>
      </c>
      <c r="G102" s="60" t="s">
        <v>26</v>
      </c>
    </row>
    <row r="103" ht="19.5" customHeight="1">
      <c r="A103" s="55"/>
      <c r="B103" s="95">
        <v>45762.0</v>
      </c>
      <c r="C103" s="57">
        <v>32900.0</v>
      </c>
      <c r="D103" s="57"/>
      <c r="E103" s="58" t="s">
        <v>162</v>
      </c>
      <c r="F103" s="61" t="s">
        <v>433</v>
      </c>
      <c r="G103" s="60" t="s">
        <v>26</v>
      </c>
    </row>
    <row r="104" ht="19.5" customHeight="1">
      <c r="A104" s="55"/>
      <c r="B104" s="95">
        <v>45762.0</v>
      </c>
      <c r="C104" s="57">
        <v>21734.89</v>
      </c>
      <c r="D104" s="57"/>
      <c r="E104" s="58" t="s">
        <v>434</v>
      </c>
      <c r="F104" s="61" t="s">
        <v>435</v>
      </c>
      <c r="G104" s="60" t="s">
        <v>26</v>
      </c>
    </row>
    <row r="105" ht="30.0" customHeight="1">
      <c r="A105" s="78" t="s">
        <v>111</v>
      </c>
      <c r="B105" s="79"/>
      <c r="C105" s="80">
        <f t="shared" ref="C105:D105" si="6">SUM(C98:C104)</f>
        <v>394757.41</v>
      </c>
      <c r="D105" s="80">
        <f t="shared" si="6"/>
        <v>0</v>
      </c>
      <c r="E105" s="81"/>
      <c r="F105" s="98"/>
    </row>
    <row r="106" ht="4.5" customHeight="1">
      <c r="A106" s="116"/>
      <c r="B106" s="115"/>
      <c r="C106" s="115"/>
      <c r="D106" s="115"/>
      <c r="E106" s="115"/>
      <c r="F106" s="115"/>
      <c r="G106" s="79"/>
    </row>
    <row r="107" ht="19.5" customHeight="1">
      <c r="A107" s="49" t="s">
        <v>125</v>
      </c>
      <c r="B107" s="50">
        <v>45743.0</v>
      </c>
      <c r="C107" s="51">
        <v>30000.0</v>
      </c>
      <c r="D107" s="51"/>
      <c r="E107" s="52" t="s">
        <v>436</v>
      </c>
      <c r="F107" s="64" t="s">
        <v>437</v>
      </c>
      <c r="G107" s="62"/>
    </row>
    <row r="108" ht="19.5" customHeight="1">
      <c r="A108" s="55"/>
      <c r="B108" s="56">
        <v>45747.0</v>
      </c>
      <c r="C108" s="57">
        <v>30000.0</v>
      </c>
      <c r="D108" s="57"/>
      <c r="E108" s="58" t="s">
        <v>438</v>
      </c>
      <c r="F108" s="64" t="s">
        <v>437</v>
      </c>
      <c r="G108" s="62"/>
    </row>
    <row r="109" ht="19.5" customHeight="1">
      <c r="A109" s="55"/>
      <c r="B109" s="56">
        <v>45747.0</v>
      </c>
      <c r="C109" s="57">
        <v>13000.0</v>
      </c>
      <c r="D109" s="57"/>
      <c r="E109" s="58" t="s">
        <v>400</v>
      </c>
      <c r="F109" s="64" t="s">
        <v>439</v>
      </c>
      <c r="G109" s="62"/>
    </row>
    <row r="110" ht="19.5" customHeight="1">
      <c r="A110" s="55"/>
      <c r="B110" s="56">
        <v>45748.0</v>
      </c>
      <c r="C110" s="57">
        <v>6500.0</v>
      </c>
      <c r="D110" s="57"/>
      <c r="E110" s="58" t="s">
        <v>410</v>
      </c>
      <c r="F110" s="61"/>
      <c r="G110" s="62"/>
    </row>
    <row r="111" ht="19.5" customHeight="1">
      <c r="A111" s="55"/>
      <c r="B111" s="56">
        <v>45748.0</v>
      </c>
      <c r="C111" s="57">
        <v>172397.52</v>
      </c>
      <c r="D111" s="57"/>
      <c r="E111" s="58" t="s">
        <v>440</v>
      </c>
      <c r="F111" s="61"/>
      <c r="G111" s="62"/>
    </row>
    <row r="112" ht="19.5" customHeight="1">
      <c r="A112" s="55"/>
      <c r="B112" s="56">
        <v>45751.0</v>
      </c>
      <c r="C112" s="57">
        <v>7700.0</v>
      </c>
      <c r="D112" s="57"/>
      <c r="E112" s="58" t="s">
        <v>441</v>
      </c>
      <c r="F112" s="61"/>
      <c r="G112" s="62"/>
    </row>
    <row r="113" ht="19.5" customHeight="1">
      <c r="A113" s="55"/>
      <c r="B113" s="56">
        <v>45754.0</v>
      </c>
      <c r="C113" s="57">
        <v>19512.0</v>
      </c>
      <c r="D113" s="57"/>
      <c r="E113" s="58" t="s">
        <v>442</v>
      </c>
      <c r="F113" s="61"/>
      <c r="G113" s="62"/>
    </row>
    <row r="114" ht="19.5" customHeight="1">
      <c r="A114" s="55"/>
      <c r="B114" s="56">
        <v>45756.0</v>
      </c>
      <c r="C114" s="57">
        <v>15100.52</v>
      </c>
      <c r="D114" s="57"/>
      <c r="E114" s="58" t="s">
        <v>443</v>
      </c>
      <c r="F114" s="61"/>
      <c r="G114" s="62"/>
    </row>
    <row r="115" ht="19.5" customHeight="1">
      <c r="A115" s="55"/>
      <c r="B115" s="56">
        <v>45757.0</v>
      </c>
      <c r="C115" s="57">
        <v>152857.96</v>
      </c>
      <c r="D115" s="57"/>
      <c r="E115" s="58" t="s">
        <v>129</v>
      </c>
      <c r="F115" s="59"/>
      <c r="G115" s="60"/>
    </row>
    <row r="116" ht="19.5" customHeight="1">
      <c r="A116" s="55"/>
      <c r="B116" s="56">
        <v>45757.0</v>
      </c>
      <c r="C116" s="57">
        <v>32997.4</v>
      </c>
      <c r="D116" s="57"/>
      <c r="E116" s="58" t="s">
        <v>131</v>
      </c>
      <c r="F116" s="59"/>
      <c r="G116" s="60"/>
    </row>
    <row r="117" ht="19.5" customHeight="1">
      <c r="A117" s="55"/>
      <c r="B117" s="56">
        <v>45757.0</v>
      </c>
      <c r="C117" s="57">
        <v>21671.9</v>
      </c>
      <c r="D117" s="57"/>
      <c r="E117" s="58" t="s">
        <v>377</v>
      </c>
      <c r="F117" s="59"/>
      <c r="G117" s="60"/>
    </row>
    <row r="118" ht="19.5" customHeight="1">
      <c r="A118" s="55"/>
      <c r="B118" s="56">
        <v>45757.0</v>
      </c>
      <c r="C118" s="57">
        <v>30000.05</v>
      </c>
      <c r="D118" s="57"/>
      <c r="E118" s="58" t="s">
        <v>444</v>
      </c>
      <c r="F118" s="59"/>
      <c r="G118" s="60"/>
    </row>
    <row r="119" ht="19.5" customHeight="1">
      <c r="A119" s="55"/>
      <c r="B119" s="56">
        <v>45762.0</v>
      </c>
      <c r="C119" s="57">
        <v>2000.0</v>
      </c>
      <c r="D119" s="57"/>
      <c r="E119" s="58" t="s">
        <v>445</v>
      </c>
      <c r="F119" s="59"/>
      <c r="G119" s="60"/>
    </row>
    <row r="120" ht="19.5" customHeight="1">
      <c r="A120" s="55"/>
      <c r="B120" s="56">
        <v>45762.0</v>
      </c>
      <c r="C120" s="57">
        <v>4600.0</v>
      </c>
      <c r="D120" s="57"/>
      <c r="E120" s="58" t="s">
        <v>446</v>
      </c>
      <c r="F120" s="59"/>
      <c r="G120" s="60"/>
    </row>
    <row r="121" ht="19.5" customHeight="1">
      <c r="A121" s="55"/>
      <c r="B121" s="56">
        <v>45763.0</v>
      </c>
      <c r="C121" s="57">
        <v>8808.63</v>
      </c>
      <c r="D121" s="57"/>
      <c r="E121" s="58" t="s">
        <v>447</v>
      </c>
      <c r="F121" s="59"/>
      <c r="G121" s="60"/>
    </row>
    <row r="122" ht="19.5" customHeight="1">
      <c r="A122" s="55"/>
      <c r="B122" s="56">
        <v>45764.0</v>
      </c>
      <c r="C122" s="57">
        <v>6600.0</v>
      </c>
      <c r="D122" s="57"/>
      <c r="E122" s="58" t="s">
        <v>448</v>
      </c>
      <c r="F122" s="64" t="s">
        <v>449</v>
      </c>
      <c r="G122" s="60"/>
    </row>
    <row r="123" ht="19.5" customHeight="1">
      <c r="A123" s="55"/>
      <c r="B123" s="56">
        <v>45765.0</v>
      </c>
      <c r="C123" s="57">
        <v>19100.0</v>
      </c>
      <c r="D123" s="57"/>
      <c r="E123" s="58" t="s">
        <v>33</v>
      </c>
      <c r="F123" s="61"/>
      <c r="G123" s="60"/>
    </row>
    <row r="124" ht="19.5" customHeight="1">
      <c r="A124" s="55"/>
      <c r="B124" s="56">
        <v>45765.0</v>
      </c>
      <c r="C124" s="57">
        <v>4600.0</v>
      </c>
      <c r="D124" s="57"/>
      <c r="E124" s="58" t="s">
        <v>212</v>
      </c>
      <c r="F124" s="59"/>
      <c r="G124" s="60"/>
    </row>
    <row r="125" ht="19.5" customHeight="1">
      <c r="A125" s="55"/>
      <c r="B125" s="65">
        <v>45766.0</v>
      </c>
      <c r="C125" s="63">
        <v>6350.0</v>
      </c>
      <c r="D125" s="63"/>
      <c r="E125" s="64" t="s">
        <v>29</v>
      </c>
      <c r="F125" s="97" t="s">
        <v>450</v>
      </c>
      <c r="G125" s="62"/>
    </row>
    <row r="126" ht="19.5" customHeight="1">
      <c r="A126" s="55"/>
      <c r="B126" s="65">
        <v>45768.0</v>
      </c>
      <c r="C126" s="63">
        <v>4340.0</v>
      </c>
      <c r="D126" s="63"/>
      <c r="E126" s="64" t="s">
        <v>29</v>
      </c>
      <c r="F126" s="61"/>
      <c r="G126" s="62"/>
    </row>
    <row r="127" ht="19.5" customHeight="1">
      <c r="A127" s="55"/>
      <c r="B127" s="65">
        <v>45768.0</v>
      </c>
      <c r="C127" s="63">
        <v>4640.0</v>
      </c>
      <c r="D127" s="63"/>
      <c r="E127" s="64" t="s">
        <v>29</v>
      </c>
      <c r="F127" s="61"/>
      <c r="G127" s="62"/>
    </row>
    <row r="128" ht="19.5" customHeight="1">
      <c r="A128" s="55"/>
      <c r="B128" s="65">
        <v>45769.0</v>
      </c>
      <c r="C128" s="63">
        <v>11200.0</v>
      </c>
      <c r="D128" s="63"/>
      <c r="E128" s="64" t="s">
        <v>441</v>
      </c>
      <c r="F128" s="61"/>
      <c r="G128" s="62"/>
    </row>
    <row r="129" ht="19.5" customHeight="1">
      <c r="A129" s="55"/>
      <c r="B129" s="65">
        <v>45769.0</v>
      </c>
      <c r="C129" s="63">
        <v>7340.0</v>
      </c>
      <c r="D129" s="63"/>
      <c r="E129" s="64" t="s">
        <v>451</v>
      </c>
      <c r="F129" s="64"/>
      <c r="G129" s="62"/>
    </row>
    <row r="130" ht="19.5" customHeight="1">
      <c r="A130" s="55"/>
      <c r="B130" s="65">
        <v>45769.0</v>
      </c>
      <c r="C130" s="63">
        <v>93292.0</v>
      </c>
      <c r="D130" s="63"/>
      <c r="E130" s="64" t="s">
        <v>452</v>
      </c>
      <c r="F130" s="61" t="s">
        <v>453</v>
      </c>
      <c r="G130" s="62"/>
    </row>
    <row r="131" ht="19.5" customHeight="1">
      <c r="A131" s="55"/>
      <c r="B131" s="65">
        <v>45769.0</v>
      </c>
      <c r="C131" s="63">
        <v>6575.0</v>
      </c>
      <c r="D131" s="63"/>
      <c r="E131" s="64" t="s">
        <v>452</v>
      </c>
      <c r="F131" s="64" t="s">
        <v>453</v>
      </c>
      <c r="G131" s="62"/>
    </row>
    <row r="132" ht="19.5" customHeight="1">
      <c r="A132" s="55"/>
      <c r="B132" s="65">
        <v>45770.0</v>
      </c>
      <c r="C132" s="63">
        <v>6200.0</v>
      </c>
      <c r="D132" s="63"/>
      <c r="E132" s="64" t="s">
        <v>132</v>
      </c>
      <c r="F132" s="64" t="s">
        <v>454</v>
      </c>
      <c r="G132" s="62"/>
    </row>
    <row r="133" ht="19.5" customHeight="1">
      <c r="A133" s="55"/>
      <c r="B133" s="65">
        <v>45771.0</v>
      </c>
      <c r="C133" s="63">
        <v>7000.0</v>
      </c>
      <c r="D133" s="63"/>
      <c r="E133" s="64" t="s">
        <v>132</v>
      </c>
      <c r="F133" s="64" t="s">
        <v>455</v>
      </c>
      <c r="G133" s="62"/>
    </row>
    <row r="134" ht="19.5" customHeight="1">
      <c r="A134" s="55"/>
      <c r="B134" s="65">
        <v>45772.0</v>
      </c>
      <c r="C134" s="63">
        <v>11200.0</v>
      </c>
      <c r="D134" s="63"/>
      <c r="E134" s="64" t="s">
        <v>441</v>
      </c>
      <c r="F134" s="61"/>
      <c r="G134" s="62"/>
    </row>
    <row r="135" ht="19.5" customHeight="1">
      <c r="A135" s="55"/>
      <c r="B135" s="65">
        <v>45772.0</v>
      </c>
      <c r="C135" s="63">
        <v>6600.0</v>
      </c>
      <c r="D135" s="63"/>
      <c r="E135" s="64" t="s">
        <v>456</v>
      </c>
      <c r="F135" s="61"/>
      <c r="G135" s="62"/>
    </row>
    <row r="136" ht="19.5" customHeight="1">
      <c r="A136" s="55"/>
      <c r="B136" s="65">
        <v>45772.0</v>
      </c>
      <c r="C136" s="63">
        <v>10600.0</v>
      </c>
      <c r="D136" s="63"/>
      <c r="E136" s="64" t="s">
        <v>456</v>
      </c>
      <c r="F136" s="64" t="s">
        <v>372</v>
      </c>
      <c r="G136" s="62"/>
    </row>
    <row r="137" ht="19.5" customHeight="1">
      <c r="A137" s="55"/>
      <c r="B137" s="65">
        <v>45773.0</v>
      </c>
      <c r="C137" s="63">
        <v>17135.04</v>
      </c>
      <c r="D137" s="63"/>
      <c r="E137" s="64" t="s">
        <v>427</v>
      </c>
      <c r="F137" s="64" t="s">
        <v>457</v>
      </c>
      <c r="G137" s="62"/>
    </row>
    <row r="138" ht="19.5" customHeight="1">
      <c r="A138" s="55"/>
      <c r="B138" s="65">
        <v>45773.0</v>
      </c>
      <c r="C138" s="63">
        <v>17336.77</v>
      </c>
      <c r="D138" s="63"/>
      <c r="E138" s="64" t="s">
        <v>458</v>
      </c>
      <c r="F138" s="61"/>
      <c r="G138" s="62"/>
    </row>
    <row r="139" ht="19.5" customHeight="1">
      <c r="A139" s="55"/>
      <c r="B139" s="65">
        <v>45773.0</v>
      </c>
      <c r="C139" s="63">
        <v>7000.0</v>
      </c>
      <c r="D139" s="63"/>
      <c r="E139" s="64" t="s">
        <v>132</v>
      </c>
      <c r="F139" s="64" t="s">
        <v>454</v>
      </c>
      <c r="G139" s="62"/>
    </row>
    <row r="140" ht="19.5" customHeight="1">
      <c r="A140" s="55"/>
      <c r="B140" s="65">
        <v>45774.0</v>
      </c>
      <c r="C140" s="63">
        <v>7000.0</v>
      </c>
      <c r="D140" s="63"/>
      <c r="E140" s="64" t="s">
        <v>132</v>
      </c>
      <c r="F140" s="64" t="s">
        <v>454</v>
      </c>
      <c r="G140" s="62"/>
    </row>
    <row r="141" ht="19.5" customHeight="1">
      <c r="A141" s="55"/>
      <c r="B141" s="65">
        <v>45775.0</v>
      </c>
      <c r="C141" s="63">
        <v>10300.0</v>
      </c>
      <c r="D141" s="63"/>
      <c r="E141" s="64" t="s">
        <v>345</v>
      </c>
      <c r="F141" s="61"/>
      <c r="G141" s="62"/>
    </row>
    <row r="142" ht="19.5" customHeight="1">
      <c r="A142" s="55"/>
      <c r="B142" s="65">
        <v>45776.0</v>
      </c>
      <c r="C142" s="63">
        <v>11500.0</v>
      </c>
      <c r="D142" s="63"/>
      <c r="E142" s="64" t="s">
        <v>132</v>
      </c>
      <c r="F142" s="97" t="s">
        <v>459</v>
      </c>
      <c r="G142" s="62"/>
    </row>
    <row r="143" ht="30.0" customHeight="1">
      <c r="A143" s="78" t="s">
        <v>111</v>
      </c>
      <c r="B143" s="79"/>
      <c r="C143" s="80">
        <f>SUM(C107:C142)</f>
        <v>823054.79</v>
      </c>
      <c r="D143" s="80">
        <f>SUM(D108:D142)</f>
        <v>0</v>
      </c>
      <c r="E143" s="81"/>
      <c r="F143" s="82"/>
    </row>
    <row r="144" ht="4.5" customHeight="1">
      <c r="A144" s="116"/>
      <c r="B144" s="115"/>
      <c r="C144" s="115"/>
      <c r="D144" s="117"/>
      <c r="E144" s="96"/>
      <c r="F144" s="96"/>
      <c r="G144" s="96"/>
    </row>
    <row r="145" ht="30.0" customHeight="1">
      <c r="A145" s="78" t="s">
        <v>187</v>
      </c>
      <c r="B145" s="79"/>
      <c r="C145" s="80">
        <f t="shared" ref="C145:D145" si="7">+C67+C79+C96+C105+C143</f>
        <v>6134723.21</v>
      </c>
      <c r="D145" s="80">
        <f t="shared" si="7"/>
        <v>9.96</v>
      </c>
      <c r="E145" s="97"/>
      <c r="F145" s="98"/>
    </row>
    <row r="146" ht="19.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6:C7"/>
    <mergeCell ref="D6:E6"/>
    <mergeCell ref="F6:G6"/>
    <mergeCell ref="D7:E7"/>
    <mergeCell ref="F7:G7"/>
    <mergeCell ref="D8:E8"/>
    <mergeCell ref="F8:G8"/>
    <mergeCell ref="D9:G16"/>
    <mergeCell ref="C11:C12"/>
    <mergeCell ref="C13:C14"/>
    <mergeCell ref="A17:G17"/>
    <mergeCell ref="A19:A66"/>
    <mergeCell ref="A67:B67"/>
    <mergeCell ref="A68:G68"/>
    <mergeCell ref="A105:B105"/>
    <mergeCell ref="A106:G106"/>
    <mergeCell ref="A107:A142"/>
    <mergeCell ref="A143:B143"/>
    <mergeCell ref="A144:D144"/>
    <mergeCell ref="A145:B145"/>
    <mergeCell ref="A69:A78"/>
    <mergeCell ref="A79:B79"/>
    <mergeCell ref="A80:G80"/>
    <mergeCell ref="A81:A95"/>
    <mergeCell ref="A96:B96"/>
    <mergeCell ref="A97:G97"/>
    <mergeCell ref="A98:A104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1.71"/>
    <col customWidth="1" min="7" max="7" width="11.86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460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5571501.76</v>
      </c>
      <c r="G8" s="14"/>
    </row>
    <row r="9" ht="19.5" customHeight="1">
      <c r="A9" s="20" t="s">
        <v>7</v>
      </c>
      <c r="B9" s="21">
        <v>3235531.71</v>
      </c>
      <c r="C9" s="22">
        <f t="shared" ref="C9:C10" si="1">+B9</f>
        <v>3235531.71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v>6.97</v>
      </c>
      <c r="C10" s="28">
        <f t="shared" si="1"/>
        <v>6.97</v>
      </c>
      <c r="D10" s="29"/>
      <c r="G10" s="30"/>
    </row>
    <row r="11" ht="19.5" customHeight="1">
      <c r="A11" s="31" t="s">
        <v>10</v>
      </c>
      <c r="B11" s="32">
        <v>590129.91</v>
      </c>
      <c r="C11" s="33">
        <f>SUM(B11:B12)</f>
        <v>894013.16</v>
      </c>
      <c r="D11" s="29"/>
      <c r="G11" s="30"/>
    </row>
    <row r="12" ht="19.5" customHeight="1">
      <c r="A12" s="26" t="s">
        <v>11</v>
      </c>
      <c r="B12" s="27">
        <v>303883.25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15</v>
      </c>
      <c r="B15" s="39">
        <f>SUM(C105)</f>
        <v>532182.8</v>
      </c>
      <c r="C15" s="40">
        <f>+B15</f>
        <v>532182.8</v>
      </c>
      <c r="D15" s="118"/>
      <c r="E15" s="119"/>
      <c r="F15" s="119"/>
      <c r="G15" s="120"/>
    </row>
    <row r="16" ht="4.5" customHeight="1">
      <c r="A16" s="114"/>
      <c r="B16" s="115"/>
      <c r="C16" s="115"/>
      <c r="D16" s="115"/>
      <c r="E16" s="115"/>
      <c r="F16" s="115"/>
      <c r="G16" s="79"/>
    </row>
    <row r="17" ht="24.75" customHeight="1">
      <c r="A17" s="47" t="s">
        <v>16</v>
      </c>
      <c r="B17" s="47" t="s">
        <v>17</v>
      </c>
      <c r="C17" s="47" t="s">
        <v>18</v>
      </c>
      <c r="D17" s="47" t="s">
        <v>19</v>
      </c>
      <c r="E17" s="48" t="s">
        <v>20</v>
      </c>
      <c r="F17" s="48" t="s">
        <v>21</v>
      </c>
      <c r="G17" s="48" t="s">
        <v>22</v>
      </c>
    </row>
    <row r="18" ht="19.5" customHeight="1">
      <c r="A18" s="49" t="s">
        <v>23</v>
      </c>
      <c r="B18" s="50">
        <v>45776.0</v>
      </c>
      <c r="C18" s="51">
        <v>927704.03</v>
      </c>
      <c r="D18" s="51"/>
      <c r="E18" s="52" t="s">
        <v>103</v>
      </c>
      <c r="F18" s="61" t="s">
        <v>104</v>
      </c>
      <c r="G18" s="54"/>
    </row>
    <row r="19" ht="19.5" customHeight="1">
      <c r="A19" s="55"/>
      <c r="B19" s="104">
        <v>45778.0</v>
      </c>
      <c r="C19" s="105">
        <v>7750.0</v>
      </c>
      <c r="D19" s="105"/>
      <c r="E19" s="106" t="s">
        <v>29</v>
      </c>
      <c r="F19" s="107"/>
      <c r="G19" s="108"/>
    </row>
    <row r="20" ht="19.5" customHeight="1">
      <c r="A20" s="55"/>
      <c r="B20" s="104">
        <v>45780.0</v>
      </c>
      <c r="C20" s="105">
        <v>7470.0</v>
      </c>
      <c r="D20" s="105"/>
      <c r="E20" s="106" t="s">
        <v>33</v>
      </c>
      <c r="F20" s="107"/>
      <c r="G20" s="108"/>
    </row>
    <row r="21" ht="19.5" customHeight="1">
      <c r="A21" s="55"/>
      <c r="B21" s="104">
        <v>45781.0</v>
      </c>
      <c r="C21" s="105">
        <v>10480.0</v>
      </c>
      <c r="D21" s="105"/>
      <c r="E21" s="106" t="s">
        <v>33</v>
      </c>
      <c r="F21" s="107"/>
      <c r="G21" s="108"/>
    </row>
    <row r="22" ht="19.5" customHeight="1">
      <c r="A22" s="55"/>
      <c r="B22" s="104">
        <v>45781.0</v>
      </c>
      <c r="C22" s="105">
        <v>105002.67</v>
      </c>
      <c r="D22" s="105"/>
      <c r="E22" s="106" t="s">
        <v>461</v>
      </c>
      <c r="F22" s="107"/>
      <c r="G22" s="108"/>
    </row>
    <row r="23" ht="19.5" customHeight="1">
      <c r="A23" s="55"/>
      <c r="B23" s="104">
        <v>45781.0</v>
      </c>
      <c r="C23" s="105">
        <v>8820.0</v>
      </c>
      <c r="D23" s="105"/>
      <c r="E23" s="106" t="s">
        <v>29</v>
      </c>
      <c r="F23" s="107"/>
      <c r="G23" s="108"/>
    </row>
    <row r="24" ht="19.5" customHeight="1">
      <c r="A24" s="55"/>
      <c r="B24" s="56">
        <v>45782.0</v>
      </c>
      <c r="C24" s="57">
        <v>64350.0</v>
      </c>
      <c r="D24" s="57"/>
      <c r="E24" s="58" t="s">
        <v>84</v>
      </c>
      <c r="F24" s="59" t="s">
        <v>462</v>
      </c>
      <c r="G24" s="60"/>
    </row>
    <row r="25" ht="19.5" customHeight="1">
      <c r="A25" s="55"/>
      <c r="B25" s="104">
        <v>45782.0</v>
      </c>
      <c r="C25" s="105">
        <v>8650.0</v>
      </c>
      <c r="D25" s="105"/>
      <c r="E25" s="106" t="s">
        <v>33</v>
      </c>
      <c r="F25" s="107"/>
      <c r="G25" s="108"/>
    </row>
    <row r="26" ht="19.5" customHeight="1">
      <c r="A26" s="55"/>
      <c r="B26" s="121">
        <v>45782.0</v>
      </c>
      <c r="C26" s="122">
        <v>178993.26</v>
      </c>
      <c r="D26" s="122"/>
      <c r="E26" s="123" t="s">
        <v>463</v>
      </c>
      <c r="F26" s="124"/>
      <c r="G26" s="125"/>
    </row>
    <row r="27" ht="19.5" customHeight="1">
      <c r="A27" s="55"/>
      <c r="B27" s="104">
        <v>45782.0</v>
      </c>
      <c r="C27" s="105">
        <v>14500.0</v>
      </c>
      <c r="D27" s="105"/>
      <c r="E27" s="106" t="s">
        <v>132</v>
      </c>
      <c r="F27" s="107"/>
      <c r="G27" s="108"/>
    </row>
    <row r="28" ht="19.5" customHeight="1">
      <c r="A28" s="55"/>
      <c r="B28" s="56">
        <v>45783.0</v>
      </c>
      <c r="C28" s="57">
        <v>27196.0</v>
      </c>
      <c r="D28" s="57"/>
      <c r="E28" s="58" t="s">
        <v>42</v>
      </c>
      <c r="F28" s="61" t="s">
        <v>43</v>
      </c>
      <c r="G28" s="60"/>
    </row>
    <row r="29" ht="19.5" customHeight="1">
      <c r="A29" s="55"/>
      <c r="B29" s="104">
        <v>45784.0</v>
      </c>
      <c r="C29" s="105">
        <v>7395.0</v>
      </c>
      <c r="D29" s="105"/>
      <c r="E29" s="106" t="s">
        <v>33</v>
      </c>
      <c r="F29" s="107"/>
      <c r="G29" s="108"/>
    </row>
    <row r="30" ht="19.5" customHeight="1">
      <c r="A30" s="55"/>
      <c r="B30" s="104">
        <v>45784.0</v>
      </c>
      <c r="C30" s="105">
        <v>9534.0</v>
      </c>
      <c r="D30" s="105"/>
      <c r="E30" s="106" t="s">
        <v>33</v>
      </c>
      <c r="F30" s="107"/>
      <c r="G30" s="108"/>
    </row>
    <row r="31" ht="19.5" customHeight="1">
      <c r="A31" s="55"/>
      <c r="B31" s="104">
        <v>45784.0</v>
      </c>
      <c r="C31" s="105">
        <v>9960.0</v>
      </c>
      <c r="D31" s="105"/>
      <c r="E31" s="106" t="s">
        <v>29</v>
      </c>
      <c r="F31" s="107"/>
      <c r="G31" s="108"/>
    </row>
    <row r="32" ht="19.5" customHeight="1">
      <c r="A32" s="55"/>
      <c r="B32" s="104">
        <v>45784.0</v>
      </c>
      <c r="C32" s="105">
        <v>8299.0</v>
      </c>
      <c r="D32" s="105"/>
      <c r="E32" s="106" t="s">
        <v>81</v>
      </c>
      <c r="F32" s="107"/>
      <c r="G32" s="108"/>
    </row>
    <row r="33" ht="19.5" customHeight="1">
      <c r="A33" s="55"/>
      <c r="B33" s="104">
        <v>45785.0</v>
      </c>
      <c r="C33" s="105">
        <v>13830.0</v>
      </c>
      <c r="D33" s="105"/>
      <c r="E33" s="126" t="s">
        <v>464</v>
      </c>
      <c r="F33" s="107"/>
      <c r="G33" s="108"/>
    </row>
    <row r="34" ht="19.5" customHeight="1">
      <c r="A34" s="55"/>
      <c r="B34" s="56">
        <v>45786.0</v>
      </c>
      <c r="C34" s="57">
        <v>20100.0</v>
      </c>
      <c r="D34" s="57"/>
      <c r="E34" s="58" t="s">
        <v>465</v>
      </c>
      <c r="F34" s="61" t="s">
        <v>52</v>
      </c>
      <c r="G34" s="60"/>
    </row>
    <row r="35" ht="19.5" customHeight="1">
      <c r="A35" s="55"/>
      <c r="B35" s="56">
        <v>45786.0</v>
      </c>
      <c r="C35" s="57"/>
      <c r="D35" s="57">
        <v>1.99</v>
      </c>
      <c r="E35" s="58" t="s">
        <v>466</v>
      </c>
      <c r="F35" s="61" t="s">
        <v>55</v>
      </c>
      <c r="G35" s="60"/>
    </row>
    <row r="36" ht="19.5" customHeight="1">
      <c r="A36" s="55"/>
      <c r="B36" s="104">
        <v>45787.0</v>
      </c>
      <c r="C36" s="105">
        <v>9132.0</v>
      </c>
      <c r="D36" s="105"/>
      <c r="E36" s="106" t="s">
        <v>33</v>
      </c>
      <c r="F36" s="107"/>
      <c r="G36" s="108"/>
    </row>
    <row r="37" ht="19.5" customHeight="1">
      <c r="A37" s="55"/>
      <c r="B37" s="104">
        <v>45787.0</v>
      </c>
      <c r="C37" s="105">
        <v>10630.0</v>
      </c>
      <c r="D37" s="105"/>
      <c r="E37" s="106" t="s">
        <v>33</v>
      </c>
      <c r="F37" s="107"/>
      <c r="G37" s="108"/>
    </row>
    <row r="38" ht="19.5" customHeight="1">
      <c r="A38" s="55"/>
      <c r="B38" s="104">
        <v>45787.0</v>
      </c>
      <c r="C38" s="105">
        <v>98001.98</v>
      </c>
      <c r="D38" s="105"/>
      <c r="E38" s="106" t="s">
        <v>34</v>
      </c>
      <c r="F38" s="107"/>
      <c r="G38" s="108"/>
    </row>
    <row r="39" ht="19.5" customHeight="1">
      <c r="A39" s="55"/>
      <c r="B39" s="104">
        <v>45789.0</v>
      </c>
      <c r="C39" s="105">
        <v>8624.0</v>
      </c>
      <c r="D39" s="105"/>
      <c r="E39" s="106" t="s">
        <v>33</v>
      </c>
      <c r="F39" s="107"/>
      <c r="G39" s="108"/>
    </row>
    <row r="40" ht="19.5" customHeight="1">
      <c r="A40" s="55"/>
      <c r="B40" s="56">
        <v>45790.0</v>
      </c>
      <c r="C40" s="57">
        <v>421686.0</v>
      </c>
      <c r="D40" s="57"/>
      <c r="E40" s="58" t="s">
        <v>66</v>
      </c>
      <c r="F40" s="61" t="s">
        <v>67</v>
      </c>
      <c r="G40" s="60"/>
    </row>
    <row r="41" ht="19.5" customHeight="1">
      <c r="A41" s="55"/>
      <c r="B41" s="56">
        <v>45790.0</v>
      </c>
      <c r="C41" s="57">
        <v>399339.0</v>
      </c>
      <c r="D41" s="57"/>
      <c r="E41" s="58" t="s">
        <v>64</v>
      </c>
      <c r="F41" s="61" t="s">
        <v>65</v>
      </c>
      <c r="G41" s="60"/>
    </row>
    <row r="42" ht="19.5" customHeight="1">
      <c r="A42" s="55"/>
      <c r="B42" s="56">
        <v>45791.0</v>
      </c>
      <c r="C42" s="57">
        <v>18004.0</v>
      </c>
      <c r="D42" s="57"/>
      <c r="E42" s="58" t="s">
        <v>467</v>
      </c>
      <c r="F42" s="61" t="s">
        <v>79</v>
      </c>
      <c r="G42" s="62"/>
    </row>
    <row r="43" ht="19.5" customHeight="1">
      <c r="A43" s="55"/>
      <c r="B43" s="56">
        <v>45791.0</v>
      </c>
      <c r="C43" s="57">
        <v>18004.0</v>
      </c>
      <c r="D43" s="57"/>
      <c r="E43" s="58" t="s">
        <v>468</v>
      </c>
      <c r="F43" s="61" t="s">
        <v>73</v>
      </c>
      <c r="G43" s="62"/>
    </row>
    <row r="44" ht="19.5" customHeight="1">
      <c r="A44" s="55"/>
      <c r="B44" s="56">
        <v>45791.0</v>
      </c>
      <c r="C44" s="57">
        <v>16175.42</v>
      </c>
      <c r="D44" s="57"/>
      <c r="E44" s="58" t="s">
        <v>469</v>
      </c>
      <c r="F44" s="61" t="s">
        <v>77</v>
      </c>
      <c r="G44" s="62"/>
    </row>
    <row r="45" ht="19.5" customHeight="1">
      <c r="A45" s="55"/>
      <c r="B45" s="56">
        <v>45791.0</v>
      </c>
      <c r="C45" s="57">
        <v>95328.0</v>
      </c>
      <c r="D45" s="57"/>
      <c r="E45" s="58" t="s">
        <v>470</v>
      </c>
      <c r="F45" s="61" t="s">
        <v>69</v>
      </c>
      <c r="G45" s="60"/>
    </row>
    <row r="46" ht="19.5" customHeight="1">
      <c r="A46" s="55"/>
      <c r="B46" s="56">
        <v>45791.0</v>
      </c>
      <c r="C46" s="57">
        <v>16944.98</v>
      </c>
      <c r="D46" s="57"/>
      <c r="E46" s="58" t="s">
        <v>471</v>
      </c>
      <c r="F46" s="61" t="s">
        <v>71</v>
      </c>
      <c r="G46" s="62"/>
    </row>
    <row r="47" ht="19.5" customHeight="1">
      <c r="A47" s="55"/>
      <c r="B47" s="121">
        <v>45792.0</v>
      </c>
      <c r="C47" s="122">
        <v>44133.62</v>
      </c>
      <c r="D47" s="122"/>
      <c r="E47" s="123" t="s">
        <v>402</v>
      </c>
      <c r="F47" s="127"/>
      <c r="G47" s="128"/>
    </row>
    <row r="48" ht="19.5" customHeight="1">
      <c r="A48" s="55"/>
      <c r="B48" s="104">
        <v>45793.0</v>
      </c>
      <c r="C48" s="67">
        <v>97005.96</v>
      </c>
      <c r="D48" s="67"/>
      <c r="E48" s="68" t="s">
        <v>472</v>
      </c>
      <c r="F48" s="69"/>
      <c r="G48" s="70"/>
    </row>
    <row r="49" ht="19.5" customHeight="1">
      <c r="A49" s="55"/>
      <c r="B49" s="104">
        <v>45793.0</v>
      </c>
      <c r="C49" s="67">
        <v>6860.0</v>
      </c>
      <c r="D49" s="67"/>
      <c r="E49" s="68" t="s">
        <v>29</v>
      </c>
      <c r="F49" s="69"/>
      <c r="G49" s="70"/>
    </row>
    <row r="50" ht="19.5" customHeight="1">
      <c r="A50" s="55"/>
      <c r="B50" s="104">
        <v>45794.0</v>
      </c>
      <c r="C50" s="67">
        <v>17600.0</v>
      </c>
      <c r="D50" s="67"/>
      <c r="E50" s="68" t="s">
        <v>204</v>
      </c>
      <c r="F50" s="69"/>
      <c r="G50" s="70"/>
    </row>
    <row r="51" ht="19.5" customHeight="1">
      <c r="A51" s="55"/>
      <c r="B51" s="56">
        <v>45796.0</v>
      </c>
      <c r="C51" s="63">
        <v>42053.01</v>
      </c>
      <c r="D51" s="63"/>
      <c r="E51" s="64" t="s">
        <v>225</v>
      </c>
      <c r="F51" s="61" t="s">
        <v>226</v>
      </c>
      <c r="G51" s="62"/>
    </row>
    <row r="52" ht="19.5" customHeight="1">
      <c r="A52" s="55"/>
      <c r="B52" s="104">
        <v>45797.0</v>
      </c>
      <c r="C52" s="67">
        <v>6330.0</v>
      </c>
      <c r="D52" s="67"/>
      <c r="E52" s="68" t="s">
        <v>29</v>
      </c>
      <c r="F52" s="69"/>
      <c r="G52" s="70"/>
    </row>
    <row r="53" ht="19.5" customHeight="1">
      <c r="A53" s="55"/>
      <c r="B53" s="65">
        <v>45797.0</v>
      </c>
      <c r="C53" s="63"/>
      <c r="D53" s="63">
        <v>1.99</v>
      </c>
      <c r="E53" s="64" t="s">
        <v>473</v>
      </c>
      <c r="F53" s="61" t="s">
        <v>55</v>
      </c>
      <c r="G53" s="62"/>
    </row>
    <row r="54" ht="19.5" customHeight="1">
      <c r="A54" s="55"/>
      <c r="B54" s="66">
        <v>45798.0</v>
      </c>
      <c r="C54" s="67">
        <v>11420.0</v>
      </c>
      <c r="D54" s="67"/>
      <c r="E54" s="68" t="s">
        <v>33</v>
      </c>
      <c r="F54" s="69"/>
      <c r="G54" s="70"/>
    </row>
    <row r="55" ht="19.5" customHeight="1">
      <c r="A55" s="55"/>
      <c r="B55" s="66">
        <v>45799.0</v>
      </c>
      <c r="C55" s="67">
        <v>8545.0</v>
      </c>
      <c r="D55" s="67"/>
      <c r="E55" s="68" t="s">
        <v>33</v>
      </c>
      <c r="F55" s="69"/>
      <c r="G55" s="70"/>
    </row>
    <row r="56" ht="19.5" customHeight="1">
      <c r="A56" s="55"/>
      <c r="B56" s="66">
        <v>45799.0</v>
      </c>
      <c r="C56" s="67">
        <v>7880.0</v>
      </c>
      <c r="D56" s="67"/>
      <c r="E56" s="68" t="s">
        <v>29</v>
      </c>
      <c r="F56" s="69"/>
      <c r="G56" s="70"/>
    </row>
    <row r="57" ht="19.5" customHeight="1">
      <c r="A57" s="55"/>
      <c r="B57" s="65">
        <v>45800.0</v>
      </c>
      <c r="C57" s="63">
        <v>126100.0</v>
      </c>
      <c r="D57" s="63"/>
      <c r="E57" s="64" t="s">
        <v>84</v>
      </c>
      <c r="F57" s="61" t="s">
        <v>474</v>
      </c>
      <c r="G57" s="62"/>
    </row>
    <row r="58" ht="19.5" customHeight="1">
      <c r="A58" s="55"/>
      <c r="B58" s="66">
        <v>45800.0</v>
      </c>
      <c r="C58" s="67">
        <v>5250.0</v>
      </c>
      <c r="D58" s="67"/>
      <c r="E58" s="68" t="s">
        <v>33</v>
      </c>
      <c r="F58" s="69"/>
      <c r="G58" s="70"/>
    </row>
    <row r="59" ht="19.5" customHeight="1">
      <c r="A59" s="55"/>
      <c r="B59" s="66">
        <v>45801.0</v>
      </c>
      <c r="C59" s="67">
        <v>12619.5</v>
      </c>
      <c r="D59" s="67"/>
      <c r="E59" s="68" t="s">
        <v>33</v>
      </c>
      <c r="F59" s="69"/>
      <c r="G59" s="70"/>
    </row>
    <row r="60" ht="19.5" customHeight="1">
      <c r="A60" s="55"/>
      <c r="B60" s="66">
        <v>45801.0</v>
      </c>
      <c r="C60" s="67">
        <v>10240.0</v>
      </c>
      <c r="D60" s="67"/>
      <c r="E60" s="68" t="s">
        <v>475</v>
      </c>
      <c r="F60" s="69"/>
      <c r="G60" s="70"/>
    </row>
    <row r="61" ht="19.5" customHeight="1">
      <c r="A61" s="55"/>
      <c r="B61" s="65">
        <v>45803.0</v>
      </c>
      <c r="C61" s="63">
        <v>243361.28</v>
      </c>
      <c r="D61" s="63"/>
      <c r="E61" s="64" t="s">
        <v>103</v>
      </c>
      <c r="F61" s="61" t="s">
        <v>104</v>
      </c>
      <c r="G61" s="62"/>
    </row>
    <row r="62" ht="19.5" customHeight="1">
      <c r="A62" s="55"/>
      <c r="B62" s="66">
        <v>45803.0</v>
      </c>
      <c r="C62" s="67">
        <v>9560.0</v>
      </c>
      <c r="D62" s="67"/>
      <c r="E62" s="68" t="s">
        <v>120</v>
      </c>
      <c r="F62" s="69"/>
      <c r="G62" s="70"/>
    </row>
    <row r="63" ht="19.5" customHeight="1">
      <c r="A63" s="55"/>
      <c r="B63" s="66">
        <v>45803.0</v>
      </c>
      <c r="C63" s="67">
        <v>5910.0</v>
      </c>
      <c r="D63" s="67"/>
      <c r="E63" s="68" t="s">
        <v>29</v>
      </c>
      <c r="F63" s="69"/>
      <c r="G63" s="70"/>
    </row>
    <row r="64" ht="19.5" customHeight="1">
      <c r="A64" s="55"/>
      <c r="B64" s="66">
        <v>45804.0</v>
      </c>
      <c r="C64" s="67">
        <v>3900.0</v>
      </c>
      <c r="D64" s="67"/>
      <c r="E64" s="68" t="s">
        <v>29</v>
      </c>
      <c r="F64" s="69"/>
      <c r="G64" s="70"/>
    </row>
    <row r="65" ht="19.5" customHeight="1">
      <c r="A65" s="55"/>
      <c r="B65" s="66">
        <v>45804.0</v>
      </c>
      <c r="C65" s="67">
        <v>4265.0</v>
      </c>
      <c r="D65" s="67"/>
      <c r="E65" s="68" t="s">
        <v>204</v>
      </c>
      <c r="F65" s="69"/>
      <c r="G65" s="70"/>
    </row>
    <row r="66" ht="19.5" customHeight="1">
      <c r="A66" s="55"/>
      <c r="B66" s="65">
        <v>45804.0</v>
      </c>
      <c r="C66" s="63"/>
      <c r="D66" s="63">
        <v>2.99</v>
      </c>
      <c r="E66" s="64" t="s">
        <v>476</v>
      </c>
      <c r="F66" s="59" t="s">
        <v>32</v>
      </c>
      <c r="G66" s="62"/>
    </row>
    <row r="67" ht="18.0" customHeight="1">
      <c r="A67" s="55"/>
      <c r="B67" s="129">
        <v>45805.0</v>
      </c>
      <c r="C67" s="67">
        <v>10000.0</v>
      </c>
      <c r="D67" s="67"/>
      <c r="E67" s="68" t="s">
        <v>477</v>
      </c>
      <c r="F67" s="69"/>
      <c r="G67" s="70"/>
    </row>
    <row r="68" ht="19.5" customHeight="1">
      <c r="A68" s="55"/>
      <c r="B68" s="66">
        <v>45805.0</v>
      </c>
      <c r="C68" s="67">
        <v>15500.0</v>
      </c>
      <c r="D68" s="67"/>
      <c r="E68" s="68" t="s">
        <v>478</v>
      </c>
      <c r="F68" s="69"/>
      <c r="G68" s="70"/>
    </row>
    <row r="69" ht="19.5" customHeight="1">
      <c r="A69" s="76"/>
      <c r="B69" s="129">
        <v>45805.0</v>
      </c>
      <c r="C69" s="67">
        <v>5095.0</v>
      </c>
      <c r="D69" s="67"/>
      <c r="E69" s="68" t="s">
        <v>33</v>
      </c>
      <c r="F69" s="69"/>
      <c r="G69" s="70"/>
    </row>
    <row r="70" ht="30.0" customHeight="1">
      <c r="A70" s="78" t="s">
        <v>111</v>
      </c>
      <c r="B70" s="79"/>
      <c r="C70" s="80">
        <f t="shared" ref="C70:D70" si="2">SUM(C18:C69)</f>
        <v>3235531.71</v>
      </c>
      <c r="D70" s="80">
        <f t="shared" si="2"/>
        <v>6.97</v>
      </c>
      <c r="E70" s="81"/>
      <c r="F70" s="82"/>
    </row>
    <row r="71" ht="4.5" customHeight="1">
      <c r="A71" s="116"/>
      <c r="B71" s="115"/>
      <c r="C71" s="115"/>
      <c r="D71" s="115"/>
      <c r="E71" s="115"/>
      <c r="F71" s="115"/>
      <c r="G71" s="79"/>
    </row>
    <row r="72" ht="19.5" customHeight="1">
      <c r="A72" s="49" t="s">
        <v>112</v>
      </c>
      <c r="B72" s="65">
        <v>45748.0</v>
      </c>
      <c r="C72" s="63">
        <v>12464.0</v>
      </c>
      <c r="D72" s="51"/>
      <c r="E72" s="64" t="s">
        <v>326</v>
      </c>
      <c r="F72" s="61" t="s">
        <v>479</v>
      </c>
      <c r="G72" s="62" t="s">
        <v>44</v>
      </c>
    </row>
    <row r="73" ht="19.5" customHeight="1">
      <c r="A73" s="55"/>
      <c r="B73" s="65">
        <v>45777.0</v>
      </c>
      <c r="C73" s="63">
        <v>30000.0</v>
      </c>
      <c r="D73" s="57"/>
      <c r="E73" s="64" t="s">
        <v>196</v>
      </c>
      <c r="F73" s="61" t="s">
        <v>480</v>
      </c>
      <c r="G73" s="62" t="s">
        <v>26</v>
      </c>
    </row>
    <row r="74" ht="19.5" customHeight="1">
      <c r="A74" s="55"/>
      <c r="B74" s="65">
        <v>45781.0</v>
      </c>
      <c r="C74" s="63">
        <v>18467.41</v>
      </c>
      <c r="D74" s="57"/>
      <c r="E74" s="64" t="s">
        <v>119</v>
      </c>
      <c r="F74" s="61" t="s">
        <v>481</v>
      </c>
      <c r="G74" s="62" t="s">
        <v>44</v>
      </c>
    </row>
    <row r="75" ht="19.5" customHeight="1">
      <c r="A75" s="55"/>
      <c r="B75" s="65">
        <v>45781.0</v>
      </c>
      <c r="C75" s="63">
        <v>96705.11</v>
      </c>
      <c r="D75" s="57"/>
      <c r="E75" s="64" t="s">
        <v>119</v>
      </c>
      <c r="F75" s="61" t="s">
        <v>481</v>
      </c>
      <c r="G75" s="62" t="s">
        <v>44</v>
      </c>
    </row>
    <row r="76" ht="19.5" customHeight="1">
      <c r="A76" s="55"/>
      <c r="B76" s="65">
        <v>45781.0</v>
      </c>
      <c r="C76" s="63">
        <v>46900.79</v>
      </c>
      <c r="D76" s="57"/>
      <c r="E76" s="64" t="s">
        <v>119</v>
      </c>
      <c r="F76" s="61" t="s">
        <v>482</v>
      </c>
      <c r="G76" s="62" t="s">
        <v>26</v>
      </c>
    </row>
    <row r="77" ht="19.5" customHeight="1">
      <c r="A77" s="55"/>
      <c r="B77" s="65">
        <v>45781.0</v>
      </c>
      <c r="C77" s="63">
        <v>30000.0</v>
      </c>
      <c r="D77" s="57"/>
      <c r="E77" s="64" t="s">
        <v>229</v>
      </c>
      <c r="F77" s="61" t="s">
        <v>483</v>
      </c>
      <c r="G77" s="62" t="s">
        <v>44</v>
      </c>
    </row>
    <row r="78" ht="19.5" customHeight="1">
      <c r="A78" s="55"/>
      <c r="B78" s="65">
        <v>45784.0</v>
      </c>
      <c r="C78" s="63">
        <v>20000.0</v>
      </c>
      <c r="D78" s="57"/>
      <c r="E78" s="64" t="s">
        <v>418</v>
      </c>
      <c r="F78" s="61" t="s">
        <v>483</v>
      </c>
      <c r="G78" s="62" t="s">
        <v>44</v>
      </c>
    </row>
    <row r="79" ht="19.5" customHeight="1">
      <c r="A79" s="55"/>
      <c r="B79" s="65">
        <v>45787.0</v>
      </c>
      <c r="C79" s="63">
        <v>40000.0</v>
      </c>
      <c r="D79" s="57"/>
      <c r="E79" s="64" t="s">
        <v>418</v>
      </c>
      <c r="F79" s="61" t="s">
        <v>484</v>
      </c>
      <c r="G79" s="62" t="s">
        <v>26</v>
      </c>
    </row>
    <row r="80" ht="18.75" customHeight="1">
      <c r="A80" s="55"/>
      <c r="B80" s="65">
        <v>45788.0</v>
      </c>
      <c r="C80" s="63">
        <v>75299.98</v>
      </c>
      <c r="D80" s="57"/>
      <c r="E80" s="64" t="s">
        <v>119</v>
      </c>
      <c r="F80" s="61" t="s">
        <v>481</v>
      </c>
      <c r="G80" s="62" t="s">
        <v>44</v>
      </c>
    </row>
    <row r="81" ht="19.5" customHeight="1">
      <c r="A81" s="55"/>
      <c r="B81" s="65">
        <v>45788.0</v>
      </c>
      <c r="C81" s="63">
        <v>80485.34</v>
      </c>
      <c r="D81" s="57"/>
      <c r="E81" s="64" t="s">
        <v>119</v>
      </c>
      <c r="F81" s="61" t="s">
        <v>485</v>
      </c>
      <c r="G81" s="62" t="s">
        <v>26</v>
      </c>
    </row>
    <row r="82" ht="19.5" customHeight="1">
      <c r="A82" s="55"/>
      <c r="B82" s="65">
        <v>45792.0</v>
      </c>
      <c r="C82" s="63">
        <v>30000.0</v>
      </c>
      <c r="D82" s="57"/>
      <c r="E82" s="64" t="s">
        <v>196</v>
      </c>
      <c r="F82" s="61" t="s">
        <v>486</v>
      </c>
      <c r="G82" s="62" t="s">
        <v>26</v>
      </c>
    </row>
    <row r="83" ht="19.5" customHeight="1">
      <c r="A83" s="55"/>
      <c r="B83" s="65">
        <v>45794.0</v>
      </c>
      <c r="C83" s="63">
        <v>20000.0</v>
      </c>
      <c r="D83" s="57"/>
      <c r="E83" s="64" t="s">
        <v>487</v>
      </c>
      <c r="F83" s="61" t="s">
        <v>483</v>
      </c>
      <c r="G83" s="62" t="s">
        <v>44</v>
      </c>
    </row>
    <row r="84" ht="19.5" customHeight="1">
      <c r="A84" s="55"/>
      <c r="B84" s="65">
        <v>45795.0</v>
      </c>
      <c r="C84" s="63">
        <v>30000.0</v>
      </c>
      <c r="D84" s="57"/>
      <c r="E84" s="64" t="s">
        <v>418</v>
      </c>
      <c r="F84" s="61" t="s">
        <v>483</v>
      </c>
      <c r="G84" s="62" t="s">
        <v>44</v>
      </c>
    </row>
    <row r="85" ht="19.5" customHeight="1">
      <c r="A85" s="55"/>
      <c r="B85" s="65">
        <v>45797.0</v>
      </c>
      <c r="C85" s="63">
        <v>30000.0</v>
      </c>
      <c r="D85" s="57"/>
      <c r="E85" s="64" t="s">
        <v>418</v>
      </c>
      <c r="F85" s="61" t="s">
        <v>483</v>
      </c>
      <c r="G85" s="62" t="s">
        <v>44</v>
      </c>
    </row>
    <row r="86" ht="19.5" customHeight="1">
      <c r="A86" s="55"/>
      <c r="B86" s="65">
        <v>45798.0</v>
      </c>
      <c r="C86" s="63">
        <v>85625.0</v>
      </c>
      <c r="D86" s="57"/>
      <c r="E86" s="64" t="s">
        <v>416</v>
      </c>
      <c r="F86" s="61" t="s">
        <v>488</v>
      </c>
      <c r="G86" s="62" t="s">
        <v>44</v>
      </c>
    </row>
    <row r="87" ht="18.0" customHeight="1">
      <c r="A87" s="55"/>
      <c r="B87" s="65">
        <v>45800.0</v>
      </c>
      <c r="C87" s="63">
        <v>30000.0</v>
      </c>
      <c r="D87" s="57"/>
      <c r="E87" s="64" t="s">
        <v>418</v>
      </c>
      <c r="F87" s="61" t="s">
        <v>483</v>
      </c>
      <c r="G87" s="62" t="s">
        <v>44</v>
      </c>
    </row>
    <row r="88" ht="19.5" customHeight="1">
      <c r="A88" s="55"/>
      <c r="B88" s="65">
        <v>45802.0</v>
      </c>
      <c r="C88" s="63">
        <v>68057.14</v>
      </c>
      <c r="D88" s="57"/>
      <c r="E88" s="64" t="s">
        <v>119</v>
      </c>
      <c r="F88" s="61" t="s">
        <v>485</v>
      </c>
      <c r="G88" s="62" t="s">
        <v>26</v>
      </c>
    </row>
    <row r="89" ht="19.5" customHeight="1">
      <c r="A89" s="55"/>
      <c r="B89" s="65">
        <v>45802.0</v>
      </c>
      <c r="C89" s="63">
        <v>39196.08</v>
      </c>
      <c r="D89" s="57"/>
      <c r="E89" s="64" t="s">
        <v>119</v>
      </c>
      <c r="F89" s="61" t="s">
        <v>481</v>
      </c>
      <c r="G89" s="62" t="s">
        <v>44</v>
      </c>
    </row>
    <row r="90" ht="19.5" customHeight="1">
      <c r="A90" s="55"/>
      <c r="B90" s="65">
        <v>45802.0</v>
      </c>
      <c r="C90" s="63">
        <v>8439.98</v>
      </c>
      <c r="D90" s="63"/>
      <c r="E90" s="64" t="s">
        <v>119</v>
      </c>
      <c r="F90" s="61" t="s">
        <v>485</v>
      </c>
      <c r="G90" s="62" t="s">
        <v>26</v>
      </c>
    </row>
    <row r="91" ht="19.5" customHeight="1">
      <c r="A91" s="55"/>
      <c r="B91" s="65">
        <v>45805.0</v>
      </c>
      <c r="C91" s="63">
        <v>18050.0</v>
      </c>
      <c r="D91" s="63"/>
      <c r="E91" s="64" t="s">
        <v>489</v>
      </c>
      <c r="F91" s="61" t="s">
        <v>490</v>
      </c>
      <c r="G91" s="62" t="s">
        <v>44</v>
      </c>
    </row>
    <row r="92" ht="19.5" customHeight="1">
      <c r="A92" s="55"/>
      <c r="B92" s="65">
        <v>45805.0</v>
      </c>
      <c r="C92" s="63">
        <v>84322.33</v>
      </c>
      <c r="D92" s="63"/>
      <c r="E92" s="64" t="s">
        <v>491</v>
      </c>
      <c r="F92" s="61" t="s">
        <v>492</v>
      </c>
      <c r="G92" s="62" t="s">
        <v>44</v>
      </c>
    </row>
    <row r="93" ht="30.0" customHeight="1">
      <c r="A93" s="78" t="s">
        <v>111</v>
      </c>
      <c r="B93" s="79"/>
      <c r="C93" s="80">
        <f t="shared" ref="C93:D93" si="3">SUM(C72:C92)</f>
        <v>894013.16</v>
      </c>
      <c r="D93" s="80">
        <f t="shared" si="3"/>
        <v>0</v>
      </c>
      <c r="E93" s="81"/>
      <c r="F93" s="82"/>
    </row>
    <row r="94" ht="4.5" customHeight="1">
      <c r="A94" s="116"/>
      <c r="B94" s="115"/>
      <c r="C94" s="115"/>
      <c r="D94" s="115"/>
      <c r="E94" s="115"/>
      <c r="F94" s="115"/>
      <c r="G94" s="79"/>
    </row>
    <row r="95" ht="19.5" customHeight="1">
      <c r="A95" s="49" t="s">
        <v>15</v>
      </c>
      <c r="B95" s="94">
        <v>45778.0</v>
      </c>
      <c r="C95" s="51">
        <v>57403.0</v>
      </c>
      <c r="D95" s="51"/>
      <c r="E95" s="52" t="s">
        <v>162</v>
      </c>
      <c r="F95" s="64" t="s">
        <v>493</v>
      </c>
      <c r="G95" s="54" t="s">
        <v>26</v>
      </c>
    </row>
    <row r="96" ht="19.5" customHeight="1">
      <c r="A96" s="55"/>
      <c r="B96" s="95">
        <v>45788.0</v>
      </c>
      <c r="C96" s="57">
        <v>49670.8</v>
      </c>
      <c r="D96" s="57"/>
      <c r="E96" s="58" t="s">
        <v>231</v>
      </c>
      <c r="F96" s="64" t="s">
        <v>494</v>
      </c>
      <c r="G96" s="130" t="s">
        <v>26</v>
      </c>
    </row>
    <row r="97" ht="19.5" customHeight="1">
      <c r="A97" s="55"/>
      <c r="B97" s="95">
        <v>45790.0</v>
      </c>
      <c r="C97" s="57">
        <v>18297.0</v>
      </c>
      <c r="D97" s="57"/>
      <c r="E97" s="58" t="s">
        <v>162</v>
      </c>
      <c r="F97" s="64" t="s">
        <v>495</v>
      </c>
      <c r="G97" s="60" t="s">
        <v>26</v>
      </c>
    </row>
    <row r="98" ht="19.5" customHeight="1">
      <c r="A98" s="55"/>
      <c r="B98" s="95">
        <v>45790.0</v>
      </c>
      <c r="C98" s="57">
        <v>20330.0</v>
      </c>
      <c r="D98" s="57"/>
      <c r="E98" s="58" t="s">
        <v>162</v>
      </c>
      <c r="F98" s="64" t="s">
        <v>496</v>
      </c>
      <c r="G98" s="60" t="s">
        <v>26</v>
      </c>
    </row>
    <row r="99" ht="19.5" customHeight="1">
      <c r="A99" s="55"/>
      <c r="B99" s="95">
        <v>45791.0</v>
      </c>
      <c r="C99" s="57">
        <v>120220.0</v>
      </c>
      <c r="D99" s="57"/>
      <c r="E99" s="58" t="s">
        <v>497</v>
      </c>
      <c r="F99" s="64" t="s">
        <v>498</v>
      </c>
      <c r="G99" s="60" t="s">
        <v>26</v>
      </c>
    </row>
    <row r="100" ht="19.5" customHeight="1">
      <c r="A100" s="55"/>
      <c r="B100" s="95">
        <v>45794.0</v>
      </c>
      <c r="C100" s="57">
        <v>32900.0</v>
      </c>
      <c r="D100" s="57"/>
      <c r="E100" s="58" t="s">
        <v>162</v>
      </c>
      <c r="F100" s="97" t="s">
        <v>499</v>
      </c>
      <c r="G100" s="60" t="s">
        <v>26</v>
      </c>
    </row>
    <row r="101" ht="19.5" customHeight="1">
      <c r="A101" s="55"/>
      <c r="B101" s="95">
        <v>45796.0</v>
      </c>
      <c r="C101" s="57">
        <v>73830.0</v>
      </c>
      <c r="D101" s="57"/>
      <c r="E101" s="58" t="s">
        <v>162</v>
      </c>
      <c r="F101" s="64" t="s">
        <v>500</v>
      </c>
      <c r="G101" s="60" t="s">
        <v>26</v>
      </c>
    </row>
    <row r="102" ht="19.5" customHeight="1">
      <c r="A102" s="55"/>
      <c r="B102" s="95">
        <v>45796.0</v>
      </c>
      <c r="C102" s="57">
        <v>84632.0</v>
      </c>
      <c r="D102" s="57"/>
      <c r="E102" s="58" t="s">
        <v>162</v>
      </c>
      <c r="F102" s="131" t="s">
        <v>501</v>
      </c>
      <c r="G102" s="60" t="s">
        <v>26</v>
      </c>
    </row>
    <row r="103" ht="19.5" customHeight="1">
      <c r="A103" s="55"/>
      <c r="B103" s="95">
        <v>45803.0</v>
      </c>
      <c r="C103" s="57">
        <v>35096.0</v>
      </c>
      <c r="D103" s="57"/>
      <c r="E103" s="58" t="s">
        <v>162</v>
      </c>
      <c r="F103" s="64" t="s">
        <v>502</v>
      </c>
      <c r="G103" s="60" t="s">
        <v>26</v>
      </c>
    </row>
    <row r="104" ht="19.5" customHeight="1">
      <c r="A104" s="55"/>
      <c r="B104" s="95">
        <v>45805.0</v>
      </c>
      <c r="C104" s="57">
        <v>39804.0</v>
      </c>
      <c r="D104" s="57"/>
      <c r="E104" s="58" t="s">
        <v>162</v>
      </c>
      <c r="F104" s="97" t="s">
        <v>503</v>
      </c>
      <c r="G104" s="60" t="s">
        <v>26</v>
      </c>
    </row>
    <row r="105" ht="30.0" customHeight="1">
      <c r="A105" s="78" t="s">
        <v>111</v>
      </c>
      <c r="B105" s="79"/>
      <c r="C105" s="80">
        <f t="shared" ref="C105:D105" si="4">SUM(C95:C104)</f>
        <v>532182.8</v>
      </c>
      <c r="D105" s="80">
        <f t="shared" si="4"/>
        <v>0</v>
      </c>
      <c r="E105" s="81"/>
      <c r="F105" s="82"/>
    </row>
    <row r="106" ht="4.5" customHeight="1">
      <c r="A106" s="116"/>
      <c r="B106" s="115"/>
      <c r="C106" s="115"/>
      <c r="D106" s="115"/>
      <c r="E106" s="115"/>
      <c r="F106" s="115"/>
      <c r="G106" s="79"/>
    </row>
    <row r="107" ht="19.5" customHeight="1">
      <c r="A107" s="49" t="s">
        <v>125</v>
      </c>
      <c r="B107" s="50">
        <v>45778.0</v>
      </c>
      <c r="C107" s="51">
        <v>6200.0</v>
      </c>
      <c r="D107" s="132"/>
      <c r="E107" s="64" t="s">
        <v>345</v>
      </c>
      <c r="F107" s="61"/>
      <c r="G107" s="62"/>
    </row>
    <row r="108" ht="19.5" customHeight="1">
      <c r="A108" s="55"/>
      <c r="B108" s="56">
        <v>45780.0</v>
      </c>
      <c r="C108" s="57">
        <v>60000.0</v>
      </c>
      <c r="D108" s="57"/>
      <c r="E108" s="58" t="s">
        <v>436</v>
      </c>
      <c r="G108" s="62"/>
    </row>
    <row r="109" ht="19.5" customHeight="1">
      <c r="A109" s="55"/>
      <c r="B109" s="56">
        <v>45782.0</v>
      </c>
      <c r="C109" s="57">
        <v>4000.0</v>
      </c>
      <c r="D109" s="57"/>
      <c r="E109" s="58" t="s">
        <v>477</v>
      </c>
      <c r="F109" s="61"/>
      <c r="G109" s="62"/>
    </row>
    <row r="110" ht="19.5" customHeight="1">
      <c r="A110" s="55"/>
      <c r="B110" s="56">
        <v>45782.0</v>
      </c>
      <c r="C110" s="57">
        <v>6000.0</v>
      </c>
      <c r="D110" s="57"/>
      <c r="E110" s="58" t="s">
        <v>143</v>
      </c>
      <c r="F110" s="61" t="s">
        <v>504</v>
      </c>
      <c r="G110" s="62"/>
    </row>
    <row r="111" ht="19.5" customHeight="1">
      <c r="A111" s="55"/>
      <c r="B111" s="56">
        <v>45783.0</v>
      </c>
      <c r="C111" s="57">
        <v>8291.55</v>
      </c>
      <c r="D111" s="57"/>
      <c r="E111" s="58" t="s">
        <v>129</v>
      </c>
      <c r="G111" s="62"/>
    </row>
    <row r="112" ht="19.5" customHeight="1">
      <c r="A112" s="55"/>
      <c r="B112" s="56">
        <v>45783.0</v>
      </c>
      <c r="C112" s="57">
        <v>11100.0</v>
      </c>
      <c r="D112" s="57"/>
      <c r="E112" s="58" t="s">
        <v>505</v>
      </c>
      <c r="F112" s="61"/>
      <c r="G112" s="62"/>
    </row>
    <row r="113" ht="19.5" customHeight="1">
      <c r="A113" s="55"/>
      <c r="B113" s="56">
        <v>45783.0</v>
      </c>
      <c r="C113" s="57">
        <v>5100.0</v>
      </c>
      <c r="D113" s="57"/>
      <c r="E113" s="58" t="s">
        <v>505</v>
      </c>
      <c r="F113" s="61" t="s">
        <v>506</v>
      </c>
      <c r="G113" s="62"/>
    </row>
    <row r="114" ht="19.5" customHeight="1">
      <c r="A114" s="55"/>
      <c r="B114" s="56">
        <v>45783.0</v>
      </c>
      <c r="C114" s="57">
        <v>8030.0</v>
      </c>
      <c r="D114" s="57"/>
      <c r="E114" s="58" t="s">
        <v>507</v>
      </c>
      <c r="F114" s="69" t="s">
        <v>508</v>
      </c>
      <c r="G114" s="62"/>
    </row>
    <row r="115" ht="19.5" customHeight="1">
      <c r="A115" s="55"/>
      <c r="B115" s="56">
        <v>45784.0</v>
      </c>
      <c r="C115" s="57">
        <v>57600.0</v>
      </c>
      <c r="D115" s="57"/>
      <c r="E115" s="58" t="s">
        <v>436</v>
      </c>
      <c r="F115" s="59" t="s">
        <v>509</v>
      </c>
      <c r="G115" s="60"/>
    </row>
    <row r="116" ht="19.5" customHeight="1">
      <c r="A116" s="55"/>
      <c r="B116" s="56">
        <v>45785.0</v>
      </c>
      <c r="C116" s="57">
        <v>15700.0</v>
      </c>
      <c r="D116" s="57"/>
      <c r="E116" s="58" t="s">
        <v>345</v>
      </c>
      <c r="F116" s="59" t="s">
        <v>510</v>
      </c>
      <c r="G116" s="60"/>
    </row>
    <row r="117" ht="19.5" customHeight="1">
      <c r="A117" s="55"/>
      <c r="B117" s="56">
        <v>45786.0</v>
      </c>
      <c r="C117" s="57">
        <v>6200.0</v>
      </c>
      <c r="D117" s="57"/>
      <c r="E117" s="58" t="s">
        <v>345</v>
      </c>
      <c r="F117" s="59" t="s">
        <v>510</v>
      </c>
      <c r="G117" s="60"/>
    </row>
    <row r="118" ht="19.5" customHeight="1">
      <c r="A118" s="55"/>
      <c r="B118" s="56">
        <v>45786.0</v>
      </c>
      <c r="C118" s="57">
        <v>20200.0</v>
      </c>
      <c r="D118" s="57"/>
      <c r="E118" s="58" t="s">
        <v>143</v>
      </c>
      <c r="F118" s="59" t="s">
        <v>511</v>
      </c>
      <c r="G118" s="60"/>
    </row>
    <row r="119" ht="19.5" customHeight="1">
      <c r="A119" s="55"/>
      <c r="B119" s="56">
        <v>45787.0</v>
      </c>
      <c r="C119" s="57">
        <v>32503.0</v>
      </c>
      <c r="D119" s="57"/>
      <c r="E119" s="58" t="s">
        <v>512</v>
      </c>
      <c r="F119" s="59" t="s">
        <v>513</v>
      </c>
      <c r="G119" s="60"/>
    </row>
    <row r="120" ht="19.5" customHeight="1">
      <c r="A120" s="55"/>
      <c r="B120" s="56">
        <v>45787.0</v>
      </c>
      <c r="C120" s="57">
        <v>62523.93</v>
      </c>
      <c r="D120" s="57"/>
      <c r="E120" s="58" t="s">
        <v>456</v>
      </c>
      <c r="F120" s="59" t="s">
        <v>513</v>
      </c>
      <c r="G120" s="60"/>
    </row>
    <row r="121" ht="19.5" customHeight="1">
      <c r="A121" s="55"/>
      <c r="B121" s="56">
        <v>45788.0</v>
      </c>
      <c r="C121" s="57">
        <v>52016.0</v>
      </c>
      <c r="D121" s="57"/>
      <c r="E121" s="58" t="s">
        <v>512</v>
      </c>
      <c r="F121" s="59" t="s">
        <v>513</v>
      </c>
      <c r="G121" s="60"/>
    </row>
    <row r="122" ht="19.5" customHeight="1">
      <c r="A122" s="55"/>
      <c r="B122" s="56">
        <v>45788.0</v>
      </c>
      <c r="C122" s="57">
        <v>55006.0</v>
      </c>
      <c r="D122" s="57"/>
      <c r="E122" s="58" t="s">
        <v>514</v>
      </c>
      <c r="F122" s="59" t="s">
        <v>513</v>
      </c>
      <c r="G122" s="60"/>
    </row>
    <row r="123" ht="19.5" customHeight="1">
      <c r="A123" s="55"/>
      <c r="B123" s="56">
        <v>45789.0</v>
      </c>
      <c r="C123" s="57">
        <v>9500.0</v>
      </c>
      <c r="D123" s="57"/>
      <c r="E123" s="58" t="s">
        <v>505</v>
      </c>
      <c r="F123" s="59" t="s">
        <v>505</v>
      </c>
      <c r="G123" s="60"/>
    </row>
    <row r="124" ht="19.5" customHeight="1">
      <c r="A124" s="55"/>
      <c r="B124" s="56">
        <v>45790.0</v>
      </c>
      <c r="C124" s="57">
        <v>8500.0</v>
      </c>
      <c r="D124" s="57"/>
      <c r="E124" s="58" t="s">
        <v>515</v>
      </c>
      <c r="F124" s="59"/>
      <c r="G124" s="60"/>
    </row>
    <row r="125" ht="19.5" customHeight="1">
      <c r="A125" s="55"/>
      <c r="B125" s="65">
        <v>45791.0</v>
      </c>
      <c r="C125" s="63">
        <v>5100.0</v>
      </c>
      <c r="D125" s="63"/>
      <c r="E125" s="64" t="s">
        <v>505</v>
      </c>
      <c r="F125" s="61" t="s">
        <v>505</v>
      </c>
      <c r="G125" s="62"/>
    </row>
    <row r="126" ht="19.5" customHeight="1">
      <c r="A126" s="55"/>
      <c r="B126" s="65">
        <v>45791.0</v>
      </c>
      <c r="C126" s="63">
        <v>39800.0</v>
      </c>
      <c r="D126" s="63"/>
      <c r="E126" s="64" t="s">
        <v>132</v>
      </c>
      <c r="F126" s="61" t="s">
        <v>516</v>
      </c>
      <c r="G126" s="62"/>
    </row>
    <row r="127" ht="19.5" customHeight="1">
      <c r="A127" s="55"/>
      <c r="B127" s="65">
        <v>45792.0</v>
      </c>
      <c r="C127" s="63">
        <v>7800.0</v>
      </c>
      <c r="D127" s="63"/>
      <c r="E127" s="64" t="s">
        <v>517</v>
      </c>
      <c r="F127" s="61"/>
      <c r="G127" s="62"/>
    </row>
    <row r="128" ht="19.5" customHeight="1">
      <c r="A128" s="55"/>
      <c r="B128" s="65">
        <v>45792.0</v>
      </c>
      <c r="C128" s="63">
        <v>60000.0</v>
      </c>
      <c r="D128" s="63"/>
      <c r="E128" s="64" t="s">
        <v>518</v>
      </c>
      <c r="F128" s="61" t="s">
        <v>509</v>
      </c>
      <c r="G128" s="62"/>
    </row>
    <row r="129" ht="19.5" customHeight="1">
      <c r="A129" s="55"/>
      <c r="B129" s="65">
        <v>45793.0</v>
      </c>
      <c r="C129" s="63">
        <v>47300.0</v>
      </c>
      <c r="D129" s="63"/>
      <c r="E129" s="64" t="s">
        <v>478</v>
      </c>
      <c r="F129" s="61" t="s">
        <v>519</v>
      </c>
      <c r="G129" s="62"/>
    </row>
    <row r="130" ht="19.5" customHeight="1">
      <c r="A130" s="55"/>
      <c r="B130" s="65">
        <v>45793.0</v>
      </c>
      <c r="C130" s="63">
        <v>29100.0</v>
      </c>
      <c r="D130" s="63"/>
      <c r="E130" s="64" t="s">
        <v>478</v>
      </c>
      <c r="F130" s="61" t="s">
        <v>519</v>
      </c>
      <c r="G130" s="62"/>
    </row>
    <row r="131" ht="19.5" customHeight="1">
      <c r="A131" s="55"/>
      <c r="B131" s="65">
        <v>45795.0</v>
      </c>
      <c r="C131" s="63">
        <v>5600.0</v>
      </c>
      <c r="D131" s="63"/>
      <c r="E131" s="64" t="s">
        <v>441</v>
      </c>
      <c r="F131" s="61" t="s">
        <v>506</v>
      </c>
      <c r="G131" s="62"/>
    </row>
    <row r="132" ht="19.5" customHeight="1">
      <c r="A132" s="55"/>
      <c r="B132" s="65">
        <v>45796.0</v>
      </c>
      <c r="C132" s="63">
        <v>8500.0</v>
      </c>
      <c r="D132" s="63"/>
      <c r="E132" s="64" t="s">
        <v>456</v>
      </c>
      <c r="F132" s="61" t="s">
        <v>520</v>
      </c>
      <c r="G132" s="62"/>
    </row>
    <row r="133" ht="19.5" customHeight="1">
      <c r="A133" s="55"/>
      <c r="B133" s="65">
        <v>45796.0</v>
      </c>
      <c r="C133" s="63">
        <v>80004.0</v>
      </c>
      <c r="D133" s="63"/>
      <c r="E133" s="64" t="s">
        <v>521</v>
      </c>
      <c r="F133" s="61" t="s">
        <v>509</v>
      </c>
      <c r="G133" s="62"/>
    </row>
    <row r="134" ht="19.5" customHeight="1">
      <c r="A134" s="55"/>
      <c r="B134" s="65">
        <v>45801.0</v>
      </c>
      <c r="C134" s="63">
        <v>7000.0</v>
      </c>
      <c r="D134" s="63"/>
      <c r="E134" s="64" t="s">
        <v>137</v>
      </c>
      <c r="F134" s="61" t="s">
        <v>522</v>
      </c>
      <c r="G134" s="62"/>
    </row>
    <row r="135" ht="19.5" customHeight="1">
      <c r="A135" s="55"/>
      <c r="B135" s="65">
        <v>45802.0</v>
      </c>
      <c r="C135" s="63">
        <v>6200.0</v>
      </c>
      <c r="D135" s="63"/>
      <c r="E135" s="64" t="s">
        <v>345</v>
      </c>
      <c r="F135" s="61" t="s">
        <v>520</v>
      </c>
      <c r="G135" s="62"/>
    </row>
    <row r="136" ht="19.5" customHeight="1">
      <c r="A136" s="55"/>
      <c r="B136" s="65">
        <v>45802.0</v>
      </c>
      <c r="C136" s="63">
        <v>95001.0</v>
      </c>
      <c r="D136" s="63"/>
      <c r="E136" s="64" t="s">
        <v>142</v>
      </c>
      <c r="F136" s="61" t="s">
        <v>509</v>
      </c>
      <c r="G136" s="62"/>
    </row>
    <row r="137" ht="30.0" customHeight="1">
      <c r="A137" s="78" t="s">
        <v>111</v>
      </c>
      <c r="B137" s="79"/>
      <c r="C137" s="80">
        <f>SUM(C107:C136)</f>
        <v>819875.48</v>
      </c>
      <c r="D137" s="80">
        <f>SUM(D108:D136)</f>
        <v>0</v>
      </c>
      <c r="E137" s="81"/>
      <c r="F137" s="82"/>
    </row>
    <row r="138" ht="4.5" customHeight="1">
      <c r="A138" s="116"/>
      <c r="B138" s="115"/>
      <c r="C138" s="115"/>
      <c r="D138" s="117"/>
      <c r="E138" s="96"/>
      <c r="F138" s="96"/>
      <c r="G138" s="96"/>
    </row>
    <row r="139" ht="30.0" customHeight="1">
      <c r="A139" s="78" t="s">
        <v>187</v>
      </c>
      <c r="B139" s="79"/>
      <c r="C139" s="80">
        <f t="shared" ref="C139:D139" si="5">+C70+C93+C105+C137</f>
        <v>5481603.15</v>
      </c>
      <c r="D139" s="80">
        <f t="shared" si="5"/>
        <v>6.97</v>
      </c>
      <c r="E139" s="97"/>
      <c r="F139" s="98"/>
    </row>
    <row r="140" ht="19.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A6:C7"/>
    <mergeCell ref="D6:E6"/>
    <mergeCell ref="F6:G6"/>
    <mergeCell ref="D7:E7"/>
    <mergeCell ref="F7:G7"/>
    <mergeCell ref="D8:E8"/>
    <mergeCell ref="F8:G8"/>
    <mergeCell ref="D9:G15"/>
    <mergeCell ref="C11:C12"/>
    <mergeCell ref="C13:C14"/>
    <mergeCell ref="A16:G16"/>
    <mergeCell ref="A18:A69"/>
    <mergeCell ref="A70:B70"/>
    <mergeCell ref="A71:G71"/>
    <mergeCell ref="A137:B137"/>
    <mergeCell ref="A138:D138"/>
    <mergeCell ref="A139:B139"/>
    <mergeCell ref="A72:A92"/>
    <mergeCell ref="A93:B93"/>
    <mergeCell ref="A94:G94"/>
    <mergeCell ref="A95:A104"/>
    <mergeCell ref="A105:B105"/>
    <mergeCell ref="A106:G106"/>
    <mergeCell ref="A107:A136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1.71"/>
    <col customWidth="1" min="7" max="7" width="11.86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523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5087254.89</v>
      </c>
      <c r="G8" s="14"/>
    </row>
    <row r="9" ht="19.5" customHeight="1">
      <c r="A9" s="20" t="s">
        <v>7</v>
      </c>
      <c r="B9" s="21">
        <f>SUM(C55)</f>
        <v>3817485.21</v>
      </c>
      <c r="C9" s="22">
        <f t="shared" ref="C9:C10" si="1">+B9</f>
        <v>3817485.21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SUM(D55)</f>
        <v>3.98</v>
      </c>
      <c r="C10" s="28">
        <f t="shared" si="1"/>
        <v>3.98</v>
      </c>
      <c r="D10" s="29"/>
      <c r="G10" s="30"/>
    </row>
    <row r="11" ht="19.5" customHeight="1">
      <c r="A11" s="31" t="s">
        <v>10</v>
      </c>
      <c r="B11" s="32">
        <v>380030.85</v>
      </c>
      <c r="C11" s="33">
        <f>SUM(B11:B12)</f>
        <v>785992.78</v>
      </c>
      <c r="D11" s="29"/>
      <c r="G11" s="30"/>
    </row>
    <row r="12" ht="19.5" customHeight="1">
      <c r="A12" s="26" t="s">
        <v>11</v>
      </c>
      <c r="B12" s="27">
        <v>405961.93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15</v>
      </c>
      <c r="B15" s="39">
        <f>SUM(C86)</f>
        <v>158039</v>
      </c>
      <c r="C15" s="40">
        <f t="shared" ref="C15:C16" si="2">+B15</f>
        <v>158039</v>
      </c>
      <c r="D15" s="29"/>
      <c r="G15" s="30"/>
    </row>
    <row r="16" ht="19.5" customHeight="1">
      <c r="A16" s="35" t="s">
        <v>14</v>
      </c>
      <c r="B16" s="36">
        <f>SUM(C78)</f>
        <v>10623</v>
      </c>
      <c r="C16" s="37">
        <f t="shared" si="2"/>
        <v>10623</v>
      </c>
      <c r="D16" s="41"/>
      <c r="E16" s="42"/>
      <c r="F16" s="42"/>
      <c r="G16" s="43"/>
    </row>
    <row r="17" ht="4.5" customHeight="1">
      <c r="A17" s="114"/>
      <c r="B17" s="115"/>
      <c r="C17" s="115"/>
      <c r="D17" s="115"/>
      <c r="E17" s="115"/>
      <c r="F17" s="115"/>
      <c r="G17" s="79"/>
    </row>
    <row r="18" ht="24.75" customHeight="1">
      <c r="A18" s="47" t="s">
        <v>16</v>
      </c>
      <c r="B18" s="47" t="s">
        <v>17</v>
      </c>
      <c r="C18" s="47" t="s">
        <v>18</v>
      </c>
      <c r="D18" s="47" t="s">
        <v>19</v>
      </c>
      <c r="E18" s="48" t="s">
        <v>20</v>
      </c>
      <c r="F18" s="48" t="s">
        <v>21</v>
      </c>
      <c r="G18" s="48" t="s">
        <v>22</v>
      </c>
    </row>
    <row r="19" ht="19.5" customHeight="1">
      <c r="A19" s="49" t="s">
        <v>23</v>
      </c>
      <c r="B19" s="99">
        <v>45806.0</v>
      </c>
      <c r="C19" s="100">
        <v>13600.0</v>
      </c>
      <c r="D19" s="100"/>
      <c r="E19" s="101" t="s">
        <v>524</v>
      </c>
      <c r="F19" s="102"/>
      <c r="G19" s="103"/>
    </row>
    <row r="20" ht="19.5" customHeight="1">
      <c r="A20" s="55"/>
      <c r="B20" s="104">
        <v>45806.0</v>
      </c>
      <c r="C20" s="105">
        <v>8000.0</v>
      </c>
      <c r="D20" s="105"/>
      <c r="E20" s="106" t="s">
        <v>456</v>
      </c>
      <c r="F20" s="107"/>
      <c r="G20" s="108"/>
    </row>
    <row r="21" ht="19.5" customHeight="1">
      <c r="A21" s="55"/>
      <c r="B21" s="104">
        <v>45808.0</v>
      </c>
      <c r="C21" s="105">
        <v>8450.0</v>
      </c>
      <c r="D21" s="105"/>
      <c r="E21" s="106" t="s">
        <v>33</v>
      </c>
      <c r="F21" s="107"/>
      <c r="G21" s="108"/>
    </row>
    <row r="22" ht="19.5" customHeight="1">
      <c r="A22" s="55"/>
      <c r="B22" s="104">
        <v>45810.0</v>
      </c>
      <c r="C22" s="105">
        <v>5880.0</v>
      </c>
      <c r="D22" s="105"/>
      <c r="E22" s="106" t="s">
        <v>29</v>
      </c>
      <c r="F22" s="107"/>
      <c r="G22" s="108"/>
    </row>
    <row r="23" ht="19.5" customHeight="1">
      <c r="A23" s="55"/>
      <c r="B23" s="104">
        <v>45781.0</v>
      </c>
      <c r="C23" s="105">
        <v>12970.0</v>
      </c>
      <c r="D23" s="105"/>
      <c r="E23" s="106" t="s">
        <v>29</v>
      </c>
      <c r="F23" s="107"/>
      <c r="G23" s="108"/>
    </row>
    <row r="24" ht="19.5" customHeight="1">
      <c r="A24" s="55"/>
      <c r="B24" s="121">
        <v>45813.0</v>
      </c>
      <c r="C24" s="122">
        <v>172158.0</v>
      </c>
      <c r="D24" s="122"/>
      <c r="E24" s="123" t="s">
        <v>463</v>
      </c>
      <c r="F24" s="124"/>
      <c r="G24" s="125"/>
    </row>
    <row r="25" ht="19.5" customHeight="1">
      <c r="A25" s="55"/>
      <c r="B25" s="56">
        <v>45814.0</v>
      </c>
      <c r="C25" s="57">
        <v>29226.0</v>
      </c>
      <c r="D25" s="57"/>
      <c r="E25" s="58" t="s">
        <v>42</v>
      </c>
      <c r="F25" s="61" t="s">
        <v>43</v>
      </c>
      <c r="G25" s="60"/>
    </row>
    <row r="26" ht="19.5" customHeight="1">
      <c r="A26" s="55"/>
      <c r="B26" s="104">
        <v>45814.0</v>
      </c>
      <c r="C26" s="105">
        <v>7590.0</v>
      </c>
      <c r="D26" s="105"/>
      <c r="E26" s="106" t="s">
        <v>29</v>
      </c>
      <c r="F26" s="107"/>
      <c r="G26" s="108"/>
    </row>
    <row r="27" ht="19.5" customHeight="1">
      <c r="A27" s="55"/>
      <c r="B27" s="56">
        <v>45814.0</v>
      </c>
      <c r="C27" s="57">
        <v>22100.0</v>
      </c>
      <c r="D27" s="57"/>
      <c r="E27" s="58" t="s">
        <v>51</v>
      </c>
      <c r="F27" s="61" t="s">
        <v>52</v>
      </c>
      <c r="G27" s="60"/>
    </row>
    <row r="28" ht="19.5" customHeight="1">
      <c r="A28" s="55"/>
      <c r="B28" s="104">
        <v>45815.0</v>
      </c>
      <c r="C28" s="105">
        <v>8679.0</v>
      </c>
      <c r="D28" s="105"/>
      <c r="E28" s="106" t="s">
        <v>80</v>
      </c>
      <c r="F28" s="107"/>
      <c r="G28" s="108"/>
    </row>
    <row r="29" ht="19.5" customHeight="1">
      <c r="A29" s="55"/>
      <c r="B29" s="56">
        <v>45817.0</v>
      </c>
      <c r="C29" s="57"/>
      <c r="D29" s="57">
        <v>1.99</v>
      </c>
      <c r="E29" s="58" t="s">
        <v>525</v>
      </c>
      <c r="F29" s="61" t="s">
        <v>55</v>
      </c>
      <c r="G29" s="60"/>
    </row>
    <row r="30" ht="19.5" customHeight="1">
      <c r="A30" s="55"/>
      <c r="B30" s="104">
        <v>45818.0</v>
      </c>
      <c r="C30" s="105">
        <v>7735.0</v>
      </c>
      <c r="D30" s="105"/>
      <c r="E30" s="106" t="s">
        <v>33</v>
      </c>
      <c r="F30" s="107"/>
      <c r="G30" s="108"/>
    </row>
    <row r="31" ht="19.5" customHeight="1">
      <c r="A31" s="55"/>
      <c r="B31" s="56">
        <v>45818.0</v>
      </c>
      <c r="C31" s="57">
        <v>407782.0</v>
      </c>
      <c r="D31" s="57"/>
      <c r="E31" s="58" t="s">
        <v>64</v>
      </c>
      <c r="F31" s="61" t="s">
        <v>65</v>
      </c>
      <c r="G31" s="60"/>
    </row>
    <row r="32" ht="19.5" customHeight="1">
      <c r="A32" s="55"/>
      <c r="B32" s="56">
        <v>45818.0</v>
      </c>
      <c r="C32" s="57">
        <v>430509.0</v>
      </c>
      <c r="D32" s="57"/>
      <c r="E32" s="58" t="s">
        <v>66</v>
      </c>
      <c r="F32" s="61" t="s">
        <v>67</v>
      </c>
      <c r="G32" s="60"/>
    </row>
    <row r="33" ht="19.5" customHeight="1">
      <c r="A33" s="55"/>
      <c r="B33" s="104">
        <v>45819.0</v>
      </c>
      <c r="C33" s="105">
        <v>6510.0</v>
      </c>
      <c r="D33" s="105"/>
      <c r="E33" s="106" t="s">
        <v>33</v>
      </c>
      <c r="F33" s="107"/>
      <c r="G33" s="108"/>
    </row>
    <row r="34" ht="19.5" customHeight="1">
      <c r="A34" s="55"/>
      <c r="B34" s="56">
        <v>45819.0</v>
      </c>
      <c r="C34" s="57">
        <v>17802.0</v>
      </c>
      <c r="D34" s="57"/>
      <c r="E34" s="58" t="s">
        <v>526</v>
      </c>
      <c r="F34" s="61" t="s">
        <v>79</v>
      </c>
      <c r="G34" s="60"/>
    </row>
    <row r="35" ht="19.5" customHeight="1">
      <c r="A35" s="55"/>
      <c r="B35" s="56">
        <v>45819.0</v>
      </c>
      <c r="C35" s="57">
        <v>17802.0</v>
      </c>
      <c r="D35" s="57"/>
      <c r="E35" s="58" t="s">
        <v>527</v>
      </c>
      <c r="F35" s="61" t="s">
        <v>73</v>
      </c>
      <c r="G35" s="60"/>
    </row>
    <row r="36" ht="19.5" customHeight="1">
      <c r="A36" s="55"/>
      <c r="B36" s="56">
        <v>45819.0</v>
      </c>
      <c r="C36" s="57">
        <v>16175.42</v>
      </c>
      <c r="D36" s="57"/>
      <c r="E36" s="58" t="s">
        <v>528</v>
      </c>
      <c r="F36" s="61" t="s">
        <v>77</v>
      </c>
      <c r="G36" s="60"/>
      <c r="H36" s="133" t="s">
        <v>529</v>
      </c>
    </row>
    <row r="37" ht="19.5" customHeight="1">
      <c r="A37" s="55"/>
      <c r="B37" s="56">
        <v>45819.0</v>
      </c>
      <c r="C37" s="57">
        <v>16944.98</v>
      </c>
      <c r="D37" s="57"/>
      <c r="E37" s="58" t="s">
        <v>530</v>
      </c>
      <c r="F37" s="61" t="s">
        <v>71</v>
      </c>
      <c r="G37" s="60"/>
    </row>
    <row r="38" ht="19.5" customHeight="1">
      <c r="A38" s="55"/>
      <c r="B38" s="56">
        <v>45819.0</v>
      </c>
      <c r="C38" s="57">
        <v>102195.21</v>
      </c>
      <c r="D38" s="57"/>
      <c r="E38" s="58" t="s">
        <v>531</v>
      </c>
      <c r="F38" s="61" t="s">
        <v>69</v>
      </c>
      <c r="G38" s="60"/>
    </row>
    <row r="39" ht="19.5" customHeight="1">
      <c r="A39" s="55"/>
      <c r="B39" s="121">
        <v>45820.0</v>
      </c>
      <c r="C39" s="122">
        <v>46332.62</v>
      </c>
      <c r="D39" s="122"/>
      <c r="E39" s="123" t="s">
        <v>402</v>
      </c>
      <c r="F39" s="124"/>
      <c r="G39" s="125"/>
    </row>
    <row r="40" ht="19.5" customHeight="1">
      <c r="A40" s="55"/>
      <c r="B40" s="56">
        <v>45821.0</v>
      </c>
      <c r="C40" s="57">
        <v>63050.0</v>
      </c>
      <c r="D40" s="57"/>
      <c r="E40" s="58" t="s">
        <v>84</v>
      </c>
      <c r="F40" s="59" t="s">
        <v>532</v>
      </c>
      <c r="G40" s="60"/>
    </row>
    <row r="41" ht="19.5" customHeight="1">
      <c r="A41" s="55"/>
      <c r="B41" s="104">
        <v>45821.0</v>
      </c>
      <c r="C41" s="105">
        <v>11808.0</v>
      </c>
      <c r="D41" s="105"/>
      <c r="E41" s="106" t="s">
        <v>80</v>
      </c>
      <c r="F41" s="107"/>
      <c r="G41" s="108"/>
    </row>
    <row r="42" ht="19.5" customHeight="1">
      <c r="A42" s="55"/>
      <c r="B42" s="104">
        <v>45821.0</v>
      </c>
      <c r="C42" s="105">
        <v>5800.0</v>
      </c>
      <c r="D42" s="105"/>
      <c r="E42" s="106" t="s">
        <v>312</v>
      </c>
      <c r="F42" s="69"/>
      <c r="G42" s="108"/>
    </row>
    <row r="43" ht="19.5" customHeight="1">
      <c r="A43" s="55"/>
      <c r="B43" s="104">
        <v>45822.0</v>
      </c>
      <c r="C43" s="105">
        <v>103500.02</v>
      </c>
      <c r="D43" s="105"/>
      <c r="E43" s="106" t="s">
        <v>34</v>
      </c>
      <c r="F43" s="69"/>
      <c r="G43" s="70"/>
    </row>
    <row r="44" ht="19.5" customHeight="1">
      <c r="A44" s="55"/>
      <c r="B44" s="104">
        <v>45822.0</v>
      </c>
      <c r="C44" s="105">
        <v>21987.0</v>
      </c>
      <c r="D44" s="105"/>
      <c r="E44" s="106" t="s">
        <v>80</v>
      </c>
      <c r="F44" s="69"/>
      <c r="G44" s="70"/>
    </row>
    <row r="45" ht="19.5" customHeight="1">
      <c r="A45" s="55"/>
      <c r="B45" s="104">
        <v>45824.0</v>
      </c>
      <c r="C45" s="105">
        <v>6060.0</v>
      </c>
      <c r="D45" s="105"/>
      <c r="E45" s="106" t="s">
        <v>29</v>
      </c>
      <c r="F45" s="69"/>
      <c r="G45" s="70"/>
    </row>
    <row r="46" ht="19.5" customHeight="1">
      <c r="A46" s="55"/>
      <c r="B46" s="104">
        <v>45825.0</v>
      </c>
      <c r="C46" s="105">
        <v>7200.0</v>
      </c>
      <c r="D46" s="105"/>
      <c r="E46" s="106" t="s">
        <v>456</v>
      </c>
      <c r="F46" s="69"/>
      <c r="G46" s="108"/>
    </row>
    <row r="47" ht="19.5" customHeight="1">
      <c r="A47" s="55"/>
      <c r="B47" s="121">
        <v>45825.0</v>
      </c>
      <c r="C47" s="122">
        <v>1362962.6</v>
      </c>
      <c r="D47" s="122"/>
      <c r="E47" s="123" t="s">
        <v>533</v>
      </c>
      <c r="F47" s="127"/>
      <c r="G47" s="128"/>
    </row>
    <row r="48" ht="19.5" customHeight="1">
      <c r="A48" s="55"/>
      <c r="B48" s="56">
        <v>45827.0</v>
      </c>
      <c r="C48" s="57">
        <v>42053.0</v>
      </c>
      <c r="D48" s="57"/>
      <c r="E48" s="58" t="s">
        <v>225</v>
      </c>
      <c r="F48" s="61" t="s">
        <v>226</v>
      </c>
      <c r="G48" s="62"/>
    </row>
    <row r="49" ht="19.5" customHeight="1">
      <c r="A49" s="55"/>
      <c r="B49" s="56">
        <v>45827.0</v>
      </c>
      <c r="C49" s="63">
        <v>702806.34</v>
      </c>
      <c r="D49" s="63"/>
      <c r="E49" s="64" t="s">
        <v>534</v>
      </c>
      <c r="F49" s="61" t="s">
        <v>535</v>
      </c>
      <c r="G49" s="62"/>
    </row>
    <row r="50" ht="19.5" customHeight="1">
      <c r="A50" s="55"/>
      <c r="B50" s="104">
        <v>45828.0</v>
      </c>
      <c r="C50" s="67">
        <v>6830.0</v>
      </c>
      <c r="D50" s="67"/>
      <c r="E50" s="68" t="s">
        <v>312</v>
      </c>
      <c r="F50" s="69"/>
      <c r="G50" s="70"/>
    </row>
    <row r="51" ht="19.5" customHeight="1">
      <c r="A51" s="55"/>
      <c r="B51" s="56">
        <v>45828.0</v>
      </c>
      <c r="C51" s="63"/>
      <c r="D51" s="63">
        <v>1.99</v>
      </c>
      <c r="E51" s="64" t="s">
        <v>536</v>
      </c>
      <c r="F51" s="61" t="s">
        <v>55</v>
      </c>
      <c r="G51" s="62"/>
    </row>
    <row r="52" ht="19.5" customHeight="1">
      <c r="A52" s="55"/>
      <c r="B52" s="104">
        <v>45829.0</v>
      </c>
      <c r="C52" s="67">
        <v>22010.0</v>
      </c>
      <c r="D52" s="67"/>
      <c r="E52" s="68" t="s">
        <v>33</v>
      </c>
      <c r="F52" s="69"/>
      <c r="G52" s="70"/>
    </row>
    <row r="53" ht="19.5" customHeight="1">
      <c r="A53" s="55"/>
      <c r="B53" s="104">
        <v>45829.0</v>
      </c>
      <c r="C53" s="67">
        <v>90008.02</v>
      </c>
      <c r="D53" s="67"/>
      <c r="E53" s="68" t="s">
        <v>34</v>
      </c>
      <c r="F53" s="69"/>
      <c r="G53" s="70"/>
    </row>
    <row r="54" ht="19.5" customHeight="1">
      <c r="A54" s="76"/>
      <c r="B54" s="66">
        <v>45829.0</v>
      </c>
      <c r="C54" s="67">
        <v>12969.0</v>
      </c>
      <c r="D54" s="67"/>
      <c r="E54" s="68" t="s">
        <v>80</v>
      </c>
      <c r="F54" s="69"/>
      <c r="G54" s="70"/>
    </row>
    <row r="55" ht="30.0" customHeight="1">
      <c r="A55" s="78" t="s">
        <v>111</v>
      </c>
      <c r="B55" s="79"/>
      <c r="C55" s="80">
        <f t="shared" ref="C55:D55" si="3">SUM(C19:C54)</f>
        <v>3817485.21</v>
      </c>
      <c r="D55" s="80">
        <f t="shared" si="3"/>
        <v>3.98</v>
      </c>
      <c r="E55" s="81"/>
      <c r="F55" s="82"/>
    </row>
    <row r="56" ht="4.5" customHeight="1">
      <c r="A56" s="116"/>
      <c r="B56" s="115"/>
      <c r="C56" s="115"/>
      <c r="D56" s="115"/>
      <c r="E56" s="115"/>
      <c r="F56" s="115"/>
      <c r="G56" s="79"/>
    </row>
    <row r="57" ht="19.5" customHeight="1">
      <c r="A57" s="49" t="s">
        <v>112</v>
      </c>
      <c r="B57" s="65">
        <v>45748.0</v>
      </c>
      <c r="C57" s="63">
        <v>12464.0</v>
      </c>
      <c r="D57" s="51"/>
      <c r="E57" s="64" t="s">
        <v>326</v>
      </c>
      <c r="F57" s="61" t="s">
        <v>537</v>
      </c>
      <c r="G57" s="62" t="s">
        <v>44</v>
      </c>
    </row>
    <row r="58" ht="19.5" customHeight="1">
      <c r="A58" s="55"/>
      <c r="B58" s="65">
        <v>45805.0</v>
      </c>
      <c r="C58" s="63">
        <v>20000.0</v>
      </c>
      <c r="D58" s="57"/>
      <c r="E58" s="64" t="s">
        <v>487</v>
      </c>
      <c r="F58" s="61" t="s">
        <v>538</v>
      </c>
      <c r="G58" s="62" t="s">
        <v>44</v>
      </c>
    </row>
    <row r="59" ht="19.5" customHeight="1">
      <c r="A59" s="55"/>
      <c r="B59" s="65">
        <v>45811.0</v>
      </c>
      <c r="C59" s="63">
        <v>30000.0</v>
      </c>
      <c r="D59" s="57"/>
      <c r="E59" s="64" t="s">
        <v>418</v>
      </c>
      <c r="F59" s="61" t="s">
        <v>538</v>
      </c>
      <c r="G59" s="62" t="s">
        <v>44</v>
      </c>
    </row>
    <row r="60" ht="19.5" customHeight="1">
      <c r="A60" s="55"/>
      <c r="B60" s="65">
        <v>45813.0</v>
      </c>
      <c r="C60" s="63">
        <v>30000.0</v>
      </c>
      <c r="D60" s="57"/>
      <c r="E60" s="64" t="s">
        <v>418</v>
      </c>
      <c r="F60" s="61" t="s">
        <v>538</v>
      </c>
      <c r="G60" s="62" t="s">
        <v>44</v>
      </c>
    </row>
    <row r="61" ht="19.5" customHeight="1">
      <c r="A61" s="55"/>
      <c r="B61" s="65">
        <v>45815.0</v>
      </c>
      <c r="C61" s="63">
        <v>20000.0</v>
      </c>
      <c r="D61" s="57"/>
      <c r="E61" s="64" t="s">
        <v>487</v>
      </c>
      <c r="F61" s="61" t="s">
        <v>538</v>
      </c>
      <c r="G61" s="62" t="s">
        <v>44</v>
      </c>
    </row>
    <row r="62" ht="19.5" customHeight="1">
      <c r="A62" s="55"/>
      <c r="B62" s="65">
        <v>45818.0</v>
      </c>
      <c r="C62" s="63">
        <v>30000.0</v>
      </c>
      <c r="D62" s="63"/>
      <c r="E62" s="64" t="s">
        <v>418</v>
      </c>
      <c r="F62" s="61" t="s">
        <v>538</v>
      </c>
      <c r="G62" s="62" t="s">
        <v>44</v>
      </c>
    </row>
    <row r="63" ht="19.5" customHeight="1">
      <c r="A63" s="55"/>
      <c r="B63" s="65">
        <v>45819.0</v>
      </c>
      <c r="C63" s="63">
        <v>20000.0</v>
      </c>
      <c r="D63" s="63"/>
      <c r="E63" s="64" t="s">
        <v>418</v>
      </c>
      <c r="F63" s="61" t="s">
        <v>538</v>
      </c>
      <c r="G63" s="62" t="s">
        <v>44</v>
      </c>
    </row>
    <row r="64" ht="19.5" customHeight="1">
      <c r="A64" s="55"/>
      <c r="B64" s="65">
        <v>45821.0</v>
      </c>
      <c r="C64" s="63">
        <v>35500.0</v>
      </c>
      <c r="D64" s="63"/>
      <c r="E64" s="64" t="s">
        <v>418</v>
      </c>
      <c r="F64" s="61" t="s">
        <v>538</v>
      </c>
      <c r="G64" s="62" t="s">
        <v>44</v>
      </c>
    </row>
    <row r="65" ht="19.5" customHeight="1">
      <c r="A65" s="55"/>
      <c r="B65" s="65">
        <v>45824.0</v>
      </c>
      <c r="C65" s="63">
        <v>30000.0</v>
      </c>
      <c r="D65" s="63"/>
      <c r="E65" s="64" t="s">
        <v>120</v>
      </c>
      <c r="F65" s="61" t="s">
        <v>539</v>
      </c>
      <c r="G65" s="62" t="s">
        <v>26</v>
      </c>
    </row>
    <row r="66" ht="19.5" customHeight="1">
      <c r="A66" s="55"/>
      <c r="B66" s="65">
        <v>45824.0</v>
      </c>
      <c r="C66" s="63">
        <v>47666.63</v>
      </c>
      <c r="D66" s="63"/>
      <c r="E66" s="64" t="s">
        <v>540</v>
      </c>
      <c r="F66" s="61" t="s">
        <v>541</v>
      </c>
      <c r="G66" s="62" t="s">
        <v>26</v>
      </c>
    </row>
    <row r="67" ht="19.5" customHeight="1">
      <c r="A67" s="55"/>
      <c r="B67" s="65">
        <v>45824.0</v>
      </c>
      <c r="C67" s="63">
        <v>328295.3</v>
      </c>
      <c r="D67" s="63"/>
      <c r="E67" s="64" t="s">
        <v>540</v>
      </c>
      <c r="F67" s="61" t="s">
        <v>542</v>
      </c>
      <c r="G67" s="62" t="s">
        <v>26</v>
      </c>
    </row>
    <row r="68" ht="19.5" customHeight="1">
      <c r="A68" s="55"/>
      <c r="B68" s="65">
        <v>45825.0</v>
      </c>
      <c r="C68" s="63">
        <v>20000.0</v>
      </c>
      <c r="D68" s="63"/>
      <c r="E68" s="64" t="s">
        <v>418</v>
      </c>
      <c r="F68" s="61" t="s">
        <v>538</v>
      </c>
      <c r="G68" s="62" t="s">
        <v>44</v>
      </c>
    </row>
    <row r="69" ht="19.5" customHeight="1">
      <c r="A69" s="55"/>
      <c r="B69" s="65">
        <v>45826.0</v>
      </c>
      <c r="C69" s="63">
        <v>20000.0</v>
      </c>
      <c r="D69" s="63"/>
      <c r="E69" s="64" t="s">
        <v>418</v>
      </c>
      <c r="F69" s="61" t="s">
        <v>538</v>
      </c>
      <c r="G69" s="62" t="s">
        <v>44</v>
      </c>
    </row>
    <row r="70" ht="19.5" customHeight="1">
      <c r="A70" s="55"/>
      <c r="B70" s="65">
        <v>45829.0</v>
      </c>
      <c r="C70" s="63">
        <v>20000.0</v>
      </c>
      <c r="D70" s="63"/>
      <c r="E70" s="64" t="s">
        <v>418</v>
      </c>
      <c r="F70" s="61" t="s">
        <v>538</v>
      </c>
      <c r="G70" s="62" t="s">
        <v>44</v>
      </c>
    </row>
    <row r="71" ht="19.5" customHeight="1">
      <c r="A71" s="55"/>
      <c r="B71" s="65">
        <v>45830.0</v>
      </c>
      <c r="C71" s="63">
        <v>20000.0</v>
      </c>
      <c r="D71" s="63"/>
      <c r="E71" s="64" t="s">
        <v>203</v>
      </c>
      <c r="F71" s="61" t="s">
        <v>483</v>
      </c>
      <c r="G71" s="62" t="s">
        <v>44</v>
      </c>
    </row>
    <row r="72" ht="19.5" customHeight="1">
      <c r="A72" s="55"/>
      <c r="B72" s="65">
        <v>45831.0</v>
      </c>
      <c r="C72" s="63">
        <v>35500.0</v>
      </c>
      <c r="D72" s="63"/>
      <c r="E72" s="64" t="s">
        <v>418</v>
      </c>
      <c r="F72" s="61" t="s">
        <v>538</v>
      </c>
      <c r="G72" s="62" t="s">
        <v>44</v>
      </c>
    </row>
    <row r="73" ht="19.5" customHeight="1">
      <c r="A73" s="55"/>
      <c r="B73" s="65">
        <v>45832.0</v>
      </c>
      <c r="C73" s="63">
        <v>20000.0</v>
      </c>
      <c r="D73" s="63"/>
      <c r="E73" s="64" t="s">
        <v>418</v>
      </c>
      <c r="F73" s="61" t="s">
        <v>538</v>
      </c>
      <c r="G73" s="62" t="s">
        <v>44</v>
      </c>
    </row>
    <row r="74" ht="21.0" customHeight="1">
      <c r="A74" s="55"/>
      <c r="B74" s="65">
        <v>45833.0</v>
      </c>
      <c r="C74" s="63">
        <v>46566.85</v>
      </c>
      <c r="D74" s="63"/>
      <c r="E74" s="64" t="s">
        <v>543</v>
      </c>
      <c r="F74" s="61" t="s">
        <v>544</v>
      </c>
      <c r="G74" s="62" t="s">
        <v>44</v>
      </c>
    </row>
    <row r="75" ht="30.0" customHeight="1">
      <c r="A75" s="78" t="s">
        <v>111</v>
      </c>
      <c r="B75" s="79"/>
      <c r="C75" s="80">
        <f t="shared" ref="C75:D75" si="4">SUM(C57:C74)</f>
        <v>785992.78</v>
      </c>
      <c r="D75" s="80">
        <f t="shared" si="4"/>
        <v>0</v>
      </c>
      <c r="E75" s="81"/>
      <c r="F75" s="82"/>
    </row>
    <row r="76" ht="4.5" customHeight="1">
      <c r="A76" s="116"/>
      <c r="B76" s="115"/>
      <c r="C76" s="115"/>
      <c r="D76" s="115"/>
      <c r="E76" s="115"/>
      <c r="F76" s="115"/>
      <c r="G76" s="79"/>
    </row>
    <row r="77" ht="19.5" customHeight="1">
      <c r="A77" s="49" t="s">
        <v>14</v>
      </c>
      <c r="B77" s="50">
        <v>45806.0</v>
      </c>
      <c r="C77" s="51">
        <v>10623.0</v>
      </c>
      <c r="D77" s="51"/>
      <c r="E77" s="52" t="s">
        <v>545</v>
      </c>
      <c r="F77" s="53" t="s">
        <v>546</v>
      </c>
      <c r="G77" s="54" t="s">
        <v>26</v>
      </c>
    </row>
    <row r="78" ht="30.0" customHeight="1">
      <c r="A78" s="78" t="s">
        <v>111</v>
      </c>
      <c r="B78" s="79"/>
      <c r="C78" s="80">
        <f t="shared" ref="C78:D78" si="5">SUM(C77)</f>
        <v>10623</v>
      </c>
      <c r="D78" s="80">
        <f t="shared" si="5"/>
        <v>0</v>
      </c>
      <c r="E78" s="92"/>
      <c r="F78" s="82"/>
      <c r="G78" s="93"/>
    </row>
    <row r="79" ht="4.5" customHeight="1">
      <c r="A79" s="116"/>
      <c r="B79" s="115"/>
      <c r="C79" s="115"/>
      <c r="D79" s="115"/>
      <c r="E79" s="115"/>
      <c r="F79" s="115"/>
      <c r="G79" s="79"/>
    </row>
    <row r="80" ht="19.5" customHeight="1">
      <c r="A80" s="49" t="s">
        <v>15</v>
      </c>
      <c r="B80" s="94">
        <v>45815.0</v>
      </c>
      <c r="C80" s="51">
        <v>35310.0</v>
      </c>
      <c r="D80" s="51"/>
      <c r="E80" s="52" t="s">
        <v>162</v>
      </c>
      <c r="F80" s="64" t="s">
        <v>547</v>
      </c>
      <c r="G80" s="54" t="s">
        <v>26</v>
      </c>
    </row>
    <row r="81" ht="19.5" customHeight="1">
      <c r="A81" s="55"/>
      <c r="B81" s="95">
        <v>45815.0</v>
      </c>
      <c r="C81" s="57">
        <v>7490.0</v>
      </c>
      <c r="D81" s="57"/>
      <c r="E81" s="58" t="s">
        <v>548</v>
      </c>
      <c r="F81" s="64" t="s">
        <v>495</v>
      </c>
      <c r="G81" s="60" t="s">
        <v>26</v>
      </c>
    </row>
    <row r="82" ht="19.5" customHeight="1">
      <c r="A82" s="55"/>
      <c r="B82" s="95">
        <v>45824.0</v>
      </c>
      <c r="C82" s="57">
        <v>20116.0</v>
      </c>
      <c r="D82" s="57"/>
      <c r="E82" s="58" t="s">
        <v>162</v>
      </c>
      <c r="F82" s="97" t="s">
        <v>549</v>
      </c>
      <c r="G82" s="60" t="s">
        <v>26</v>
      </c>
    </row>
    <row r="83" ht="19.5" customHeight="1">
      <c r="A83" s="55"/>
      <c r="B83" s="95">
        <v>45824.0</v>
      </c>
      <c r="C83" s="57">
        <v>32100.0</v>
      </c>
      <c r="D83" s="57"/>
      <c r="E83" s="58" t="s">
        <v>162</v>
      </c>
      <c r="F83" s="64" t="s">
        <v>550</v>
      </c>
      <c r="G83" s="60" t="s">
        <v>26</v>
      </c>
    </row>
    <row r="84" ht="19.5" customHeight="1">
      <c r="A84" s="55"/>
      <c r="B84" s="95">
        <v>45827.0</v>
      </c>
      <c r="C84" s="57">
        <v>35952.0</v>
      </c>
      <c r="D84" s="57"/>
      <c r="E84" s="58" t="s">
        <v>162</v>
      </c>
      <c r="F84" s="97" t="s">
        <v>551</v>
      </c>
      <c r="G84" s="60" t="s">
        <v>26</v>
      </c>
    </row>
    <row r="85" ht="19.5" customHeight="1">
      <c r="A85" s="55"/>
      <c r="B85" s="95">
        <v>45833.0</v>
      </c>
      <c r="C85" s="57">
        <v>27071.0</v>
      </c>
      <c r="D85" s="57"/>
      <c r="E85" s="58" t="s">
        <v>162</v>
      </c>
      <c r="F85" s="64" t="s">
        <v>552</v>
      </c>
      <c r="G85" s="60" t="s">
        <v>26</v>
      </c>
    </row>
    <row r="86" ht="30.0" customHeight="1">
      <c r="A86" s="78" t="s">
        <v>111</v>
      </c>
      <c r="B86" s="79"/>
      <c r="C86" s="80">
        <f t="shared" ref="C86:D86" si="6">SUM(C80:C85)</f>
        <v>158039</v>
      </c>
      <c r="D86" s="80">
        <f t="shared" si="6"/>
        <v>0</v>
      </c>
      <c r="E86" s="81"/>
      <c r="F86" s="98"/>
    </row>
    <row r="87" ht="4.5" customHeight="1">
      <c r="A87" s="116"/>
      <c r="B87" s="115"/>
      <c r="C87" s="115"/>
      <c r="D87" s="115"/>
      <c r="E87" s="115"/>
      <c r="F87" s="115"/>
      <c r="G87" s="79"/>
    </row>
    <row r="88" ht="19.5" customHeight="1">
      <c r="A88" s="49" t="s">
        <v>125</v>
      </c>
      <c r="B88" s="50">
        <v>45806.0</v>
      </c>
      <c r="C88" s="51">
        <v>5500.0</v>
      </c>
      <c r="D88" s="51"/>
      <c r="E88" s="52" t="s">
        <v>137</v>
      </c>
      <c r="F88" s="61"/>
      <c r="G88" s="62"/>
    </row>
    <row r="89" ht="19.5" customHeight="1">
      <c r="A89" s="55"/>
      <c r="B89" s="56">
        <v>45808.0</v>
      </c>
      <c r="C89" s="57">
        <v>92513.07</v>
      </c>
      <c r="D89" s="57"/>
      <c r="E89" s="52" t="s">
        <v>456</v>
      </c>
      <c r="F89" s="61" t="s">
        <v>509</v>
      </c>
      <c r="G89" s="62"/>
    </row>
    <row r="90" ht="19.5" customHeight="1">
      <c r="A90" s="55"/>
      <c r="B90" s="56">
        <v>45810.0</v>
      </c>
      <c r="C90" s="57">
        <v>8600.0</v>
      </c>
      <c r="D90" s="57"/>
      <c r="E90" s="58" t="s">
        <v>345</v>
      </c>
      <c r="F90" s="61" t="s">
        <v>520</v>
      </c>
      <c r="G90" s="62"/>
    </row>
    <row r="91" ht="19.5" customHeight="1">
      <c r="A91" s="55"/>
      <c r="B91" s="56">
        <v>45812.0</v>
      </c>
      <c r="C91" s="57">
        <v>64729.0</v>
      </c>
      <c r="D91" s="57"/>
      <c r="E91" s="58" t="s">
        <v>142</v>
      </c>
      <c r="F91" s="61" t="s">
        <v>553</v>
      </c>
      <c r="G91" s="62"/>
    </row>
    <row r="92" ht="19.5" customHeight="1">
      <c r="A92" s="55"/>
      <c r="B92" s="56">
        <v>45812.0</v>
      </c>
      <c r="C92" s="57">
        <v>52123.0</v>
      </c>
      <c r="D92" s="57"/>
      <c r="E92" s="58" t="s">
        <v>142</v>
      </c>
      <c r="F92" s="61" t="s">
        <v>437</v>
      </c>
      <c r="G92" s="62"/>
    </row>
    <row r="93" ht="19.5" customHeight="1">
      <c r="A93" s="55"/>
      <c r="B93" s="56">
        <v>45812.0</v>
      </c>
      <c r="C93" s="57">
        <v>6000.0</v>
      </c>
      <c r="D93" s="57"/>
      <c r="E93" s="58" t="s">
        <v>143</v>
      </c>
      <c r="F93" s="61"/>
      <c r="G93" s="62"/>
    </row>
    <row r="94" ht="19.5" customHeight="1">
      <c r="A94" s="55"/>
      <c r="B94" s="56">
        <v>45813.0</v>
      </c>
      <c r="C94" s="57">
        <v>2800.01</v>
      </c>
      <c r="D94" s="57"/>
      <c r="E94" s="58" t="s">
        <v>427</v>
      </c>
      <c r="F94" s="61"/>
      <c r="G94" s="62"/>
    </row>
    <row r="95" ht="19.5" customHeight="1">
      <c r="A95" s="55"/>
      <c r="B95" s="56">
        <v>45826.0</v>
      </c>
      <c r="C95" s="57">
        <v>1258.38</v>
      </c>
      <c r="D95" s="57"/>
      <c r="E95" s="58" t="s">
        <v>554</v>
      </c>
      <c r="F95" s="61"/>
      <c r="G95" s="62"/>
    </row>
    <row r="96" ht="30.0" customHeight="1">
      <c r="A96" s="78" t="s">
        <v>111</v>
      </c>
      <c r="B96" s="79"/>
      <c r="C96" s="80">
        <f>SUM(C88:C95)</f>
        <v>233523.46</v>
      </c>
      <c r="D96" s="80">
        <f>SUM(D89:D95)</f>
        <v>0</v>
      </c>
      <c r="E96" s="81"/>
      <c r="F96" s="82"/>
    </row>
    <row r="97" ht="4.5" customHeight="1">
      <c r="A97" s="116"/>
      <c r="B97" s="115"/>
      <c r="C97" s="115"/>
      <c r="D97" s="117"/>
      <c r="E97" s="96"/>
      <c r="F97" s="96"/>
      <c r="G97" s="96"/>
    </row>
    <row r="98" ht="30.0" customHeight="1">
      <c r="A98" s="78" t="s">
        <v>187</v>
      </c>
      <c r="B98" s="79"/>
      <c r="C98" s="80">
        <f t="shared" ref="C98:D98" si="7">+C55+C75+C78+C86+C96</f>
        <v>5005663.45</v>
      </c>
      <c r="D98" s="80">
        <f t="shared" si="7"/>
        <v>3.98</v>
      </c>
      <c r="E98" s="97"/>
      <c r="F98" s="98"/>
    </row>
    <row r="99" ht="19.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A6:C7"/>
    <mergeCell ref="D6:E6"/>
    <mergeCell ref="F6:G6"/>
    <mergeCell ref="D7:E7"/>
    <mergeCell ref="F7:G7"/>
    <mergeCell ref="D8:E8"/>
    <mergeCell ref="F8:G8"/>
    <mergeCell ref="D9:G16"/>
    <mergeCell ref="C11:C12"/>
    <mergeCell ref="C13:C14"/>
    <mergeCell ref="A17:G17"/>
    <mergeCell ref="A19:A54"/>
    <mergeCell ref="A55:B55"/>
    <mergeCell ref="A56:G56"/>
    <mergeCell ref="A80:A85"/>
    <mergeCell ref="A88:A95"/>
    <mergeCell ref="A96:B96"/>
    <mergeCell ref="A97:D97"/>
    <mergeCell ref="A98:B98"/>
    <mergeCell ref="A57:A74"/>
    <mergeCell ref="A75:B75"/>
    <mergeCell ref="A76:G76"/>
    <mergeCell ref="A78:B78"/>
    <mergeCell ref="A79:G79"/>
    <mergeCell ref="A86:B86"/>
    <mergeCell ref="A87:G87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1.71"/>
    <col customWidth="1" min="7" max="7" width="17.14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555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7797329.52</v>
      </c>
      <c r="G8" s="14"/>
    </row>
    <row r="9" ht="19.5" customHeight="1">
      <c r="A9" s="20" t="s">
        <v>7</v>
      </c>
      <c r="B9" s="21">
        <f>SUM(C63)</f>
        <v>3997526.28</v>
      </c>
      <c r="C9" s="22">
        <f t="shared" ref="C9:C10" si="1">+B9</f>
        <v>3997526.28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SUM(D63)</f>
        <v>14.57</v>
      </c>
      <c r="C10" s="28">
        <f t="shared" si="1"/>
        <v>14.57</v>
      </c>
      <c r="D10" s="29"/>
      <c r="G10" s="30"/>
    </row>
    <row r="11" ht="19.5" customHeight="1">
      <c r="A11" s="31" t="s">
        <v>10</v>
      </c>
      <c r="B11" s="32">
        <v>979715.29</v>
      </c>
      <c r="C11" s="33">
        <f>SUM(B11:B12)</f>
        <v>1201151.89</v>
      </c>
      <c r="D11" s="29"/>
      <c r="G11" s="30"/>
    </row>
    <row r="12" ht="19.5" customHeight="1">
      <c r="A12" s="26" t="s">
        <v>11</v>
      </c>
      <c r="B12" s="27">
        <v>221436.6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15</v>
      </c>
      <c r="B15" s="39">
        <f>SUM(C118)</f>
        <v>1113371.95</v>
      </c>
      <c r="C15" s="40">
        <f t="shared" ref="C15:C16" si="2">+B15</f>
        <v>1113371.95</v>
      </c>
      <c r="D15" s="29"/>
      <c r="G15" s="30"/>
    </row>
    <row r="16" ht="19.5" customHeight="1">
      <c r="A16" s="35" t="s">
        <v>556</v>
      </c>
      <c r="B16" s="36">
        <f>SUM(C95)</f>
        <v>14214</v>
      </c>
      <c r="C16" s="37">
        <f t="shared" si="2"/>
        <v>14214</v>
      </c>
      <c r="D16" s="41"/>
      <c r="E16" s="42"/>
      <c r="F16" s="42"/>
      <c r="G16" s="43"/>
    </row>
    <row r="17" ht="4.5" customHeight="1">
      <c r="A17" s="114"/>
      <c r="B17" s="115"/>
      <c r="C17" s="115"/>
      <c r="D17" s="115"/>
      <c r="E17" s="115"/>
      <c r="F17" s="115"/>
      <c r="G17" s="79"/>
    </row>
    <row r="18" ht="24.75" customHeight="1">
      <c r="A18" s="47" t="s">
        <v>16</v>
      </c>
      <c r="B18" s="47" t="s">
        <v>17</v>
      </c>
      <c r="C18" s="47" t="s">
        <v>18</v>
      </c>
      <c r="D18" s="47" t="s">
        <v>19</v>
      </c>
      <c r="E18" s="48" t="s">
        <v>20</v>
      </c>
      <c r="F18" s="48" t="s">
        <v>21</v>
      </c>
      <c r="G18" s="48" t="s">
        <v>22</v>
      </c>
    </row>
    <row r="19" ht="19.5" customHeight="1">
      <c r="A19" s="49" t="s">
        <v>23</v>
      </c>
      <c r="B19" s="99">
        <v>45835.0</v>
      </c>
      <c r="C19" s="100">
        <v>6190.0</v>
      </c>
      <c r="D19" s="100"/>
      <c r="E19" s="101" t="s">
        <v>29</v>
      </c>
      <c r="F19" s="102"/>
      <c r="G19" s="103"/>
    </row>
    <row r="20" ht="19.5" customHeight="1">
      <c r="A20" s="55"/>
      <c r="B20" s="56">
        <v>45835.0</v>
      </c>
      <c r="C20" s="57"/>
      <c r="D20" s="57">
        <v>2.99</v>
      </c>
      <c r="E20" s="58" t="s">
        <v>557</v>
      </c>
      <c r="F20" s="59" t="s">
        <v>32</v>
      </c>
      <c r="G20" s="60"/>
    </row>
    <row r="21" ht="19.5" customHeight="1">
      <c r="A21" s="55"/>
      <c r="B21" s="56">
        <v>45838.0</v>
      </c>
      <c r="C21" s="57">
        <v>63900.0</v>
      </c>
      <c r="D21" s="57"/>
      <c r="E21" s="58" t="s">
        <v>94</v>
      </c>
      <c r="F21" s="59" t="s">
        <v>558</v>
      </c>
      <c r="G21" s="60"/>
    </row>
    <row r="22" ht="19.5" customHeight="1">
      <c r="A22" s="55"/>
      <c r="B22" s="104">
        <v>45839.0</v>
      </c>
      <c r="C22" s="105">
        <v>7600.0</v>
      </c>
      <c r="D22" s="105"/>
      <c r="E22" s="106" t="s">
        <v>29</v>
      </c>
      <c r="F22" s="107"/>
      <c r="G22" s="108"/>
    </row>
    <row r="23" ht="19.5" customHeight="1">
      <c r="A23" s="55"/>
      <c r="B23" s="56">
        <v>45842.0</v>
      </c>
      <c r="C23" s="57">
        <v>278020.95</v>
      </c>
      <c r="D23" s="57"/>
      <c r="E23" s="58" t="s">
        <v>103</v>
      </c>
      <c r="F23" s="61" t="s">
        <v>104</v>
      </c>
      <c r="G23" s="60"/>
    </row>
    <row r="24" ht="19.5" customHeight="1">
      <c r="A24" s="55"/>
      <c r="B24" s="104">
        <v>45842.0</v>
      </c>
      <c r="C24" s="105">
        <v>22857.0</v>
      </c>
      <c r="D24" s="105"/>
      <c r="E24" s="106" t="s">
        <v>80</v>
      </c>
      <c r="F24" s="107"/>
      <c r="G24" s="108"/>
    </row>
    <row r="25" ht="19.5" customHeight="1">
      <c r="A25" s="55"/>
      <c r="B25" s="104">
        <v>45842.0</v>
      </c>
      <c r="C25" s="105">
        <v>9270.0</v>
      </c>
      <c r="D25" s="105"/>
      <c r="E25" s="106" t="s">
        <v>29</v>
      </c>
      <c r="F25" s="107"/>
      <c r="G25" s="108"/>
    </row>
    <row r="26" ht="19.5" customHeight="1">
      <c r="A26" s="55"/>
      <c r="B26" s="56">
        <v>45842.0</v>
      </c>
      <c r="C26" s="57"/>
      <c r="D26" s="57">
        <v>7.6</v>
      </c>
      <c r="E26" s="58" t="s">
        <v>559</v>
      </c>
      <c r="F26" s="59" t="s">
        <v>32</v>
      </c>
      <c r="G26" s="60"/>
    </row>
    <row r="27" ht="19.5" customHeight="1">
      <c r="A27" s="55"/>
      <c r="B27" s="104">
        <v>45843.0</v>
      </c>
      <c r="C27" s="105">
        <v>9980.0</v>
      </c>
      <c r="D27" s="105"/>
      <c r="E27" s="106" t="s">
        <v>29</v>
      </c>
      <c r="F27" s="107"/>
      <c r="G27" s="108"/>
    </row>
    <row r="28" ht="19.5" customHeight="1">
      <c r="A28" s="55"/>
      <c r="B28" s="56">
        <v>45844.0</v>
      </c>
      <c r="C28" s="57">
        <v>29226.0</v>
      </c>
      <c r="D28" s="57"/>
      <c r="E28" s="58" t="s">
        <v>42</v>
      </c>
      <c r="F28" s="61" t="s">
        <v>43</v>
      </c>
      <c r="G28" s="60"/>
    </row>
    <row r="29" ht="19.5" customHeight="1">
      <c r="A29" s="55"/>
      <c r="B29" s="121">
        <v>45845.0</v>
      </c>
      <c r="C29" s="122">
        <v>48179.77</v>
      </c>
      <c r="D29" s="122"/>
      <c r="E29" s="123" t="s">
        <v>402</v>
      </c>
      <c r="F29" s="124"/>
      <c r="G29" s="125"/>
    </row>
    <row r="30" ht="19.5" customHeight="1">
      <c r="A30" s="55"/>
      <c r="B30" s="56">
        <v>45846.0</v>
      </c>
      <c r="C30" s="57">
        <v>22100.0</v>
      </c>
      <c r="D30" s="57"/>
      <c r="E30" s="58" t="s">
        <v>51</v>
      </c>
      <c r="F30" s="61" t="s">
        <v>52</v>
      </c>
      <c r="G30" s="60"/>
    </row>
    <row r="31" ht="19.5" customHeight="1">
      <c r="A31" s="55"/>
      <c r="B31" s="104">
        <v>45847.0</v>
      </c>
      <c r="C31" s="105">
        <v>9120.0</v>
      </c>
      <c r="D31" s="105"/>
      <c r="E31" s="106" t="s">
        <v>29</v>
      </c>
      <c r="F31" s="107"/>
      <c r="G31" s="108"/>
    </row>
    <row r="32" ht="19.5" customHeight="1">
      <c r="A32" s="55"/>
      <c r="B32" s="56">
        <v>45847.0</v>
      </c>
      <c r="C32" s="57"/>
      <c r="D32" s="57">
        <v>1.99</v>
      </c>
      <c r="E32" s="58" t="s">
        <v>560</v>
      </c>
      <c r="F32" s="61" t="s">
        <v>55</v>
      </c>
      <c r="G32" s="60"/>
    </row>
    <row r="33" ht="19.5" customHeight="1">
      <c r="A33" s="55"/>
      <c r="B33" s="104">
        <v>45848.0</v>
      </c>
      <c r="C33" s="105">
        <v>5650.0</v>
      </c>
      <c r="D33" s="105"/>
      <c r="E33" s="106" t="s">
        <v>29</v>
      </c>
      <c r="F33" s="107"/>
      <c r="G33" s="108"/>
    </row>
    <row r="34" ht="19.5" customHeight="1">
      <c r="A34" s="55"/>
      <c r="B34" s="104">
        <v>45849.0</v>
      </c>
      <c r="C34" s="105">
        <v>9930.0</v>
      </c>
      <c r="D34" s="105"/>
      <c r="E34" s="106" t="s">
        <v>33</v>
      </c>
      <c r="F34" s="107"/>
      <c r="G34" s="108"/>
    </row>
    <row r="35" ht="19.5" customHeight="1">
      <c r="A35" s="55"/>
      <c r="B35" s="104">
        <v>45850.0</v>
      </c>
      <c r="C35" s="105">
        <v>9340.0</v>
      </c>
      <c r="D35" s="105"/>
      <c r="E35" s="106" t="s">
        <v>29</v>
      </c>
      <c r="F35" s="107"/>
      <c r="G35" s="108"/>
    </row>
    <row r="36" ht="19.5" customHeight="1">
      <c r="A36" s="55"/>
      <c r="B36" s="56">
        <v>45852.0</v>
      </c>
      <c r="C36" s="57">
        <v>63900.0</v>
      </c>
      <c r="D36" s="57"/>
      <c r="E36" s="58" t="s">
        <v>84</v>
      </c>
      <c r="F36" s="59" t="s">
        <v>561</v>
      </c>
      <c r="G36" s="60"/>
    </row>
    <row r="37" ht="19.5" customHeight="1">
      <c r="A37" s="55"/>
      <c r="B37" s="56">
        <v>45852.0</v>
      </c>
      <c r="C37" s="57">
        <v>65650.0</v>
      </c>
      <c r="D37" s="57"/>
      <c r="E37" s="58" t="s">
        <v>84</v>
      </c>
      <c r="F37" s="59" t="s">
        <v>562</v>
      </c>
      <c r="G37" s="60"/>
    </row>
    <row r="38" ht="19.5" customHeight="1">
      <c r="A38" s="55"/>
      <c r="B38" s="56">
        <v>45853.0</v>
      </c>
      <c r="C38" s="57">
        <v>414714.0</v>
      </c>
      <c r="D38" s="57"/>
      <c r="E38" s="58" t="s">
        <v>64</v>
      </c>
      <c r="F38" s="61" t="s">
        <v>65</v>
      </c>
      <c r="G38" s="60"/>
    </row>
    <row r="39" ht="19.5" customHeight="1">
      <c r="A39" s="55"/>
      <c r="B39" s="56">
        <v>45853.0</v>
      </c>
      <c r="C39" s="57">
        <v>437827.0</v>
      </c>
      <c r="D39" s="57"/>
      <c r="E39" s="58" t="s">
        <v>66</v>
      </c>
      <c r="F39" s="61" t="s">
        <v>67</v>
      </c>
      <c r="G39" s="60"/>
    </row>
    <row r="40" ht="19.5" customHeight="1">
      <c r="A40" s="55"/>
      <c r="B40" s="56">
        <v>45854.0</v>
      </c>
      <c r="C40" s="57">
        <v>17801.98</v>
      </c>
      <c r="D40" s="57"/>
      <c r="E40" s="58" t="s">
        <v>563</v>
      </c>
      <c r="F40" s="61" t="s">
        <v>73</v>
      </c>
      <c r="G40" s="60"/>
    </row>
    <row r="41" ht="19.5" customHeight="1">
      <c r="A41" s="55"/>
      <c r="B41" s="56">
        <v>45854.0</v>
      </c>
      <c r="C41" s="57">
        <v>17503.5</v>
      </c>
      <c r="D41" s="57"/>
      <c r="E41" s="58" t="s">
        <v>564</v>
      </c>
      <c r="F41" s="61" t="s">
        <v>71</v>
      </c>
      <c r="G41" s="60"/>
    </row>
    <row r="42" ht="19.5" customHeight="1">
      <c r="A42" s="55"/>
      <c r="B42" s="56">
        <v>45854.0</v>
      </c>
      <c r="C42" s="57">
        <v>17801.98</v>
      </c>
      <c r="D42" s="57"/>
      <c r="E42" s="58" t="s">
        <v>565</v>
      </c>
      <c r="F42" s="61" t="s">
        <v>79</v>
      </c>
      <c r="G42" s="60"/>
    </row>
    <row r="43" ht="19.5" customHeight="1">
      <c r="A43" s="55"/>
      <c r="B43" s="56">
        <v>45854.0</v>
      </c>
      <c r="C43" s="57">
        <v>102195.21</v>
      </c>
      <c r="D43" s="57"/>
      <c r="E43" s="58" t="s">
        <v>566</v>
      </c>
      <c r="F43" s="61" t="s">
        <v>69</v>
      </c>
      <c r="G43" s="62"/>
    </row>
    <row r="44" ht="19.5" customHeight="1">
      <c r="A44" s="55"/>
      <c r="B44" s="56">
        <v>45854.0</v>
      </c>
      <c r="C44" s="57">
        <v>17853.42</v>
      </c>
      <c r="D44" s="57"/>
      <c r="E44" s="58" t="s">
        <v>567</v>
      </c>
      <c r="F44" s="61" t="s">
        <v>77</v>
      </c>
      <c r="G44" s="62"/>
    </row>
    <row r="45" ht="19.5" customHeight="1">
      <c r="A45" s="55"/>
      <c r="B45" s="104">
        <v>45854.0</v>
      </c>
      <c r="C45" s="105">
        <v>6900.0</v>
      </c>
      <c r="D45" s="105"/>
      <c r="E45" s="106" t="s">
        <v>29</v>
      </c>
      <c r="F45" s="69"/>
      <c r="G45" s="70"/>
    </row>
    <row r="46" ht="19.5" customHeight="1">
      <c r="A46" s="55"/>
      <c r="B46" s="104">
        <v>45854.0</v>
      </c>
      <c r="C46" s="105">
        <v>17617.28</v>
      </c>
      <c r="D46" s="105"/>
      <c r="E46" s="106" t="s">
        <v>568</v>
      </c>
      <c r="F46" s="69"/>
      <c r="G46" s="108"/>
    </row>
    <row r="47" ht="19.5" customHeight="1">
      <c r="A47" s="55"/>
      <c r="B47" s="104">
        <v>45855.0</v>
      </c>
      <c r="C47" s="105">
        <v>5450.0</v>
      </c>
      <c r="D47" s="105"/>
      <c r="E47" s="106" t="s">
        <v>33</v>
      </c>
      <c r="F47" s="69"/>
      <c r="G47" s="70"/>
    </row>
    <row r="48" ht="19.5" customHeight="1">
      <c r="A48" s="55"/>
      <c r="B48" s="104">
        <v>45855.0</v>
      </c>
      <c r="C48" s="105">
        <v>111030.06</v>
      </c>
      <c r="D48" s="105"/>
      <c r="E48" s="106" t="s">
        <v>34</v>
      </c>
      <c r="F48" s="69"/>
      <c r="G48" s="70"/>
    </row>
    <row r="49" ht="19.5" customHeight="1">
      <c r="A49" s="55"/>
      <c r="B49" s="56">
        <v>45856.0</v>
      </c>
      <c r="C49" s="63">
        <v>548459.52</v>
      </c>
      <c r="D49" s="63"/>
      <c r="E49" s="64" t="s">
        <v>103</v>
      </c>
      <c r="F49" s="61" t="s">
        <v>104</v>
      </c>
      <c r="G49" s="62"/>
    </row>
    <row r="50" ht="19.5" customHeight="1">
      <c r="A50" s="55"/>
      <c r="B50" s="56">
        <v>45857.0</v>
      </c>
      <c r="C50" s="63">
        <v>42053.0</v>
      </c>
      <c r="D50" s="63"/>
      <c r="E50" s="64" t="s">
        <v>225</v>
      </c>
      <c r="F50" s="61" t="s">
        <v>226</v>
      </c>
      <c r="G50" s="62"/>
    </row>
    <row r="51" ht="19.5" customHeight="1">
      <c r="A51" s="55"/>
      <c r="B51" s="56">
        <v>45858.0</v>
      </c>
      <c r="C51" s="63"/>
      <c r="D51" s="63">
        <v>1.99</v>
      </c>
      <c r="E51" s="64" t="s">
        <v>569</v>
      </c>
      <c r="F51" s="61" t="s">
        <v>55</v>
      </c>
      <c r="G51" s="62"/>
    </row>
    <row r="52" ht="19.5" customHeight="1">
      <c r="A52" s="55"/>
      <c r="B52" s="104">
        <v>45860.0</v>
      </c>
      <c r="C52" s="67">
        <v>6900.0</v>
      </c>
      <c r="D52" s="67"/>
      <c r="E52" s="68" t="s">
        <v>29</v>
      </c>
      <c r="F52" s="69"/>
      <c r="G52" s="70"/>
    </row>
    <row r="53" ht="19.5" customHeight="1">
      <c r="A53" s="55"/>
      <c r="B53" s="121">
        <v>45860.0</v>
      </c>
      <c r="C53" s="134">
        <v>1362958.0</v>
      </c>
      <c r="D53" s="134"/>
      <c r="E53" s="135" t="s">
        <v>533</v>
      </c>
      <c r="F53" s="127"/>
      <c r="G53" s="128"/>
    </row>
    <row r="54" ht="19.5" customHeight="1">
      <c r="A54" s="55"/>
      <c r="B54" s="66">
        <v>45861.0</v>
      </c>
      <c r="C54" s="67">
        <v>3000.0</v>
      </c>
      <c r="D54" s="67"/>
      <c r="E54" s="68" t="s">
        <v>214</v>
      </c>
      <c r="F54" s="69"/>
      <c r="G54" s="70"/>
    </row>
    <row r="55" ht="19.5" customHeight="1">
      <c r="A55" s="55"/>
      <c r="B55" s="66">
        <v>45862.0</v>
      </c>
      <c r="C55" s="67">
        <v>50229.0</v>
      </c>
      <c r="D55" s="67"/>
      <c r="E55" s="68" t="s">
        <v>81</v>
      </c>
      <c r="F55" s="69"/>
      <c r="G55" s="70"/>
    </row>
    <row r="56" ht="19.5" customHeight="1">
      <c r="A56" s="55"/>
      <c r="B56" s="66">
        <v>45863.0</v>
      </c>
      <c r="C56" s="67">
        <v>9020.0</v>
      </c>
      <c r="D56" s="67"/>
      <c r="E56" s="68" t="s">
        <v>33</v>
      </c>
      <c r="F56" s="69"/>
      <c r="G56" s="70"/>
    </row>
    <row r="57" ht="19.5" customHeight="1">
      <c r="A57" s="55"/>
      <c r="B57" s="66">
        <v>45863.0</v>
      </c>
      <c r="C57" s="67">
        <v>2516.76</v>
      </c>
      <c r="D57" s="67"/>
      <c r="E57" s="68" t="s">
        <v>570</v>
      </c>
      <c r="F57" s="69"/>
      <c r="G57" s="70"/>
    </row>
    <row r="58" ht="19.5" customHeight="1">
      <c r="A58" s="55"/>
      <c r="B58" s="66">
        <v>45864.0</v>
      </c>
      <c r="C58" s="67">
        <v>32209.0</v>
      </c>
      <c r="D58" s="67"/>
      <c r="E58" s="68" t="s">
        <v>80</v>
      </c>
      <c r="F58" s="69"/>
      <c r="G58" s="70"/>
    </row>
    <row r="59" ht="19.5" customHeight="1">
      <c r="A59" s="55"/>
      <c r="B59" s="66">
        <v>45864.0</v>
      </c>
      <c r="C59" s="67">
        <v>88000.95</v>
      </c>
      <c r="D59" s="67"/>
      <c r="E59" s="68" t="s">
        <v>472</v>
      </c>
      <c r="F59" s="69"/>
      <c r="G59" s="70"/>
    </row>
    <row r="60" ht="19.5" customHeight="1">
      <c r="A60" s="55"/>
      <c r="B60" s="66">
        <v>45866.0</v>
      </c>
      <c r="C60" s="67">
        <v>9000.0</v>
      </c>
      <c r="D60" s="67"/>
      <c r="E60" s="68" t="s">
        <v>132</v>
      </c>
      <c r="F60" s="69"/>
      <c r="G60" s="70"/>
    </row>
    <row r="61" ht="19.5" customHeight="1">
      <c r="A61" s="55"/>
      <c r="B61" s="66">
        <v>45868.0</v>
      </c>
      <c r="C61" s="67">
        <v>9280.0</v>
      </c>
      <c r="D61" s="67"/>
      <c r="E61" s="136" t="s">
        <v>29</v>
      </c>
      <c r="F61" s="69"/>
      <c r="G61" s="70"/>
    </row>
    <row r="62" ht="19.5" customHeight="1">
      <c r="A62" s="76"/>
      <c r="B62" s="66">
        <v>45868.0</v>
      </c>
      <c r="C62" s="67">
        <v>6291.9</v>
      </c>
      <c r="D62" s="67"/>
      <c r="E62" s="68" t="s">
        <v>571</v>
      </c>
      <c r="F62" s="69"/>
      <c r="G62" s="70"/>
    </row>
    <row r="63" ht="30.0" customHeight="1">
      <c r="A63" s="78" t="s">
        <v>111</v>
      </c>
      <c r="B63" s="79"/>
      <c r="C63" s="80">
        <f t="shared" ref="C63:D63" si="3">SUM(C19:C62)</f>
        <v>3997526.28</v>
      </c>
      <c r="D63" s="80">
        <f t="shared" si="3"/>
        <v>14.57</v>
      </c>
      <c r="E63" s="81"/>
      <c r="F63" s="82"/>
    </row>
    <row r="64" ht="4.5" customHeight="1">
      <c r="A64" s="116"/>
      <c r="B64" s="115"/>
      <c r="C64" s="115"/>
      <c r="D64" s="115"/>
      <c r="E64" s="115"/>
      <c r="F64" s="115"/>
      <c r="G64" s="79"/>
    </row>
    <row r="65" ht="19.5" customHeight="1">
      <c r="A65" s="49" t="s">
        <v>112</v>
      </c>
      <c r="B65" s="65">
        <v>45805.0</v>
      </c>
      <c r="C65" s="63">
        <v>84322.32</v>
      </c>
      <c r="D65" s="51"/>
      <c r="E65" s="64" t="s">
        <v>491</v>
      </c>
      <c r="F65" s="61" t="s">
        <v>572</v>
      </c>
      <c r="G65" s="62" t="s">
        <v>44</v>
      </c>
    </row>
    <row r="66" ht="19.5" customHeight="1">
      <c r="A66" s="55"/>
      <c r="B66" s="65">
        <v>45824.0</v>
      </c>
      <c r="C66" s="63">
        <v>47666.62</v>
      </c>
      <c r="D66" s="57"/>
      <c r="E66" s="64" t="s">
        <v>540</v>
      </c>
      <c r="F66" s="61" t="s">
        <v>573</v>
      </c>
      <c r="G66" s="62" t="s">
        <v>26</v>
      </c>
    </row>
    <row r="67" ht="19.5" customHeight="1">
      <c r="A67" s="55"/>
      <c r="B67" s="65">
        <v>45833.0</v>
      </c>
      <c r="C67" s="63">
        <v>46566.85</v>
      </c>
      <c r="D67" s="57"/>
      <c r="E67" s="64" t="s">
        <v>543</v>
      </c>
      <c r="F67" s="61" t="s">
        <v>574</v>
      </c>
      <c r="G67" s="62" t="s">
        <v>44</v>
      </c>
    </row>
    <row r="68" ht="19.5" customHeight="1">
      <c r="A68" s="55"/>
      <c r="B68" s="65">
        <v>45836.0</v>
      </c>
      <c r="C68" s="63">
        <v>23333.34</v>
      </c>
      <c r="D68" s="57"/>
      <c r="E68" s="64" t="s">
        <v>575</v>
      </c>
      <c r="F68" s="61" t="s">
        <v>576</v>
      </c>
      <c r="G68" s="62" t="s">
        <v>44</v>
      </c>
    </row>
    <row r="69" ht="19.5" customHeight="1">
      <c r="A69" s="55"/>
      <c r="B69" s="65">
        <v>45836.0</v>
      </c>
      <c r="C69" s="63">
        <v>15000.0</v>
      </c>
      <c r="D69" s="57"/>
      <c r="E69" s="64" t="s">
        <v>203</v>
      </c>
      <c r="F69" s="61" t="s">
        <v>577</v>
      </c>
      <c r="G69" s="62" t="s">
        <v>44</v>
      </c>
    </row>
    <row r="70" ht="19.5" customHeight="1">
      <c r="A70" s="55"/>
      <c r="B70" s="65">
        <v>45836.0</v>
      </c>
      <c r="C70" s="63">
        <v>13899.0</v>
      </c>
      <c r="D70" s="57"/>
      <c r="E70" s="64" t="s">
        <v>119</v>
      </c>
      <c r="F70" s="61" t="s">
        <v>578</v>
      </c>
      <c r="G70" s="62" t="s">
        <v>26</v>
      </c>
    </row>
    <row r="71" ht="19.5" customHeight="1">
      <c r="A71" s="55"/>
      <c r="B71" s="65">
        <v>45836.0</v>
      </c>
      <c r="C71" s="63">
        <v>96093.27</v>
      </c>
      <c r="D71" s="57"/>
      <c r="E71" s="64" t="s">
        <v>119</v>
      </c>
      <c r="F71" s="61" t="s">
        <v>579</v>
      </c>
      <c r="G71" s="62" t="s">
        <v>44</v>
      </c>
    </row>
    <row r="72" ht="19.5" customHeight="1">
      <c r="A72" s="55"/>
      <c r="B72" s="65">
        <v>45838.0</v>
      </c>
      <c r="C72" s="63">
        <v>20000.0</v>
      </c>
      <c r="D72" s="57"/>
      <c r="E72" s="64" t="s">
        <v>418</v>
      </c>
      <c r="F72" s="61" t="s">
        <v>538</v>
      </c>
      <c r="G72" s="62" t="s">
        <v>44</v>
      </c>
    </row>
    <row r="73" ht="19.5" customHeight="1">
      <c r="A73" s="55"/>
      <c r="B73" s="65">
        <v>45839.0</v>
      </c>
      <c r="C73" s="63">
        <v>20000.0</v>
      </c>
      <c r="D73" s="57"/>
      <c r="E73" s="64" t="s">
        <v>418</v>
      </c>
      <c r="F73" s="61" t="s">
        <v>538</v>
      </c>
      <c r="G73" s="62" t="s">
        <v>44</v>
      </c>
    </row>
    <row r="74" ht="19.5" customHeight="1">
      <c r="A74" s="55"/>
      <c r="B74" s="65">
        <v>45841.0</v>
      </c>
      <c r="C74" s="63">
        <v>75758.0</v>
      </c>
      <c r="D74" s="57"/>
      <c r="E74" s="64" t="s">
        <v>580</v>
      </c>
      <c r="F74" s="61" t="s">
        <v>581</v>
      </c>
      <c r="G74" s="62" t="s">
        <v>26</v>
      </c>
    </row>
    <row r="75" ht="19.5" customHeight="1">
      <c r="A75" s="55"/>
      <c r="B75" s="65">
        <v>45841.0</v>
      </c>
      <c r="C75" s="63">
        <v>30000.0</v>
      </c>
      <c r="D75" s="57"/>
      <c r="E75" s="64" t="s">
        <v>242</v>
      </c>
      <c r="F75" s="61" t="s">
        <v>538</v>
      </c>
      <c r="G75" s="62" t="s">
        <v>44</v>
      </c>
    </row>
    <row r="76" ht="19.5" customHeight="1">
      <c r="A76" s="55"/>
      <c r="B76" s="65">
        <v>45842.0</v>
      </c>
      <c r="C76" s="63">
        <v>30000.0</v>
      </c>
      <c r="D76" s="57"/>
      <c r="E76" s="64" t="s">
        <v>418</v>
      </c>
      <c r="F76" s="61" t="s">
        <v>538</v>
      </c>
      <c r="G76" s="62" t="s">
        <v>44</v>
      </c>
    </row>
    <row r="77" ht="19.5" customHeight="1">
      <c r="A77" s="55"/>
      <c r="B77" s="65">
        <v>45842.0</v>
      </c>
      <c r="C77" s="63">
        <v>52000.0</v>
      </c>
      <c r="D77" s="57"/>
      <c r="E77" s="64" t="s">
        <v>238</v>
      </c>
      <c r="F77" s="61" t="s">
        <v>582</v>
      </c>
      <c r="G77" s="62" t="s">
        <v>44</v>
      </c>
    </row>
    <row r="78" ht="19.5" customHeight="1">
      <c r="A78" s="55"/>
      <c r="B78" s="65">
        <v>45842.0</v>
      </c>
      <c r="C78" s="63">
        <v>64500.0</v>
      </c>
      <c r="D78" s="57"/>
      <c r="E78" s="64" t="s">
        <v>420</v>
      </c>
      <c r="F78" s="61" t="s">
        <v>583</v>
      </c>
      <c r="G78" s="62" t="s">
        <v>44</v>
      </c>
    </row>
    <row r="79" ht="19.5" customHeight="1">
      <c r="A79" s="55"/>
      <c r="B79" s="65">
        <v>45843.0</v>
      </c>
      <c r="C79" s="63">
        <v>50000.0</v>
      </c>
      <c r="D79" s="57"/>
      <c r="E79" s="64" t="s">
        <v>416</v>
      </c>
      <c r="F79" s="61" t="s">
        <v>584</v>
      </c>
      <c r="G79" s="62" t="s">
        <v>44</v>
      </c>
    </row>
    <row r="80" ht="19.5" customHeight="1">
      <c r="A80" s="55"/>
      <c r="B80" s="65">
        <v>45843.0</v>
      </c>
      <c r="C80" s="63">
        <v>114289.72</v>
      </c>
      <c r="D80" s="57"/>
      <c r="E80" s="64" t="s">
        <v>119</v>
      </c>
      <c r="F80" s="61" t="s">
        <v>585</v>
      </c>
      <c r="G80" s="62" t="s">
        <v>586</v>
      </c>
    </row>
    <row r="81" ht="19.5" customHeight="1">
      <c r="A81" s="55"/>
      <c r="B81" s="65">
        <v>45849.0</v>
      </c>
      <c r="C81" s="63">
        <v>35500.0</v>
      </c>
      <c r="D81" s="57"/>
      <c r="E81" s="64" t="s">
        <v>418</v>
      </c>
      <c r="F81" s="61" t="s">
        <v>538</v>
      </c>
      <c r="G81" s="62" t="s">
        <v>44</v>
      </c>
    </row>
    <row r="82" ht="19.5" customHeight="1">
      <c r="A82" s="55"/>
      <c r="B82" s="65">
        <v>45851.0</v>
      </c>
      <c r="C82" s="63">
        <v>25802.45</v>
      </c>
      <c r="D82" s="57"/>
      <c r="E82" s="64" t="s">
        <v>119</v>
      </c>
      <c r="F82" s="61" t="s">
        <v>578</v>
      </c>
      <c r="G82" s="62" t="s">
        <v>26</v>
      </c>
    </row>
    <row r="83" ht="19.5" customHeight="1">
      <c r="A83" s="55"/>
      <c r="B83" s="65">
        <v>45851.0</v>
      </c>
      <c r="C83" s="63">
        <v>158332.63</v>
      </c>
      <c r="D83" s="57"/>
      <c r="E83" s="64" t="s">
        <v>119</v>
      </c>
      <c r="F83" s="61" t="s">
        <v>579</v>
      </c>
      <c r="G83" s="62" t="s">
        <v>587</v>
      </c>
    </row>
    <row r="84" ht="19.5" customHeight="1">
      <c r="A84" s="55"/>
      <c r="B84" s="65">
        <v>45852.0</v>
      </c>
      <c r="C84" s="63">
        <v>24760.0</v>
      </c>
      <c r="D84" s="57"/>
      <c r="E84" s="64" t="s">
        <v>422</v>
      </c>
      <c r="F84" s="61" t="s">
        <v>588</v>
      </c>
      <c r="G84" s="62" t="s">
        <v>44</v>
      </c>
    </row>
    <row r="85" ht="19.5" customHeight="1">
      <c r="A85" s="55"/>
      <c r="B85" s="65">
        <v>45855.0</v>
      </c>
      <c r="C85" s="63">
        <v>20000.0</v>
      </c>
      <c r="D85" s="57"/>
      <c r="E85" s="64" t="s">
        <v>418</v>
      </c>
      <c r="F85" s="61" t="s">
        <v>538</v>
      </c>
      <c r="G85" s="62" t="s">
        <v>44</v>
      </c>
    </row>
    <row r="86" ht="19.5" customHeight="1">
      <c r="A86" s="55"/>
      <c r="B86" s="65">
        <v>45858.0</v>
      </c>
      <c r="C86" s="63">
        <v>20000.0</v>
      </c>
      <c r="D86" s="57"/>
      <c r="E86" s="64" t="s">
        <v>418</v>
      </c>
      <c r="F86" s="61" t="s">
        <v>538</v>
      </c>
      <c r="G86" s="62" t="s">
        <v>44</v>
      </c>
    </row>
    <row r="87" ht="19.5" customHeight="1">
      <c r="A87" s="55"/>
      <c r="B87" s="65">
        <v>45859.0</v>
      </c>
      <c r="C87" s="63">
        <v>40000.0</v>
      </c>
      <c r="D87" s="57"/>
      <c r="E87" s="64" t="s">
        <v>418</v>
      </c>
      <c r="F87" s="61" t="s">
        <v>538</v>
      </c>
      <c r="G87" s="62" t="s">
        <v>44</v>
      </c>
    </row>
    <row r="88" ht="19.5" customHeight="1">
      <c r="A88" s="55"/>
      <c r="B88" s="65">
        <v>45864.0</v>
      </c>
      <c r="C88" s="63">
        <v>43815.88</v>
      </c>
      <c r="D88" s="63"/>
      <c r="E88" s="64" t="s">
        <v>119</v>
      </c>
      <c r="F88" s="61" t="s">
        <v>578</v>
      </c>
      <c r="G88" s="62" t="s">
        <v>26</v>
      </c>
    </row>
    <row r="89" ht="19.5" customHeight="1">
      <c r="A89" s="55"/>
      <c r="B89" s="65">
        <v>45864.0</v>
      </c>
      <c r="C89" s="63">
        <v>13654.45</v>
      </c>
      <c r="D89" s="63"/>
      <c r="E89" s="64" t="s">
        <v>119</v>
      </c>
      <c r="F89" s="61" t="s">
        <v>579</v>
      </c>
      <c r="G89" s="62" t="s">
        <v>44</v>
      </c>
    </row>
    <row r="90" ht="19.5" customHeight="1">
      <c r="A90" s="55"/>
      <c r="B90" s="65">
        <v>45868.0</v>
      </c>
      <c r="C90" s="63">
        <v>21644.78</v>
      </c>
      <c r="D90" s="63"/>
      <c r="E90" s="64" t="s">
        <v>113</v>
      </c>
      <c r="F90" s="61" t="s">
        <v>490</v>
      </c>
      <c r="G90" s="62" t="s">
        <v>44</v>
      </c>
    </row>
    <row r="91" ht="19.5" customHeight="1">
      <c r="A91" s="55"/>
      <c r="B91" s="65">
        <v>45869.0</v>
      </c>
      <c r="C91" s="63">
        <v>14214.0</v>
      </c>
      <c r="D91" s="63"/>
      <c r="E91" s="64" t="s">
        <v>160</v>
      </c>
      <c r="F91" s="61" t="s">
        <v>589</v>
      </c>
      <c r="G91" s="62" t="s">
        <v>26</v>
      </c>
    </row>
    <row r="92" ht="30.0" customHeight="1">
      <c r="A92" s="78" t="s">
        <v>111</v>
      </c>
      <c r="B92" s="79"/>
      <c r="C92" s="80">
        <f t="shared" ref="C92:D92" si="4">SUM(C65:C91)</f>
        <v>1201153.31</v>
      </c>
      <c r="D92" s="80">
        <f t="shared" si="4"/>
        <v>0</v>
      </c>
      <c r="E92" s="81"/>
      <c r="F92" s="82"/>
    </row>
    <row r="93" ht="4.5" customHeight="1">
      <c r="A93" s="116"/>
      <c r="B93" s="115"/>
      <c r="C93" s="115"/>
      <c r="D93" s="115"/>
      <c r="E93" s="115"/>
      <c r="F93" s="115"/>
      <c r="G93" s="79"/>
    </row>
    <row r="94" ht="19.5" customHeight="1">
      <c r="A94" s="49" t="s">
        <v>556</v>
      </c>
      <c r="B94" s="50">
        <v>46234.0</v>
      </c>
      <c r="C94" s="51">
        <v>14214.0</v>
      </c>
      <c r="D94" s="51"/>
      <c r="E94" s="52" t="s">
        <v>160</v>
      </c>
      <c r="F94" s="53"/>
      <c r="G94" s="54"/>
    </row>
    <row r="95" ht="30.0" customHeight="1">
      <c r="A95" s="78" t="s">
        <v>111</v>
      </c>
      <c r="B95" s="79"/>
      <c r="C95" s="80">
        <f t="shared" ref="C95:D95" si="5">SUM(C94)</f>
        <v>14214</v>
      </c>
      <c r="D95" s="80">
        <f t="shared" si="5"/>
        <v>0</v>
      </c>
      <c r="E95" s="92"/>
      <c r="F95" s="82"/>
      <c r="G95" s="93"/>
    </row>
    <row r="96" ht="4.5" customHeight="1">
      <c r="A96" s="116"/>
      <c r="B96" s="115"/>
      <c r="C96" s="115"/>
      <c r="D96" s="115"/>
      <c r="E96" s="115"/>
      <c r="F96" s="115"/>
      <c r="G96" s="79"/>
    </row>
    <row r="97" ht="19.5" customHeight="1">
      <c r="A97" s="49" t="s">
        <v>15</v>
      </c>
      <c r="B97" s="94">
        <v>45815.0</v>
      </c>
      <c r="C97" s="51">
        <v>7490.0</v>
      </c>
      <c r="D97" s="51"/>
      <c r="E97" s="52" t="s">
        <v>162</v>
      </c>
      <c r="F97" s="64" t="s">
        <v>495</v>
      </c>
      <c r="G97" s="54" t="s">
        <v>26</v>
      </c>
    </row>
    <row r="98" ht="19.5" customHeight="1">
      <c r="A98" s="55"/>
      <c r="B98" s="95">
        <v>45836.0</v>
      </c>
      <c r="C98" s="57">
        <v>16050.0</v>
      </c>
      <c r="D98" s="57"/>
      <c r="E98" s="58" t="s">
        <v>162</v>
      </c>
      <c r="F98" s="64" t="s">
        <v>590</v>
      </c>
      <c r="G98" s="60" t="s">
        <v>26</v>
      </c>
    </row>
    <row r="99" ht="19.5" customHeight="1">
      <c r="A99" s="55"/>
      <c r="B99" s="95">
        <v>45840.0</v>
      </c>
      <c r="C99" s="57">
        <v>27285.0</v>
      </c>
      <c r="D99" s="57"/>
      <c r="E99" s="58" t="s">
        <v>162</v>
      </c>
      <c r="F99" s="64" t="s">
        <v>591</v>
      </c>
      <c r="G99" s="60" t="s">
        <v>26</v>
      </c>
    </row>
    <row r="100" ht="19.5" customHeight="1">
      <c r="A100" s="55"/>
      <c r="B100" s="95">
        <v>45840.0</v>
      </c>
      <c r="C100" s="57">
        <v>20116.0</v>
      </c>
      <c r="D100" s="57"/>
      <c r="E100" s="58" t="s">
        <v>162</v>
      </c>
      <c r="F100" s="64" t="s">
        <v>592</v>
      </c>
      <c r="G100" s="60" t="s">
        <v>26</v>
      </c>
    </row>
    <row r="101" ht="19.5" customHeight="1">
      <c r="A101" s="55"/>
      <c r="B101" s="95">
        <v>45843.0</v>
      </c>
      <c r="C101" s="57">
        <v>40232.0</v>
      </c>
      <c r="D101" s="57"/>
      <c r="E101" s="58" t="s">
        <v>162</v>
      </c>
      <c r="F101" s="64" t="s">
        <v>593</v>
      </c>
      <c r="G101" s="60" t="s">
        <v>26</v>
      </c>
    </row>
    <row r="102" ht="19.5" customHeight="1">
      <c r="A102" s="55"/>
      <c r="B102" s="95">
        <v>45848.0</v>
      </c>
      <c r="C102" s="57">
        <v>23005.0</v>
      </c>
      <c r="D102" s="57"/>
      <c r="E102" s="58" t="s">
        <v>24</v>
      </c>
      <c r="F102" s="64" t="s">
        <v>547</v>
      </c>
      <c r="G102" s="60" t="s">
        <v>26</v>
      </c>
    </row>
    <row r="103" ht="19.5" customHeight="1">
      <c r="A103" s="55"/>
      <c r="B103" s="95">
        <v>45849.0</v>
      </c>
      <c r="C103" s="57">
        <v>63130.0</v>
      </c>
      <c r="D103" s="57"/>
      <c r="E103" s="58" t="s">
        <v>162</v>
      </c>
      <c r="F103" s="64" t="s">
        <v>594</v>
      </c>
      <c r="G103" s="60" t="s">
        <v>26</v>
      </c>
    </row>
    <row r="104" ht="19.5" customHeight="1">
      <c r="A104" s="55"/>
      <c r="B104" s="95">
        <v>45853.0</v>
      </c>
      <c r="C104" s="57">
        <v>78452.4</v>
      </c>
      <c r="D104" s="57"/>
      <c r="E104" s="58" t="s">
        <v>162</v>
      </c>
      <c r="F104" s="64" t="s">
        <v>595</v>
      </c>
      <c r="G104" s="60" t="s">
        <v>26</v>
      </c>
    </row>
    <row r="105" ht="19.5" customHeight="1">
      <c r="A105" s="55"/>
      <c r="B105" s="95">
        <v>45853.0</v>
      </c>
      <c r="C105" s="57">
        <v>15982.59</v>
      </c>
      <c r="D105" s="57"/>
      <c r="E105" s="58" t="s">
        <v>162</v>
      </c>
      <c r="F105" s="64" t="s">
        <v>596</v>
      </c>
      <c r="G105" s="60" t="s">
        <v>26</v>
      </c>
    </row>
    <row r="106" ht="19.5" customHeight="1">
      <c r="A106" s="55"/>
      <c r="B106" s="95">
        <v>45855.0</v>
      </c>
      <c r="C106" s="57">
        <v>60883.0</v>
      </c>
      <c r="D106" s="57"/>
      <c r="E106" s="58" t="s">
        <v>162</v>
      </c>
      <c r="F106" s="64" t="s">
        <v>597</v>
      </c>
      <c r="G106" s="60" t="s">
        <v>26</v>
      </c>
    </row>
    <row r="107" ht="19.5" customHeight="1">
      <c r="A107" s="55"/>
      <c r="B107" s="95">
        <v>45860.0</v>
      </c>
      <c r="C107" s="57">
        <v>267524.36</v>
      </c>
      <c r="D107" s="57"/>
      <c r="E107" s="58" t="s">
        <v>179</v>
      </c>
      <c r="F107" s="64" t="s">
        <v>598</v>
      </c>
      <c r="G107" s="60" t="s">
        <v>26</v>
      </c>
    </row>
    <row r="108" ht="19.5" customHeight="1">
      <c r="A108" s="55"/>
      <c r="B108" s="95">
        <v>45861.0</v>
      </c>
      <c r="C108" s="57">
        <v>89880.0</v>
      </c>
      <c r="D108" s="57"/>
      <c r="E108" s="58" t="s">
        <v>162</v>
      </c>
      <c r="F108" s="64" t="s">
        <v>599</v>
      </c>
      <c r="G108" s="60" t="s">
        <v>26</v>
      </c>
    </row>
    <row r="109" ht="19.5" customHeight="1">
      <c r="A109" s="55"/>
      <c r="B109" s="95">
        <v>45862.0</v>
      </c>
      <c r="C109" s="57">
        <v>48070.0</v>
      </c>
      <c r="D109" s="57"/>
      <c r="E109" s="58" t="s">
        <v>174</v>
      </c>
      <c r="F109" s="64" t="s">
        <v>600</v>
      </c>
      <c r="G109" s="60" t="s">
        <v>26</v>
      </c>
    </row>
    <row r="110" ht="19.5" customHeight="1">
      <c r="A110" s="55"/>
      <c r="B110" s="95">
        <v>45863.0</v>
      </c>
      <c r="C110" s="57">
        <v>36490.0</v>
      </c>
      <c r="D110" s="57"/>
      <c r="E110" s="58" t="s">
        <v>601</v>
      </c>
      <c r="F110" s="64" t="s">
        <v>602</v>
      </c>
      <c r="G110" s="60" t="s">
        <v>26</v>
      </c>
    </row>
    <row r="111" ht="19.5" customHeight="1">
      <c r="A111" s="55"/>
      <c r="B111" s="95">
        <v>45865.0</v>
      </c>
      <c r="C111" s="57">
        <v>40660.0</v>
      </c>
      <c r="D111" s="57"/>
      <c r="E111" s="58" t="s">
        <v>162</v>
      </c>
      <c r="F111" s="97" t="s">
        <v>603</v>
      </c>
      <c r="G111" s="60" t="s">
        <v>26</v>
      </c>
    </row>
    <row r="112" ht="19.5" customHeight="1">
      <c r="A112" s="55"/>
      <c r="B112" s="95">
        <v>45867.0</v>
      </c>
      <c r="C112" s="57">
        <v>171927.6</v>
      </c>
      <c r="D112" s="57"/>
      <c r="E112" s="58" t="s">
        <v>162</v>
      </c>
      <c r="F112" s="64" t="s">
        <v>604</v>
      </c>
      <c r="G112" s="60" t="s">
        <v>26</v>
      </c>
    </row>
    <row r="113" ht="19.5" customHeight="1">
      <c r="A113" s="55"/>
      <c r="B113" s="95">
        <v>45867.0</v>
      </c>
      <c r="C113" s="57">
        <v>16050.0</v>
      </c>
      <c r="D113" s="57"/>
      <c r="E113" s="58" t="s">
        <v>162</v>
      </c>
      <c r="F113" s="64" t="s">
        <v>605</v>
      </c>
      <c r="G113" s="60" t="s">
        <v>26</v>
      </c>
    </row>
    <row r="114" ht="19.5" customHeight="1">
      <c r="A114" s="55"/>
      <c r="B114" s="95">
        <v>45867.0</v>
      </c>
      <c r="C114" s="57">
        <v>16050.0</v>
      </c>
      <c r="D114" s="57"/>
      <c r="E114" s="58" t="s">
        <v>162</v>
      </c>
      <c r="F114" s="64" t="s">
        <v>606</v>
      </c>
      <c r="G114" s="130" t="s">
        <v>26</v>
      </c>
    </row>
    <row r="115" ht="19.5" customHeight="1">
      <c r="A115" s="55"/>
      <c r="B115" s="95">
        <v>45867.0</v>
      </c>
      <c r="C115" s="57">
        <v>23540.0</v>
      </c>
      <c r="D115" s="57"/>
      <c r="E115" s="58" t="s">
        <v>162</v>
      </c>
      <c r="F115" s="97" t="s">
        <v>495</v>
      </c>
      <c r="G115" s="60" t="s">
        <v>26</v>
      </c>
    </row>
    <row r="116" ht="19.5" customHeight="1">
      <c r="A116" s="55"/>
      <c r="B116" s="95">
        <v>45868.0</v>
      </c>
      <c r="C116" s="57">
        <v>36340.0</v>
      </c>
      <c r="D116" s="63"/>
      <c r="E116" s="58" t="s">
        <v>607</v>
      </c>
      <c r="F116" s="64" t="s">
        <v>608</v>
      </c>
      <c r="G116" s="60" t="s">
        <v>26</v>
      </c>
    </row>
    <row r="117" ht="19.5" customHeight="1">
      <c r="A117" s="55"/>
      <c r="B117" s="95">
        <v>45869.0</v>
      </c>
      <c r="C117" s="57">
        <v>14214.0</v>
      </c>
      <c r="D117" s="63"/>
      <c r="E117" s="58" t="s">
        <v>160</v>
      </c>
      <c r="F117" s="64" t="s">
        <v>609</v>
      </c>
      <c r="G117" s="60" t="s">
        <v>26</v>
      </c>
    </row>
    <row r="118" ht="30.0" customHeight="1">
      <c r="A118" s="78" t="s">
        <v>111</v>
      </c>
      <c r="B118" s="79"/>
      <c r="C118" s="80">
        <f t="shared" ref="C118:D118" si="6">SUM(C97:C117)</f>
        <v>1113371.95</v>
      </c>
      <c r="D118" s="80">
        <f t="shared" si="6"/>
        <v>0</v>
      </c>
      <c r="E118" s="81"/>
      <c r="F118" s="98"/>
      <c r="G118" s="137"/>
    </row>
    <row r="119" ht="4.5" customHeight="1">
      <c r="A119" s="116"/>
      <c r="B119" s="115"/>
      <c r="C119" s="115"/>
      <c r="D119" s="115"/>
      <c r="E119" s="115"/>
      <c r="F119" s="115"/>
      <c r="G119" s="79"/>
    </row>
    <row r="120" ht="19.5" customHeight="1">
      <c r="A120" s="49" t="s">
        <v>125</v>
      </c>
      <c r="B120" s="50">
        <v>45844.0</v>
      </c>
      <c r="C120" s="51">
        <v>36005.0</v>
      </c>
      <c r="D120" s="51"/>
      <c r="E120" s="64" t="s">
        <v>436</v>
      </c>
      <c r="F120" s="61" t="s">
        <v>250</v>
      </c>
      <c r="G120" s="62"/>
    </row>
    <row r="121" ht="19.5" customHeight="1">
      <c r="A121" s="55"/>
      <c r="B121" s="56">
        <v>45845.0</v>
      </c>
      <c r="C121" s="57">
        <v>93017.0</v>
      </c>
      <c r="D121" s="57"/>
      <c r="E121" s="58" t="s">
        <v>436</v>
      </c>
      <c r="F121" s="61" t="s">
        <v>437</v>
      </c>
      <c r="G121" s="62"/>
    </row>
    <row r="122" ht="19.5" customHeight="1">
      <c r="A122" s="55"/>
      <c r="B122" s="56">
        <v>45846.0</v>
      </c>
      <c r="C122" s="57">
        <v>8322.66</v>
      </c>
      <c r="D122" s="57"/>
      <c r="E122" s="58" t="s">
        <v>318</v>
      </c>
      <c r="F122" s="61"/>
      <c r="G122" s="62"/>
    </row>
    <row r="123" ht="19.5" customHeight="1">
      <c r="A123" s="55"/>
      <c r="B123" s="56">
        <v>45853.0</v>
      </c>
      <c r="C123" s="57">
        <v>8000.0</v>
      </c>
      <c r="D123" s="57"/>
      <c r="E123" s="58" t="s">
        <v>505</v>
      </c>
      <c r="F123" s="61" t="s">
        <v>610</v>
      </c>
      <c r="G123" s="62"/>
    </row>
    <row r="124" ht="19.5" customHeight="1">
      <c r="A124" s="55"/>
      <c r="B124" s="56">
        <v>45854.0</v>
      </c>
      <c r="C124" s="57">
        <v>5500.0</v>
      </c>
      <c r="D124" s="57"/>
      <c r="E124" s="58" t="s">
        <v>505</v>
      </c>
      <c r="F124" s="61" t="s">
        <v>611</v>
      </c>
      <c r="G124" s="62"/>
    </row>
    <row r="125" ht="19.5" customHeight="1">
      <c r="A125" s="55"/>
      <c r="B125" s="56">
        <v>45855.0</v>
      </c>
      <c r="C125" s="57">
        <v>165833.34</v>
      </c>
      <c r="D125" s="57"/>
      <c r="E125" s="58" t="s">
        <v>612</v>
      </c>
      <c r="F125" s="61" t="s">
        <v>613</v>
      </c>
      <c r="G125" s="62"/>
    </row>
    <row r="126" ht="19.5" customHeight="1">
      <c r="A126" s="55"/>
      <c r="B126" s="56">
        <v>45856.0</v>
      </c>
      <c r="C126" s="57">
        <v>88000.0</v>
      </c>
      <c r="D126" s="57"/>
      <c r="E126" s="58" t="s">
        <v>456</v>
      </c>
      <c r="F126" s="61" t="s">
        <v>437</v>
      </c>
      <c r="G126" s="62"/>
    </row>
    <row r="127" ht="19.5" customHeight="1">
      <c r="A127" s="55"/>
      <c r="B127" s="56">
        <v>45856.0</v>
      </c>
      <c r="C127" s="57">
        <v>6200.0</v>
      </c>
      <c r="D127" s="57"/>
      <c r="E127" s="58" t="s">
        <v>302</v>
      </c>
      <c r="F127" s="61" t="s">
        <v>614</v>
      </c>
      <c r="G127" s="62"/>
    </row>
    <row r="128" ht="19.5" customHeight="1">
      <c r="A128" s="55"/>
      <c r="B128" s="56">
        <v>45856.0</v>
      </c>
      <c r="C128" s="57">
        <v>40002.0</v>
      </c>
      <c r="D128" s="57"/>
      <c r="E128" s="58" t="s">
        <v>302</v>
      </c>
      <c r="F128" s="59" t="s">
        <v>615</v>
      </c>
      <c r="G128" s="60"/>
    </row>
    <row r="129" ht="19.5" customHeight="1">
      <c r="A129" s="55"/>
      <c r="B129" s="56">
        <v>45857.0</v>
      </c>
      <c r="C129" s="57">
        <v>5602.84</v>
      </c>
      <c r="D129" s="57"/>
      <c r="E129" s="58" t="s">
        <v>616</v>
      </c>
      <c r="F129" s="59" t="s">
        <v>376</v>
      </c>
      <c r="G129" s="60"/>
    </row>
    <row r="130" ht="19.5" customHeight="1">
      <c r="A130" s="55"/>
      <c r="B130" s="56">
        <v>45857.0</v>
      </c>
      <c r="C130" s="57">
        <v>8000.0</v>
      </c>
      <c r="D130" s="57"/>
      <c r="E130" s="58" t="s">
        <v>617</v>
      </c>
      <c r="F130" s="59" t="s">
        <v>520</v>
      </c>
      <c r="G130" s="60"/>
    </row>
    <row r="131" ht="19.5" customHeight="1">
      <c r="A131" s="55"/>
      <c r="B131" s="56">
        <v>45857.0</v>
      </c>
      <c r="C131" s="57">
        <v>7000.0</v>
      </c>
      <c r="D131" s="57"/>
      <c r="E131" s="58" t="s">
        <v>618</v>
      </c>
      <c r="F131" s="59" t="s">
        <v>619</v>
      </c>
      <c r="G131" s="60"/>
    </row>
    <row r="132" ht="19.5" customHeight="1">
      <c r="A132" s="55"/>
      <c r="B132" s="56">
        <v>45858.0</v>
      </c>
      <c r="C132" s="57">
        <v>4100.0</v>
      </c>
      <c r="D132" s="57"/>
      <c r="E132" s="58" t="s">
        <v>618</v>
      </c>
      <c r="F132" s="59" t="s">
        <v>620</v>
      </c>
      <c r="G132" s="60"/>
    </row>
    <row r="133" ht="19.5" customHeight="1">
      <c r="A133" s="55"/>
      <c r="B133" s="56">
        <v>45858.0</v>
      </c>
      <c r="C133" s="57">
        <v>157840.47</v>
      </c>
      <c r="D133" s="57"/>
      <c r="E133" s="58" t="s">
        <v>616</v>
      </c>
      <c r="F133" s="59" t="s">
        <v>621</v>
      </c>
      <c r="G133" s="60"/>
    </row>
    <row r="134" ht="19.5" customHeight="1">
      <c r="A134" s="55"/>
      <c r="B134" s="56">
        <v>45858.0</v>
      </c>
      <c r="C134" s="57">
        <v>9400.0</v>
      </c>
      <c r="D134" s="57"/>
      <c r="E134" s="58" t="s">
        <v>617</v>
      </c>
      <c r="F134" s="59" t="s">
        <v>622</v>
      </c>
      <c r="G134" s="60"/>
    </row>
    <row r="135" ht="19.5" customHeight="1">
      <c r="A135" s="55"/>
      <c r="B135" s="56">
        <v>45859.0</v>
      </c>
      <c r="C135" s="57">
        <v>6500.0</v>
      </c>
      <c r="D135" s="57"/>
      <c r="E135" s="58" t="s">
        <v>623</v>
      </c>
      <c r="F135" s="59" t="s">
        <v>624</v>
      </c>
      <c r="G135" s="60"/>
    </row>
    <row r="136" ht="19.5" customHeight="1">
      <c r="A136" s="55"/>
      <c r="B136" s="56">
        <v>45859.0</v>
      </c>
      <c r="C136" s="57">
        <v>11400.0</v>
      </c>
      <c r="D136" s="57"/>
      <c r="E136" s="58" t="s">
        <v>618</v>
      </c>
      <c r="F136" s="59" t="s">
        <v>520</v>
      </c>
      <c r="G136" s="60"/>
    </row>
    <row r="137" ht="19.5" customHeight="1">
      <c r="A137" s="55"/>
      <c r="B137" s="56">
        <v>45859.0</v>
      </c>
      <c r="C137" s="57">
        <v>15700.0</v>
      </c>
      <c r="D137" s="57"/>
      <c r="E137" s="58" t="s">
        <v>625</v>
      </c>
      <c r="F137" s="58" t="s">
        <v>626</v>
      </c>
      <c r="G137" s="60"/>
    </row>
    <row r="138" ht="19.5" customHeight="1">
      <c r="A138" s="55"/>
      <c r="B138" s="65">
        <v>45860.0</v>
      </c>
      <c r="C138" s="63">
        <v>21700.0</v>
      </c>
      <c r="D138" s="63"/>
      <c r="E138" s="64" t="s">
        <v>617</v>
      </c>
      <c r="F138" s="61" t="s">
        <v>627</v>
      </c>
      <c r="G138" s="62"/>
    </row>
    <row r="139" ht="19.5" customHeight="1">
      <c r="A139" s="55"/>
      <c r="B139" s="65">
        <v>45861.0</v>
      </c>
      <c r="C139" s="63">
        <v>112170.06</v>
      </c>
      <c r="D139" s="63"/>
      <c r="E139" s="64" t="s">
        <v>628</v>
      </c>
      <c r="F139" s="61" t="s">
        <v>629</v>
      </c>
      <c r="G139" s="62"/>
    </row>
    <row r="140" ht="19.5" customHeight="1">
      <c r="A140" s="55"/>
      <c r="B140" s="65">
        <v>45861.0</v>
      </c>
      <c r="C140" s="63">
        <v>4300.0</v>
      </c>
      <c r="D140" s="63"/>
      <c r="E140" s="64" t="s">
        <v>630</v>
      </c>
      <c r="F140" s="61" t="s">
        <v>376</v>
      </c>
      <c r="G140" s="62"/>
    </row>
    <row r="141" ht="19.5" customHeight="1">
      <c r="A141" s="55"/>
      <c r="B141" s="65">
        <v>45865.0</v>
      </c>
      <c r="C141" s="63">
        <v>10000.0</v>
      </c>
      <c r="D141" s="63"/>
      <c r="E141" s="64" t="s">
        <v>618</v>
      </c>
      <c r="F141" s="61" t="s">
        <v>631</v>
      </c>
      <c r="G141" s="62"/>
    </row>
    <row r="142" ht="19.5" customHeight="1">
      <c r="A142" s="55"/>
      <c r="B142" s="65">
        <v>45866.0</v>
      </c>
      <c r="C142" s="63">
        <v>132302.0</v>
      </c>
      <c r="D142" s="63"/>
      <c r="E142" s="64" t="s">
        <v>632</v>
      </c>
      <c r="F142" s="61" t="s">
        <v>633</v>
      </c>
      <c r="G142" s="62"/>
    </row>
    <row r="143" ht="19.5" customHeight="1">
      <c r="A143" s="55"/>
      <c r="B143" s="65">
        <v>45866.0</v>
      </c>
      <c r="C143" s="63">
        <v>91607.0</v>
      </c>
      <c r="D143" s="63"/>
      <c r="E143" s="64" t="s">
        <v>632</v>
      </c>
      <c r="F143" s="61" t="s">
        <v>250</v>
      </c>
      <c r="G143" s="62"/>
    </row>
    <row r="144" ht="19.5" customHeight="1">
      <c r="A144" s="55"/>
      <c r="B144" s="65">
        <v>45866.0</v>
      </c>
      <c r="C144" s="63">
        <v>119907.0</v>
      </c>
      <c r="D144" s="63"/>
      <c r="E144" s="64" t="s">
        <v>632</v>
      </c>
      <c r="F144" s="61" t="s">
        <v>634</v>
      </c>
      <c r="G144" s="62"/>
    </row>
    <row r="145" ht="19.5" customHeight="1">
      <c r="A145" s="55"/>
      <c r="B145" s="65">
        <v>45866.0</v>
      </c>
      <c r="C145" s="63">
        <v>9920.0</v>
      </c>
      <c r="D145" s="63"/>
      <c r="E145" s="64" t="s">
        <v>616</v>
      </c>
      <c r="F145" s="61" t="s">
        <v>635</v>
      </c>
      <c r="G145" s="62"/>
    </row>
    <row r="146" ht="19.5" customHeight="1">
      <c r="A146" s="55"/>
      <c r="B146" s="65">
        <v>45866.0</v>
      </c>
      <c r="C146" s="63">
        <v>17600.0</v>
      </c>
      <c r="D146" s="63"/>
      <c r="E146" s="64" t="s">
        <v>636</v>
      </c>
      <c r="F146" s="69" t="s">
        <v>637</v>
      </c>
      <c r="G146" s="62"/>
    </row>
    <row r="147" ht="19.5" customHeight="1">
      <c r="A147" s="55"/>
      <c r="B147" s="65">
        <v>45866.0</v>
      </c>
      <c r="C147" s="63">
        <v>52000.0</v>
      </c>
      <c r="D147" s="63"/>
      <c r="E147" s="64" t="s">
        <v>638</v>
      </c>
      <c r="F147" s="61" t="s">
        <v>639</v>
      </c>
      <c r="G147" s="62"/>
    </row>
    <row r="148" ht="19.5" customHeight="1">
      <c r="A148" s="55"/>
      <c r="B148" s="65">
        <v>45867.0</v>
      </c>
      <c r="C148" s="63">
        <v>6100.0</v>
      </c>
      <c r="D148" s="63"/>
      <c r="E148" s="64" t="s">
        <v>505</v>
      </c>
      <c r="F148" s="61" t="s">
        <v>640</v>
      </c>
      <c r="G148" s="62"/>
    </row>
    <row r="149" ht="19.5" customHeight="1">
      <c r="A149" s="55"/>
      <c r="B149" s="65">
        <v>45867.0</v>
      </c>
      <c r="C149" s="63">
        <v>7800.0</v>
      </c>
      <c r="D149" s="63"/>
      <c r="E149" s="64" t="s">
        <v>302</v>
      </c>
      <c r="F149" s="61" t="s">
        <v>641</v>
      </c>
      <c r="G149" s="62"/>
    </row>
    <row r="150" ht="19.5" customHeight="1">
      <c r="A150" s="55"/>
      <c r="B150" s="65">
        <v>45867.0</v>
      </c>
      <c r="C150" s="63">
        <v>54801.0</v>
      </c>
      <c r="D150" s="63"/>
      <c r="E150" s="64" t="s">
        <v>302</v>
      </c>
      <c r="F150" s="61" t="s">
        <v>642</v>
      </c>
      <c r="G150" s="62"/>
    </row>
    <row r="151" ht="19.5" customHeight="1">
      <c r="A151" s="55"/>
      <c r="B151" s="65">
        <v>45869.0</v>
      </c>
      <c r="C151" s="63">
        <v>14214.0</v>
      </c>
      <c r="D151" s="63"/>
      <c r="E151" s="64" t="s">
        <v>160</v>
      </c>
      <c r="F151" s="61"/>
      <c r="G151" s="62"/>
    </row>
    <row r="152" ht="30.0" customHeight="1">
      <c r="A152" s="78" t="s">
        <v>111</v>
      </c>
      <c r="B152" s="79"/>
      <c r="C152" s="80">
        <f>SUM(C120:C151)</f>
        <v>1330844.37</v>
      </c>
      <c r="D152" s="80">
        <f>SUM(D121:D151)</f>
        <v>0</v>
      </c>
      <c r="E152" s="81"/>
      <c r="F152" s="82"/>
    </row>
    <row r="153" ht="4.5" customHeight="1">
      <c r="A153" s="116"/>
      <c r="B153" s="115"/>
      <c r="C153" s="115"/>
      <c r="D153" s="117"/>
      <c r="E153" s="96"/>
      <c r="F153" s="96"/>
      <c r="G153" s="96"/>
    </row>
    <row r="154" ht="30.0" customHeight="1">
      <c r="A154" s="78" t="s">
        <v>187</v>
      </c>
      <c r="B154" s="79"/>
      <c r="C154" s="80">
        <f t="shared" ref="C154:D154" si="7">+C63+C92+C95+C118+C152</f>
        <v>7657109.91</v>
      </c>
      <c r="D154" s="80">
        <f t="shared" si="7"/>
        <v>14.57</v>
      </c>
      <c r="E154" s="97"/>
      <c r="F154" s="98"/>
    </row>
    <row r="155" ht="19.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A6:C7"/>
    <mergeCell ref="D6:E6"/>
    <mergeCell ref="F6:G6"/>
    <mergeCell ref="D7:E7"/>
    <mergeCell ref="F7:G7"/>
    <mergeCell ref="D8:E8"/>
    <mergeCell ref="F8:G8"/>
    <mergeCell ref="D9:G16"/>
    <mergeCell ref="C11:C12"/>
    <mergeCell ref="C13:C14"/>
    <mergeCell ref="A17:G17"/>
    <mergeCell ref="A19:A62"/>
    <mergeCell ref="A63:B63"/>
    <mergeCell ref="A64:G64"/>
    <mergeCell ref="A97:A117"/>
    <mergeCell ref="A120:A151"/>
    <mergeCell ref="A152:B152"/>
    <mergeCell ref="A153:D153"/>
    <mergeCell ref="A154:B154"/>
    <mergeCell ref="A65:A91"/>
    <mergeCell ref="A92:B92"/>
    <mergeCell ref="A93:G93"/>
    <mergeCell ref="A95:B95"/>
    <mergeCell ref="A96:G96"/>
    <mergeCell ref="A118:B118"/>
    <mergeCell ref="A119:G119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3.57"/>
    <col customWidth="1" min="7" max="7" width="17.14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643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7342970.01</v>
      </c>
      <c r="G8" s="14"/>
    </row>
    <row r="9" ht="19.5" customHeight="1">
      <c r="A9" s="20" t="s">
        <v>7</v>
      </c>
      <c r="B9" s="21">
        <f>SUM(C64)</f>
        <v>4179539.01</v>
      </c>
      <c r="C9" s="22">
        <f t="shared" ref="C9:C10" si="1">+B9</f>
        <v>4179539.01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SUM(D64)</f>
        <v>13.97</v>
      </c>
      <c r="C10" s="28">
        <f t="shared" si="1"/>
        <v>13.97</v>
      </c>
      <c r="D10" s="29"/>
      <c r="G10" s="30"/>
    </row>
    <row r="11" ht="19.5" customHeight="1">
      <c r="A11" s="31" t="s">
        <v>10</v>
      </c>
      <c r="B11" s="32">
        <v>871966.58</v>
      </c>
      <c r="C11" s="33">
        <f>SUM(B11:B12)</f>
        <v>1636597</v>
      </c>
      <c r="D11" s="29"/>
      <c r="G11" s="30"/>
    </row>
    <row r="12" ht="19.5" customHeight="1">
      <c r="A12" s="26" t="s">
        <v>11</v>
      </c>
      <c r="B12" s="27">
        <v>764630.42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15</v>
      </c>
      <c r="B15" s="39">
        <f>SUM(C113)</f>
        <v>486159.81</v>
      </c>
      <c r="C15" s="40">
        <f>+B15</f>
        <v>486159.81</v>
      </c>
      <c r="D15" s="118"/>
      <c r="E15" s="119"/>
      <c r="F15" s="119"/>
      <c r="G15" s="120"/>
    </row>
    <row r="16" ht="4.5" customHeight="1">
      <c r="A16" s="114"/>
      <c r="B16" s="115"/>
      <c r="C16" s="115"/>
      <c r="D16" s="115"/>
      <c r="E16" s="115"/>
      <c r="F16" s="115"/>
      <c r="G16" s="79"/>
    </row>
    <row r="17" ht="24.75" customHeight="1">
      <c r="A17" s="47" t="s">
        <v>16</v>
      </c>
      <c r="B17" s="47" t="s">
        <v>17</v>
      </c>
      <c r="C17" s="47" t="s">
        <v>18</v>
      </c>
      <c r="D17" s="47" t="s">
        <v>19</v>
      </c>
      <c r="E17" s="48" t="s">
        <v>20</v>
      </c>
      <c r="F17" s="48" t="s">
        <v>21</v>
      </c>
      <c r="G17" s="48" t="s">
        <v>22</v>
      </c>
    </row>
    <row r="18" ht="19.5" customHeight="1">
      <c r="A18" s="49" t="s">
        <v>23</v>
      </c>
      <c r="B18" s="99">
        <v>45869.0</v>
      </c>
      <c r="C18" s="100">
        <v>67318.9</v>
      </c>
      <c r="D18" s="100"/>
      <c r="E18" s="138" t="s">
        <v>644</v>
      </c>
      <c r="F18" s="102"/>
      <c r="G18" s="103"/>
    </row>
    <row r="19" ht="19.5" customHeight="1">
      <c r="A19" s="55"/>
      <c r="B19" s="104">
        <v>45870.0</v>
      </c>
      <c r="C19" s="105">
        <v>9280.0</v>
      </c>
      <c r="D19" s="105"/>
      <c r="E19" s="106" t="s">
        <v>29</v>
      </c>
      <c r="F19" s="107"/>
      <c r="G19" s="108"/>
    </row>
    <row r="20" ht="19.5" customHeight="1">
      <c r="A20" s="55"/>
      <c r="B20" s="56">
        <v>45872.0</v>
      </c>
      <c r="C20" s="57"/>
      <c r="D20" s="57">
        <v>9.99</v>
      </c>
      <c r="E20" s="58" t="s">
        <v>645</v>
      </c>
      <c r="F20" s="59" t="s">
        <v>32</v>
      </c>
      <c r="G20" s="60"/>
    </row>
    <row r="21" ht="19.5" customHeight="1">
      <c r="A21" s="55"/>
      <c r="B21" s="104">
        <v>45874.0</v>
      </c>
      <c r="C21" s="105">
        <v>7420.0</v>
      </c>
      <c r="D21" s="105"/>
      <c r="E21" s="106" t="s">
        <v>33</v>
      </c>
      <c r="F21" s="107"/>
      <c r="G21" s="108"/>
    </row>
    <row r="22" ht="19.5" customHeight="1">
      <c r="A22" s="55"/>
      <c r="B22" s="104">
        <v>45874.0</v>
      </c>
      <c r="C22" s="105">
        <v>117341.97</v>
      </c>
      <c r="D22" s="105"/>
      <c r="E22" s="106" t="s">
        <v>34</v>
      </c>
      <c r="F22" s="107"/>
      <c r="G22" s="108"/>
    </row>
    <row r="23" ht="19.5" customHeight="1">
      <c r="A23" s="55"/>
      <c r="B23" s="104">
        <v>45874.0</v>
      </c>
      <c r="C23" s="105">
        <v>5354.94</v>
      </c>
      <c r="D23" s="105"/>
      <c r="E23" s="106" t="s">
        <v>646</v>
      </c>
      <c r="F23" s="107"/>
      <c r="G23" s="108"/>
    </row>
    <row r="24" ht="19.5" customHeight="1">
      <c r="A24" s="55"/>
      <c r="B24" s="56">
        <v>45875.0</v>
      </c>
      <c r="C24" s="57">
        <v>29851.0</v>
      </c>
      <c r="D24" s="57"/>
      <c r="E24" s="58" t="s">
        <v>42</v>
      </c>
      <c r="F24" s="61" t="s">
        <v>43</v>
      </c>
      <c r="G24" s="60"/>
    </row>
    <row r="25" ht="19.5" customHeight="1">
      <c r="A25" s="55"/>
      <c r="B25" s="104">
        <v>45875.0</v>
      </c>
      <c r="C25" s="105">
        <v>9530.0</v>
      </c>
      <c r="D25" s="105"/>
      <c r="E25" s="106" t="s">
        <v>29</v>
      </c>
      <c r="F25" s="107"/>
      <c r="G25" s="108"/>
    </row>
    <row r="26" ht="19.5" customHeight="1">
      <c r="A26" s="55"/>
      <c r="B26" s="56">
        <v>45876.0</v>
      </c>
      <c r="C26" s="57">
        <v>86000.0</v>
      </c>
      <c r="D26" s="57"/>
      <c r="E26" s="58" t="s">
        <v>647</v>
      </c>
      <c r="F26" s="59" t="s">
        <v>648</v>
      </c>
      <c r="G26" s="60"/>
    </row>
    <row r="27" ht="19.5" customHeight="1">
      <c r="A27" s="55"/>
      <c r="B27" s="104">
        <v>45876.0</v>
      </c>
      <c r="C27" s="105">
        <v>1398.18</v>
      </c>
      <c r="D27" s="105"/>
      <c r="E27" s="106" t="s">
        <v>649</v>
      </c>
      <c r="F27" s="107"/>
      <c r="G27" s="108"/>
    </row>
    <row r="28" ht="19.5" customHeight="1">
      <c r="A28" s="55"/>
      <c r="B28" s="104">
        <v>45876.0</v>
      </c>
      <c r="C28" s="105">
        <v>699.09</v>
      </c>
      <c r="D28" s="105"/>
      <c r="E28" s="106" t="s">
        <v>650</v>
      </c>
      <c r="F28" s="107"/>
      <c r="G28" s="108"/>
    </row>
    <row r="29" ht="19.5" customHeight="1">
      <c r="A29" s="55"/>
      <c r="B29" s="121">
        <v>45877.0</v>
      </c>
      <c r="C29" s="122">
        <v>49380.38</v>
      </c>
      <c r="D29" s="122"/>
      <c r="E29" s="123" t="s">
        <v>402</v>
      </c>
      <c r="F29" s="124"/>
      <c r="G29" s="125"/>
    </row>
    <row r="30" ht="19.5" customHeight="1">
      <c r="A30" s="55"/>
      <c r="B30" s="56">
        <v>45877.0</v>
      </c>
      <c r="C30" s="57">
        <v>71500.0</v>
      </c>
      <c r="D30" s="57"/>
      <c r="E30" s="58" t="s">
        <v>51</v>
      </c>
      <c r="F30" s="61" t="s">
        <v>52</v>
      </c>
      <c r="G30" s="60"/>
    </row>
    <row r="31" ht="19.5" customHeight="1">
      <c r="A31" s="55"/>
      <c r="B31" s="56">
        <v>45878.0</v>
      </c>
      <c r="C31" s="57"/>
      <c r="D31" s="57">
        <v>1.99</v>
      </c>
      <c r="E31" s="58" t="s">
        <v>651</v>
      </c>
      <c r="F31" s="61" t="s">
        <v>55</v>
      </c>
      <c r="G31" s="60"/>
    </row>
    <row r="32" ht="19.5" customHeight="1">
      <c r="A32" s="55"/>
      <c r="B32" s="56">
        <v>45881.0</v>
      </c>
      <c r="C32" s="57">
        <v>421764.0</v>
      </c>
      <c r="D32" s="57"/>
      <c r="E32" s="58" t="s">
        <v>64</v>
      </c>
      <c r="F32" s="61" t="s">
        <v>65</v>
      </c>
      <c r="G32" s="60"/>
    </row>
    <row r="33" ht="19.5" customHeight="1">
      <c r="A33" s="55"/>
      <c r="B33" s="56">
        <v>45881.0</v>
      </c>
      <c r="C33" s="57">
        <v>445270.0</v>
      </c>
      <c r="D33" s="57"/>
      <c r="E33" s="58" t="s">
        <v>66</v>
      </c>
      <c r="F33" s="61" t="s">
        <v>67</v>
      </c>
      <c r="G33" s="60"/>
    </row>
    <row r="34" ht="19.5" customHeight="1">
      <c r="A34" s="55"/>
      <c r="B34" s="56">
        <v>45882.0</v>
      </c>
      <c r="C34" s="57">
        <v>17503.48</v>
      </c>
      <c r="D34" s="57"/>
      <c r="E34" s="58" t="s">
        <v>652</v>
      </c>
      <c r="F34" s="61" t="s">
        <v>71</v>
      </c>
      <c r="G34" s="60"/>
    </row>
    <row r="35" ht="19.5" customHeight="1">
      <c r="A35" s="55"/>
      <c r="B35" s="56">
        <v>45882.0</v>
      </c>
      <c r="C35" s="57">
        <v>102195.21</v>
      </c>
      <c r="D35" s="57"/>
      <c r="E35" s="58" t="s">
        <v>653</v>
      </c>
      <c r="F35" s="61" t="s">
        <v>69</v>
      </c>
      <c r="G35" s="60"/>
    </row>
    <row r="36" ht="19.5" customHeight="1">
      <c r="A36" s="55"/>
      <c r="B36" s="56">
        <v>45882.0</v>
      </c>
      <c r="C36" s="57">
        <v>17801.98</v>
      </c>
      <c r="D36" s="57"/>
      <c r="E36" s="58" t="s">
        <v>654</v>
      </c>
      <c r="F36" s="61" t="s">
        <v>73</v>
      </c>
      <c r="G36" s="60"/>
    </row>
    <row r="37" ht="19.5" customHeight="1">
      <c r="A37" s="55"/>
      <c r="B37" s="56">
        <v>45882.0</v>
      </c>
      <c r="C37" s="57">
        <v>17801.98</v>
      </c>
      <c r="D37" s="57"/>
      <c r="E37" s="58" t="s">
        <v>655</v>
      </c>
      <c r="F37" s="61" t="s">
        <v>79</v>
      </c>
      <c r="G37" s="60"/>
    </row>
    <row r="38" ht="19.5" customHeight="1">
      <c r="A38" s="55"/>
      <c r="B38" s="56">
        <v>45882.0</v>
      </c>
      <c r="C38" s="57">
        <v>17853.4</v>
      </c>
      <c r="D38" s="57"/>
      <c r="E38" s="58" t="s">
        <v>656</v>
      </c>
      <c r="F38" s="61" t="s">
        <v>77</v>
      </c>
      <c r="G38" s="60"/>
    </row>
    <row r="39" ht="19.5" customHeight="1">
      <c r="A39" s="55"/>
      <c r="B39" s="104">
        <v>45882.0</v>
      </c>
      <c r="C39" s="105">
        <v>7780.0</v>
      </c>
      <c r="D39" s="105"/>
      <c r="E39" s="106" t="s">
        <v>475</v>
      </c>
      <c r="F39" s="107"/>
      <c r="G39" s="108"/>
    </row>
    <row r="40" ht="19.5" customHeight="1">
      <c r="A40" s="55"/>
      <c r="B40" s="104">
        <v>45882.0</v>
      </c>
      <c r="C40" s="105">
        <v>11590.0</v>
      </c>
      <c r="D40" s="105"/>
      <c r="E40" s="106" t="s">
        <v>29</v>
      </c>
      <c r="F40" s="107"/>
      <c r="G40" s="108"/>
    </row>
    <row r="41" ht="19.5" customHeight="1">
      <c r="A41" s="55"/>
      <c r="B41" s="104">
        <v>45882.0</v>
      </c>
      <c r="C41" s="105">
        <v>16500.0</v>
      </c>
      <c r="D41" s="105"/>
      <c r="E41" s="106" t="s">
        <v>132</v>
      </c>
      <c r="F41" s="69"/>
      <c r="G41" s="108"/>
    </row>
    <row r="42" ht="19.5" customHeight="1">
      <c r="A42" s="55"/>
      <c r="B42" s="56">
        <v>45883.0</v>
      </c>
      <c r="C42" s="57">
        <v>226789.19</v>
      </c>
      <c r="D42" s="57"/>
      <c r="E42" s="58" t="s">
        <v>103</v>
      </c>
      <c r="F42" s="61" t="s">
        <v>104</v>
      </c>
      <c r="G42" s="62"/>
    </row>
    <row r="43" ht="19.5" customHeight="1">
      <c r="A43" s="55"/>
      <c r="B43" s="104">
        <v>45884.0</v>
      </c>
      <c r="C43" s="105">
        <v>118007.94</v>
      </c>
      <c r="D43" s="105"/>
      <c r="E43" s="106" t="s">
        <v>34</v>
      </c>
      <c r="F43" s="69"/>
      <c r="G43" s="70"/>
    </row>
    <row r="44" ht="19.5" customHeight="1">
      <c r="A44" s="55"/>
      <c r="B44" s="104">
        <v>45884.0</v>
      </c>
      <c r="C44" s="105">
        <v>5740.0</v>
      </c>
      <c r="D44" s="105"/>
      <c r="E44" s="106" t="s">
        <v>33</v>
      </c>
      <c r="F44" s="69"/>
      <c r="G44" s="70"/>
    </row>
    <row r="45" ht="19.5" customHeight="1">
      <c r="A45" s="55"/>
      <c r="B45" s="104">
        <v>45884.0</v>
      </c>
      <c r="C45" s="105">
        <v>5850.0</v>
      </c>
      <c r="D45" s="105"/>
      <c r="E45" s="106" t="s">
        <v>475</v>
      </c>
      <c r="F45" s="69"/>
      <c r="G45" s="108"/>
    </row>
    <row r="46" ht="19.5" customHeight="1">
      <c r="A46" s="55"/>
      <c r="B46" s="104">
        <v>45887.0</v>
      </c>
      <c r="C46" s="105">
        <v>9030.0</v>
      </c>
      <c r="D46" s="105"/>
      <c r="E46" s="106" t="s">
        <v>29</v>
      </c>
      <c r="F46" s="69"/>
      <c r="G46" s="70"/>
    </row>
    <row r="47" ht="19.5" customHeight="1">
      <c r="A47" s="55"/>
      <c r="B47" s="104">
        <v>45887.0</v>
      </c>
      <c r="C47" s="105">
        <v>75600.0</v>
      </c>
      <c r="D47" s="105"/>
      <c r="E47" s="106" t="s">
        <v>657</v>
      </c>
      <c r="F47" s="69"/>
      <c r="G47" s="70"/>
    </row>
    <row r="48" ht="19.5" customHeight="1">
      <c r="A48" s="55"/>
      <c r="B48" s="104">
        <v>45887.0</v>
      </c>
      <c r="C48" s="67">
        <v>42784.75</v>
      </c>
      <c r="D48" s="67"/>
      <c r="E48" s="68" t="s">
        <v>658</v>
      </c>
      <c r="F48" s="69"/>
      <c r="G48" s="70"/>
    </row>
    <row r="49" ht="19.5" customHeight="1">
      <c r="A49" s="55"/>
      <c r="B49" s="56">
        <v>45888.0</v>
      </c>
      <c r="C49" s="63">
        <v>42052.98</v>
      </c>
      <c r="D49" s="63"/>
      <c r="E49" s="64" t="s">
        <v>225</v>
      </c>
      <c r="F49" s="61" t="s">
        <v>226</v>
      </c>
      <c r="G49" s="62"/>
    </row>
    <row r="50" ht="19.5" customHeight="1">
      <c r="A50" s="55"/>
      <c r="B50" s="104">
        <v>45888.0</v>
      </c>
      <c r="C50" s="67">
        <v>53445.51</v>
      </c>
      <c r="D50" s="67"/>
      <c r="E50" s="68" t="s">
        <v>646</v>
      </c>
      <c r="F50" s="69"/>
      <c r="G50" s="70"/>
    </row>
    <row r="51" ht="19.5" customHeight="1">
      <c r="A51" s="55"/>
      <c r="B51" s="121">
        <v>45888.0</v>
      </c>
      <c r="C51" s="134">
        <v>1584523.76</v>
      </c>
      <c r="D51" s="134"/>
      <c r="E51" s="135" t="s">
        <v>92</v>
      </c>
      <c r="F51" s="127"/>
      <c r="G51" s="128"/>
    </row>
    <row r="52" ht="19.5" customHeight="1">
      <c r="A52" s="55"/>
      <c r="B52" s="104">
        <v>45889.0</v>
      </c>
      <c r="C52" s="67">
        <v>7980.0</v>
      </c>
      <c r="D52" s="67"/>
      <c r="E52" s="68" t="s">
        <v>659</v>
      </c>
      <c r="F52" s="69"/>
      <c r="G52" s="70"/>
    </row>
    <row r="53" ht="19.5" customHeight="1">
      <c r="A53" s="55"/>
      <c r="B53" s="65">
        <v>45889.0</v>
      </c>
      <c r="C53" s="63"/>
      <c r="D53" s="63">
        <v>1.99</v>
      </c>
      <c r="E53" s="64" t="s">
        <v>660</v>
      </c>
      <c r="F53" s="61" t="s">
        <v>55</v>
      </c>
      <c r="G53" s="62"/>
    </row>
    <row r="54" ht="19.5" customHeight="1">
      <c r="A54" s="55"/>
      <c r="B54" s="66">
        <v>45890.0</v>
      </c>
      <c r="C54" s="67">
        <v>19574.52</v>
      </c>
      <c r="D54" s="67"/>
      <c r="E54" s="68" t="s">
        <v>649</v>
      </c>
      <c r="F54" s="69"/>
      <c r="G54" s="70"/>
    </row>
    <row r="55" ht="19.5" customHeight="1">
      <c r="A55" s="55"/>
      <c r="B55" s="66">
        <v>45890.0</v>
      </c>
      <c r="C55" s="67">
        <v>72977.59</v>
      </c>
      <c r="D55" s="67"/>
      <c r="E55" s="68" t="s">
        <v>661</v>
      </c>
      <c r="F55" s="69"/>
      <c r="G55" s="70"/>
    </row>
    <row r="56" ht="19.5" customHeight="1">
      <c r="A56" s="55"/>
      <c r="B56" s="66">
        <v>45890.0</v>
      </c>
      <c r="C56" s="67">
        <v>24404.6</v>
      </c>
      <c r="D56" s="67"/>
      <c r="E56" s="68" t="s">
        <v>650</v>
      </c>
      <c r="F56" s="69"/>
      <c r="G56" s="70"/>
    </row>
    <row r="57" ht="19.5" customHeight="1">
      <c r="A57" s="55"/>
      <c r="B57" s="65">
        <v>45891.0</v>
      </c>
      <c r="C57" s="63">
        <v>310631.7</v>
      </c>
      <c r="D57" s="63"/>
      <c r="E57" s="64" t="s">
        <v>103</v>
      </c>
      <c r="F57" s="61" t="s">
        <v>104</v>
      </c>
      <c r="G57" s="62"/>
    </row>
    <row r="58" ht="19.5" customHeight="1">
      <c r="A58" s="55"/>
      <c r="B58" s="66">
        <v>45891.0</v>
      </c>
      <c r="C58" s="67">
        <v>7160.0</v>
      </c>
      <c r="D58" s="67"/>
      <c r="E58" s="68" t="s">
        <v>29</v>
      </c>
      <c r="F58" s="69"/>
      <c r="G58" s="70"/>
    </row>
    <row r="59" ht="19.5" customHeight="1">
      <c r="A59" s="55"/>
      <c r="B59" s="66">
        <v>45894.0</v>
      </c>
      <c r="C59" s="67">
        <v>4780.0</v>
      </c>
      <c r="D59" s="67"/>
      <c r="E59" s="68" t="s">
        <v>33</v>
      </c>
      <c r="F59" s="69"/>
      <c r="G59" s="70"/>
    </row>
    <row r="60" ht="19.5" customHeight="1">
      <c r="A60" s="55"/>
      <c r="B60" s="66">
        <v>45895.0</v>
      </c>
      <c r="C60" s="67">
        <v>6025.0</v>
      </c>
      <c r="D60" s="67"/>
      <c r="E60" s="68" t="s">
        <v>33</v>
      </c>
      <c r="F60" s="69"/>
      <c r="G60" s="70"/>
    </row>
    <row r="61" ht="19.5" customHeight="1">
      <c r="A61" s="55"/>
      <c r="B61" s="66">
        <v>45895.0</v>
      </c>
      <c r="C61" s="67">
        <v>11500.0</v>
      </c>
      <c r="D61" s="67"/>
      <c r="E61" s="68" t="s">
        <v>143</v>
      </c>
      <c r="F61" s="69"/>
      <c r="G61" s="70"/>
    </row>
    <row r="62" ht="19.5" customHeight="1">
      <c r="A62" s="55"/>
      <c r="B62" s="66">
        <v>45896.0</v>
      </c>
      <c r="C62" s="67">
        <v>10990.0</v>
      </c>
      <c r="D62" s="67"/>
      <c r="E62" s="68" t="s">
        <v>29</v>
      </c>
      <c r="F62" s="69"/>
      <c r="G62" s="70"/>
    </row>
    <row r="63" ht="19.5" customHeight="1">
      <c r="A63" s="76"/>
      <c r="B63" s="66">
        <v>45896.0</v>
      </c>
      <c r="C63" s="67">
        <v>8556.96</v>
      </c>
      <c r="D63" s="67"/>
      <c r="E63" s="68" t="s">
        <v>662</v>
      </c>
      <c r="F63" s="69"/>
      <c r="G63" s="70"/>
    </row>
    <row r="64" ht="30.0" customHeight="1">
      <c r="A64" s="78" t="s">
        <v>111</v>
      </c>
      <c r="B64" s="79"/>
      <c r="C64" s="80">
        <f t="shared" ref="C64:D64" si="2">SUM(C18:C63)</f>
        <v>4179539.01</v>
      </c>
      <c r="D64" s="80">
        <f t="shared" si="2"/>
        <v>13.97</v>
      </c>
      <c r="E64" s="81"/>
      <c r="F64" s="82"/>
    </row>
    <row r="65" ht="4.5" customHeight="1">
      <c r="A65" s="116"/>
      <c r="B65" s="115"/>
      <c r="C65" s="115"/>
      <c r="D65" s="115"/>
      <c r="E65" s="115"/>
      <c r="F65" s="115"/>
      <c r="G65" s="79"/>
    </row>
    <row r="66" ht="19.5" customHeight="1">
      <c r="A66" s="49" t="s">
        <v>112</v>
      </c>
      <c r="B66" s="65">
        <v>45805.0</v>
      </c>
      <c r="C66" s="63">
        <v>84322.32</v>
      </c>
      <c r="D66" s="51"/>
      <c r="E66" s="64" t="s">
        <v>491</v>
      </c>
      <c r="F66" s="61" t="s">
        <v>663</v>
      </c>
      <c r="G66" s="62" t="s">
        <v>44</v>
      </c>
    </row>
    <row r="67" ht="19.5" customHeight="1">
      <c r="A67" s="55"/>
      <c r="B67" s="65">
        <v>45824.0</v>
      </c>
      <c r="C67" s="63">
        <v>47666.62</v>
      </c>
      <c r="D67" s="57"/>
      <c r="E67" s="64" t="s">
        <v>540</v>
      </c>
      <c r="F67" s="61" t="s">
        <v>664</v>
      </c>
      <c r="G67" s="62" t="s">
        <v>26</v>
      </c>
    </row>
    <row r="68" ht="19.5" customHeight="1">
      <c r="A68" s="55"/>
      <c r="B68" s="65">
        <v>45833.0</v>
      </c>
      <c r="C68" s="63">
        <v>46566.85</v>
      </c>
      <c r="D68" s="57"/>
      <c r="E68" s="64" t="s">
        <v>543</v>
      </c>
      <c r="F68" s="61" t="s">
        <v>665</v>
      </c>
      <c r="G68" s="62" t="s">
        <v>44</v>
      </c>
    </row>
    <row r="69" ht="19.5" customHeight="1">
      <c r="A69" s="55"/>
      <c r="B69" s="65">
        <v>45836.0</v>
      </c>
      <c r="C69" s="63">
        <v>23333.33</v>
      </c>
      <c r="D69" s="57"/>
      <c r="E69" s="64" t="s">
        <v>575</v>
      </c>
      <c r="F69" s="61" t="s">
        <v>666</v>
      </c>
      <c r="G69" s="62" t="s">
        <v>44</v>
      </c>
    </row>
    <row r="70" ht="19.5" customHeight="1">
      <c r="A70" s="55"/>
      <c r="B70" s="65">
        <v>45870.0</v>
      </c>
      <c r="C70" s="63">
        <v>30000.0</v>
      </c>
      <c r="D70" s="57"/>
      <c r="E70" s="64" t="s">
        <v>418</v>
      </c>
      <c r="F70" s="61" t="s">
        <v>667</v>
      </c>
      <c r="G70" s="62" t="s">
        <v>44</v>
      </c>
    </row>
    <row r="71" ht="19.5" customHeight="1">
      <c r="A71" s="55"/>
      <c r="B71" s="65">
        <v>45872.0</v>
      </c>
      <c r="C71" s="63">
        <v>117569.24</v>
      </c>
      <c r="D71" s="57"/>
      <c r="E71" s="64" t="s">
        <v>119</v>
      </c>
      <c r="F71" s="61" t="s">
        <v>668</v>
      </c>
      <c r="G71" s="62" t="s">
        <v>586</v>
      </c>
    </row>
    <row r="72" ht="19.5" customHeight="1">
      <c r="A72" s="55"/>
      <c r="B72" s="65">
        <v>45873.0</v>
      </c>
      <c r="C72" s="63">
        <v>20000.0</v>
      </c>
      <c r="D72" s="57"/>
      <c r="E72" s="64" t="s">
        <v>120</v>
      </c>
      <c r="F72" s="61" t="s">
        <v>669</v>
      </c>
      <c r="G72" s="62" t="s">
        <v>26</v>
      </c>
    </row>
    <row r="73" ht="19.5" customHeight="1">
      <c r="A73" s="55"/>
      <c r="B73" s="65">
        <v>45874.0</v>
      </c>
      <c r="C73" s="63">
        <v>30000.0</v>
      </c>
      <c r="D73" s="57"/>
      <c r="E73" s="64" t="s">
        <v>418</v>
      </c>
      <c r="F73" s="61" t="s">
        <v>667</v>
      </c>
      <c r="G73" s="62" t="s">
        <v>44</v>
      </c>
    </row>
    <row r="74" ht="19.5" customHeight="1">
      <c r="A74" s="55"/>
      <c r="B74" s="65">
        <v>45875.0</v>
      </c>
      <c r="C74" s="63">
        <v>35500.0</v>
      </c>
      <c r="D74" s="57"/>
      <c r="E74" s="64" t="s">
        <v>418</v>
      </c>
      <c r="F74" s="61" t="s">
        <v>667</v>
      </c>
      <c r="G74" s="62" t="s">
        <v>44</v>
      </c>
    </row>
    <row r="75" ht="19.5" customHeight="1">
      <c r="A75" s="55"/>
      <c r="B75" s="65">
        <v>45878.0</v>
      </c>
      <c r="C75" s="63">
        <v>32000.0</v>
      </c>
      <c r="D75" s="57"/>
      <c r="E75" s="64" t="s">
        <v>670</v>
      </c>
      <c r="F75" s="61" t="s">
        <v>671</v>
      </c>
      <c r="G75" s="62" t="s">
        <v>44</v>
      </c>
    </row>
    <row r="76" ht="19.5" customHeight="1">
      <c r="A76" s="55"/>
      <c r="B76" s="65">
        <v>45882.0</v>
      </c>
      <c r="C76" s="63">
        <v>30000.0</v>
      </c>
      <c r="D76" s="57"/>
      <c r="E76" s="64" t="s">
        <v>418</v>
      </c>
      <c r="F76" s="61" t="s">
        <v>667</v>
      </c>
      <c r="G76" s="62" t="s">
        <v>44</v>
      </c>
    </row>
    <row r="77" ht="19.5" customHeight="1">
      <c r="A77" s="55"/>
      <c r="B77" s="65">
        <v>45882.0</v>
      </c>
      <c r="C77" s="63">
        <v>40560.0</v>
      </c>
      <c r="D77" s="57"/>
      <c r="E77" s="64" t="s">
        <v>672</v>
      </c>
      <c r="F77" s="61" t="s">
        <v>673</v>
      </c>
      <c r="G77" s="62" t="s">
        <v>44</v>
      </c>
    </row>
    <row r="78" ht="19.5" customHeight="1">
      <c r="A78" s="55"/>
      <c r="B78" s="65">
        <v>45884.0</v>
      </c>
      <c r="C78" s="63">
        <v>30000.0</v>
      </c>
      <c r="D78" s="57"/>
      <c r="E78" s="64" t="s">
        <v>418</v>
      </c>
      <c r="F78" s="61" t="s">
        <v>667</v>
      </c>
      <c r="G78" s="62" t="s">
        <v>44</v>
      </c>
    </row>
    <row r="79" ht="19.5" customHeight="1">
      <c r="A79" s="55"/>
      <c r="B79" s="65">
        <v>45884.0</v>
      </c>
      <c r="C79" s="63">
        <v>22361.18</v>
      </c>
      <c r="D79" s="57"/>
      <c r="E79" s="64" t="s">
        <v>674</v>
      </c>
      <c r="F79" s="61" t="s">
        <v>675</v>
      </c>
      <c r="G79" s="62" t="s">
        <v>44</v>
      </c>
    </row>
    <row r="80" ht="19.5" customHeight="1">
      <c r="A80" s="55"/>
      <c r="B80" s="65">
        <v>45885.0</v>
      </c>
      <c r="C80" s="63">
        <v>120843.53</v>
      </c>
      <c r="D80" s="57"/>
      <c r="E80" s="64" t="s">
        <v>119</v>
      </c>
      <c r="F80" s="61" t="s">
        <v>579</v>
      </c>
      <c r="G80" s="62" t="s">
        <v>44</v>
      </c>
    </row>
    <row r="81" ht="19.5" customHeight="1">
      <c r="A81" s="55"/>
      <c r="B81" s="65">
        <v>45887.0</v>
      </c>
      <c r="C81" s="63">
        <v>30000.0</v>
      </c>
      <c r="D81" s="57"/>
      <c r="E81" s="64" t="s">
        <v>418</v>
      </c>
      <c r="F81" s="61" t="s">
        <v>667</v>
      </c>
      <c r="G81" s="62" t="s">
        <v>44</v>
      </c>
    </row>
    <row r="82" ht="19.5" customHeight="1">
      <c r="A82" s="55"/>
      <c r="B82" s="65">
        <v>45889.0</v>
      </c>
      <c r="C82" s="63">
        <v>30000.0</v>
      </c>
      <c r="D82" s="57"/>
      <c r="E82" s="64" t="s">
        <v>120</v>
      </c>
      <c r="F82" s="61" t="s">
        <v>676</v>
      </c>
      <c r="G82" s="62" t="s">
        <v>26</v>
      </c>
    </row>
    <row r="83" ht="19.5" customHeight="1">
      <c r="A83" s="55"/>
      <c r="B83" s="65">
        <v>45890.0</v>
      </c>
      <c r="C83" s="63">
        <v>30000.0</v>
      </c>
      <c r="D83" s="57"/>
      <c r="E83" s="64" t="s">
        <v>418</v>
      </c>
      <c r="F83" s="61" t="s">
        <v>667</v>
      </c>
      <c r="G83" s="62" t="s">
        <v>44</v>
      </c>
    </row>
    <row r="84" ht="19.5" customHeight="1">
      <c r="A84" s="55"/>
      <c r="B84" s="65">
        <v>45891.0</v>
      </c>
      <c r="C84" s="63">
        <v>74995.0</v>
      </c>
      <c r="D84" s="57"/>
      <c r="E84" s="64" t="s">
        <v>120</v>
      </c>
      <c r="F84" s="61" t="s">
        <v>677</v>
      </c>
      <c r="G84" s="62" t="s">
        <v>26</v>
      </c>
    </row>
    <row r="85" ht="19.5" customHeight="1">
      <c r="A85" s="55"/>
      <c r="B85" s="65">
        <v>45892.0</v>
      </c>
      <c r="C85" s="63">
        <v>26300.0</v>
      </c>
      <c r="D85" s="57"/>
      <c r="E85" s="64" t="s">
        <v>422</v>
      </c>
      <c r="F85" s="61" t="s">
        <v>678</v>
      </c>
      <c r="G85" s="62" t="s">
        <v>44</v>
      </c>
    </row>
    <row r="86" ht="19.5" customHeight="1">
      <c r="A86" s="55"/>
      <c r="B86" s="65">
        <v>45892.0</v>
      </c>
      <c r="C86" s="63">
        <v>30000.0</v>
      </c>
      <c r="D86" s="57"/>
      <c r="E86" s="64" t="s">
        <v>418</v>
      </c>
      <c r="F86" s="61" t="s">
        <v>667</v>
      </c>
      <c r="G86" s="62" t="s">
        <v>44</v>
      </c>
    </row>
    <row r="87" ht="19.5" customHeight="1">
      <c r="A87" s="55"/>
      <c r="B87" s="65">
        <v>45893.0</v>
      </c>
      <c r="C87" s="63">
        <v>174578.93</v>
      </c>
      <c r="D87" s="63"/>
      <c r="E87" s="64" t="s">
        <v>119</v>
      </c>
      <c r="F87" s="61" t="s">
        <v>668</v>
      </c>
      <c r="G87" s="62" t="s">
        <v>586</v>
      </c>
    </row>
    <row r="88" ht="19.5" customHeight="1">
      <c r="A88" s="55"/>
      <c r="B88" s="65">
        <v>45895.0</v>
      </c>
      <c r="C88" s="63">
        <v>500000.0</v>
      </c>
      <c r="D88" s="63"/>
      <c r="E88" s="64" t="s">
        <v>120</v>
      </c>
      <c r="F88" s="61" t="s">
        <v>679</v>
      </c>
      <c r="G88" s="62" t="s">
        <v>26</v>
      </c>
    </row>
    <row r="89" ht="19.5" customHeight="1">
      <c r="A89" s="55"/>
      <c r="B89" s="65">
        <v>45896.0</v>
      </c>
      <c r="C89" s="63">
        <v>30000.0</v>
      </c>
      <c r="D89" s="63"/>
      <c r="E89" s="64" t="s">
        <v>418</v>
      </c>
      <c r="F89" s="61" t="s">
        <v>667</v>
      </c>
      <c r="G89" s="62" t="s">
        <v>44</v>
      </c>
    </row>
    <row r="90" ht="30.0" customHeight="1">
      <c r="A90" s="78" t="s">
        <v>111</v>
      </c>
      <c r="B90" s="79"/>
      <c r="C90" s="80">
        <f t="shared" ref="C90:D90" si="3">SUM(C66:C89)</f>
        <v>1636597</v>
      </c>
      <c r="D90" s="80">
        <f t="shared" si="3"/>
        <v>0</v>
      </c>
      <c r="E90" s="81"/>
      <c r="F90" s="82"/>
    </row>
    <row r="91" ht="4.5" customHeight="1">
      <c r="A91" s="116"/>
      <c r="B91" s="115"/>
      <c r="C91" s="115"/>
      <c r="D91" s="115"/>
      <c r="E91" s="115"/>
      <c r="F91" s="115"/>
      <c r="G91" s="79"/>
    </row>
    <row r="92" ht="19.5" customHeight="1">
      <c r="A92" s="49" t="s">
        <v>15</v>
      </c>
      <c r="B92" s="94">
        <v>45815.0</v>
      </c>
      <c r="C92" s="51">
        <v>7490.0</v>
      </c>
      <c r="D92" s="51"/>
      <c r="E92" s="52" t="s">
        <v>162</v>
      </c>
      <c r="F92" s="64" t="s">
        <v>495</v>
      </c>
      <c r="G92" s="54" t="s">
        <v>26</v>
      </c>
    </row>
    <row r="93" ht="19.5" customHeight="1">
      <c r="A93" s="55"/>
      <c r="B93" s="95">
        <v>45870.0</v>
      </c>
      <c r="C93" s="57">
        <v>26150.8</v>
      </c>
      <c r="D93" s="57"/>
      <c r="E93" s="58" t="s">
        <v>162</v>
      </c>
      <c r="F93" s="64" t="s">
        <v>547</v>
      </c>
      <c r="G93" s="60" t="s">
        <v>26</v>
      </c>
    </row>
    <row r="94" ht="19.5" customHeight="1">
      <c r="A94" s="55"/>
      <c r="B94" s="95">
        <v>45872.0</v>
      </c>
      <c r="C94" s="57">
        <v>7457.2</v>
      </c>
      <c r="D94" s="57"/>
      <c r="E94" s="58" t="s">
        <v>680</v>
      </c>
      <c r="F94" s="64" t="s">
        <v>681</v>
      </c>
      <c r="G94" s="60" t="s">
        <v>26</v>
      </c>
    </row>
    <row r="95" ht="19.5" customHeight="1">
      <c r="A95" s="55"/>
      <c r="B95" s="95">
        <v>45872.0</v>
      </c>
      <c r="C95" s="57">
        <v>11003.0</v>
      </c>
      <c r="D95" s="57"/>
      <c r="E95" s="58" t="s">
        <v>545</v>
      </c>
      <c r="F95" s="64" t="s">
        <v>682</v>
      </c>
      <c r="G95" s="60" t="s">
        <v>26</v>
      </c>
    </row>
    <row r="96" ht="19.5" customHeight="1">
      <c r="A96" s="55"/>
      <c r="B96" s="95">
        <v>45874.0</v>
      </c>
      <c r="C96" s="57">
        <v>8888.79</v>
      </c>
      <c r="D96" s="57"/>
      <c r="E96" s="58" t="s">
        <v>683</v>
      </c>
      <c r="F96" s="64" t="s">
        <v>684</v>
      </c>
      <c r="G96" s="60" t="s">
        <v>26</v>
      </c>
    </row>
    <row r="97" ht="19.5" customHeight="1">
      <c r="A97" s="55"/>
      <c r="B97" s="95">
        <v>45875.0</v>
      </c>
      <c r="C97" s="57">
        <v>1711.84</v>
      </c>
      <c r="D97" s="57"/>
      <c r="E97" s="58" t="s">
        <v>680</v>
      </c>
      <c r="F97" s="97" t="s">
        <v>681</v>
      </c>
      <c r="G97" s="60" t="s">
        <v>26</v>
      </c>
    </row>
    <row r="98" ht="19.5" customHeight="1">
      <c r="A98" s="55"/>
      <c r="B98" s="95">
        <v>45875.0</v>
      </c>
      <c r="C98" s="57">
        <v>4405.0</v>
      </c>
      <c r="D98" s="57"/>
      <c r="E98" s="58" t="s">
        <v>545</v>
      </c>
      <c r="F98" s="64" t="s">
        <v>682</v>
      </c>
      <c r="G98" s="60" t="s">
        <v>26</v>
      </c>
    </row>
    <row r="99" ht="19.5" customHeight="1">
      <c r="A99" s="55"/>
      <c r="B99" s="95">
        <v>45879.0</v>
      </c>
      <c r="C99" s="57">
        <v>26150.8</v>
      </c>
      <c r="D99" s="57"/>
      <c r="E99" s="58" t="s">
        <v>162</v>
      </c>
      <c r="F99" s="64" t="s">
        <v>549</v>
      </c>
      <c r="G99" s="60" t="s">
        <v>26</v>
      </c>
    </row>
    <row r="100" ht="19.5" customHeight="1">
      <c r="A100" s="55"/>
      <c r="B100" s="95">
        <v>45880.0</v>
      </c>
      <c r="C100" s="57">
        <v>15943.0</v>
      </c>
      <c r="D100" s="57"/>
      <c r="E100" s="58" t="s">
        <v>162</v>
      </c>
      <c r="F100" s="64" t="s">
        <v>550</v>
      </c>
      <c r="G100" s="60" t="s">
        <v>26</v>
      </c>
    </row>
    <row r="101" ht="19.5" customHeight="1">
      <c r="A101" s="55"/>
      <c r="B101" s="95">
        <v>45881.0</v>
      </c>
      <c r="C101" s="57">
        <v>152964.0</v>
      </c>
      <c r="D101" s="57"/>
      <c r="E101" s="58" t="s">
        <v>685</v>
      </c>
      <c r="F101" s="139" t="s">
        <v>686</v>
      </c>
      <c r="G101" s="60" t="s">
        <v>26</v>
      </c>
    </row>
    <row r="102" ht="19.5" customHeight="1">
      <c r="A102" s="55"/>
      <c r="B102" s="95">
        <v>45883.0</v>
      </c>
      <c r="C102" s="57">
        <v>36795.01</v>
      </c>
      <c r="D102" s="57"/>
      <c r="E102" s="140" t="s">
        <v>687</v>
      </c>
      <c r="F102" s="141" t="s">
        <v>688</v>
      </c>
      <c r="G102" s="130" t="s">
        <v>26</v>
      </c>
    </row>
    <row r="103" ht="19.5" customHeight="1">
      <c r="A103" s="55"/>
      <c r="B103" s="95">
        <v>45883.0</v>
      </c>
      <c r="C103" s="57">
        <v>23840.0</v>
      </c>
      <c r="D103" s="57"/>
      <c r="E103" s="140" t="s">
        <v>687</v>
      </c>
      <c r="F103" s="141" t="s">
        <v>688</v>
      </c>
      <c r="G103" s="130" t="s">
        <v>26</v>
      </c>
    </row>
    <row r="104" ht="19.5" customHeight="1">
      <c r="A104" s="55"/>
      <c r="B104" s="95">
        <v>45887.0</v>
      </c>
      <c r="C104" s="57">
        <v>15982.59</v>
      </c>
      <c r="D104" s="57"/>
      <c r="E104" s="140" t="s">
        <v>162</v>
      </c>
      <c r="F104" s="64" t="s">
        <v>689</v>
      </c>
      <c r="G104" s="130" t="s">
        <v>26</v>
      </c>
    </row>
    <row r="105" ht="19.5" customHeight="1">
      <c r="A105" s="55"/>
      <c r="B105" s="95">
        <v>45887.0</v>
      </c>
      <c r="C105" s="57">
        <v>29746.0</v>
      </c>
      <c r="D105" s="57"/>
      <c r="E105" s="58" t="s">
        <v>162</v>
      </c>
      <c r="F105" s="64" t="s">
        <v>690</v>
      </c>
      <c r="G105" s="60" t="s">
        <v>26</v>
      </c>
    </row>
    <row r="106" ht="19.5" customHeight="1">
      <c r="A106" s="55"/>
      <c r="B106" s="95">
        <v>45887.0</v>
      </c>
      <c r="C106" s="57">
        <v>22470.0</v>
      </c>
      <c r="D106" s="57"/>
      <c r="E106" s="58" t="s">
        <v>162</v>
      </c>
      <c r="F106" s="64" t="s">
        <v>691</v>
      </c>
      <c r="G106" s="60" t="s">
        <v>26</v>
      </c>
    </row>
    <row r="107" ht="19.5" customHeight="1">
      <c r="A107" s="55"/>
      <c r="B107" s="95">
        <v>45887.0</v>
      </c>
      <c r="C107" s="57">
        <v>6848.0</v>
      </c>
      <c r="D107" s="57"/>
      <c r="E107" s="58" t="s">
        <v>162</v>
      </c>
      <c r="F107" s="64" t="s">
        <v>691</v>
      </c>
      <c r="G107" s="60" t="s">
        <v>26</v>
      </c>
    </row>
    <row r="108" ht="19.5" customHeight="1">
      <c r="A108" s="55"/>
      <c r="B108" s="95">
        <v>45888.0</v>
      </c>
      <c r="C108" s="57">
        <v>32400.0</v>
      </c>
      <c r="D108" s="57"/>
      <c r="E108" s="58" t="s">
        <v>692</v>
      </c>
      <c r="F108" s="64" t="s">
        <v>693</v>
      </c>
      <c r="G108" s="60" t="s">
        <v>26</v>
      </c>
    </row>
    <row r="109" ht="19.5" customHeight="1">
      <c r="A109" s="55"/>
      <c r="B109" s="95">
        <v>45890.0</v>
      </c>
      <c r="C109" s="57">
        <v>7040.0</v>
      </c>
      <c r="D109" s="57"/>
      <c r="E109" s="58" t="s">
        <v>162</v>
      </c>
      <c r="F109" s="64" t="s">
        <v>694</v>
      </c>
      <c r="G109" s="60" t="s">
        <v>26</v>
      </c>
    </row>
    <row r="110" ht="19.5" customHeight="1">
      <c r="A110" s="55"/>
      <c r="B110" s="95">
        <v>45891.0</v>
      </c>
      <c r="C110" s="57">
        <v>27389.44</v>
      </c>
      <c r="D110" s="57"/>
      <c r="E110" s="58" t="s">
        <v>695</v>
      </c>
      <c r="F110" s="64" t="s">
        <v>696</v>
      </c>
      <c r="G110" s="60" t="s">
        <v>26</v>
      </c>
    </row>
    <row r="111" ht="19.5" customHeight="1">
      <c r="A111" s="55"/>
      <c r="B111" s="95">
        <v>45892.0</v>
      </c>
      <c r="C111" s="57">
        <v>10951.0</v>
      </c>
      <c r="D111" s="63"/>
      <c r="E111" s="58" t="s">
        <v>545</v>
      </c>
      <c r="F111" s="64" t="s">
        <v>682</v>
      </c>
      <c r="G111" s="60" t="s">
        <v>26</v>
      </c>
    </row>
    <row r="112" ht="19.5" customHeight="1">
      <c r="A112" s="55"/>
      <c r="B112" s="95">
        <v>45896.0</v>
      </c>
      <c r="C112" s="57">
        <v>10533.34</v>
      </c>
      <c r="D112" s="63"/>
      <c r="E112" s="64" t="s">
        <v>697</v>
      </c>
      <c r="F112" s="64" t="s">
        <v>698</v>
      </c>
      <c r="G112" s="60" t="s">
        <v>26</v>
      </c>
    </row>
    <row r="113" ht="30.0" customHeight="1">
      <c r="A113" s="78" t="s">
        <v>111</v>
      </c>
      <c r="B113" s="79"/>
      <c r="C113" s="80">
        <f t="shared" ref="C113:D113" si="4">SUM(C92:C112)</f>
        <v>486159.81</v>
      </c>
      <c r="D113" s="142">
        <f t="shared" si="4"/>
        <v>0</v>
      </c>
      <c r="E113" s="97"/>
      <c r="F113" s="98"/>
    </row>
    <row r="114" ht="4.5" customHeight="1">
      <c r="A114" s="116"/>
      <c r="B114" s="115"/>
      <c r="C114" s="115"/>
      <c r="D114" s="115"/>
      <c r="E114" s="115"/>
      <c r="F114" s="115"/>
      <c r="G114" s="79"/>
    </row>
    <row r="115" ht="19.5" customHeight="1">
      <c r="A115" s="49" t="s">
        <v>125</v>
      </c>
      <c r="B115" s="50">
        <v>45855.0</v>
      </c>
      <c r="C115" s="51">
        <v>165833.33</v>
      </c>
      <c r="D115" s="51"/>
      <c r="E115" s="64" t="s">
        <v>699</v>
      </c>
      <c r="F115" s="61" t="s">
        <v>613</v>
      </c>
      <c r="G115" s="62"/>
    </row>
    <row r="116" ht="19.5" customHeight="1">
      <c r="A116" s="55"/>
      <c r="B116" s="56">
        <v>45869.0</v>
      </c>
      <c r="C116" s="57">
        <v>15600.0</v>
      </c>
      <c r="D116" s="57"/>
      <c r="E116" s="58" t="s">
        <v>700</v>
      </c>
      <c r="F116" s="61" t="s">
        <v>520</v>
      </c>
      <c r="G116" s="62"/>
    </row>
    <row r="117" ht="19.5" customHeight="1">
      <c r="A117" s="55"/>
      <c r="B117" s="56">
        <v>45873.0</v>
      </c>
      <c r="C117" s="57">
        <v>11800.0</v>
      </c>
      <c r="D117" s="57"/>
      <c r="E117" s="58" t="s">
        <v>701</v>
      </c>
      <c r="F117" s="61" t="s">
        <v>702</v>
      </c>
      <c r="G117" s="62"/>
    </row>
    <row r="118" ht="19.5" customHeight="1">
      <c r="A118" s="55"/>
      <c r="B118" s="56">
        <v>45873.0</v>
      </c>
      <c r="C118" s="57">
        <v>94004.0</v>
      </c>
      <c r="D118" s="57"/>
      <c r="E118" s="58" t="s">
        <v>703</v>
      </c>
      <c r="F118" s="61" t="s">
        <v>704</v>
      </c>
      <c r="G118" s="62"/>
    </row>
    <row r="119" ht="19.5" customHeight="1">
      <c r="A119" s="55"/>
      <c r="B119" s="56">
        <v>45873.0</v>
      </c>
      <c r="C119" s="57">
        <v>64011.0</v>
      </c>
      <c r="D119" s="57"/>
      <c r="E119" s="58" t="s">
        <v>518</v>
      </c>
      <c r="F119" s="61" t="s">
        <v>704</v>
      </c>
      <c r="G119" s="62"/>
    </row>
    <row r="120" ht="19.5" customHeight="1">
      <c r="A120" s="55"/>
      <c r="B120" s="56">
        <v>45875.0</v>
      </c>
      <c r="C120" s="57">
        <v>5900.0</v>
      </c>
      <c r="D120" s="57"/>
      <c r="E120" s="58" t="s">
        <v>137</v>
      </c>
      <c r="F120" s="61"/>
      <c r="G120" s="62"/>
    </row>
    <row r="121" ht="19.5" customHeight="1">
      <c r="A121" s="55"/>
      <c r="B121" s="56">
        <v>45877.0</v>
      </c>
      <c r="C121" s="57">
        <v>17200.0</v>
      </c>
      <c r="D121" s="57"/>
      <c r="E121" s="58" t="s">
        <v>132</v>
      </c>
      <c r="F121" s="61" t="s">
        <v>705</v>
      </c>
      <c r="G121" s="62"/>
    </row>
    <row r="122" ht="19.5" customHeight="1">
      <c r="A122" s="55"/>
      <c r="B122" s="56">
        <v>45879.0</v>
      </c>
      <c r="C122" s="57">
        <v>50000.0</v>
      </c>
      <c r="D122" s="57"/>
      <c r="E122" s="58" t="s">
        <v>436</v>
      </c>
      <c r="F122" s="61" t="s">
        <v>706</v>
      </c>
      <c r="G122" s="62"/>
    </row>
    <row r="123" ht="19.5" customHeight="1">
      <c r="A123" s="55"/>
      <c r="B123" s="56">
        <v>45881.0</v>
      </c>
      <c r="C123" s="57">
        <v>13900.0</v>
      </c>
      <c r="D123" s="57"/>
      <c r="E123" s="58" t="s">
        <v>707</v>
      </c>
      <c r="F123" s="59" t="s">
        <v>708</v>
      </c>
      <c r="G123" s="60"/>
    </row>
    <row r="124" ht="19.5" customHeight="1">
      <c r="A124" s="55"/>
      <c r="B124" s="56">
        <v>45883.0</v>
      </c>
      <c r="C124" s="57">
        <v>59503.94</v>
      </c>
      <c r="D124" s="57"/>
      <c r="E124" s="58" t="s">
        <v>456</v>
      </c>
      <c r="F124" s="64" t="s">
        <v>709</v>
      </c>
      <c r="G124" s="60"/>
    </row>
    <row r="125" ht="19.5" customHeight="1">
      <c r="A125" s="55"/>
      <c r="B125" s="56">
        <v>45883.0</v>
      </c>
      <c r="C125" s="57">
        <v>3400.0</v>
      </c>
      <c r="D125" s="57"/>
      <c r="E125" s="58" t="s">
        <v>710</v>
      </c>
      <c r="F125" s="59"/>
      <c r="G125" s="60"/>
    </row>
    <row r="126" ht="19.5" customHeight="1">
      <c r="A126" s="55"/>
      <c r="B126" s="56">
        <v>45883.0</v>
      </c>
      <c r="C126" s="57">
        <v>6100.0</v>
      </c>
      <c r="D126" s="57"/>
      <c r="E126" s="58" t="s">
        <v>711</v>
      </c>
      <c r="F126" s="64" t="s">
        <v>712</v>
      </c>
      <c r="G126" s="60"/>
    </row>
    <row r="127" ht="19.5" customHeight="1">
      <c r="A127" s="55"/>
      <c r="B127" s="56">
        <v>45884.0</v>
      </c>
      <c r="C127" s="57">
        <v>80001.0</v>
      </c>
      <c r="D127" s="57"/>
      <c r="E127" s="58" t="s">
        <v>436</v>
      </c>
      <c r="F127" s="64" t="s">
        <v>437</v>
      </c>
      <c r="G127" s="60"/>
    </row>
    <row r="128" ht="19.5" customHeight="1">
      <c r="A128" s="55"/>
      <c r="B128" s="56">
        <v>45887.0</v>
      </c>
      <c r="C128" s="57">
        <v>12583.76</v>
      </c>
      <c r="D128" s="57"/>
      <c r="E128" s="58" t="s">
        <v>713</v>
      </c>
      <c r="F128" s="59"/>
      <c r="G128" s="60"/>
    </row>
    <row r="129" ht="19.5" customHeight="1">
      <c r="A129" s="55"/>
      <c r="B129" s="56">
        <v>45888.0</v>
      </c>
      <c r="C129" s="57">
        <v>35098.83</v>
      </c>
      <c r="D129" s="57"/>
      <c r="E129" s="58" t="s">
        <v>714</v>
      </c>
      <c r="F129" s="59"/>
      <c r="G129" s="60"/>
    </row>
    <row r="130" ht="19.5" customHeight="1">
      <c r="A130" s="55"/>
      <c r="B130" s="56">
        <v>45889.0</v>
      </c>
      <c r="C130" s="57">
        <v>53025.0</v>
      </c>
      <c r="D130" s="57"/>
      <c r="E130" s="58" t="s">
        <v>715</v>
      </c>
      <c r="F130" s="59" t="s">
        <v>437</v>
      </c>
      <c r="G130" s="60"/>
    </row>
    <row r="131" ht="19.5" customHeight="1">
      <c r="A131" s="55"/>
      <c r="B131" s="56">
        <v>45890.0</v>
      </c>
      <c r="C131" s="57">
        <v>8500.0</v>
      </c>
      <c r="D131" s="57"/>
      <c r="E131" s="58" t="s">
        <v>505</v>
      </c>
      <c r="F131" s="59" t="s">
        <v>520</v>
      </c>
      <c r="G131" s="60"/>
    </row>
    <row r="132" ht="19.5" customHeight="1">
      <c r="A132" s="55"/>
      <c r="B132" s="56">
        <v>45893.0</v>
      </c>
      <c r="C132" s="57">
        <v>27150.0</v>
      </c>
      <c r="D132" s="57"/>
      <c r="E132" s="58" t="s">
        <v>701</v>
      </c>
      <c r="F132" s="59" t="s">
        <v>716</v>
      </c>
      <c r="G132" s="60"/>
    </row>
    <row r="133" ht="19.5" customHeight="1">
      <c r="A133" s="55"/>
      <c r="B133" s="65">
        <v>45893.0</v>
      </c>
      <c r="C133" s="63">
        <v>19100.0</v>
      </c>
      <c r="D133" s="63"/>
      <c r="E133" s="64" t="s">
        <v>701</v>
      </c>
      <c r="F133" s="61" t="s">
        <v>717</v>
      </c>
      <c r="G133" s="62"/>
    </row>
    <row r="134" ht="19.5" customHeight="1">
      <c r="A134" s="55"/>
      <c r="B134" s="65">
        <v>45893.0</v>
      </c>
      <c r="C134" s="63">
        <v>11200.0</v>
      </c>
      <c r="D134" s="63"/>
      <c r="E134" s="64" t="s">
        <v>456</v>
      </c>
      <c r="F134" s="61" t="s">
        <v>718</v>
      </c>
      <c r="G134" s="62"/>
    </row>
    <row r="135" ht="19.5" customHeight="1">
      <c r="A135" s="55"/>
      <c r="B135" s="65">
        <v>45893.0</v>
      </c>
      <c r="C135" s="63">
        <v>66025.0</v>
      </c>
      <c r="D135" s="63"/>
      <c r="E135" s="64" t="s">
        <v>456</v>
      </c>
      <c r="F135" s="61" t="s">
        <v>719</v>
      </c>
      <c r="G135" s="62"/>
    </row>
    <row r="136" ht="19.5" customHeight="1">
      <c r="A136" s="55"/>
      <c r="B136" s="65">
        <v>45895.0</v>
      </c>
      <c r="C136" s="63">
        <v>92005.01</v>
      </c>
      <c r="D136" s="63"/>
      <c r="E136" s="64" t="s">
        <v>456</v>
      </c>
      <c r="F136" s="61" t="s">
        <v>720</v>
      </c>
      <c r="G136" s="62"/>
    </row>
    <row r="137" ht="19.5" customHeight="1">
      <c r="A137" s="55"/>
      <c r="B137" s="65">
        <v>45896.0</v>
      </c>
      <c r="C137" s="63">
        <v>7650.0</v>
      </c>
      <c r="D137" s="63">
        <v>3.0</v>
      </c>
      <c r="E137" s="64" t="s">
        <v>721</v>
      </c>
      <c r="F137" s="61"/>
      <c r="G137" s="62"/>
    </row>
    <row r="138" ht="30.0" customHeight="1">
      <c r="A138" s="78" t="s">
        <v>111</v>
      </c>
      <c r="B138" s="79"/>
      <c r="C138" s="80">
        <f>SUM(C115:C137)</f>
        <v>919590.87</v>
      </c>
      <c r="D138" s="80">
        <f>SUM(D116:D137)</f>
        <v>3</v>
      </c>
      <c r="E138" s="81"/>
      <c r="F138" s="82"/>
    </row>
    <row r="139" ht="4.5" customHeight="1">
      <c r="A139" s="116"/>
      <c r="B139" s="115"/>
      <c r="C139" s="115"/>
      <c r="D139" s="117"/>
      <c r="E139" s="96"/>
      <c r="F139" s="96"/>
      <c r="G139" s="96"/>
    </row>
    <row r="140" ht="30.0" customHeight="1">
      <c r="A140" s="78" t="s">
        <v>187</v>
      </c>
      <c r="B140" s="79"/>
      <c r="C140" s="80">
        <f t="shared" ref="C140:D140" si="5">+C64+C90+C113+C138</f>
        <v>7221886.69</v>
      </c>
      <c r="D140" s="80">
        <f t="shared" si="5"/>
        <v>16.97</v>
      </c>
      <c r="E140" s="97"/>
      <c r="F140" s="98"/>
    </row>
    <row r="141" ht="19.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A6:C7"/>
    <mergeCell ref="D6:E6"/>
    <mergeCell ref="F6:G6"/>
    <mergeCell ref="D7:E7"/>
    <mergeCell ref="F7:G7"/>
    <mergeCell ref="D8:E8"/>
    <mergeCell ref="F8:G8"/>
    <mergeCell ref="D9:G15"/>
    <mergeCell ref="C11:C12"/>
    <mergeCell ref="C13:C14"/>
    <mergeCell ref="A16:G16"/>
    <mergeCell ref="A18:A63"/>
    <mergeCell ref="A64:B64"/>
    <mergeCell ref="A65:G65"/>
    <mergeCell ref="A138:B138"/>
    <mergeCell ref="A139:D139"/>
    <mergeCell ref="A140:B140"/>
    <mergeCell ref="A66:A89"/>
    <mergeCell ref="A90:B90"/>
    <mergeCell ref="A91:G91"/>
    <mergeCell ref="A92:A112"/>
    <mergeCell ref="A113:B113"/>
    <mergeCell ref="A114:G114"/>
    <mergeCell ref="A115:A137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8.14"/>
    <col customWidth="1" min="7" max="7" width="17.14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722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1.334172575E7</v>
      </c>
      <c r="G8" s="14"/>
    </row>
    <row r="9" ht="19.5" customHeight="1">
      <c r="A9" s="20" t="s">
        <v>7</v>
      </c>
      <c r="B9" s="21">
        <f>SUM(C91)</f>
        <v>6690670.88</v>
      </c>
      <c r="C9" s="22">
        <f t="shared" ref="C9:C10" si="1">+B9</f>
        <v>6690670.88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SUM(D91)</f>
        <v>13.97</v>
      </c>
      <c r="C10" s="28">
        <f t="shared" si="1"/>
        <v>13.97</v>
      </c>
      <c r="D10" s="29"/>
      <c r="G10" s="30"/>
    </row>
    <row r="11" ht="19.5" customHeight="1">
      <c r="A11" s="31" t="s">
        <v>10</v>
      </c>
      <c r="B11" s="32">
        <v>1142026.51</v>
      </c>
      <c r="C11" s="33">
        <f>SUM(B11:B12)</f>
        <v>2796701.08</v>
      </c>
      <c r="D11" s="29"/>
      <c r="G11" s="30"/>
    </row>
    <row r="12" ht="19.5" customHeight="1">
      <c r="A12" s="26" t="s">
        <v>11</v>
      </c>
      <c r="B12" s="27">
        <v>1654674.57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15</v>
      </c>
      <c r="B15" s="39">
        <f>SUM(C153)</f>
        <v>1639936.94</v>
      </c>
      <c r="C15" s="40">
        <f t="shared" ref="C15:C16" si="2">+B15</f>
        <v>1639936.94</v>
      </c>
      <c r="D15" s="29"/>
      <c r="G15" s="30"/>
    </row>
    <row r="16" ht="19.5" customHeight="1">
      <c r="A16" s="35" t="s">
        <v>14</v>
      </c>
      <c r="B16" s="36">
        <f>SUM(C132)</f>
        <v>397808.95</v>
      </c>
      <c r="C16" s="37">
        <f t="shared" si="2"/>
        <v>397808.95</v>
      </c>
      <c r="D16" s="41"/>
      <c r="E16" s="42"/>
      <c r="F16" s="42"/>
      <c r="G16" s="43"/>
    </row>
    <row r="17" ht="4.5" customHeight="1">
      <c r="A17" s="114"/>
      <c r="B17" s="115"/>
      <c r="C17" s="115"/>
      <c r="D17" s="115"/>
      <c r="E17" s="115"/>
      <c r="F17" s="115"/>
      <c r="G17" s="79"/>
    </row>
    <row r="18" ht="24.75" customHeight="1">
      <c r="A18" s="47" t="s">
        <v>16</v>
      </c>
      <c r="B18" s="47" t="s">
        <v>17</v>
      </c>
      <c r="C18" s="47" t="s">
        <v>18</v>
      </c>
      <c r="D18" s="47" t="s">
        <v>19</v>
      </c>
      <c r="E18" s="48" t="s">
        <v>20</v>
      </c>
      <c r="F18" s="48" t="s">
        <v>21</v>
      </c>
      <c r="G18" s="48" t="s">
        <v>22</v>
      </c>
    </row>
    <row r="19" ht="19.5" customHeight="1">
      <c r="A19" s="49" t="s">
        <v>23</v>
      </c>
      <c r="B19" s="99">
        <v>45901.0</v>
      </c>
      <c r="C19" s="100">
        <v>8300.0</v>
      </c>
      <c r="D19" s="100"/>
      <c r="E19" s="101" t="s">
        <v>33</v>
      </c>
      <c r="F19" s="102"/>
      <c r="G19" s="103"/>
    </row>
    <row r="20" ht="19.5" customHeight="1">
      <c r="A20" s="55"/>
      <c r="B20" s="104">
        <v>45902.0</v>
      </c>
      <c r="C20" s="105">
        <v>10067.04</v>
      </c>
      <c r="D20" s="105"/>
      <c r="E20" s="106" t="s">
        <v>723</v>
      </c>
      <c r="F20" s="107"/>
      <c r="G20" s="108"/>
    </row>
    <row r="21" ht="19.5" customHeight="1">
      <c r="A21" s="55"/>
      <c r="B21" s="104">
        <v>45903.0</v>
      </c>
      <c r="C21" s="105">
        <v>32273.98</v>
      </c>
      <c r="D21" s="105"/>
      <c r="E21" s="106" t="s">
        <v>646</v>
      </c>
      <c r="F21" s="107"/>
      <c r="G21" s="108"/>
    </row>
    <row r="22" ht="19.5" customHeight="1">
      <c r="A22" s="55"/>
      <c r="B22" s="56">
        <v>45903.0</v>
      </c>
      <c r="C22" s="57"/>
      <c r="D22" s="57">
        <v>9.99</v>
      </c>
      <c r="E22" s="58" t="s">
        <v>724</v>
      </c>
      <c r="F22" s="59" t="s">
        <v>32</v>
      </c>
      <c r="G22" s="60"/>
    </row>
    <row r="23" ht="19.5" customHeight="1">
      <c r="A23" s="55"/>
      <c r="B23" s="104">
        <v>45904.0</v>
      </c>
      <c r="C23" s="105">
        <v>12700.0</v>
      </c>
      <c r="D23" s="105"/>
      <c r="E23" s="106" t="s">
        <v>29</v>
      </c>
      <c r="F23" s="107"/>
      <c r="G23" s="108"/>
    </row>
    <row r="24" ht="19.5" customHeight="1">
      <c r="A24" s="55"/>
      <c r="B24" s="121">
        <v>45905.0</v>
      </c>
      <c r="C24" s="122">
        <v>50512.66</v>
      </c>
      <c r="D24" s="122"/>
      <c r="E24" s="123" t="s">
        <v>402</v>
      </c>
      <c r="F24" s="124"/>
      <c r="G24" s="125"/>
    </row>
    <row r="25" ht="19.5" customHeight="1">
      <c r="A25" s="55"/>
      <c r="B25" s="104">
        <v>45905.0</v>
      </c>
      <c r="C25" s="105">
        <v>1398.18</v>
      </c>
      <c r="D25" s="105"/>
      <c r="E25" s="106" t="s">
        <v>650</v>
      </c>
      <c r="F25" s="107"/>
      <c r="G25" s="108"/>
    </row>
    <row r="26" ht="19.5" customHeight="1">
      <c r="A26" s="55"/>
      <c r="B26" s="104">
        <v>45905.0</v>
      </c>
      <c r="C26" s="105">
        <v>7800.0</v>
      </c>
      <c r="D26" s="105"/>
      <c r="E26" s="106" t="s">
        <v>29</v>
      </c>
      <c r="F26" s="107"/>
      <c r="G26" s="108"/>
    </row>
    <row r="27" ht="19.5" customHeight="1">
      <c r="A27" s="55"/>
      <c r="B27" s="56">
        <v>45906.0</v>
      </c>
      <c r="C27" s="57">
        <v>30604.4</v>
      </c>
      <c r="D27" s="57"/>
      <c r="E27" s="58" t="s">
        <v>725</v>
      </c>
      <c r="F27" s="61" t="s">
        <v>43</v>
      </c>
      <c r="G27" s="60"/>
    </row>
    <row r="28" ht="19.5" customHeight="1">
      <c r="A28" s="55"/>
      <c r="B28" s="104">
        <v>45906.0</v>
      </c>
      <c r="C28" s="105">
        <v>7920.0</v>
      </c>
      <c r="D28" s="105"/>
      <c r="E28" s="106" t="s">
        <v>29</v>
      </c>
      <c r="F28" s="107"/>
      <c r="G28" s="108"/>
    </row>
    <row r="29" ht="19.5" customHeight="1">
      <c r="A29" s="55"/>
      <c r="B29" s="104">
        <v>45907.0</v>
      </c>
      <c r="C29" s="105">
        <v>13318.0</v>
      </c>
      <c r="D29" s="105"/>
      <c r="E29" s="106" t="s">
        <v>80</v>
      </c>
      <c r="F29" s="107"/>
      <c r="G29" s="108"/>
    </row>
    <row r="30" ht="19.5" customHeight="1">
      <c r="A30" s="55"/>
      <c r="B30" s="104">
        <v>45907.0</v>
      </c>
      <c r="C30" s="105">
        <v>28819.0</v>
      </c>
      <c r="D30" s="105"/>
      <c r="E30" s="106" t="s">
        <v>80</v>
      </c>
      <c r="F30" s="107"/>
      <c r="G30" s="108"/>
    </row>
    <row r="31" ht="19.5" customHeight="1">
      <c r="A31" s="55"/>
      <c r="B31" s="56">
        <v>45908.0</v>
      </c>
      <c r="C31" s="57">
        <v>300600.0</v>
      </c>
      <c r="D31" s="57"/>
      <c r="E31" s="58" t="s">
        <v>84</v>
      </c>
      <c r="F31" s="59" t="s">
        <v>726</v>
      </c>
      <c r="G31" s="60"/>
    </row>
    <row r="32" ht="19.5" customHeight="1">
      <c r="A32" s="55"/>
      <c r="B32" s="56">
        <v>45908.0</v>
      </c>
      <c r="C32" s="57">
        <v>13360.0</v>
      </c>
      <c r="D32" s="57"/>
      <c r="E32" s="58" t="s">
        <v>84</v>
      </c>
      <c r="F32" s="59" t="s">
        <v>727</v>
      </c>
      <c r="G32" s="60"/>
    </row>
    <row r="33" ht="19.5" customHeight="1">
      <c r="A33" s="55"/>
      <c r="B33" s="56">
        <v>45908.0</v>
      </c>
      <c r="C33" s="57">
        <v>66800.0</v>
      </c>
      <c r="D33" s="57"/>
      <c r="E33" s="58" t="s">
        <v>84</v>
      </c>
      <c r="F33" s="59" t="s">
        <v>728</v>
      </c>
      <c r="G33" s="60"/>
    </row>
    <row r="34" ht="19.5" customHeight="1">
      <c r="A34" s="55"/>
      <c r="B34" s="56">
        <v>45908.0</v>
      </c>
      <c r="C34" s="57">
        <v>13360.0</v>
      </c>
      <c r="D34" s="57"/>
      <c r="E34" s="58" t="s">
        <v>84</v>
      </c>
      <c r="F34" s="59" t="s">
        <v>729</v>
      </c>
      <c r="G34" s="60"/>
    </row>
    <row r="35" ht="19.5" customHeight="1">
      <c r="A35" s="55"/>
      <c r="B35" s="56">
        <v>45908.0</v>
      </c>
      <c r="C35" s="57">
        <v>534400.0</v>
      </c>
      <c r="D35" s="57"/>
      <c r="E35" s="58" t="s">
        <v>84</v>
      </c>
      <c r="F35" s="59" t="s">
        <v>730</v>
      </c>
      <c r="G35" s="60"/>
    </row>
    <row r="36" ht="19.5" customHeight="1">
      <c r="A36" s="55"/>
      <c r="B36" s="56">
        <v>45908.0</v>
      </c>
      <c r="C36" s="57">
        <v>150300.0</v>
      </c>
      <c r="D36" s="57"/>
      <c r="E36" s="58" t="s">
        <v>84</v>
      </c>
      <c r="F36" s="59" t="s">
        <v>731</v>
      </c>
      <c r="G36" s="60"/>
    </row>
    <row r="37" ht="19.5" customHeight="1">
      <c r="A37" s="55"/>
      <c r="B37" s="104">
        <v>45909.0</v>
      </c>
      <c r="C37" s="105">
        <v>8529.0</v>
      </c>
      <c r="D37" s="105"/>
      <c r="E37" s="106" t="s">
        <v>80</v>
      </c>
      <c r="F37" s="107"/>
      <c r="G37" s="108"/>
    </row>
    <row r="38" ht="19.5" customHeight="1">
      <c r="A38" s="55"/>
      <c r="B38" s="56">
        <v>45909.0</v>
      </c>
      <c r="C38" s="57"/>
      <c r="D38" s="57">
        <v>1.99</v>
      </c>
      <c r="E38" s="58" t="s">
        <v>732</v>
      </c>
      <c r="F38" s="61" t="s">
        <v>55</v>
      </c>
      <c r="G38" s="60"/>
    </row>
    <row r="39" ht="19.5" customHeight="1">
      <c r="A39" s="55"/>
      <c r="B39" s="104">
        <v>45911.0</v>
      </c>
      <c r="C39" s="105">
        <v>108010.07</v>
      </c>
      <c r="D39" s="105"/>
      <c r="E39" s="106" t="s">
        <v>34</v>
      </c>
      <c r="F39" s="107"/>
      <c r="G39" s="108"/>
    </row>
    <row r="40" ht="19.5" customHeight="1">
      <c r="A40" s="55"/>
      <c r="B40" s="104">
        <v>45911.0</v>
      </c>
      <c r="C40" s="105">
        <v>10800.0</v>
      </c>
      <c r="D40" s="105"/>
      <c r="E40" s="106" t="s">
        <v>214</v>
      </c>
      <c r="F40" s="107"/>
      <c r="G40" s="108"/>
    </row>
    <row r="41" ht="19.5" customHeight="1">
      <c r="A41" s="55"/>
      <c r="B41" s="104">
        <v>45911.0</v>
      </c>
      <c r="C41" s="105">
        <v>5600.0</v>
      </c>
      <c r="D41" s="105"/>
      <c r="E41" s="106" t="s">
        <v>214</v>
      </c>
      <c r="F41" s="107"/>
      <c r="G41" s="108"/>
    </row>
    <row r="42" ht="19.5" customHeight="1">
      <c r="A42" s="55"/>
      <c r="B42" s="104">
        <v>45911.0</v>
      </c>
      <c r="C42" s="105">
        <v>14700.0</v>
      </c>
      <c r="D42" s="105"/>
      <c r="E42" s="106" t="s">
        <v>733</v>
      </c>
      <c r="F42" s="69"/>
      <c r="G42" s="108"/>
    </row>
    <row r="43" ht="19.5" customHeight="1">
      <c r="A43" s="55"/>
      <c r="B43" s="56">
        <v>45911.0</v>
      </c>
      <c r="C43" s="57">
        <v>159889.08</v>
      </c>
      <c r="D43" s="57"/>
      <c r="E43" s="58" t="s">
        <v>103</v>
      </c>
      <c r="F43" s="61" t="s">
        <v>104</v>
      </c>
      <c r="G43" s="62"/>
    </row>
    <row r="44" ht="19.5" customHeight="1">
      <c r="A44" s="55"/>
      <c r="B44" s="104">
        <v>45911.0</v>
      </c>
      <c r="C44" s="105">
        <v>94001.93</v>
      </c>
      <c r="D44" s="105"/>
      <c r="E44" s="106" t="s">
        <v>734</v>
      </c>
      <c r="F44" s="69"/>
      <c r="G44" s="70"/>
    </row>
    <row r="45" ht="19.5" customHeight="1">
      <c r="A45" s="55"/>
      <c r="B45" s="104">
        <v>45911.0</v>
      </c>
      <c r="C45" s="105">
        <v>9320.0</v>
      </c>
      <c r="D45" s="105"/>
      <c r="E45" s="106" t="s">
        <v>735</v>
      </c>
      <c r="F45" s="69"/>
      <c r="G45" s="70"/>
    </row>
    <row r="46" ht="19.5" customHeight="1">
      <c r="A46" s="55"/>
      <c r="B46" s="56">
        <v>45912.0</v>
      </c>
      <c r="C46" s="57">
        <v>120556.0</v>
      </c>
      <c r="D46" s="57"/>
      <c r="E46" s="58" t="s">
        <v>24</v>
      </c>
      <c r="F46" s="98" t="s">
        <v>736</v>
      </c>
      <c r="G46" s="60" t="s">
        <v>26</v>
      </c>
    </row>
    <row r="47" ht="19.5" customHeight="1">
      <c r="A47" s="55"/>
      <c r="B47" s="104">
        <v>45912.0</v>
      </c>
      <c r="C47" s="105">
        <v>12480.0</v>
      </c>
      <c r="D47" s="105"/>
      <c r="E47" s="106" t="s">
        <v>33</v>
      </c>
      <c r="F47" s="69"/>
      <c r="G47" s="70"/>
    </row>
    <row r="48" ht="19.5" customHeight="1">
      <c r="A48" s="55"/>
      <c r="B48" s="56">
        <v>45912.0</v>
      </c>
      <c r="C48" s="57">
        <v>22100.0</v>
      </c>
      <c r="D48" s="57"/>
      <c r="E48" s="58" t="s">
        <v>51</v>
      </c>
      <c r="F48" s="61" t="s">
        <v>52</v>
      </c>
      <c r="G48" s="62"/>
    </row>
    <row r="49" ht="19.5" customHeight="1">
      <c r="A49" s="55"/>
      <c r="B49" s="56">
        <v>45913.0</v>
      </c>
      <c r="C49" s="63">
        <v>69657.0</v>
      </c>
      <c r="D49" s="63"/>
      <c r="E49" s="64" t="s">
        <v>24</v>
      </c>
      <c r="F49" s="98" t="s">
        <v>737</v>
      </c>
      <c r="G49" s="62"/>
    </row>
    <row r="50" ht="19.5" customHeight="1">
      <c r="A50" s="55"/>
      <c r="B50" s="104">
        <v>45913.0</v>
      </c>
      <c r="C50" s="67">
        <v>122043.93</v>
      </c>
      <c r="D50" s="67"/>
      <c r="E50" s="68" t="s">
        <v>34</v>
      </c>
      <c r="F50" s="69"/>
      <c r="G50" s="70"/>
    </row>
    <row r="51" ht="19.5" customHeight="1">
      <c r="A51" s="55"/>
      <c r="B51" s="104">
        <v>45913.0</v>
      </c>
      <c r="C51" s="67">
        <v>69299.0</v>
      </c>
      <c r="D51" s="67"/>
      <c r="E51" s="68" t="s">
        <v>80</v>
      </c>
      <c r="F51" s="69"/>
      <c r="G51" s="70"/>
    </row>
    <row r="52" ht="19.5" customHeight="1">
      <c r="A52" s="55"/>
      <c r="B52" s="56">
        <v>45914.0</v>
      </c>
      <c r="C52" s="63">
        <v>92020.0</v>
      </c>
      <c r="D52" s="63"/>
      <c r="E52" s="64" t="s">
        <v>24</v>
      </c>
      <c r="F52" s="98" t="s">
        <v>738</v>
      </c>
      <c r="G52" s="62" t="s">
        <v>26</v>
      </c>
    </row>
    <row r="53" ht="19.5" customHeight="1">
      <c r="A53" s="55"/>
      <c r="B53" s="104">
        <v>45915.0</v>
      </c>
      <c r="C53" s="67">
        <v>19200.0</v>
      </c>
      <c r="D53" s="67"/>
      <c r="E53" s="68" t="s">
        <v>739</v>
      </c>
      <c r="F53" s="69"/>
      <c r="G53" s="70"/>
    </row>
    <row r="54" ht="19.5" customHeight="1">
      <c r="A54" s="55"/>
      <c r="B54" s="56">
        <v>45916.0</v>
      </c>
      <c r="C54" s="63">
        <v>53500.0</v>
      </c>
      <c r="D54" s="63"/>
      <c r="E54" s="64" t="s">
        <v>24</v>
      </c>
      <c r="F54" s="98" t="s">
        <v>740</v>
      </c>
      <c r="G54" s="62" t="s">
        <v>26</v>
      </c>
    </row>
    <row r="55" ht="19.5" customHeight="1">
      <c r="A55" s="55"/>
      <c r="B55" s="104">
        <v>45916.0</v>
      </c>
      <c r="C55" s="67">
        <v>6300.0</v>
      </c>
      <c r="D55" s="67"/>
      <c r="E55" s="68" t="s">
        <v>29</v>
      </c>
      <c r="F55" s="69"/>
      <c r="G55" s="70"/>
    </row>
    <row r="56" ht="19.5" customHeight="1">
      <c r="A56" s="55"/>
      <c r="B56" s="104">
        <v>45916.0</v>
      </c>
      <c r="C56" s="67">
        <v>7550.28</v>
      </c>
      <c r="D56" s="67"/>
      <c r="E56" s="68" t="s">
        <v>741</v>
      </c>
      <c r="F56" s="69"/>
      <c r="G56" s="70"/>
    </row>
    <row r="57" ht="19.5" customHeight="1">
      <c r="A57" s="55"/>
      <c r="B57" s="56">
        <v>45916.0</v>
      </c>
      <c r="C57" s="63">
        <v>450228.0</v>
      </c>
      <c r="D57" s="63"/>
      <c r="E57" s="64" t="s">
        <v>66</v>
      </c>
      <c r="F57" s="61" t="s">
        <v>67</v>
      </c>
      <c r="G57" s="62"/>
    </row>
    <row r="58" ht="19.5" customHeight="1">
      <c r="A58" s="55"/>
      <c r="B58" s="56">
        <v>45916.0</v>
      </c>
      <c r="C58" s="63">
        <v>426429.0</v>
      </c>
      <c r="D58" s="63"/>
      <c r="E58" s="64" t="s">
        <v>64</v>
      </c>
      <c r="F58" s="61" t="s">
        <v>65</v>
      </c>
      <c r="G58" s="62"/>
    </row>
    <row r="59" ht="19.5" customHeight="1">
      <c r="A59" s="55"/>
      <c r="B59" s="56">
        <v>45917.0</v>
      </c>
      <c r="C59" s="63">
        <v>177192.0</v>
      </c>
      <c r="D59" s="63"/>
      <c r="E59" s="64" t="s">
        <v>24</v>
      </c>
      <c r="F59" s="98" t="s">
        <v>742</v>
      </c>
      <c r="G59" s="62" t="s">
        <v>26</v>
      </c>
    </row>
    <row r="60" ht="19.5" customHeight="1">
      <c r="A60" s="55"/>
      <c r="B60" s="104">
        <v>45917.0</v>
      </c>
      <c r="C60" s="67">
        <v>1810.45</v>
      </c>
      <c r="D60" s="67"/>
      <c r="E60" s="68" t="s">
        <v>646</v>
      </c>
      <c r="F60" s="69"/>
      <c r="G60" s="70"/>
    </row>
    <row r="61" ht="19.5" customHeight="1">
      <c r="A61" s="55"/>
      <c r="B61" s="56">
        <v>45917.0</v>
      </c>
      <c r="C61" s="63">
        <v>17503.48</v>
      </c>
      <c r="D61" s="63"/>
      <c r="E61" s="64" t="s">
        <v>743</v>
      </c>
      <c r="F61" s="61" t="s">
        <v>71</v>
      </c>
      <c r="G61" s="62"/>
    </row>
    <row r="62" ht="19.5" customHeight="1">
      <c r="A62" s="55"/>
      <c r="B62" s="56">
        <v>45917.0</v>
      </c>
      <c r="C62" s="63">
        <v>19076.97</v>
      </c>
      <c r="D62" s="63"/>
      <c r="E62" s="64" t="s">
        <v>744</v>
      </c>
      <c r="F62" s="61" t="s">
        <v>79</v>
      </c>
      <c r="G62" s="62"/>
    </row>
    <row r="63" ht="19.5" customHeight="1">
      <c r="A63" s="55"/>
      <c r="B63" s="56">
        <v>45917.0</v>
      </c>
      <c r="C63" s="63">
        <v>105083.18</v>
      </c>
      <c r="D63" s="63"/>
      <c r="E63" s="64" t="s">
        <v>745</v>
      </c>
      <c r="F63" s="61" t="s">
        <v>69</v>
      </c>
      <c r="G63" s="62"/>
    </row>
    <row r="64" ht="19.5" customHeight="1">
      <c r="A64" s="55"/>
      <c r="B64" s="56">
        <v>45917.0</v>
      </c>
      <c r="C64" s="63">
        <v>17853.4</v>
      </c>
      <c r="D64" s="63"/>
      <c r="E64" s="64" t="s">
        <v>746</v>
      </c>
      <c r="F64" s="61" t="s">
        <v>77</v>
      </c>
      <c r="G64" s="62"/>
    </row>
    <row r="65" ht="19.5" customHeight="1">
      <c r="A65" s="55"/>
      <c r="B65" s="56">
        <v>45917.0</v>
      </c>
      <c r="C65" s="63">
        <v>19076.97</v>
      </c>
      <c r="D65" s="63"/>
      <c r="E65" s="64" t="s">
        <v>747</v>
      </c>
      <c r="F65" s="61" t="s">
        <v>73</v>
      </c>
      <c r="G65" s="62"/>
    </row>
    <row r="66" ht="19.5" customHeight="1">
      <c r="A66" s="55"/>
      <c r="B66" s="104">
        <v>45918.0</v>
      </c>
      <c r="C66" s="67">
        <v>23820.0</v>
      </c>
      <c r="D66" s="67"/>
      <c r="E66" s="68" t="s">
        <v>33</v>
      </c>
      <c r="F66" s="69"/>
      <c r="G66" s="70"/>
    </row>
    <row r="67" ht="19.5" customHeight="1">
      <c r="A67" s="55"/>
      <c r="B67" s="104">
        <v>45918.0</v>
      </c>
      <c r="C67" s="67">
        <v>5240.0</v>
      </c>
      <c r="D67" s="67"/>
      <c r="E67" s="68" t="s">
        <v>33</v>
      </c>
      <c r="F67" s="69"/>
      <c r="G67" s="70"/>
    </row>
    <row r="68" ht="19.5" customHeight="1">
      <c r="A68" s="55"/>
      <c r="B68" s="56">
        <v>45918.0</v>
      </c>
      <c r="C68" s="63">
        <v>985058.84</v>
      </c>
      <c r="D68" s="63"/>
      <c r="E68" s="64" t="s">
        <v>103</v>
      </c>
      <c r="F68" s="61" t="s">
        <v>104</v>
      </c>
      <c r="G68" s="62"/>
    </row>
    <row r="69" ht="19.5" customHeight="1">
      <c r="A69" s="55"/>
      <c r="B69" s="104">
        <v>45918.0</v>
      </c>
      <c r="C69" s="67">
        <v>18628.0</v>
      </c>
      <c r="D69" s="67"/>
      <c r="E69" s="68" t="s">
        <v>80</v>
      </c>
      <c r="F69" s="69"/>
      <c r="G69" s="70"/>
    </row>
    <row r="70" ht="19.5" customHeight="1">
      <c r="A70" s="55"/>
      <c r="B70" s="104">
        <v>45918.0</v>
      </c>
      <c r="C70" s="67">
        <v>9022.37</v>
      </c>
      <c r="D70" s="67"/>
      <c r="E70" s="68" t="s">
        <v>748</v>
      </c>
      <c r="F70" s="69"/>
      <c r="G70" s="70"/>
    </row>
    <row r="71" ht="19.5" customHeight="1">
      <c r="A71" s="55"/>
      <c r="B71" s="56">
        <v>45919.0</v>
      </c>
      <c r="C71" s="63">
        <v>42052.96</v>
      </c>
      <c r="D71" s="63"/>
      <c r="E71" s="64" t="s">
        <v>225</v>
      </c>
      <c r="F71" s="61" t="s">
        <v>226</v>
      </c>
      <c r="G71" s="62"/>
    </row>
    <row r="72" ht="19.5" customHeight="1">
      <c r="A72" s="55"/>
      <c r="B72" s="104">
        <v>45920.0</v>
      </c>
      <c r="C72" s="67">
        <v>14000.08</v>
      </c>
      <c r="D72" s="67"/>
      <c r="E72" s="68" t="s">
        <v>34</v>
      </c>
      <c r="F72" s="69"/>
      <c r="G72" s="70"/>
    </row>
    <row r="73" ht="19.5" customHeight="1">
      <c r="A73" s="55"/>
      <c r="B73" s="104">
        <v>45920.0</v>
      </c>
      <c r="C73" s="67">
        <v>119017.03</v>
      </c>
      <c r="D73" s="67"/>
      <c r="E73" s="68" t="s">
        <v>34</v>
      </c>
      <c r="F73" s="69"/>
      <c r="G73" s="70"/>
    </row>
    <row r="74" ht="19.5" customHeight="1">
      <c r="A74" s="55"/>
      <c r="B74" s="56">
        <v>45920.0</v>
      </c>
      <c r="C74" s="63"/>
      <c r="D74" s="63">
        <v>1.99</v>
      </c>
      <c r="E74" s="64" t="s">
        <v>749</v>
      </c>
      <c r="F74" s="61" t="s">
        <v>55</v>
      </c>
      <c r="G74" s="62"/>
    </row>
    <row r="75" ht="19.5" customHeight="1">
      <c r="A75" s="55"/>
      <c r="B75" s="104">
        <v>45921.0</v>
      </c>
      <c r="C75" s="67">
        <v>1677.86</v>
      </c>
      <c r="D75" s="67"/>
      <c r="E75" s="68" t="s">
        <v>650</v>
      </c>
      <c r="F75" s="69"/>
      <c r="G75" s="70"/>
    </row>
    <row r="76" ht="19.5" customHeight="1">
      <c r="A76" s="55"/>
      <c r="B76" s="104">
        <v>45922.0</v>
      </c>
      <c r="C76" s="67">
        <v>5560.0</v>
      </c>
      <c r="D76" s="67"/>
      <c r="E76" s="68" t="s">
        <v>29</v>
      </c>
      <c r="F76" s="69"/>
      <c r="G76" s="70"/>
    </row>
    <row r="77" ht="19.5" customHeight="1">
      <c r="A77" s="55"/>
      <c r="B77" s="121">
        <v>45923.0</v>
      </c>
      <c r="C77" s="134">
        <v>95000.0</v>
      </c>
      <c r="D77" s="134"/>
      <c r="E77" s="135" t="s">
        <v>750</v>
      </c>
      <c r="F77" s="127"/>
      <c r="G77" s="128"/>
    </row>
    <row r="78" ht="19.5" customHeight="1">
      <c r="A78" s="55"/>
      <c r="B78" s="56">
        <v>45923.0</v>
      </c>
      <c r="C78" s="63">
        <v>44298.0</v>
      </c>
      <c r="D78" s="63"/>
      <c r="E78" s="64" t="s">
        <v>24</v>
      </c>
      <c r="F78" s="98" t="s">
        <v>751</v>
      </c>
      <c r="G78" s="62" t="s">
        <v>26</v>
      </c>
    </row>
    <row r="79" ht="19.5" customHeight="1">
      <c r="A79" s="55"/>
      <c r="B79" s="121">
        <v>45923.0</v>
      </c>
      <c r="C79" s="134">
        <v>1584523.77</v>
      </c>
      <c r="D79" s="134"/>
      <c r="E79" s="135" t="s">
        <v>92</v>
      </c>
      <c r="F79" s="127"/>
      <c r="G79" s="128"/>
    </row>
    <row r="80" ht="19.5" customHeight="1">
      <c r="A80" s="55"/>
      <c r="B80" s="56">
        <v>45924.0</v>
      </c>
      <c r="C80" s="63">
        <v>49150.0</v>
      </c>
      <c r="D80" s="63"/>
      <c r="E80" s="64" t="s">
        <v>24</v>
      </c>
      <c r="F80" s="98" t="s">
        <v>752</v>
      </c>
      <c r="G80" s="62" t="s">
        <v>26</v>
      </c>
    </row>
    <row r="81" ht="19.5" customHeight="1">
      <c r="A81" s="55"/>
      <c r="B81" s="104">
        <v>45925.0</v>
      </c>
      <c r="C81" s="67">
        <v>15039.94</v>
      </c>
      <c r="D81" s="67"/>
      <c r="E81" s="68" t="s">
        <v>34</v>
      </c>
      <c r="F81" s="69"/>
      <c r="G81" s="70"/>
    </row>
    <row r="82" ht="19.5" customHeight="1">
      <c r="A82" s="55"/>
      <c r="B82" s="104">
        <v>45925.0</v>
      </c>
      <c r="C82" s="67">
        <v>18800.0</v>
      </c>
      <c r="D82" s="67"/>
      <c r="E82" s="68" t="s">
        <v>214</v>
      </c>
      <c r="F82" s="69"/>
      <c r="G82" s="70"/>
    </row>
    <row r="83" ht="19.5" customHeight="1">
      <c r="A83" s="55"/>
      <c r="B83" s="104">
        <v>45925.0</v>
      </c>
      <c r="C83" s="67">
        <v>2200.0</v>
      </c>
      <c r="D83" s="67"/>
      <c r="E83" s="68" t="s">
        <v>214</v>
      </c>
      <c r="F83" s="69"/>
      <c r="G83" s="70"/>
    </row>
    <row r="84" ht="19.5" customHeight="1">
      <c r="A84" s="55"/>
      <c r="B84" s="121">
        <v>45926.0</v>
      </c>
      <c r="C84" s="134">
        <v>14410.0</v>
      </c>
      <c r="D84" s="134"/>
      <c r="E84" s="135" t="s">
        <v>84</v>
      </c>
      <c r="F84" s="127"/>
      <c r="G84" s="128"/>
    </row>
    <row r="85" ht="19.5" customHeight="1">
      <c r="A85" s="55"/>
      <c r="B85" s="104">
        <v>45927.0</v>
      </c>
      <c r="C85" s="67">
        <v>21000.0</v>
      </c>
      <c r="D85" s="67"/>
      <c r="E85" s="68" t="s">
        <v>753</v>
      </c>
      <c r="F85" s="69"/>
      <c r="G85" s="70"/>
    </row>
    <row r="86" ht="19.5" customHeight="1">
      <c r="A86" s="55"/>
      <c r="B86" s="104">
        <v>45929.0</v>
      </c>
      <c r="C86" s="67">
        <v>13320.0</v>
      </c>
      <c r="D86" s="67"/>
      <c r="E86" s="68" t="s">
        <v>475</v>
      </c>
      <c r="F86" s="69"/>
      <c r="G86" s="70"/>
    </row>
    <row r="87" ht="19.5" customHeight="1">
      <c r="A87" s="55"/>
      <c r="B87" s="104">
        <v>45929.0</v>
      </c>
      <c r="C87" s="67">
        <v>22831.03</v>
      </c>
      <c r="D87" s="67"/>
      <c r="E87" s="68" t="s">
        <v>472</v>
      </c>
      <c r="F87" s="69"/>
      <c r="G87" s="70"/>
    </row>
    <row r="88" ht="19.5" customHeight="1">
      <c r="A88" s="55"/>
      <c r="B88" s="104">
        <v>45929.0</v>
      </c>
      <c r="C88" s="67">
        <v>9500.0</v>
      </c>
      <c r="D88" s="67"/>
      <c r="E88" s="68" t="s">
        <v>132</v>
      </c>
      <c r="F88" s="69"/>
      <c r="G88" s="70"/>
    </row>
    <row r="89" ht="19.5" customHeight="1">
      <c r="A89" s="55"/>
      <c r="B89" s="56">
        <v>45931.0</v>
      </c>
      <c r="C89" s="63">
        <v>44298.0</v>
      </c>
      <c r="D89" s="63"/>
      <c r="E89" s="64" t="s">
        <v>24</v>
      </c>
      <c r="F89" s="98" t="s">
        <v>754</v>
      </c>
      <c r="G89" s="62" t="s">
        <v>26</v>
      </c>
    </row>
    <row r="90" ht="19.5" customHeight="1">
      <c r="A90" s="76"/>
      <c r="B90" s="104">
        <v>45931.0</v>
      </c>
      <c r="C90" s="67">
        <v>9880.0</v>
      </c>
      <c r="D90" s="67"/>
      <c r="E90" s="68" t="s">
        <v>475</v>
      </c>
      <c r="F90" s="69"/>
      <c r="G90" s="70"/>
    </row>
    <row r="91" ht="30.0" customHeight="1">
      <c r="A91" s="78" t="s">
        <v>111</v>
      </c>
      <c r="B91" s="79"/>
      <c r="C91" s="80">
        <f t="shared" ref="C91:D91" si="3">SUM(C19:C90)</f>
        <v>6690670.88</v>
      </c>
      <c r="D91" s="80">
        <f t="shared" si="3"/>
        <v>13.97</v>
      </c>
      <c r="E91" s="81"/>
      <c r="F91" s="82"/>
    </row>
    <row r="92" ht="4.5" customHeight="1">
      <c r="A92" s="116"/>
      <c r="B92" s="115"/>
      <c r="C92" s="115"/>
      <c r="D92" s="115"/>
      <c r="E92" s="115"/>
      <c r="F92" s="115"/>
      <c r="G92" s="79"/>
    </row>
    <row r="93" ht="19.5" customHeight="1">
      <c r="A93" s="49" t="s">
        <v>112</v>
      </c>
      <c r="B93" s="65">
        <v>45836.0</v>
      </c>
      <c r="C93" s="63">
        <v>23333.33</v>
      </c>
      <c r="D93" s="51"/>
      <c r="E93" s="64" t="s">
        <v>575</v>
      </c>
      <c r="F93" s="61" t="s">
        <v>755</v>
      </c>
      <c r="G93" s="62" t="s">
        <v>44</v>
      </c>
    </row>
    <row r="94" ht="19.5" customHeight="1">
      <c r="A94" s="55"/>
      <c r="B94" s="65">
        <v>45898.0</v>
      </c>
      <c r="C94" s="63">
        <v>30000.0</v>
      </c>
      <c r="D94" s="57"/>
      <c r="E94" s="64" t="s">
        <v>418</v>
      </c>
      <c r="F94" s="61" t="s">
        <v>667</v>
      </c>
      <c r="G94" s="62" t="s">
        <v>44</v>
      </c>
    </row>
    <row r="95" ht="19.5" customHeight="1">
      <c r="A95" s="55"/>
      <c r="B95" s="65">
        <v>45898.0</v>
      </c>
      <c r="C95" s="63">
        <v>20000.0</v>
      </c>
      <c r="D95" s="57"/>
      <c r="E95" s="64" t="s">
        <v>418</v>
      </c>
      <c r="F95" s="61" t="s">
        <v>667</v>
      </c>
      <c r="G95" s="62" t="s">
        <v>44</v>
      </c>
    </row>
    <row r="96" ht="19.5" customHeight="1">
      <c r="A96" s="55"/>
      <c r="B96" s="65">
        <v>45900.0</v>
      </c>
      <c r="C96" s="63">
        <v>54633.67</v>
      </c>
      <c r="D96" s="57"/>
      <c r="E96" s="64" t="s">
        <v>116</v>
      </c>
      <c r="F96" s="61" t="s">
        <v>579</v>
      </c>
      <c r="G96" s="62" t="s">
        <v>44</v>
      </c>
    </row>
    <row r="97" ht="19.5" customHeight="1">
      <c r="A97" s="55"/>
      <c r="B97" s="65">
        <v>45900.0</v>
      </c>
      <c r="C97" s="63">
        <v>33672.99</v>
      </c>
      <c r="D97" s="57"/>
      <c r="E97" s="64" t="s">
        <v>116</v>
      </c>
      <c r="F97" s="61" t="s">
        <v>578</v>
      </c>
      <c r="G97" s="62" t="s">
        <v>26</v>
      </c>
    </row>
    <row r="98" ht="19.5" customHeight="1">
      <c r="A98" s="55"/>
      <c r="B98" s="65">
        <v>45901.0</v>
      </c>
      <c r="C98" s="63">
        <v>20000.0</v>
      </c>
      <c r="D98" s="57"/>
      <c r="E98" s="64" t="s">
        <v>418</v>
      </c>
      <c r="F98" s="61" t="s">
        <v>667</v>
      </c>
      <c r="G98" s="62" t="s">
        <v>44</v>
      </c>
    </row>
    <row r="99" ht="19.5" customHeight="1">
      <c r="A99" s="55"/>
      <c r="B99" s="65">
        <v>45903.0</v>
      </c>
      <c r="C99" s="63">
        <v>35940.0</v>
      </c>
      <c r="D99" s="57"/>
      <c r="E99" s="64" t="s">
        <v>214</v>
      </c>
      <c r="F99" s="61" t="s">
        <v>667</v>
      </c>
      <c r="G99" s="62" t="s">
        <v>44</v>
      </c>
    </row>
    <row r="100" ht="19.5" customHeight="1">
      <c r="A100" s="55"/>
      <c r="B100" s="65">
        <v>45903.0</v>
      </c>
      <c r="C100" s="63">
        <v>500000.0</v>
      </c>
      <c r="D100" s="57"/>
      <c r="E100" s="64" t="s">
        <v>120</v>
      </c>
      <c r="F100" s="61" t="s">
        <v>756</v>
      </c>
      <c r="G100" s="62" t="s">
        <v>26</v>
      </c>
    </row>
    <row r="101" ht="19.5" customHeight="1">
      <c r="A101" s="55"/>
      <c r="B101" s="65">
        <v>45904.0</v>
      </c>
      <c r="C101" s="63">
        <v>32346.0</v>
      </c>
      <c r="D101" s="57"/>
      <c r="E101" s="64" t="s">
        <v>214</v>
      </c>
      <c r="F101" s="61" t="s">
        <v>667</v>
      </c>
      <c r="G101" s="62" t="s">
        <v>44</v>
      </c>
    </row>
    <row r="102" ht="19.5" customHeight="1">
      <c r="A102" s="55"/>
      <c r="B102" s="65">
        <v>45904.0</v>
      </c>
      <c r="C102" s="63"/>
      <c r="D102" s="57">
        <v>0.99</v>
      </c>
      <c r="E102" s="64" t="s">
        <v>757</v>
      </c>
      <c r="F102" s="61" t="s">
        <v>758</v>
      </c>
      <c r="G102" s="62" t="s">
        <v>44</v>
      </c>
    </row>
    <row r="103" ht="19.5" customHeight="1">
      <c r="A103" s="55"/>
      <c r="B103" s="65">
        <v>45906.0</v>
      </c>
      <c r="C103" s="63">
        <v>29999.98</v>
      </c>
      <c r="D103" s="57"/>
      <c r="E103" s="64" t="s">
        <v>214</v>
      </c>
      <c r="F103" s="61" t="s">
        <v>667</v>
      </c>
      <c r="G103" s="62" t="s">
        <v>44</v>
      </c>
    </row>
    <row r="104" ht="19.5" customHeight="1">
      <c r="A104" s="55"/>
      <c r="B104" s="65">
        <v>45907.0</v>
      </c>
      <c r="C104" s="63">
        <v>74027.67</v>
      </c>
      <c r="D104" s="57"/>
      <c r="E104" s="64" t="s">
        <v>116</v>
      </c>
      <c r="F104" s="61" t="s">
        <v>759</v>
      </c>
      <c r="G104" s="62" t="s">
        <v>26</v>
      </c>
    </row>
    <row r="105" ht="19.5" customHeight="1">
      <c r="A105" s="55"/>
      <c r="B105" s="65">
        <v>45907.0</v>
      </c>
      <c r="C105" s="63">
        <v>17999.0</v>
      </c>
      <c r="D105" s="57"/>
      <c r="E105" s="64" t="s">
        <v>116</v>
      </c>
      <c r="F105" s="61" t="s">
        <v>759</v>
      </c>
      <c r="G105" s="62" t="s">
        <v>26</v>
      </c>
    </row>
    <row r="106" ht="19.5" customHeight="1">
      <c r="A106" s="55"/>
      <c r="B106" s="65">
        <v>45907.0</v>
      </c>
      <c r="C106" s="63">
        <v>127237.51</v>
      </c>
      <c r="D106" s="57"/>
      <c r="E106" s="64" t="s">
        <v>116</v>
      </c>
      <c r="F106" s="61" t="s">
        <v>579</v>
      </c>
      <c r="G106" s="62" t="s">
        <v>44</v>
      </c>
    </row>
    <row r="107" ht="19.5" customHeight="1">
      <c r="A107" s="55"/>
      <c r="B107" s="65">
        <v>45908.0</v>
      </c>
      <c r="C107" s="63">
        <v>35940.0</v>
      </c>
      <c r="D107" s="57"/>
      <c r="E107" s="64" t="s">
        <v>214</v>
      </c>
      <c r="F107" s="61" t="s">
        <v>667</v>
      </c>
      <c r="G107" s="62" t="s">
        <v>44</v>
      </c>
    </row>
    <row r="108" ht="19.5" customHeight="1">
      <c r="A108" s="55"/>
      <c r="B108" s="65">
        <v>45910.0</v>
      </c>
      <c r="C108" s="63">
        <v>35940.0</v>
      </c>
      <c r="D108" s="57"/>
      <c r="E108" s="64" t="s">
        <v>214</v>
      </c>
      <c r="F108" s="61" t="s">
        <v>667</v>
      </c>
      <c r="G108" s="62" t="s">
        <v>44</v>
      </c>
    </row>
    <row r="109" ht="19.5" customHeight="1">
      <c r="A109" s="55"/>
      <c r="B109" s="65">
        <v>45911.0</v>
      </c>
      <c r="C109" s="63">
        <v>19999.98</v>
      </c>
      <c r="D109" s="57"/>
      <c r="E109" s="64" t="s">
        <v>214</v>
      </c>
      <c r="F109" s="61" t="s">
        <v>667</v>
      </c>
      <c r="G109" s="62" t="s">
        <v>44</v>
      </c>
    </row>
    <row r="110" ht="19.5" customHeight="1">
      <c r="A110" s="55"/>
      <c r="B110" s="65">
        <v>45911.0</v>
      </c>
      <c r="C110" s="63">
        <v>20000.0</v>
      </c>
      <c r="D110" s="57"/>
      <c r="E110" s="64" t="s">
        <v>418</v>
      </c>
      <c r="F110" s="61" t="s">
        <v>667</v>
      </c>
      <c r="G110" s="62" t="s">
        <v>44</v>
      </c>
    </row>
    <row r="111" ht="19.5" customHeight="1">
      <c r="A111" s="55"/>
      <c r="B111" s="65">
        <v>45912.0</v>
      </c>
      <c r="C111" s="63">
        <v>20000.0</v>
      </c>
      <c r="D111" s="57"/>
      <c r="E111" s="64" t="s">
        <v>418</v>
      </c>
      <c r="F111" s="61" t="s">
        <v>667</v>
      </c>
      <c r="G111" s="62" t="s">
        <v>44</v>
      </c>
    </row>
    <row r="112" ht="19.5" customHeight="1">
      <c r="A112" s="55"/>
      <c r="B112" s="65">
        <v>45914.0</v>
      </c>
      <c r="C112" s="63">
        <v>20000.0</v>
      </c>
      <c r="D112" s="57"/>
      <c r="E112" s="64" t="s">
        <v>670</v>
      </c>
      <c r="F112" s="61" t="s">
        <v>760</v>
      </c>
      <c r="G112" s="62" t="s">
        <v>44</v>
      </c>
    </row>
    <row r="113" ht="19.5" customHeight="1">
      <c r="A113" s="55"/>
      <c r="B113" s="65">
        <v>45914.0</v>
      </c>
      <c r="C113" s="63">
        <v>201362.9</v>
      </c>
      <c r="D113" s="63"/>
      <c r="E113" s="64" t="s">
        <v>761</v>
      </c>
      <c r="F113" s="61" t="s">
        <v>762</v>
      </c>
      <c r="G113" s="62" t="s">
        <v>44</v>
      </c>
    </row>
    <row r="114" ht="19.5" customHeight="1">
      <c r="A114" s="55"/>
      <c r="B114" s="65">
        <v>45914.0</v>
      </c>
      <c r="C114" s="63">
        <v>49140.0</v>
      </c>
      <c r="D114" s="63"/>
      <c r="E114" s="64" t="s">
        <v>672</v>
      </c>
      <c r="F114" s="61" t="s">
        <v>763</v>
      </c>
      <c r="G114" s="62" t="s">
        <v>44</v>
      </c>
    </row>
    <row r="115" ht="19.5" customHeight="1">
      <c r="A115" s="55"/>
      <c r="B115" s="65">
        <v>45915.0</v>
      </c>
      <c r="C115" s="63">
        <v>29999.95</v>
      </c>
      <c r="D115" s="63"/>
      <c r="E115" s="64" t="s">
        <v>214</v>
      </c>
      <c r="F115" s="61" t="s">
        <v>667</v>
      </c>
      <c r="G115" s="62" t="s">
        <v>44</v>
      </c>
    </row>
    <row r="116" ht="19.5" customHeight="1">
      <c r="A116" s="55"/>
      <c r="B116" s="65">
        <v>45915.0</v>
      </c>
      <c r="C116" s="63">
        <v>58857.12</v>
      </c>
      <c r="D116" s="63"/>
      <c r="E116" s="64" t="s">
        <v>119</v>
      </c>
      <c r="F116" s="61" t="s">
        <v>579</v>
      </c>
      <c r="G116" s="62" t="s">
        <v>44</v>
      </c>
    </row>
    <row r="117" ht="19.5" customHeight="1">
      <c r="A117" s="55"/>
      <c r="B117" s="65">
        <v>45917.0</v>
      </c>
      <c r="C117" s="63">
        <v>29999.95</v>
      </c>
      <c r="D117" s="63"/>
      <c r="E117" s="64" t="s">
        <v>214</v>
      </c>
      <c r="F117" s="61" t="s">
        <v>667</v>
      </c>
      <c r="G117" s="62" t="s">
        <v>44</v>
      </c>
    </row>
    <row r="118" ht="19.5" customHeight="1">
      <c r="A118" s="55"/>
      <c r="B118" s="65">
        <v>45917.0</v>
      </c>
      <c r="C118" s="63">
        <v>234221.8</v>
      </c>
      <c r="D118" s="63"/>
      <c r="E118" s="64" t="s">
        <v>326</v>
      </c>
      <c r="F118" s="61" t="s">
        <v>764</v>
      </c>
      <c r="G118" s="62" t="s">
        <v>26</v>
      </c>
    </row>
    <row r="119" ht="19.5" customHeight="1">
      <c r="A119" s="55"/>
      <c r="B119" s="65">
        <v>45918.0</v>
      </c>
      <c r="C119" s="63">
        <v>781442.78</v>
      </c>
      <c r="D119" s="63"/>
      <c r="E119" s="64" t="s">
        <v>120</v>
      </c>
      <c r="F119" s="61" t="s">
        <v>756</v>
      </c>
      <c r="G119" s="62" t="s">
        <v>26</v>
      </c>
    </row>
    <row r="120" ht="19.5" customHeight="1">
      <c r="A120" s="55"/>
      <c r="B120" s="65">
        <v>45920.0</v>
      </c>
      <c r="C120" s="63">
        <v>22600.0</v>
      </c>
      <c r="D120" s="63"/>
      <c r="E120" s="64" t="s">
        <v>575</v>
      </c>
      <c r="F120" s="61" t="s">
        <v>588</v>
      </c>
      <c r="G120" s="62" t="s">
        <v>44</v>
      </c>
    </row>
    <row r="121" ht="19.5" customHeight="1">
      <c r="A121" s="55"/>
      <c r="B121" s="65">
        <v>45921.0</v>
      </c>
      <c r="C121" s="63">
        <v>102710.38</v>
      </c>
      <c r="D121" s="63"/>
      <c r="E121" s="64" t="s">
        <v>116</v>
      </c>
      <c r="F121" s="61" t="s">
        <v>668</v>
      </c>
      <c r="G121" s="62" t="s">
        <v>586</v>
      </c>
    </row>
    <row r="122" ht="19.5" customHeight="1">
      <c r="A122" s="55"/>
      <c r="B122" s="65">
        <v>45922.0</v>
      </c>
      <c r="C122" s="63">
        <v>20000.07</v>
      </c>
      <c r="D122" s="63"/>
      <c r="E122" s="98" t="s">
        <v>214</v>
      </c>
      <c r="F122" s="61" t="s">
        <v>667</v>
      </c>
      <c r="G122" s="62" t="s">
        <v>44</v>
      </c>
    </row>
    <row r="123" ht="19.5" customHeight="1">
      <c r="A123" s="55"/>
      <c r="B123" s="65">
        <v>45924.0</v>
      </c>
      <c r="C123" s="63">
        <v>33516.0</v>
      </c>
      <c r="D123" s="63"/>
      <c r="E123" s="64" t="s">
        <v>214</v>
      </c>
      <c r="F123" s="61" t="s">
        <v>667</v>
      </c>
      <c r="G123" s="62" t="s">
        <v>44</v>
      </c>
    </row>
    <row r="124" ht="19.5" customHeight="1">
      <c r="A124" s="55"/>
      <c r="B124" s="65">
        <v>45927.0</v>
      </c>
      <c r="C124" s="63">
        <v>7300.0</v>
      </c>
      <c r="D124" s="63"/>
      <c r="E124" s="64" t="s">
        <v>765</v>
      </c>
      <c r="F124" s="61" t="s">
        <v>490</v>
      </c>
      <c r="G124" s="62" t="s">
        <v>44</v>
      </c>
    </row>
    <row r="125" ht="19.5" customHeight="1">
      <c r="A125" s="55"/>
      <c r="B125" s="65">
        <v>45929.0</v>
      </c>
      <c r="C125" s="63">
        <v>37240.0</v>
      </c>
      <c r="D125" s="63"/>
      <c r="E125" s="64" t="s">
        <v>214</v>
      </c>
      <c r="F125" s="61" t="s">
        <v>667</v>
      </c>
      <c r="G125" s="62" t="s">
        <v>44</v>
      </c>
    </row>
    <row r="126" ht="19.5" customHeight="1">
      <c r="A126" s="55"/>
      <c r="B126" s="65">
        <v>45930.0</v>
      </c>
      <c r="C126" s="63">
        <v>37240.0</v>
      </c>
      <c r="D126" s="63"/>
      <c r="E126" s="64" t="s">
        <v>214</v>
      </c>
      <c r="F126" s="61" t="s">
        <v>667</v>
      </c>
      <c r="G126" s="62" t="s">
        <v>44</v>
      </c>
    </row>
    <row r="127" ht="30.0" customHeight="1">
      <c r="A127" s="78" t="s">
        <v>111</v>
      </c>
      <c r="B127" s="79"/>
      <c r="C127" s="80">
        <f t="shared" ref="C127:D127" si="4">SUM(C93:C126)</f>
        <v>2796701.08</v>
      </c>
      <c r="D127" s="80">
        <f t="shared" si="4"/>
        <v>0.99</v>
      </c>
      <c r="E127" s="81"/>
      <c r="F127" s="82"/>
    </row>
    <row r="128" ht="4.5" customHeight="1">
      <c r="A128" s="116"/>
      <c r="B128" s="115"/>
      <c r="C128" s="115"/>
      <c r="D128" s="115"/>
      <c r="E128" s="115"/>
      <c r="F128" s="115"/>
      <c r="G128" s="79"/>
    </row>
    <row r="129" ht="19.5" customHeight="1">
      <c r="A129" s="49" t="s">
        <v>14</v>
      </c>
      <c r="B129" s="50">
        <v>45908.0</v>
      </c>
      <c r="C129" s="51">
        <v>103578.39</v>
      </c>
      <c r="D129" s="51"/>
      <c r="E129" s="52" t="s">
        <v>766</v>
      </c>
      <c r="F129" s="53" t="s">
        <v>767</v>
      </c>
      <c r="G129" s="54" t="s">
        <v>26</v>
      </c>
    </row>
    <row r="130" ht="19.5" customHeight="1">
      <c r="A130" s="55"/>
      <c r="B130" s="56">
        <v>45908.0</v>
      </c>
      <c r="C130" s="57">
        <v>291798.56</v>
      </c>
      <c r="D130" s="57"/>
      <c r="E130" s="58" t="s">
        <v>766</v>
      </c>
      <c r="F130" s="59" t="s">
        <v>768</v>
      </c>
      <c r="G130" s="60" t="s">
        <v>26</v>
      </c>
    </row>
    <row r="131" ht="19.5" customHeight="1">
      <c r="A131" s="55"/>
      <c r="B131" s="65">
        <v>45925.0</v>
      </c>
      <c r="C131" s="63">
        <v>2432.0</v>
      </c>
      <c r="D131" s="63"/>
      <c r="E131" s="64" t="s">
        <v>545</v>
      </c>
      <c r="F131" s="61" t="s">
        <v>769</v>
      </c>
      <c r="G131" s="62" t="s">
        <v>44</v>
      </c>
    </row>
    <row r="132" ht="30.0" customHeight="1">
      <c r="A132" s="78" t="s">
        <v>111</v>
      </c>
      <c r="B132" s="79"/>
      <c r="C132" s="80">
        <f t="shared" ref="C132:D132" si="5">SUM(C129:C131)</f>
        <v>397808.95</v>
      </c>
      <c r="D132" s="80">
        <f t="shared" si="5"/>
        <v>0</v>
      </c>
      <c r="E132" s="92"/>
      <c r="F132" s="82"/>
      <c r="G132" s="93"/>
    </row>
    <row r="133" ht="4.5" customHeight="1">
      <c r="A133" s="116"/>
      <c r="B133" s="115"/>
      <c r="C133" s="115"/>
      <c r="D133" s="115"/>
      <c r="E133" s="115"/>
      <c r="F133" s="115"/>
      <c r="G133" s="79"/>
    </row>
    <row r="134" ht="19.5" customHeight="1">
      <c r="A134" s="49" t="s">
        <v>15</v>
      </c>
      <c r="B134" s="94">
        <v>45896.0</v>
      </c>
      <c r="C134" s="51">
        <v>10533.33</v>
      </c>
      <c r="D134" s="51"/>
      <c r="E134" s="52" t="s">
        <v>770</v>
      </c>
      <c r="F134" s="61" t="s">
        <v>698</v>
      </c>
      <c r="G134" s="143" t="s">
        <v>26</v>
      </c>
    </row>
    <row r="135" ht="19.5" customHeight="1">
      <c r="A135" s="55"/>
      <c r="B135" s="95">
        <v>45900.0</v>
      </c>
      <c r="C135" s="57">
        <v>10533.33</v>
      </c>
      <c r="D135" s="57"/>
      <c r="E135" s="58" t="s">
        <v>697</v>
      </c>
      <c r="F135" s="61" t="s">
        <v>771</v>
      </c>
      <c r="G135" s="143" t="s">
        <v>26</v>
      </c>
    </row>
    <row r="136" ht="19.5" customHeight="1">
      <c r="A136" s="55"/>
      <c r="B136" s="95">
        <v>45901.0</v>
      </c>
      <c r="C136" s="57">
        <v>126400.0</v>
      </c>
      <c r="D136" s="57"/>
      <c r="E136" s="58" t="s">
        <v>772</v>
      </c>
      <c r="F136" s="61" t="s">
        <v>773</v>
      </c>
      <c r="G136" s="130" t="s">
        <v>26</v>
      </c>
    </row>
    <row r="137" ht="19.5" customHeight="1">
      <c r="A137" s="55"/>
      <c r="B137" s="95">
        <v>45901.0</v>
      </c>
      <c r="C137" s="57">
        <v>221301.2</v>
      </c>
      <c r="D137" s="57"/>
      <c r="E137" s="58" t="s">
        <v>313</v>
      </c>
      <c r="F137" s="61" t="s">
        <v>774</v>
      </c>
      <c r="G137" s="130" t="s">
        <v>26</v>
      </c>
    </row>
    <row r="138" ht="19.5" customHeight="1">
      <c r="A138" s="55"/>
      <c r="B138" s="95">
        <v>45902.0</v>
      </c>
      <c r="C138" s="57">
        <v>33398.0</v>
      </c>
      <c r="D138" s="57"/>
      <c r="E138" s="58" t="s">
        <v>775</v>
      </c>
      <c r="F138" s="61" t="s">
        <v>776</v>
      </c>
      <c r="G138" s="130" t="s">
        <v>26</v>
      </c>
    </row>
    <row r="139" ht="19.5" customHeight="1">
      <c r="A139" s="55"/>
      <c r="B139" s="95">
        <v>45903.0</v>
      </c>
      <c r="C139" s="57">
        <v>38985.0</v>
      </c>
      <c r="D139" s="57"/>
      <c r="E139" s="58" t="s">
        <v>162</v>
      </c>
      <c r="F139" s="61" t="s">
        <v>777</v>
      </c>
      <c r="G139" s="130" t="s">
        <v>26</v>
      </c>
    </row>
    <row r="140" ht="19.5" customHeight="1">
      <c r="A140" s="55"/>
      <c r="B140" s="95">
        <v>45903.0</v>
      </c>
      <c r="C140" s="57">
        <v>31927.3</v>
      </c>
      <c r="D140" s="57"/>
      <c r="E140" s="58" t="s">
        <v>313</v>
      </c>
      <c r="F140" s="61" t="s">
        <v>778</v>
      </c>
      <c r="G140" s="130" t="s">
        <v>26</v>
      </c>
    </row>
    <row r="141" ht="19.5" customHeight="1">
      <c r="A141" s="55"/>
      <c r="B141" s="95">
        <v>45904.0</v>
      </c>
      <c r="C141" s="57">
        <v>22470.0</v>
      </c>
      <c r="D141" s="57"/>
      <c r="E141" s="58" t="s">
        <v>162</v>
      </c>
      <c r="F141" s="61" t="s">
        <v>779</v>
      </c>
      <c r="G141" s="130" t="s">
        <v>26</v>
      </c>
    </row>
    <row r="142" ht="19.5" customHeight="1">
      <c r="A142" s="55"/>
      <c r="B142" s="95">
        <v>45904.0</v>
      </c>
      <c r="C142" s="57">
        <v>104603.2</v>
      </c>
      <c r="D142" s="57"/>
      <c r="E142" s="58" t="s">
        <v>162</v>
      </c>
      <c r="F142" s="61" t="s">
        <v>780</v>
      </c>
      <c r="G142" s="130" t="s">
        <v>26</v>
      </c>
    </row>
    <row r="143" ht="19.5" customHeight="1">
      <c r="A143" s="55"/>
      <c r="B143" s="95">
        <v>45904.0</v>
      </c>
      <c r="C143" s="57">
        <v>19848.5</v>
      </c>
      <c r="D143" s="57"/>
      <c r="E143" s="58" t="s">
        <v>162</v>
      </c>
      <c r="F143" s="61" t="s">
        <v>781</v>
      </c>
      <c r="G143" s="130" t="s">
        <v>26</v>
      </c>
    </row>
    <row r="144" ht="19.5" customHeight="1">
      <c r="A144" s="55"/>
      <c r="B144" s="95">
        <v>45904.0</v>
      </c>
      <c r="C144" s="57">
        <v>282696.06</v>
      </c>
      <c r="D144" s="57"/>
      <c r="E144" s="58" t="s">
        <v>179</v>
      </c>
      <c r="F144" s="61" t="s">
        <v>782</v>
      </c>
      <c r="G144" s="130" t="s">
        <v>26</v>
      </c>
    </row>
    <row r="145" ht="19.5" customHeight="1">
      <c r="A145" s="55"/>
      <c r="B145" s="95">
        <v>45906.0</v>
      </c>
      <c r="C145" s="57">
        <v>85460.0</v>
      </c>
      <c r="D145" s="57"/>
      <c r="E145" s="58" t="s">
        <v>162</v>
      </c>
      <c r="F145" s="61" t="s">
        <v>783</v>
      </c>
      <c r="G145" s="130" t="s">
        <v>26</v>
      </c>
    </row>
    <row r="146" ht="19.5" customHeight="1">
      <c r="A146" s="55"/>
      <c r="B146" s="95">
        <v>45908.0</v>
      </c>
      <c r="C146" s="57">
        <v>154080.0</v>
      </c>
      <c r="D146" s="57"/>
      <c r="E146" s="58" t="s">
        <v>162</v>
      </c>
      <c r="F146" s="61" t="s">
        <v>784</v>
      </c>
      <c r="G146" s="130" t="s">
        <v>26</v>
      </c>
    </row>
    <row r="147" ht="19.5" customHeight="1">
      <c r="A147" s="55"/>
      <c r="B147" s="95">
        <v>45908.0</v>
      </c>
      <c r="C147" s="57">
        <v>77040.0</v>
      </c>
      <c r="D147" s="57"/>
      <c r="E147" s="58" t="s">
        <v>162</v>
      </c>
      <c r="F147" s="61" t="s">
        <v>784</v>
      </c>
      <c r="G147" s="130" t="s">
        <v>26</v>
      </c>
    </row>
    <row r="148" ht="19.5" customHeight="1">
      <c r="A148" s="55"/>
      <c r="B148" s="95">
        <v>45910.0</v>
      </c>
      <c r="C148" s="57">
        <v>53500.0</v>
      </c>
      <c r="D148" s="57"/>
      <c r="E148" s="58" t="s">
        <v>162</v>
      </c>
      <c r="F148" s="61" t="s">
        <v>785</v>
      </c>
      <c r="G148" s="130" t="s">
        <v>26</v>
      </c>
    </row>
    <row r="149" ht="19.5" customHeight="1">
      <c r="A149" s="55"/>
      <c r="B149" s="95">
        <v>45912.0</v>
      </c>
      <c r="C149" s="57">
        <v>85460.0</v>
      </c>
      <c r="D149" s="57"/>
      <c r="E149" s="58" t="s">
        <v>162</v>
      </c>
      <c r="F149" s="61" t="s">
        <v>786</v>
      </c>
      <c r="G149" s="130" t="s">
        <v>26</v>
      </c>
    </row>
    <row r="150" ht="19.5" customHeight="1">
      <c r="A150" s="55"/>
      <c r="B150" s="95">
        <v>45912.0</v>
      </c>
      <c r="C150" s="57">
        <v>241112.0</v>
      </c>
      <c r="D150" s="57"/>
      <c r="E150" s="58" t="s">
        <v>162</v>
      </c>
      <c r="F150" s="61" t="s">
        <v>736</v>
      </c>
      <c r="G150" s="130" t="s">
        <v>26</v>
      </c>
    </row>
    <row r="151" ht="19.5" customHeight="1">
      <c r="A151" s="55"/>
      <c r="B151" s="95">
        <v>45918.0</v>
      </c>
      <c r="C151" s="57">
        <v>10368.63</v>
      </c>
      <c r="D151" s="57"/>
      <c r="E151" s="58" t="s">
        <v>683</v>
      </c>
      <c r="F151" s="61" t="s">
        <v>787</v>
      </c>
      <c r="G151" s="130" t="s">
        <v>26</v>
      </c>
    </row>
    <row r="152" ht="19.5" customHeight="1">
      <c r="A152" s="55"/>
      <c r="B152" s="95">
        <v>45919.0</v>
      </c>
      <c r="C152" s="57">
        <v>30220.39</v>
      </c>
      <c r="D152" s="57"/>
      <c r="E152" s="58" t="s">
        <v>231</v>
      </c>
      <c r="F152" s="61" t="s">
        <v>788</v>
      </c>
      <c r="G152" s="130" t="s">
        <v>26</v>
      </c>
    </row>
    <row r="153" ht="30.0" customHeight="1">
      <c r="A153" s="78" t="s">
        <v>111</v>
      </c>
      <c r="B153" s="79"/>
      <c r="C153" s="80">
        <f t="shared" ref="C153:D153" si="6">SUM(C134:C152)</f>
        <v>1639936.94</v>
      </c>
      <c r="D153" s="80">
        <f t="shared" si="6"/>
        <v>0</v>
      </c>
      <c r="E153" s="81"/>
      <c r="F153" s="98"/>
    </row>
    <row r="154" ht="4.5" customHeight="1">
      <c r="A154" s="116"/>
      <c r="B154" s="115"/>
      <c r="C154" s="115"/>
      <c r="D154" s="115"/>
      <c r="E154" s="115"/>
      <c r="F154" s="115"/>
      <c r="G154" s="79"/>
    </row>
    <row r="155" ht="19.5" customHeight="1">
      <c r="A155" s="49" t="s">
        <v>125</v>
      </c>
      <c r="B155" s="50">
        <v>45855.0</v>
      </c>
      <c r="C155" s="51">
        <v>165833.33</v>
      </c>
      <c r="D155" s="51"/>
      <c r="E155" s="52" t="s">
        <v>789</v>
      </c>
      <c r="F155" s="61" t="s">
        <v>613</v>
      </c>
      <c r="G155" s="62"/>
    </row>
    <row r="156" ht="19.5" customHeight="1">
      <c r="A156" s="55"/>
      <c r="B156" s="56">
        <v>45888.0</v>
      </c>
      <c r="C156" s="57">
        <v>35098.83</v>
      </c>
      <c r="D156" s="57"/>
      <c r="E156" s="52" t="s">
        <v>714</v>
      </c>
      <c r="F156" s="61"/>
      <c r="G156" s="62"/>
    </row>
    <row r="157" ht="19.5" customHeight="1">
      <c r="A157" s="55"/>
      <c r="B157" s="56">
        <v>45900.0</v>
      </c>
      <c r="C157" s="57">
        <v>70510.96</v>
      </c>
      <c r="D157" s="57"/>
      <c r="E157" s="58" t="s">
        <v>790</v>
      </c>
      <c r="F157" s="61" t="s">
        <v>791</v>
      </c>
      <c r="G157" s="62"/>
    </row>
    <row r="158" ht="19.5" customHeight="1">
      <c r="A158" s="55"/>
      <c r="B158" s="56">
        <v>45900.0</v>
      </c>
      <c r="C158" s="57">
        <v>15300.0</v>
      </c>
      <c r="D158" s="57"/>
      <c r="E158" s="58" t="s">
        <v>790</v>
      </c>
      <c r="F158" s="61" t="s">
        <v>792</v>
      </c>
      <c r="G158" s="62"/>
    </row>
    <row r="159" ht="19.5" customHeight="1">
      <c r="A159" s="55"/>
      <c r="B159" s="56">
        <v>45901.0</v>
      </c>
      <c r="C159" s="57">
        <v>5900.0</v>
      </c>
      <c r="D159" s="57"/>
      <c r="E159" s="58" t="s">
        <v>505</v>
      </c>
      <c r="F159" s="61" t="s">
        <v>793</v>
      </c>
      <c r="G159" s="62"/>
    </row>
    <row r="160" ht="19.5" customHeight="1">
      <c r="A160" s="55"/>
      <c r="B160" s="56">
        <v>45902.0</v>
      </c>
      <c r="C160" s="57">
        <v>6500.0</v>
      </c>
      <c r="D160" s="57"/>
      <c r="E160" s="58" t="s">
        <v>441</v>
      </c>
      <c r="F160" s="61" t="s">
        <v>794</v>
      </c>
      <c r="G160" s="62"/>
    </row>
    <row r="161" ht="19.5" customHeight="1">
      <c r="A161" s="55"/>
      <c r="B161" s="56">
        <v>45903.0</v>
      </c>
      <c r="C161" s="57">
        <v>9920.0</v>
      </c>
      <c r="D161" s="57"/>
      <c r="E161" s="58" t="s">
        <v>345</v>
      </c>
      <c r="F161" s="61"/>
      <c r="G161" s="62"/>
    </row>
    <row r="162" ht="19.5" customHeight="1">
      <c r="A162" s="55"/>
      <c r="B162" s="56">
        <v>45903.0</v>
      </c>
      <c r="C162" s="57">
        <v>14600.0</v>
      </c>
      <c r="D162" s="57"/>
      <c r="E162" s="58" t="s">
        <v>456</v>
      </c>
      <c r="F162" s="61"/>
      <c r="G162" s="62"/>
    </row>
    <row r="163" ht="19.5" customHeight="1">
      <c r="A163" s="55"/>
      <c r="B163" s="56">
        <v>45904.0</v>
      </c>
      <c r="C163" s="57">
        <v>3446.0</v>
      </c>
      <c r="D163" s="57"/>
      <c r="E163" s="58" t="s">
        <v>441</v>
      </c>
      <c r="F163" s="59"/>
      <c r="G163" s="60"/>
    </row>
    <row r="164" ht="19.5" customHeight="1">
      <c r="A164" s="55"/>
      <c r="B164" s="56">
        <v>45905.0</v>
      </c>
      <c r="C164" s="57">
        <v>6650.0</v>
      </c>
      <c r="D164" s="57"/>
      <c r="E164" s="58" t="s">
        <v>391</v>
      </c>
      <c r="F164" s="59"/>
      <c r="G164" s="60"/>
    </row>
    <row r="165" ht="19.5" customHeight="1">
      <c r="A165" s="55"/>
      <c r="B165" s="56">
        <v>45905.0</v>
      </c>
      <c r="C165" s="57">
        <v>18910.0</v>
      </c>
      <c r="D165" s="57"/>
      <c r="E165" s="58" t="s">
        <v>795</v>
      </c>
      <c r="F165" s="59" t="s">
        <v>796</v>
      </c>
      <c r="G165" s="60"/>
    </row>
    <row r="166" ht="19.5" customHeight="1">
      <c r="A166" s="55"/>
      <c r="B166" s="56">
        <v>45905.0</v>
      </c>
      <c r="C166" s="57">
        <v>28527.0</v>
      </c>
      <c r="D166" s="57"/>
      <c r="E166" s="58" t="s">
        <v>797</v>
      </c>
      <c r="F166" s="59" t="s">
        <v>798</v>
      </c>
      <c r="G166" s="60"/>
    </row>
    <row r="167" ht="19.5" customHeight="1">
      <c r="A167" s="55"/>
      <c r="B167" s="56">
        <v>45905.0</v>
      </c>
      <c r="C167" s="57">
        <v>107499.0</v>
      </c>
      <c r="D167" s="57"/>
      <c r="E167" s="58" t="s">
        <v>436</v>
      </c>
      <c r="F167" s="59" t="s">
        <v>799</v>
      </c>
      <c r="G167" s="60"/>
    </row>
    <row r="168" ht="19.5" customHeight="1">
      <c r="A168" s="55"/>
      <c r="B168" s="56">
        <v>45905.0</v>
      </c>
      <c r="C168" s="57">
        <v>53000.1</v>
      </c>
      <c r="D168" s="57"/>
      <c r="E168" s="58" t="s">
        <v>800</v>
      </c>
      <c r="F168" s="59" t="s">
        <v>801</v>
      </c>
      <c r="G168" s="60"/>
    </row>
    <row r="169" ht="19.5" customHeight="1">
      <c r="A169" s="55"/>
      <c r="B169" s="56">
        <v>45905.0</v>
      </c>
      <c r="C169" s="57">
        <v>71540.49</v>
      </c>
      <c r="D169" s="57"/>
      <c r="E169" s="58" t="s">
        <v>802</v>
      </c>
      <c r="F169" s="59" t="s">
        <v>803</v>
      </c>
      <c r="G169" s="60"/>
    </row>
    <row r="170" ht="19.5" customHeight="1">
      <c r="A170" s="55"/>
      <c r="B170" s="56">
        <v>45905.0</v>
      </c>
      <c r="C170" s="57">
        <v>86000.06</v>
      </c>
      <c r="D170" s="57"/>
      <c r="E170" s="58" t="s">
        <v>804</v>
      </c>
      <c r="F170" s="59" t="s">
        <v>805</v>
      </c>
      <c r="G170" s="60"/>
    </row>
    <row r="171" ht="19.5" customHeight="1">
      <c r="A171" s="55"/>
      <c r="B171" s="56">
        <v>45906.0</v>
      </c>
      <c r="C171" s="57">
        <v>14800.0</v>
      </c>
      <c r="D171" s="57"/>
      <c r="E171" s="58" t="s">
        <v>806</v>
      </c>
      <c r="F171" s="59" t="s">
        <v>807</v>
      </c>
      <c r="G171" s="60"/>
    </row>
    <row r="172" ht="19.5" customHeight="1">
      <c r="A172" s="55"/>
      <c r="B172" s="56">
        <v>45906.0</v>
      </c>
      <c r="C172" s="57">
        <v>17588.08</v>
      </c>
      <c r="D172" s="57"/>
      <c r="E172" s="58" t="s">
        <v>808</v>
      </c>
      <c r="F172" s="59" t="s">
        <v>809</v>
      </c>
      <c r="G172" s="60"/>
    </row>
    <row r="173" ht="19.5" customHeight="1">
      <c r="A173" s="55"/>
      <c r="B173" s="65">
        <v>45906.0</v>
      </c>
      <c r="C173" s="63">
        <v>13600.0</v>
      </c>
      <c r="D173" s="63"/>
      <c r="E173" s="64" t="s">
        <v>810</v>
      </c>
      <c r="F173" s="61" t="s">
        <v>811</v>
      </c>
      <c r="G173" s="62"/>
    </row>
    <row r="174" ht="19.5" customHeight="1">
      <c r="A174" s="55"/>
      <c r="B174" s="65">
        <v>45906.0</v>
      </c>
      <c r="C174" s="63">
        <v>8599.99</v>
      </c>
      <c r="D174" s="63"/>
      <c r="E174" s="64" t="s">
        <v>802</v>
      </c>
      <c r="F174" s="61" t="s">
        <v>812</v>
      </c>
      <c r="G174" s="62"/>
    </row>
    <row r="175" ht="19.5" customHeight="1">
      <c r="A175" s="55"/>
      <c r="B175" s="65">
        <v>45906.0</v>
      </c>
      <c r="C175" s="63">
        <v>2250.0</v>
      </c>
      <c r="D175" s="63"/>
      <c r="E175" s="64" t="s">
        <v>813</v>
      </c>
      <c r="F175" s="61" t="s">
        <v>814</v>
      </c>
      <c r="G175" s="62"/>
    </row>
    <row r="176" ht="19.5" customHeight="1">
      <c r="A176" s="55"/>
      <c r="B176" s="65">
        <v>45907.0</v>
      </c>
      <c r="C176" s="63">
        <v>14698.83</v>
      </c>
      <c r="D176" s="63"/>
      <c r="E176" s="64" t="s">
        <v>802</v>
      </c>
      <c r="F176" s="61" t="s">
        <v>815</v>
      </c>
      <c r="G176" s="62"/>
    </row>
    <row r="177" ht="19.5" customHeight="1">
      <c r="A177" s="55"/>
      <c r="B177" s="65">
        <v>45908.0</v>
      </c>
      <c r="C177" s="63">
        <v>17300.0</v>
      </c>
      <c r="D177" s="63"/>
      <c r="E177" s="64" t="s">
        <v>816</v>
      </c>
      <c r="F177" s="61" t="s">
        <v>817</v>
      </c>
      <c r="G177" s="62"/>
    </row>
    <row r="178" ht="19.5" customHeight="1">
      <c r="A178" s="55"/>
      <c r="B178" s="65">
        <v>45909.0</v>
      </c>
      <c r="C178" s="63">
        <v>11970.95</v>
      </c>
      <c r="D178" s="63"/>
      <c r="E178" s="64" t="s">
        <v>802</v>
      </c>
      <c r="F178" s="61" t="s">
        <v>818</v>
      </c>
      <c r="G178" s="62"/>
    </row>
    <row r="179" ht="19.5" customHeight="1">
      <c r="A179" s="55"/>
      <c r="B179" s="65">
        <v>45910.0</v>
      </c>
      <c r="C179" s="63">
        <v>111005.92</v>
      </c>
      <c r="D179" s="63"/>
      <c r="E179" s="64" t="s">
        <v>819</v>
      </c>
      <c r="F179" s="61" t="s">
        <v>250</v>
      </c>
      <c r="G179" s="62"/>
    </row>
    <row r="180" ht="19.5" customHeight="1">
      <c r="A180" s="55"/>
      <c r="B180" s="65">
        <v>45910.0</v>
      </c>
      <c r="C180" s="63">
        <v>7470.0</v>
      </c>
      <c r="D180" s="63"/>
      <c r="E180" s="64" t="s">
        <v>820</v>
      </c>
      <c r="F180" s="69" t="s">
        <v>821</v>
      </c>
      <c r="G180" s="62"/>
    </row>
    <row r="181" ht="19.5" customHeight="1">
      <c r="A181" s="55"/>
      <c r="B181" s="65">
        <v>45910.0</v>
      </c>
      <c r="C181" s="63">
        <v>10700.0</v>
      </c>
      <c r="D181" s="63"/>
      <c r="E181" s="64" t="s">
        <v>822</v>
      </c>
      <c r="F181" s="61" t="s">
        <v>823</v>
      </c>
      <c r="G181" s="62"/>
    </row>
    <row r="182" ht="19.5" customHeight="1">
      <c r="A182" s="55"/>
      <c r="B182" s="65">
        <v>45911.0</v>
      </c>
      <c r="C182" s="63">
        <v>11800.0</v>
      </c>
      <c r="D182" s="63"/>
      <c r="E182" s="64" t="s">
        <v>816</v>
      </c>
      <c r="F182" s="61" t="s">
        <v>824</v>
      </c>
      <c r="G182" s="62"/>
    </row>
    <row r="183" ht="19.5" customHeight="1">
      <c r="A183" s="55"/>
      <c r="B183" s="65">
        <v>45911.0</v>
      </c>
      <c r="C183" s="63">
        <v>74000.0</v>
      </c>
      <c r="D183" s="63"/>
      <c r="E183" s="64" t="s">
        <v>797</v>
      </c>
      <c r="F183" s="61" t="s">
        <v>825</v>
      </c>
      <c r="G183" s="62"/>
    </row>
    <row r="184" ht="19.5" customHeight="1">
      <c r="A184" s="55"/>
      <c r="B184" s="65">
        <v>45911.0</v>
      </c>
      <c r="C184" s="63">
        <v>131157.0</v>
      </c>
      <c r="D184" s="63"/>
      <c r="E184" s="64" t="s">
        <v>797</v>
      </c>
      <c r="F184" s="61" t="s">
        <v>633</v>
      </c>
      <c r="G184" s="62"/>
    </row>
    <row r="185" ht="19.5" customHeight="1">
      <c r="A185" s="55"/>
      <c r="B185" s="65">
        <v>45911.0</v>
      </c>
      <c r="C185" s="63">
        <v>2800.0</v>
      </c>
      <c r="D185" s="63"/>
      <c r="E185" s="64" t="s">
        <v>797</v>
      </c>
      <c r="F185" s="61"/>
      <c r="G185" s="62"/>
    </row>
    <row r="186" ht="19.5" customHeight="1">
      <c r="A186" s="55"/>
      <c r="B186" s="65">
        <v>45911.0</v>
      </c>
      <c r="C186" s="63">
        <v>15000.0</v>
      </c>
      <c r="D186" s="63"/>
      <c r="E186" s="64" t="s">
        <v>810</v>
      </c>
      <c r="F186" s="61" t="s">
        <v>826</v>
      </c>
      <c r="G186" s="62"/>
    </row>
    <row r="187" ht="19.5" customHeight="1">
      <c r="A187" s="55"/>
      <c r="B187" s="65">
        <v>45912.0</v>
      </c>
      <c r="C187" s="63">
        <v>19800.0</v>
      </c>
      <c r="D187" s="63"/>
      <c r="E187" s="64" t="s">
        <v>816</v>
      </c>
      <c r="F187" s="61" t="s">
        <v>520</v>
      </c>
      <c r="G187" s="62"/>
    </row>
    <row r="188" ht="19.5" customHeight="1">
      <c r="A188" s="55"/>
      <c r="B188" s="65">
        <v>45912.0</v>
      </c>
      <c r="C188" s="63">
        <v>10485.93</v>
      </c>
      <c r="D188" s="63"/>
      <c r="E188" s="64" t="s">
        <v>827</v>
      </c>
      <c r="F188" s="61" t="s">
        <v>828</v>
      </c>
      <c r="G188" s="62"/>
    </row>
    <row r="189" ht="19.5" customHeight="1">
      <c r="A189" s="55"/>
      <c r="B189" s="65">
        <v>45914.0</v>
      </c>
      <c r="C189" s="63">
        <v>9900.0</v>
      </c>
      <c r="D189" s="63"/>
      <c r="E189" s="64" t="s">
        <v>816</v>
      </c>
      <c r="F189" s="61" t="s">
        <v>829</v>
      </c>
      <c r="G189" s="62"/>
    </row>
    <row r="190" ht="19.5" customHeight="1">
      <c r="A190" s="55"/>
      <c r="B190" s="65">
        <v>45914.0</v>
      </c>
      <c r="C190" s="63">
        <v>5200.0</v>
      </c>
      <c r="D190" s="63"/>
      <c r="E190" s="64" t="s">
        <v>830</v>
      </c>
      <c r="F190" s="61" t="s">
        <v>831</v>
      </c>
      <c r="G190" s="62"/>
    </row>
    <row r="191" ht="19.5" customHeight="1">
      <c r="A191" s="55"/>
      <c r="B191" s="65">
        <v>45915.0</v>
      </c>
      <c r="C191" s="63">
        <v>3200.0</v>
      </c>
      <c r="D191" s="63"/>
      <c r="E191" s="64" t="s">
        <v>832</v>
      </c>
      <c r="F191" s="61"/>
      <c r="G191" s="62"/>
    </row>
    <row r="192" ht="19.5" customHeight="1">
      <c r="A192" s="55"/>
      <c r="B192" s="65">
        <v>45915.0</v>
      </c>
      <c r="C192" s="63">
        <v>16440.0</v>
      </c>
      <c r="D192" s="63"/>
      <c r="E192" s="64" t="s">
        <v>833</v>
      </c>
      <c r="F192" s="61" t="s">
        <v>834</v>
      </c>
      <c r="G192" s="62"/>
    </row>
    <row r="193" ht="19.5" customHeight="1">
      <c r="A193" s="55"/>
      <c r="B193" s="65">
        <v>45915.0</v>
      </c>
      <c r="C193" s="63">
        <v>12850.0</v>
      </c>
      <c r="D193" s="63"/>
      <c r="E193" s="64" t="s">
        <v>808</v>
      </c>
      <c r="F193" s="61" t="s">
        <v>835</v>
      </c>
      <c r="G193" s="62"/>
    </row>
    <row r="194" ht="19.5" customHeight="1">
      <c r="A194" s="55"/>
      <c r="B194" s="65">
        <v>45915.0</v>
      </c>
      <c r="C194" s="63">
        <v>9900.0</v>
      </c>
      <c r="D194" s="63"/>
      <c r="E194" s="64" t="s">
        <v>816</v>
      </c>
      <c r="F194" s="61" t="s">
        <v>836</v>
      </c>
      <c r="G194" s="62"/>
    </row>
    <row r="195" ht="19.5" customHeight="1">
      <c r="A195" s="55"/>
      <c r="B195" s="65">
        <v>45916.0</v>
      </c>
      <c r="C195" s="63">
        <v>19500.0</v>
      </c>
      <c r="D195" s="63"/>
      <c r="E195" s="64" t="s">
        <v>837</v>
      </c>
      <c r="F195" s="61" t="s">
        <v>838</v>
      </c>
      <c r="G195" s="62"/>
    </row>
    <row r="196" ht="19.5" customHeight="1">
      <c r="A196" s="55"/>
      <c r="B196" s="65">
        <v>45916.0</v>
      </c>
      <c r="C196" s="63">
        <v>47011.92</v>
      </c>
      <c r="D196" s="63"/>
      <c r="E196" s="64" t="s">
        <v>837</v>
      </c>
      <c r="F196" s="61" t="s">
        <v>250</v>
      </c>
      <c r="G196" s="62"/>
    </row>
    <row r="197" ht="19.5" customHeight="1">
      <c r="A197" s="55"/>
      <c r="B197" s="65">
        <v>45916.0</v>
      </c>
      <c r="C197" s="63">
        <v>12800.0</v>
      </c>
      <c r="D197" s="63"/>
      <c r="E197" s="64" t="s">
        <v>816</v>
      </c>
      <c r="F197" s="61"/>
      <c r="G197" s="62"/>
    </row>
    <row r="198" ht="19.5" customHeight="1">
      <c r="A198" s="55"/>
      <c r="B198" s="65">
        <v>45916.0</v>
      </c>
      <c r="C198" s="63">
        <v>75105.0</v>
      </c>
      <c r="D198" s="63"/>
      <c r="E198" s="64" t="s">
        <v>797</v>
      </c>
      <c r="F198" s="64" t="s">
        <v>839</v>
      </c>
      <c r="G198" s="62"/>
    </row>
    <row r="199" ht="19.5" customHeight="1">
      <c r="A199" s="55"/>
      <c r="B199" s="65">
        <v>45916.0</v>
      </c>
      <c r="C199" s="63">
        <v>17080.0</v>
      </c>
      <c r="D199" s="63"/>
      <c r="E199" s="64" t="s">
        <v>797</v>
      </c>
      <c r="F199" s="64" t="s">
        <v>840</v>
      </c>
      <c r="G199" s="62"/>
    </row>
    <row r="200" ht="19.5" customHeight="1">
      <c r="A200" s="55"/>
      <c r="B200" s="65">
        <v>45916.0</v>
      </c>
      <c r="C200" s="63">
        <v>11200.0</v>
      </c>
      <c r="D200" s="63"/>
      <c r="E200" s="64" t="s">
        <v>841</v>
      </c>
      <c r="F200" s="64" t="s">
        <v>842</v>
      </c>
      <c r="G200" s="62"/>
    </row>
    <row r="201" ht="19.5" customHeight="1">
      <c r="A201" s="55"/>
      <c r="B201" s="65">
        <v>45917.0</v>
      </c>
      <c r="C201" s="63">
        <v>5900.0</v>
      </c>
      <c r="D201" s="63"/>
      <c r="E201" s="64" t="s">
        <v>505</v>
      </c>
      <c r="F201" s="144" t="s">
        <v>843</v>
      </c>
      <c r="G201" s="62"/>
    </row>
    <row r="202" ht="19.5" customHeight="1">
      <c r="A202" s="55"/>
      <c r="B202" s="65">
        <v>45920.0</v>
      </c>
      <c r="C202" s="63">
        <v>6500.0</v>
      </c>
      <c r="D202" s="63"/>
      <c r="E202" s="64" t="s">
        <v>345</v>
      </c>
      <c r="F202" s="97" t="s">
        <v>794</v>
      </c>
      <c r="G202" s="62"/>
    </row>
    <row r="203" ht="19.5" customHeight="1">
      <c r="A203" s="55"/>
      <c r="B203" s="65">
        <v>45922.0</v>
      </c>
      <c r="C203" s="63">
        <v>9080.0</v>
      </c>
      <c r="D203" s="63"/>
      <c r="E203" s="64" t="s">
        <v>345</v>
      </c>
      <c r="F203" s="145"/>
      <c r="G203" s="62"/>
    </row>
    <row r="204" ht="19.5" customHeight="1">
      <c r="A204" s="55"/>
      <c r="B204" s="65">
        <v>45922.0</v>
      </c>
      <c r="C204" s="63">
        <v>13500.0</v>
      </c>
      <c r="D204" s="63"/>
      <c r="E204" s="146" t="s">
        <v>844</v>
      </c>
      <c r="F204" s="144" t="s">
        <v>455</v>
      </c>
      <c r="G204" s="147"/>
    </row>
    <row r="205" ht="19.5" customHeight="1">
      <c r="A205" s="55"/>
      <c r="B205" s="65">
        <v>45923.0</v>
      </c>
      <c r="C205" s="63">
        <v>18000.0</v>
      </c>
      <c r="D205" s="63"/>
      <c r="E205" s="64" t="s">
        <v>133</v>
      </c>
      <c r="F205" s="148"/>
      <c r="G205" s="147"/>
    </row>
    <row r="206" ht="19.5" customHeight="1">
      <c r="A206" s="55"/>
      <c r="B206" s="65">
        <v>45924.0</v>
      </c>
      <c r="C206" s="63">
        <v>12700.0</v>
      </c>
      <c r="D206" s="63"/>
      <c r="E206" s="146" t="s">
        <v>505</v>
      </c>
      <c r="F206" s="144" t="s">
        <v>843</v>
      </c>
      <c r="G206" s="62"/>
    </row>
    <row r="207" ht="19.5" customHeight="1">
      <c r="A207" s="55"/>
      <c r="B207" s="65">
        <v>45926.0</v>
      </c>
      <c r="C207" s="63">
        <v>4600.0</v>
      </c>
      <c r="D207" s="63"/>
      <c r="E207" s="64" t="s">
        <v>845</v>
      </c>
      <c r="F207" s="59"/>
      <c r="G207" s="60"/>
    </row>
    <row r="208" ht="19.5" customHeight="1">
      <c r="A208" s="55"/>
      <c r="B208" s="65">
        <v>45926.0</v>
      </c>
      <c r="C208" s="63">
        <v>5000.0</v>
      </c>
      <c r="D208" s="63"/>
      <c r="E208" s="64" t="s">
        <v>846</v>
      </c>
      <c r="F208" s="61"/>
      <c r="G208" s="62"/>
    </row>
    <row r="209" ht="19.5" customHeight="1">
      <c r="A209" s="55"/>
      <c r="B209" s="65">
        <v>45926.0</v>
      </c>
      <c r="C209" s="63">
        <v>8000.0</v>
      </c>
      <c r="D209" s="63"/>
      <c r="E209" s="64" t="s">
        <v>847</v>
      </c>
      <c r="F209" s="61"/>
      <c r="G209" s="62"/>
    </row>
    <row r="210" ht="19.5" customHeight="1">
      <c r="A210" s="55"/>
      <c r="B210" s="65">
        <v>45929.0</v>
      </c>
      <c r="C210" s="63">
        <v>5300.0</v>
      </c>
      <c r="D210" s="63"/>
      <c r="E210" s="64" t="s">
        <v>848</v>
      </c>
      <c r="F210" s="61"/>
      <c r="G210" s="62"/>
    </row>
    <row r="211" ht="19.5" customHeight="1">
      <c r="A211" s="55"/>
      <c r="B211" s="65">
        <v>45929.0</v>
      </c>
      <c r="C211" s="63">
        <v>29100.0</v>
      </c>
      <c r="D211" s="63"/>
      <c r="E211" s="64" t="s">
        <v>505</v>
      </c>
      <c r="F211" s="144" t="s">
        <v>843</v>
      </c>
      <c r="G211" s="62"/>
    </row>
    <row r="212" ht="19.5" customHeight="1">
      <c r="A212" s="55"/>
      <c r="B212" s="65">
        <v>45930.0</v>
      </c>
      <c r="C212" s="63">
        <v>44000.0</v>
      </c>
      <c r="D212" s="63"/>
      <c r="E212" s="64" t="s">
        <v>132</v>
      </c>
      <c r="F212" s="61"/>
      <c r="G212" s="62"/>
    </row>
    <row r="213" ht="19.5" customHeight="1">
      <c r="A213" s="55"/>
      <c r="B213" s="65">
        <v>45931.0</v>
      </c>
      <c r="C213" s="63">
        <v>10000.0</v>
      </c>
      <c r="D213" s="63"/>
      <c r="E213" s="64" t="s">
        <v>849</v>
      </c>
      <c r="F213" s="61"/>
      <c r="G213" s="62"/>
    </row>
    <row r="214" ht="30.0" customHeight="1">
      <c r="A214" s="78" t="s">
        <v>111</v>
      </c>
      <c r="B214" s="79"/>
      <c r="C214" s="80">
        <f>SUM(C155:C213)</f>
        <v>1606129.39</v>
      </c>
      <c r="D214" s="80">
        <f>SUM(D156:D213)</f>
        <v>0</v>
      </c>
      <c r="E214" s="81"/>
      <c r="F214" s="82"/>
    </row>
    <row r="215" ht="4.5" customHeight="1">
      <c r="A215" s="116"/>
      <c r="B215" s="115"/>
      <c r="C215" s="115"/>
      <c r="D215" s="117"/>
      <c r="E215" s="96"/>
      <c r="F215" s="96"/>
      <c r="G215" s="96"/>
    </row>
    <row r="216" ht="30.0" customHeight="1">
      <c r="A216" s="78" t="s">
        <v>187</v>
      </c>
      <c r="B216" s="79"/>
      <c r="C216" s="80">
        <f t="shared" ref="C216:D216" si="7">+C91+C127+C132+C153+C214</f>
        <v>13131247.24</v>
      </c>
      <c r="D216" s="80">
        <f t="shared" si="7"/>
        <v>14.96</v>
      </c>
      <c r="E216" s="97"/>
      <c r="F216" s="98"/>
    </row>
    <row r="217" ht="19.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6:C7"/>
    <mergeCell ref="D6:E6"/>
    <mergeCell ref="F6:G6"/>
    <mergeCell ref="D7:E7"/>
    <mergeCell ref="F7:G7"/>
    <mergeCell ref="D8:E8"/>
    <mergeCell ref="F8:G8"/>
    <mergeCell ref="D9:G16"/>
    <mergeCell ref="C11:C12"/>
    <mergeCell ref="C13:C14"/>
    <mergeCell ref="A17:G17"/>
    <mergeCell ref="A19:A90"/>
    <mergeCell ref="A91:B91"/>
    <mergeCell ref="A92:G92"/>
    <mergeCell ref="A153:B153"/>
    <mergeCell ref="A154:G154"/>
    <mergeCell ref="A155:A213"/>
    <mergeCell ref="A214:B214"/>
    <mergeCell ref="A215:D215"/>
    <mergeCell ref="A216:B216"/>
    <mergeCell ref="A93:A126"/>
    <mergeCell ref="A127:B127"/>
    <mergeCell ref="A128:G128"/>
    <mergeCell ref="A129:A131"/>
    <mergeCell ref="A132:B132"/>
    <mergeCell ref="A133:G133"/>
    <mergeCell ref="A134:A152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71.71"/>
    <col customWidth="1" min="7" max="7" width="17.14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850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1.105227194E7</v>
      </c>
      <c r="G8" s="14"/>
    </row>
    <row r="9" ht="19.5" customHeight="1">
      <c r="A9" s="20" t="s">
        <v>7</v>
      </c>
      <c r="B9" s="21">
        <f>SUM(C81)</f>
        <v>5610350.96</v>
      </c>
      <c r="C9" s="22">
        <f t="shared" ref="C9:C10" si="1">+B9</f>
        <v>5610350.96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SUM(D81)</f>
        <v>13.97</v>
      </c>
      <c r="C10" s="28">
        <f t="shared" si="1"/>
        <v>13.97</v>
      </c>
      <c r="D10" s="29"/>
      <c r="G10" s="30"/>
    </row>
    <row r="11" ht="19.5" customHeight="1">
      <c r="A11" s="31" t="s">
        <v>10</v>
      </c>
      <c r="B11" s="32">
        <v>1418660.49</v>
      </c>
      <c r="C11" s="33">
        <f>SUM(B11:B12)</f>
        <v>2660229.37</v>
      </c>
      <c r="D11" s="29"/>
      <c r="G11" s="30"/>
    </row>
    <row r="12" ht="19.5" customHeight="1">
      <c r="A12" s="26" t="s">
        <v>11</v>
      </c>
      <c r="B12" s="27">
        <v>1241568.88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15</v>
      </c>
      <c r="B15" s="39">
        <f>SUM(C146)</f>
        <v>1202701.09</v>
      </c>
      <c r="C15" s="40">
        <f t="shared" ref="C15:C16" si="2">+B15</f>
        <v>1202701.09</v>
      </c>
      <c r="D15" s="29"/>
      <c r="G15" s="30"/>
    </row>
    <row r="16" ht="19.5" customHeight="1">
      <c r="A16" s="35" t="s">
        <v>851</v>
      </c>
      <c r="B16" s="36">
        <f>SUM(C124)</f>
        <v>41017.76</v>
      </c>
      <c r="C16" s="37">
        <f t="shared" si="2"/>
        <v>41017.76</v>
      </c>
      <c r="D16" s="41"/>
      <c r="E16" s="42"/>
      <c r="F16" s="42"/>
      <c r="G16" s="43"/>
    </row>
    <row r="17" ht="4.5" customHeight="1">
      <c r="A17" s="114"/>
      <c r="B17" s="115"/>
      <c r="C17" s="115"/>
      <c r="D17" s="115"/>
      <c r="E17" s="115"/>
      <c r="F17" s="115"/>
      <c r="G17" s="79"/>
    </row>
    <row r="18" ht="24.75" customHeight="1">
      <c r="A18" s="47" t="s">
        <v>16</v>
      </c>
      <c r="B18" s="47" t="s">
        <v>17</v>
      </c>
      <c r="C18" s="47" t="s">
        <v>18</v>
      </c>
      <c r="D18" s="47" t="s">
        <v>19</v>
      </c>
      <c r="E18" s="48" t="s">
        <v>20</v>
      </c>
      <c r="F18" s="149" t="s">
        <v>21</v>
      </c>
      <c r="G18" s="48" t="s">
        <v>22</v>
      </c>
    </row>
    <row r="19" ht="19.5" customHeight="1">
      <c r="A19" s="49" t="s">
        <v>23</v>
      </c>
      <c r="B19" s="50">
        <v>45932.0</v>
      </c>
      <c r="C19" s="51">
        <v>48150.0</v>
      </c>
      <c r="D19" s="51"/>
      <c r="E19" s="52" t="s">
        <v>24</v>
      </c>
      <c r="F19" s="61" t="s">
        <v>852</v>
      </c>
      <c r="G19" s="54" t="s">
        <v>26</v>
      </c>
    </row>
    <row r="20" ht="19.5" customHeight="1">
      <c r="A20" s="55"/>
      <c r="B20" s="56">
        <v>45932.0</v>
      </c>
      <c r="C20" s="57">
        <v>44298.0</v>
      </c>
      <c r="D20" s="57"/>
      <c r="E20" s="58" t="s">
        <v>24</v>
      </c>
      <c r="F20" s="61" t="s">
        <v>853</v>
      </c>
      <c r="G20" s="60" t="s">
        <v>26</v>
      </c>
    </row>
    <row r="21" ht="19.5" customHeight="1">
      <c r="A21" s="55"/>
      <c r="B21" s="56">
        <v>45932.0</v>
      </c>
      <c r="C21" s="57">
        <v>163396.2</v>
      </c>
      <c r="D21" s="57"/>
      <c r="E21" s="58" t="s">
        <v>231</v>
      </c>
      <c r="F21" s="61" t="s">
        <v>854</v>
      </c>
      <c r="G21" s="60" t="s">
        <v>26</v>
      </c>
    </row>
    <row r="22" ht="19.5" customHeight="1">
      <c r="A22" s="55"/>
      <c r="B22" s="56">
        <v>45932.0</v>
      </c>
      <c r="C22" s="57">
        <v>33305.98</v>
      </c>
      <c r="D22" s="57"/>
      <c r="E22" s="58" t="s">
        <v>855</v>
      </c>
      <c r="F22" s="61" t="s">
        <v>856</v>
      </c>
      <c r="G22" s="60" t="s">
        <v>26</v>
      </c>
    </row>
    <row r="23" ht="19.5" customHeight="1">
      <c r="A23" s="55"/>
      <c r="B23" s="104">
        <v>45932.0</v>
      </c>
      <c r="C23" s="105">
        <v>20247.91</v>
      </c>
      <c r="D23" s="105"/>
      <c r="E23" s="106" t="s">
        <v>472</v>
      </c>
      <c r="F23" s="107"/>
      <c r="G23" s="108"/>
    </row>
    <row r="24" ht="19.5" customHeight="1">
      <c r="A24" s="55"/>
      <c r="B24" s="104">
        <v>45932.0</v>
      </c>
      <c r="C24" s="105">
        <v>8700.0</v>
      </c>
      <c r="D24" s="105"/>
      <c r="E24" s="106" t="s">
        <v>29</v>
      </c>
      <c r="F24" s="107"/>
      <c r="G24" s="108"/>
    </row>
    <row r="25" ht="19.5" customHeight="1">
      <c r="A25" s="55"/>
      <c r="B25" s="104">
        <v>45933.0</v>
      </c>
      <c r="C25" s="105">
        <v>8600.0</v>
      </c>
      <c r="D25" s="105"/>
      <c r="E25" s="106" t="s">
        <v>214</v>
      </c>
      <c r="F25" s="107"/>
      <c r="G25" s="108"/>
    </row>
    <row r="26" ht="19.5" customHeight="1">
      <c r="A26" s="55"/>
      <c r="B26" s="56">
        <v>45933.0</v>
      </c>
      <c r="C26" s="57"/>
      <c r="D26" s="57">
        <v>9.99</v>
      </c>
      <c r="E26" s="58" t="s">
        <v>857</v>
      </c>
      <c r="F26" s="59" t="s">
        <v>32</v>
      </c>
      <c r="G26" s="60"/>
    </row>
    <row r="27" ht="19.5" customHeight="1">
      <c r="A27" s="55"/>
      <c r="B27" s="104">
        <v>45934.0</v>
      </c>
      <c r="C27" s="105">
        <v>22059.0</v>
      </c>
      <c r="D27" s="105"/>
      <c r="E27" s="106" t="s">
        <v>80</v>
      </c>
      <c r="F27" s="107"/>
      <c r="G27" s="108"/>
    </row>
    <row r="28" ht="19.5" customHeight="1">
      <c r="A28" s="55"/>
      <c r="B28" s="104">
        <v>45934.0</v>
      </c>
      <c r="C28" s="105">
        <v>5830.0</v>
      </c>
      <c r="D28" s="105"/>
      <c r="E28" s="106" t="s">
        <v>475</v>
      </c>
      <c r="F28" s="107"/>
      <c r="G28" s="108"/>
    </row>
    <row r="29" ht="19.5" customHeight="1">
      <c r="A29" s="55"/>
      <c r="B29" s="56">
        <v>45936.0</v>
      </c>
      <c r="C29" s="57">
        <v>72050.0</v>
      </c>
      <c r="D29" s="57"/>
      <c r="E29" s="58" t="s">
        <v>84</v>
      </c>
      <c r="F29" s="59" t="s">
        <v>858</v>
      </c>
      <c r="G29" s="60"/>
    </row>
    <row r="30" ht="19.5" customHeight="1">
      <c r="A30" s="55"/>
      <c r="B30" s="104">
        <v>45936.0</v>
      </c>
      <c r="C30" s="105">
        <v>122010.92</v>
      </c>
      <c r="D30" s="105"/>
      <c r="E30" s="106" t="s">
        <v>34</v>
      </c>
      <c r="F30" s="107"/>
      <c r="G30" s="108"/>
    </row>
    <row r="31" ht="19.5" customHeight="1">
      <c r="A31" s="55"/>
      <c r="B31" s="104">
        <v>45936.0</v>
      </c>
      <c r="C31" s="105">
        <v>9050.0</v>
      </c>
      <c r="D31" s="105"/>
      <c r="E31" s="106" t="s">
        <v>33</v>
      </c>
      <c r="F31" s="107"/>
      <c r="G31" s="108"/>
    </row>
    <row r="32" ht="19.5" customHeight="1">
      <c r="A32" s="55"/>
      <c r="B32" s="56">
        <v>45936.0</v>
      </c>
      <c r="C32" s="57">
        <v>30606.15</v>
      </c>
      <c r="D32" s="57"/>
      <c r="E32" s="58" t="s">
        <v>725</v>
      </c>
      <c r="F32" s="61" t="s">
        <v>43</v>
      </c>
      <c r="G32" s="60"/>
    </row>
    <row r="33" ht="19.5" customHeight="1">
      <c r="A33" s="55"/>
      <c r="B33" s="104">
        <v>45936.0</v>
      </c>
      <c r="C33" s="105">
        <v>12500.0</v>
      </c>
      <c r="D33" s="105"/>
      <c r="E33" s="106" t="s">
        <v>29</v>
      </c>
      <c r="F33" s="107"/>
      <c r="G33" s="108"/>
    </row>
    <row r="34" ht="19.5" customHeight="1">
      <c r="A34" s="55"/>
      <c r="B34" s="104">
        <v>45938.0</v>
      </c>
      <c r="C34" s="105">
        <v>7050.0</v>
      </c>
      <c r="D34" s="105"/>
      <c r="E34" s="106" t="s">
        <v>859</v>
      </c>
      <c r="F34" s="107"/>
      <c r="G34" s="108"/>
    </row>
    <row r="35" ht="19.5" customHeight="1">
      <c r="A35" s="55"/>
      <c r="B35" s="104">
        <v>45939.0</v>
      </c>
      <c r="C35" s="105">
        <v>5750.0</v>
      </c>
      <c r="D35" s="105"/>
      <c r="E35" s="106" t="s">
        <v>29</v>
      </c>
      <c r="F35" s="107"/>
      <c r="G35" s="108"/>
    </row>
    <row r="36" ht="19.5" customHeight="1">
      <c r="A36" s="55"/>
      <c r="B36" s="56">
        <v>45939.0</v>
      </c>
      <c r="C36" s="57">
        <v>24300.0</v>
      </c>
      <c r="D36" s="57"/>
      <c r="E36" s="58" t="s">
        <v>51</v>
      </c>
      <c r="F36" s="61" t="s">
        <v>52</v>
      </c>
      <c r="G36" s="60"/>
    </row>
    <row r="37" ht="19.5" customHeight="1">
      <c r="A37" s="55"/>
      <c r="B37" s="56">
        <v>45939.0</v>
      </c>
      <c r="C37" s="57"/>
      <c r="D37" s="57">
        <v>1.99</v>
      </c>
      <c r="E37" s="58" t="s">
        <v>860</v>
      </c>
      <c r="F37" s="61" t="s">
        <v>55</v>
      </c>
      <c r="G37" s="60"/>
    </row>
    <row r="38" ht="19.5" customHeight="1">
      <c r="A38" s="55"/>
      <c r="B38" s="104">
        <v>45940.0</v>
      </c>
      <c r="C38" s="105">
        <v>18023.94</v>
      </c>
      <c r="D38" s="105"/>
      <c r="E38" s="106" t="s">
        <v>34</v>
      </c>
      <c r="F38" s="107"/>
      <c r="G38" s="108"/>
    </row>
    <row r="39" ht="19.5" customHeight="1">
      <c r="A39" s="55"/>
      <c r="B39" s="104">
        <v>45940.0</v>
      </c>
      <c r="C39" s="105">
        <v>20900.0</v>
      </c>
      <c r="D39" s="105"/>
      <c r="E39" s="106" t="s">
        <v>214</v>
      </c>
      <c r="F39" s="107"/>
      <c r="G39" s="108"/>
    </row>
    <row r="40" ht="19.5" customHeight="1">
      <c r="A40" s="55"/>
      <c r="B40" s="56">
        <v>45940.0</v>
      </c>
      <c r="C40" s="57">
        <v>182419.42</v>
      </c>
      <c r="D40" s="57"/>
      <c r="E40" s="58" t="s">
        <v>103</v>
      </c>
      <c r="F40" s="61" t="s">
        <v>104</v>
      </c>
      <c r="G40" s="60"/>
    </row>
    <row r="41" ht="19.5" customHeight="1">
      <c r="A41" s="55"/>
      <c r="B41" s="104">
        <v>45941.0</v>
      </c>
      <c r="C41" s="105">
        <v>7350.0</v>
      </c>
      <c r="D41" s="105"/>
      <c r="E41" s="106" t="s">
        <v>33</v>
      </c>
      <c r="F41" s="107"/>
      <c r="G41" s="108"/>
    </row>
    <row r="42" ht="19.5" customHeight="1">
      <c r="A42" s="55"/>
      <c r="B42" s="104">
        <v>45942.0</v>
      </c>
      <c r="C42" s="105">
        <v>18830.97</v>
      </c>
      <c r="D42" s="105"/>
      <c r="E42" s="106" t="s">
        <v>34</v>
      </c>
      <c r="F42" s="69"/>
      <c r="G42" s="108"/>
    </row>
    <row r="43" ht="19.5" customHeight="1">
      <c r="A43" s="55"/>
      <c r="B43" s="56">
        <v>45943.0</v>
      </c>
      <c r="C43" s="57">
        <v>144100.0</v>
      </c>
      <c r="D43" s="57"/>
      <c r="E43" s="58" t="s">
        <v>84</v>
      </c>
      <c r="F43" s="61" t="s">
        <v>861</v>
      </c>
      <c r="G43" s="62"/>
    </row>
    <row r="44" ht="19.5" customHeight="1">
      <c r="A44" s="55"/>
      <c r="B44" s="104">
        <v>45944.0</v>
      </c>
      <c r="C44" s="105">
        <v>197522.7</v>
      </c>
      <c r="D44" s="105"/>
      <c r="E44" s="106" t="s">
        <v>862</v>
      </c>
      <c r="F44" s="69"/>
      <c r="G44" s="70"/>
    </row>
    <row r="45" ht="19.5" customHeight="1">
      <c r="A45" s="55"/>
      <c r="B45" s="56">
        <v>45944.0</v>
      </c>
      <c r="C45" s="57">
        <v>459233.0</v>
      </c>
      <c r="D45" s="57"/>
      <c r="E45" s="58" t="s">
        <v>66</v>
      </c>
      <c r="F45" s="61" t="s">
        <v>67</v>
      </c>
      <c r="G45" s="62"/>
    </row>
    <row r="46" ht="19.5" customHeight="1">
      <c r="A46" s="55"/>
      <c r="B46" s="56">
        <v>45944.0</v>
      </c>
      <c r="C46" s="57">
        <v>434958.0</v>
      </c>
      <c r="D46" s="57"/>
      <c r="E46" s="58" t="s">
        <v>64</v>
      </c>
      <c r="F46" s="61" t="s">
        <v>65</v>
      </c>
      <c r="G46" s="60"/>
    </row>
    <row r="47" ht="19.5" customHeight="1">
      <c r="A47" s="55"/>
      <c r="B47" s="56">
        <v>45945.0</v>
      </c>
      <c r="C47" s="57">
        <v>18575.19</v>
      </c>
      <c r="D47" s="57"/>
      <c r="E47" s="58" t="s">
        <v>863</v>
      </c>
      <c r="F47" s="61" t="s">
        <v>77</v>
      </c>
      <c r="G47" s="62"/>
    </row>
    <row r="48" ht="19.5" customHeight="1">
      <c r="A48" s="55"/>
      <c r="B48" s="56">
        <v>45945.0</v>
      </c>
      <c r="C48" s="57">
        <v>105083.16</v>
      </c>
      <c r="D48" s="57"/>
      <c r="E48" s="58" t="s">
        <v>864</v>
      </c>
      <c r="F48" s="61" t="s">
        <v>69</v>
      </c>
      <c r="G48" s="62"/>
    </row>
    <row r="49" ht="19.5" customHeight="1">
      <c r="A49" s="55"/>
      <c r="B49" s="56">
        <v>45945.0</v>
      </c>
      <c r="C49" s="63">
        <v>19076.95</v>
      </c>
      <c r="D49" s="63"/>
      <c r="E49" s="64" t="s">
        <v>865</v>
      </c>
      <c r="F49" s="61" t="s">
        <v>79</v>
      </c>
      <c r="G49" s="62"/>
    </row>
    <row r="50" ht="19.5" customHeight="1">
      <c r="A50" s="55"/>
      <c r="B50" s="56">
        <v>45945.0</v>
      </c>
      <c r="C50" s="63">
        <v>18575.03</v>
      </c>
      <c r="D50" s="63"/>
      <c r="E50" s="64" t="s">
        <v>866</v>
      </c>
      <c r="F50" s="61" t="s">
        <v>71</v>
      </c>
      <c r="G50" s="62"/>
    </row>
    <row r="51" ht="19.5" customHeight="1">
      <c r="A51" s="55"/>
      <c r="B51" s="56">
        <v>45945.0</v>
      </c>
      <c r="C51" s="63">
        <v>19076.95</v>
      </c>
      <c r="D51" s="63"/>
      <c r="E51" s="64" t="s">
        <v>867</v>
      </c>
      <c r="F51" s="61" t="s">
        <v>73</v>
      </c>
      <c r="G51" s="62"/>
    </row>
    <row r="52" ht="19.5" customHeight="1">
      <c r="A52" s="55"/>
      <c r="B52" s="104">
        <v>45945.0</v>
      </c>
      <c r="C52" s="67">
        <v>12200.0</v>
      </c>
      <c r="D52" s="67"/>
      <c r="E52" s="68" t="s">
        <v>29</v>
      </c>
      <c r="F52" s="69"/>
      <c r="G52" s="70"/>
    </row>
    <row r="53" ht="19.5" customHeight="1">
      <c r="A53" s="55"/>
      <c r="B53" s="104">
        <v>45946.0</v>
      </c>
      <c r="C53" s="67">
        <v>97500.0</v>
      </c>
      <c r="D53" s="67"/>
      <c r="E53" s="68" t="s">
        <v>868</v>
      </c>
      <c r="F53" s="69"/>
      <c r="G53" s="70"/>
    </row>
    <row r="54" ht="19.5" customHeight="1">
      <c r="A54" s="55"/>
      <c r="B54" s="104">
        <v>45946.0</v>
      </c>
      <c r="C54" s="67">
        <v>8808.66</v>
      </c>
      <c r="D54" s="67"/>
      <c r="E54" s="68" t="s">
        <v>869</v>
      </c>
      <c r="F54" s="69"/>
      <c r="G54" s="70"/>
    </row>
    <row r="55" ht="19.5" customHeight="1">
      <c r="A55" s="55"/>
      <c r="B55" s="66">
        <v>45947.0</v>
      </c>
      <c r="C55" s="67">
        <v>37199.0</v>
      </c>
      <c r="D55" s="67"/>
      <c r="E55" s="68" t="s">
        <v>870</v>
      </c>
      <c r="F55" s="69"/>
      <c r="G55" s="70"/>
    </row>
    <row r="56" ht="19.5" customHeight="1">
      <c r="A56" s="55"/>
      <c r="B56" s="66">
        <v>45947.0</v>
      </c>
      <c r="C56" s="67">
        <v>130001.07</v>
      </c>
      <c r="D56" s="67"/>
      <c r="E56" s="68" t="s">
        <v>34</v>
      </c>
      <c r="F56" s="69"/>
      <c r="G56" s="70"/>
    </row>
    <row r="57" ht="19.5" customHeight="1">
      <c r="A57" s="55"/>
      <c r="B57" s="66">
        <v>45947.0</v>
      </c>
      <c r="C57" s="67">
        <v>7250.0</v>
      </c>
      <c r="D57" s="67"/>
      <c r="E57" s="68" t="s">
        <v>859</v>
      </c>
      <c r="F57" s="69"/>
      <c r="G57" s="70"/>
    </row>
    <row r="58" ht="19.5" customHeight="1">
      <c r="A58" s="55"/>
      <c r="B58" s="66">
        <v>45948.0</v>
      </c>
      <c r="C58" s="67">
        <v>18254.0</v>
      </c>
      <c r="D58" s="67"/>
      <c r="E58" s="68" t="s">
        <v>80</v>
      </c>
      <c r="F58" s="69"/>
      <c r="G58" s="70"/>
    </row>
    <row r="59" ht="19.5" customHeight="1">
      <c r="A59" s="55"/>
      <c r="B59" s="66">
        <v>45948.0</v>
      </c>
      <c r="C59" s="67">
        <v>600.0</v>
      </c>
      <c r="D59" s="67"/>
      <c r="E59" s="68" t="s">
        <v>199</v>
      </c>
      <c r="F59" s="69"/>
      <c r="G59" s="70"/>
    </row>
    <row r="60" ht="19.5" customHeight="1">
      <c r="A60" s="55"/>
      <c r="B60" s="66">
        <v>45948.0</v>
      </c>
      <c r="C60" s="67">
        <v>23600.0</v>
      </c>
      <c r="D60" s="67"/>
      <c r="E60" s="68" t="s">
        <v>859</v>
      </c>
      <c r="F60" s="69"/>
      <c r="G60" s="70"/>
    </row>
    <row r="61" ht="19.5" customHeight="1">
      <c r="A61" s="55"/>
      <c r="B61" s="65">
        <v>45949.0</v>
      </c>
      <c r="C61" s="63">
        <v>42052.95</v>
      </c>
      <c r="D61" s="63"/>
      <c r="E61" s="64" t="s">
        <v>225</v>
      </c>
      <c r="F61" s="61" t="s">
        <v>226</v>
      </c>
      <c r="G61" s="62"/>
    </row>
    <row r="62" ht="19.5" customHeight="1">
      <c r="A62" s="55"/>
      <c r="B62" s="66">
        <v>45949.0</v>
      </c>
      <c r="C62" s="67">
        <v>4628.24</v>
      </c>
      <c r="D62" s="67"/>
      <c r="E62" s="68" t="s">
        <v>871</v>
      </c>
      <c r="F62" s="69"/>
      <c r="G62" s="70"/>
    </row>
    <row r="63" ht="19.5" customHeight="1">
      <c r="A63" s="55"/>
      <c r="B63" s="66">
        <v>45949.0</v>
      </c>
      <c r="C63" s="67">
        <v>5647.89</v>
      </c>
      <c r="D63" s="67"/>
      <c r="E63" s="68" t="s">
        <v>748</v>
      </c>
      <c r="F63" s="69"/>
      <c r="G63" s="70"/>
    </row>
    <row r="64" ht="19.5" customHeight="1">
      <c r="A64" s="55"/>
      <c r="B64" s="66">
        <v>45950.0</v>
      </c>
      <c r="C64" s="67">
        <v>6800.0</v>
      </c>
      <c r="D64" s="67"/>
      <c r="E64" s="68" t="s">
        <v>859</v>
      </c>
      <c r="F64" s="69"/>
      <c r="G64" s="70"/>
    </row>
    <row r="65" ht="19.5" customHeight="1">
      <c r="A65" s="55"/>
      <c r="B65" s="65">
        <v>45950.0</v>
      </c>
      <c r="C65" s="63"/>
      <c r="D65" s="63">
        <v>1.99</v>
      </c>
      <c r="E65" s="64" t="s">
        <v>872</v>
      </c>
      <c r="F65" s="61" t="s">
        <v>55</v>
      </c>
      <c r="G65" s="62"/>
    </row>
    <row r="66" ht="19.5" customHeight="1">
      <c r="A66" s="55"/>
      <c r="B66" s="66">
        <v>45951.0</v>
      </c>
      <c r="C66" s="67">
        <v>7890.0</v>
      </c>
      <c r="D66" s="67"/>
      <c r="E66" s="68" t="s">
        <v>873</v>
      </c>
      <c r="F66" s="69"/>
      <c r="G66" s="70"/>
    </row>
    <row r="67" ht="19.5" customHeight="1">
      <c r="A67" s="55"/>
      <c r="B67" s="66">
        <v>45951.0</v>
      </c>
      <c r="C67" s="67">
        <v>10440.0</v>
      </c>
      <c r="D67" s="67"/>
      <c r="E67" s="68" t="s">
        <v>874</v>
      </c>
      <c r="F67" s="69"/>
      <c r="G67" s="70"/>
    </row>
    <row r="68" ht="19.5" customHeight="1">
      <c r="A68" s="55"/>
      <c r="B68" s="150">
        <v>45951.0</v>
      </c>
      <c r="C68" s="134">
        <v>1584523.77</v>
      </c>
      <c r="D68" s="134"/>
      <c r="E68" s="135" t="s">
        <v>92</v>
      </c>
      <c r="F68" s="127"/>
      <c r="G68" s="128"/>
    </row>
    <row r="69" ht="19.5" customHeight="1">
      <c r="A69" s="55"/>
      <c r="B69" s="66">
        <v>45953.0</v>
      </c>
      <c r="C69" s="67">
        <v>699.09</v>
      </c>
      <c r="D69" s="67"/>
      <c r="E69" s="68" t="s">
        <v>875</v>
      </c>
      <c r="F69" s="69"/>
      <c r="G69" s="70"/>
    </row>
    <row r="70" ht="19.5" customHeight="1">
      <c r="A70" s="55"/>
      <c r="B70" s="66">
        <v>45953.0</v>
      </c>
      <c r="C70" s="67">
        <v>4450.0</v>
      </c>
      <c r="D70" s="67"/>
      <c r="E70" s="68" t="s">
        <v>475</v>
      </c>
      <c r="F70" s="69"/>
      <c r="G70" s="70"/>
    </row>
    <row r="71" ht="19.5" customHeight="1">
      <c r="A71" s="55"/>
      <c r="B71" s="66">
        <v>45953.0</v>
      </c>
      <c r="C71" s="67">
        <v>7700.0</v>
      </c>
      <c r="D71" s="67"/>
      <c r="E71" s="68" t="s">
        <v>859</v>
      </c>
      <c r="F71" s="69"/>
      <c r="G71" s="70"/>
    </row>
    <row r="72" ht="19.5" customHeight="1">
      <c r="A72" s="55"/>
      <c r="B72" s="66">
        <v>45955.0</v>
      </c>
      <c r="C72" s="67">
        <v>9118.0</v>
      </c>
      <c r="D72" s="67"/>
      <c r="E72" s="68" t="s">
        <v>80</v>
      </c>
      <c r="F72" s="69"/>
      <c r="G72" s="70"/>
    </row>
    <row r="73" ht="19.5" customHeight="1">
      <c r="A73" s="55"/>
      <c r="B73" s="66">
        <v>45955.0</v>
      </c>
      <c r="C73" s="67">
        <v>120000.98</v>
      </c>
      <c r="D73" s="67"/>
      <c r="E73" s="68" t="s">
        <v>876</v>
      </c>
      <c r="F73" s="69"/>
      <c r="G73" s="70"/>
    </row>
    <row r="74" ht="19.5" customHeight="1">
      <c r="A74" s="55"/>
      <c r="B74" s="66">
        <v>45955.0</v>
      </c>
      <c r="C74" s="67">
        <v>6000.0</v>
      </c>
      <c r="D74" s="67"/>
      <c r="E74" s="68" t="s">
        <v>859</v>
      </c>
      <c r="F74" s="69"/>
      <c r="G74" s="70"/>
    </row>
    <row r="75" ht="19.5" customHeight="1">
      <c r="A75" s="55"/>
      <c r="B75" s="66">
        <v>45956.0</v>
      </c>
      <c r="C75" s="67">
        <v>500.0</v>
      </c>
      <c r="D75" s="67"/>
      <c r="E75" s="68" t="s">
        <v>199</v>
      </c>
      <c r="F75" s="69"/>
      <c r="G75" s="70"/>
    </row>
    <row r="76" ht="19.5" customHeight="1">
      <c r="A76" s="55"/>
      <c r="B76" s="65">
        <v>45957.0</v>
      </c>
      <c r="C76" s="63">
        <v>1052653.84</v>
      </c>
      <c r="D76" s="63"/>
      <c r="E76" s="64" t="s">
        <v>103</v>
      </c>
      <c r="F76" s="61" t="s">
        <v>104</v>
      </c>
      <c r="G76" s="62"/>
    </row>
    <row r="77" ht="18.0" customHeight="1">
      <c r="A77" s="55"/>
      <c r="B77" s="66">
        <v>45957.0</v>
      </c>
      <c r="C77" s="67">
        <v>10690.0</v>
      </c>
      <c r="D77" s="67"/>
      <c r="E77" s="68" t="s">
        <v>859</v>
      </c>
      <c r="F77" s="69"/>
      <c r="G77" s="70"/>
    </row>
    <row r="78" ht="19.5" customHeight="1">
      <c r="A78" s="55"/>
      <c r="B78" s="65">
        <v>45959.0</v>
      </c>
      <c r="C78" s="63">
        <v>74400.0</v>
      </c>
      <c r="D78" s="63"/>
      <c r="E78" s="64" t="s">
        <v>84</v>
      </c>
      <c r="F78" s="61" t="s">
        <v>877</v>
      </c>
      <c r="G78" s="62"/>
    </row>
    <row r="79" ht="19.5" customHeight="1">
      <c r="A79" s="55"/>
      <c r="B79" s="66">
        <v>45959.0</v>
      </c>
      <c r="C79" s="67">
        <v>10900.0</v>
      </c>
      <c r="D79" s="67"/>
      <c r="E79" s="68" t="s">
        <v>236</v>
      </c>
      <c r="F79" s="69"/>
      <c r="G79" s="70"/>
    </row>
    <row r="80" ht="19.5" customHeight="1">
      <c r="A80" s="76"/>
      <c r="B80" s="66">
        <v>45960.0</v>
      </c>
      <c r="C80" s="67">
        <v>14214.0</v>
      </c>
      <c r="D80" s="67"/>
      <c r="E80" s="68" t="s">
        <v>160</v>
      </c>
      <c r="F80" s="69"/>
      <c r="G80" s="70"/>
    </row>
    <row r="81" ht="30.0" customHeight="1">
      <c r="A81" s="78" t="s">
        <v>111</v>
      </c>
      <c r="B81" s="79"/>
      <c r="C81" s="80">
        <f t="shared" ref="C81:D81" si="3">SUM(C19:C80)</f>
        <v>5610350.96</v>
      </c>
      <c r="D81" s="80">
        <f t="shared" si="3"/>
        <v>13.97</v>
      </c>
      <c r="E81" s="81"/>
      <c r="F81" s="82"/>
    </row>
    <row r="82" ht="4.5" customHeight="1">
      <c r="A82" s="116"/>
      <c r="B82" s="115"/>
      <c r="C82" s="115"/>
      <c r="D82" s="115"/>
      <c r="E82" s="115"/>
      <c r="F82" s="115"/>
      <c r="G82" s="79"/>
    </row>
    <row r="83" ht="19.5" customHeight="1">
      <c r="A83" s="49" t="s">
        <v>112</v>
      </c>
      <c r="B83" s="65">
        <v>45932.0</v>
      </c>
      <c r="C83" s="63">
        <v>158333.34</v>
      </c>
      <c r="D83" s="51"/>
      <c r="E83" s="64" t="s">
        <v>878</v>
      </c>
      <c r="F83" s="61" t="s">
        <v>879</v>
      </c>
      <c r="G83" s="62" t="s">
        <v>44</v>
      </c>
    </row>
    <row r="84" ht="19.5" customHeight="1">
      <c r="A84" s="55"/>
      <c r="B84" s="65">
        <v>45933.0</v>
      </c>
      <c r="C84" s="63"/>
      <c r="D84" s="57">
        <v>0.99</v>
      </c>
      <c r="E84" s="64" t="s">
        <v>880</v>
      </c>
      <c r="F84" s="61" t="s">
        <v>881</v>
      </c>
      <c r="G84" s="62" t="s">
        <v>44</v>
      </c>
    </row>
    <row r="85" ht="19.5" customHeight="1">
      <c r="A85" s="55"/>
      <c r="B85" s="65">
        <v>45935.0</v>
      </c>
      <c r="C85" s="63">
        <v>36000.0</v>
      </c>
      <c r="D85" s="57"/>
      <c r="E85" s="64" t="s">
        <v>670</v>
      </c>
      <c r="F85" s="61" t="s">
        <v>882</v>
      </c>
      <c r="G85" s="62" t="s">
        <v>44</v>
      </c>
    </row>
    <row r="86" ht="19.5" customHeight="1">
      <c r="A86" s="55"/>
      <c r="B86" s="65">
        <v>45935.0</v>
      </c>
      <c r="C86" s="63">
        <v>125423.04</v>
      </c>
      <c r="D86" s="57"/>
      <c r="E86" s="64" t="s">
        <v>119</v>
      </c>
      <c r="F86" s="61" t="s">
        <v>883</v>
      </c>
      <c r="G86" s="62" t="s">
        <v>586</v>
      </c>
    </row>
    <row r="87" ht="19.5" customHeight="1">
      <c r="A87" s="55"/>
      <c r="B87" s="65">
        <v>45936.0</v>
      </c>
      <c r="C87" s="63">
        <v>19999.94</v>
      </c>
      <c r="D87" s="57"/>
      <c r="E87" s="64" t="s">
        <v>214</v>
      </c>
      <c r="F87" s="61" t="s">
        <v>538</v>
      </c>
      <c r="G87" s="62" t="s">
        <v>44</v>
      </c>
    </row>
    <row r="88" ht="19.5" customHeight="1">
      <c r="A88" s="55"/>
      <c r="B88" s="65">
        <v>45938.0</v>
      </c>
      <c r="C88" s="63">
        <v>19999.94</v>
      </c>
      <c r="D88" s="57"/>
      <c r="E88" s="64" t="s">
        <v>214</v>
      </c>
      <c r="F88" s="61" t="s">
        <v>538</v>
      </c>
      <c r="G88" s="62" t="s">
        <v>44</v>
      </c>
    </row>
    <row r="89" ht="19.5" customHeight="1">
      <c r="A89" s="55"/>
      <c r="B89" s="65">
        <v>45939.0</v>
      </c>
      <c r="C89" s="63">
        <v>19999.94</v>
      </c>
      <c r="D89" s="57"/>
      <c r="E89" s="64" t="s">
        <v>214</v>
      </c>
      <c r="F89" s="61" t="s">
        <v>538</v>
      </c>
      <c r="G89" s="62" t="s">
        <v>44</v>
      </c>
    </row>
    <row r="90" ht="19.5" customHeight="1">
      <c r="A90" s="55"/>
      <c r="B90" s="65">
        <v>45940.0</v>
      </c>
      <c r="C90" s="63">
        <v>29999.96</v>
      </c>
      <c r="D90" s="57"/>
      <c r="E90" s="64" t="s">
        <v>214</v>
      </c>
      <c r="F90" s="61" t="s">
        <v>538</v>
      </c>
      <c r="G90" s="62" t="s">
        <v>44</v>
      </c>
    </row>
    <row r="91" ht="19.5" customHeight="1">
      <c r="A91" s="55"/>
      <c r="B91" s="65">
        <v>45940.0</v>
      </c>
      <c r="C91" s="63">
        <v>42672.74</v>
      </c>
      <c r="D91" s="57"/>
      <c r="E91" s="64" t="s">
        <v>884</v>
      </c>
      <c r="F91" s="61" t="s">
        <v>885</v>
      </c>
      <c r="G91" s="62" t="s">
        <v>44</v>
      </c>
    </row>
    <row r="92" ht="19.5" customHeight="1">
      <c r="A92" s="55"/>
      <c r="B92" s="65">
        <v>45941.0</v>
      </c>
      <c r="C92" s="63">
        <v>20000.0</v>
      </c>
      <c r="D92" s="57"/>
      <c r="E92" s="64" t="s">
        <v>670</v>
      </c>
      <c r="F92" s="61" t="s">
        <v>882</v>
      </c>
      <c r="G92" s="62" t="s">
        <v>44</v>
      </c>
    </row>
    <row r="93" ht="19.5" customHeight="1">
      <c r="A93" s="55"/>
      <c r="B93" s="65">
        <v>45941.0</v>
      </c>
      <c r="C93" s="63">
        <v>142418.17</v>
      </c>
      <c r="D93" s="57"/>
      <c r="E93" s="64" t="s">
        <v>116</v>
      </c>
      <c r="F93" s="61" t="s">
        <v>481</v>
      </c>
      <c r="G93" s="62" t="s">
        <v>44</v>
      </c>
    </row>
    <row r="94" ht="19.5" customHeight="1">
      <c r="A94" s="55"/>
      <c r="B94" s="65">
        <v>45941.0</v>
      </c>
      <c r="C94" s="63">
        <v>30885.99</v>
      </c>
      <c r="D94" s="57"/>
      <c r="E94" s="64" t="s">
        <v>116</v>
      </c>
      <c r="F94" s="61" t="s">
        <v>482</v>
      </c>
      <c r="G94" s="62" t="s">
        <v>26</v>
      </c>
    </row>
    <row r="95" ht="19.5" customHeight="1">
      <c r="A95" s="55"/>
      <c r="B95" s="65">
        <v>45942.0</v>
      </c>
      <c r="C95" s="63">
        <v>203791.4</v>
      </c>
      <c r="D95" s="57"/>
      <c r="E95" s="64" t="s">
        <v>761</v>
      </c>
      <c r="F95" s="61" t="s">
        <v>762</v>
      </c>
      <c r="G95" s="62" t="s">
        <v>44</v>
      </c>
    </row>
    <row r="96" ht="19.5" customHeight="1">
      <c r="A96" s="55"/>
      <c r="B96" s="65">
        <v>45942.0</v>
      </c>
      <c r="C96" s="63">
        <v>48880.0</v>
      </c>
      <c r="D96" s="57"/>
      <c r="E96" s="64" t="s">
        <v>672</v>
      </c>
      <c r="F96" s="61" t="s">
        <v>886</v>
      </c>
      <c r="G96" s="62" t="s">
        <v>44</v>
      </c>
    </row>
    <row r="97" ht="19.5" customHeight="1">
      <c r="A97" s="55"/>
      <c r="B97" s="65">
        <v>45943.0</v>
      </c>
      <c r="C97" s="63">
        <v>19999.97</v>
      </c>
      <c r="D97" s="57"/>
      <c r="E97" s="64" t="s">
        <v>214</v>
      </c>
      <c r="F97" s="61" t="s">
        <v>538</v>
      </c>
      <c r="G97" s="62" t="s">
        <v>44</v>
      </c>
    </row>
    <row r="98" ht="19.5" customHeight="1">
      <c r="A98" s="55"/>
      <c r="B98" s="65">
        <v>45943.0</v>
      </c>
      <c r="C98" s="63">
        <v>5700.0</v>
      </c>
      <c r="D98" s="57"/>
      <c r="E98" s="64" t="s">
        <v>214</v>
      </c>
      <c r="F98" s="61" t="s">
        <v>538</v>
      </c>
      <c r="G98" s="62" t="s">
        <v>44</v>
      </c>
    </row>
    <row r="99" ht="19.5" customHeight="1">
      <c r="A99" s="55"/>
      <c r="B99" s="65">
        <v>45944.0</v>
      </c>
      <c r="C99" s="63">
        <v>20000.0</v>
      </c>
      <c r="D99" s="57"/>
      <c r="E99" s="64" t="s">
        <v>418</v>
      </c>
      <c r="F99" s="61" t="s">
        <v>538</v>
      </c>
      <c r="G99" s="62" t="s">
        <v>44</v>
      </c>
    </row>
    <row r="100" ht="19.5" customHeight="1">
      <c r="A100" s="55"/>
      <c r="B100" s="65">
        <v>45945.0</v>
      </c>
      <c r="C100" s="63">
        <v>805000.0</v>
      </c>
      <c r="D100" s="57"/>
      <c r="E100" s="64" t="s">
        <v>120</v>
      </c>
      <c r="F100" s="61" t="s">
        <v>887</v>
      </c>
      <c r="G100" s="62" t="s">
        <v>26</v>
      </c>
    </row>
    <row r="101" ht="19.5" customHeight="1">
      <c r="A101" s="55"/>
      <c r="B101" s="65">
        <v>45946.0</v>
      </c>
      <c r="C101" s="63">
        <v>19999.97</v>
      </c>
      <c r="D101" s="57"/>
      <c r="E101" s="64" t="s">
        <v>214</v>
      </c>
      <c r="F101" s="61" t="s">
        <v>538</v>
      </c>
      <c r="G101" s="62" t="s">
        <v>44</v>
      </c>
    </row>
    <row r="102" ht="19.5" customHeight="1">
      <c r="A102" s="55"/>
      <c r="B102" s="65">
        <v>45946.0</v>
      </c>
      <c r="C102" s="63">
        <v>12700.0</v>
      </c>
      <c r="D102" s="57"/>
      <c r="E102" s="64" t="s">
        <v>888</v>
      </c>
      <c r="F102" s="61" t="s">
        <v>889</v>
      </c>
      <c r="G102" s="62" t="s">
        <v>26</v>
      </c>
    </row>
    <row r="103" ht="19.5" customHeight="1">
      <c r="A103" s="55"/>
      <c r="B103" s="65">
        <v>45946.0</v>
      </c>
      <c r="C103" s="63">
        <v>282500.0</v>
      </c>
      <c r="D103" s="57"/>
      <c r="E103" s="64" t="s">
        <v>888</v>
      </c>
      <c r="F103" s="61" t="s">
        <v>890</v>
      </c>
      <c r="G103" s="62" t="s">
        <v>26</v>
      </c>
    </row>
    <row r="104" ht="19.5" customHeight="1">
      <c r="A104" s="55"/>
      <c r="B104" s="65">
        <v>45947.0</v>
      </c>
      <c r="C104" s="63">
        <v>19999.97</v>
      </c>
      <c r="D104" s="57"/>
      <c r="E104" s="64" t="s">
        <v>214</v>
      </c>
      <c r="F104" s="61" t="s">
        <v>538</v>
      </c>
      <c r="G104" s="62" t="s">
        <v>44</v>
      </c>
    </row>
    <row r="105" ht="19.5" customHeight="1">
      <c r="A105" s="55"/>
      <c r="B105" s="65">
        <v>45947.0</v>
      </c>
      <c r="C105" s="63">
        <v>58433.38</v>
      </c>
      <c r="D105" s="57"/>
      <c r="E105" s="64" t="s">
        <v>891</v>
      </c>
      <c r="F105" s="64" t="s">
        <v>891</v>
      </c>
      <c r="G105" s="62" t="s">
        <v>44</v>
      </c>
    </row>
    <row r="106" ht="19.5" customHeight="1">
      <c r="A106" s="55"/>
      <c r="B106" s="65">
        <v>45948.0</v>
      </c>
      <c r="C106" s="63">
        <v>24000.0</v>
      </c>
      <c r="D106" s="57"/>
      <c r="E106" s="64" t="s">
        <v>892</v>
      </c>
      <c r="F106" s="61" t="s">
        <v>893</v>
      </c>
      <c r="G106" s="62" t="s">
        <v>44</v>
      </c>
    </row>
    <row r="107" ht="19.5" customHeight="1">
      <c r="A107" s="55"/>
      <c r="B107" s="65">
        <v>45951.0</v>
      </c>
      <c r="C107" s="63">
        <v>19999.97</v>
      </c>
      <c r="D107" s="57"/>
      <c r="E107" s="64" t="s">
        <v>894</v>
      </c>
      <c r="F107" s="61" t="s">
        <v>538</v>
      </c>
      <c r="G107" s="62" t="s">
        <v>44</v>
      </c>
    </row>
    <row r="108" ht="19.5" customHeight="1">
      <c r="A108" s="55"/>
      <c r="B108" s="65">
        <v>45951.0</v>
      </c>
      <c r="C108" s="63">
        <v>19999.97</v>
      </c>
      <c r="D108" s="57"/>
      <c r="E108" s="64" t="s">
        <v>214</v>
      </c>
      <c r="F108" s="61" t="s">
        <v>538</v>
      </c>
      <c r="G108" s="62" t="s">
        <v>44</v>
      </c>
    </row>
    <row r="109" ht="19.5" customHeight="1">
      <c r="A109" s="55"/>
      <c r="B109" s="65">
        <v>45952.0</v>
      </c>
      <c r="C109" s="63">
        <v>60500.0</v>
      </c>
      <c r="D109" s="57"/>
      <c r="E109" s="64" t="s">
        <v>420</v>
      </c>
      <c r="F109" s="61" t="s">
        <v>583</v>
      </c>
      <c r="G109" s="62" t="s">
        <v>44</v>
      </c>
    </row>
    <row r="110" ht="19.5" customHeight="1">
      <c r="A110" s="55"/>
      <c r="B110" s="65">
        <v>45953.0</v>
      </c>
      <c r="C110" s="63">
        <v>19999.97</v>
      </c>
      <c r="D110" s="57"/>
      <c r="E110" s="64" t="s">
        <v>214</v>
      </c>
      <c r="F110" s="61" t="s">
        <v>538</v>
      </c>
      <c r="G110" s="62" t="s">
        <v>44</v>
      </c>
    </row>
    <row r="111" ht="19.5" customHeight="1">
      <c r="A111" s="55"/>
      <c r="B111" s="65">
        <v>45954.0</v>
      </c>
      <c r="C111" s="63">
        <v>19999.97</v>
      </c>
      <c r="D111" s="57"/>
      <c r="E111" s="64" t="s">
        <v>214</v>
      </c>
      <c r="F111" s="61" t="s">
        <v>538</v>
      </c>
      <c r="G111" s="62" t="s">
        <v>44</v>
      </c>
    </row>
    <row r="112" ht="19.5" customHeight="1">
      <c r="A112" s="55"/>
      <c r="B112" s="65">
        <v>45955.0</v>
      </c>
      <c r="C112" s="63">
        <v>29999.96</v>
      </c>
      <c r="D112" s="57"/>
      <c r="E112" s="64" t="s">
        <v>214</v>
      </c>
      <c r="F112" s="61" t="s">
        <v>538</v>
      </c>
      <c r="G112" s="62" t="s">
        <v>44</v>
      </c>
    </row>
    <row r="113" ht="19.5" customHeight="1">
      <c r="A113" s="55"/>
      <c r="B113" s="65">
        <v>45955.0</v>
      </c>
      <c r="C113" s="63">
        <v>69788.89</v>
      </c>
      <c r="D113" s="57"/>
      <c r="E113" s="64" t="s">
        <v>119</v>
      </c>
      <c r="F113" s="61" t="s">
        <v>482</v>
      </c>
      <c r="G113" s="62" t="s">
        <v>26</v>
      </c>
    </row>
    <row r="114" ht="19.5" customHeight="1">
      <c r="A114" s="55"/>
      <c r="B114" s="65">
        <v>45955.0</v>
      </c>
      <c r="C114" s="63">
        <v>13999.0</v>
      </c>
      <c r="D114" s="57"/>
      <c r="E114" s="64" t="s">
        <v>119</v>
      </c>
      <c r="F114" s="61" t="s">
        <v>482</v>
      </c>
      <c r="G114" s="62" t="s">
        <v>26</v>
      </c>
    </row>
    <row r="115" ht="19.5" customHeight="1">
      <c r="A115" s="55"/>
      <c r="B115" s="65">
        <v>45955.0</v>
      </c>
      <c r="C115" s="63">
        <v>122503.96</v>
      </c>
      <c r="D115" s="57"/>
      <c r="E115" s="64" t="s">
        <v>119</v>
      </c>
      <c r="F115" s="61" t="s">
        <v>481</v>
      </c>
      <c r="G115" s="62" t="s">
        <v>44</v>
      </c>
    </row>
    <row r="116" ht="19.5" customHeight="1">
      <c r="A116" s="55"/>
      <c r="B116" s="65">
        <v>45957.0</v>
      </c>
      <c r="C116" s="63">
        <v>18700.0</v>
      </c>
      <c r="D116" s="57"/>
      <c r="E116" s="64" t="s">
        <v>895</v>
      </c>
      <c r="F116" s="61" t="s">
        <v>675</v>
      </c>
      <c r="G116" s="62" t="s">
        <v>44</v>
      </c>
    </row>
    <row r="117" ht="19.5" customHeight="1">
      <c r="A117" s="55"/>
      <c r="B117" s="65">
        <v>45957.0</v>
      </c>
      <c r="C117" s="63">
        <v>20000.0</v>
      </c>
      <c r="D117" s="57"/>
      <c r="E117" s="64" t="s">
        <v>670</v>
      </c>
      <c r="F117" s="61" t="s">
        <v>882</v>
      </c>
      <c r="G117" s="62" t="s">
        <v>44</v>
      </c>
    </row>
    <row r="118" ht="19.5" customHeight="1">
      <c r="A118" s="55"/>
      <c r="B118" s="65">
        <v>45957.0</v>
      </c>
      <c r="C118" s="63">
        <v>38000.0</v>
      </c>
      <c r="D118" s="57"/>
      <c r="E118" s="64" t="s">
        <v>896</v>
      </c>
      <c r="F118" s="61" t="s">
        <v>897</v>
      </c>
      <c r="G118" s="62" t="s">
        <v>44</v>
      </c>
    </row>
    <row r="119" ht="18.0" customHeight="1">
      <c r="A119" s="55"/>
      <c r="B119" s="65">
        <v>45959.0</v>
      </c>
      <c r="C119" s="63">
        <v>19999.96</v>
      </c>
      <c r="D119" s="57"/>
      <c r="E119" s="64" t="s">
        <v>214</v>
      </c>
      <c r="F119" s="61" t="s">
        <v>538</v>
      </c>
      <c r="G119" s="62" t="s">
        <v>44</v>
      </c>
    </row>
    <row r="120" ht="19.5" customHeight="1">
      <c r="A120" s="55"/>
      <c r="B120" s="65">
        <v>45960.0</v>
      </c>
      <c r="C120" s="63">
        <v>19999.97</v>
      </c>
      <c r="D120" s="63"/>
      <c r="E120" s="64" t="s">
        <v>214</v>
      </c>
      <c r="F120" s="61" t="s">
        <v>538</v>
      </c>
      <c r="G120" s="62" t="s">
        <v>44</v>
      </c>
    </row>
    <row r="121" ht="30.0" customHeight="1">
      <c r="A121" s="78" t="s">
        <v>111</v>
      </c>
      <c r="B121" s="79"/>
      <c r="C121" s="80">
        <f t="shared" ref="C121:D121" si="4">SUM(C83:C120)</f>
        <v>2660229.37</v>
      </c>
      <c r="D121" s="80">
        <f t="shared" si="4"/>
        <v>0.99</v>
      </c>
      <c r="E121" s="81"/>
      <c r="F121" s="82"/>
    </row>
    <row r="122" ht="4.5" customHeight="1">
      <c r="A122" s="116"/>
      <c r="B122" s="115"/>
      <c r="C122" s="115"/>
      <c r="D122" s="115"/>
      <c r="E122" s="115"/>
      <c r="F122" s="115"/>
      <c r="G122" s="79"/>
    </row>
    <row r="123" ht="19.5" customHeight="1">
      <c r="A123" s="49" t="s">
        <v>851</v>
      </c>
      <c r="B123" s="50">
        <v>45955.0</v>
      </c>
      <c r="C123" s="51">
        <v>41017.76</v>
      </c>
      <c r="D123" s="51"/>
      <c r="E123" s="52" t="s">
        <v>179</v>
      </c>
      <c r="F123" s="53" t="s">
        <v>898</v>
      </c>
      <c r="G123" s="54" t="s">
        <v>26</v>
      </c>
    </row>
    <row r="124" ht="30.0" customHeight="1">
      <c r="A124" s="78" t="s">
        <v>111</v>
      </c>
      <c r="B124" s="79"/>
      <c r="C124" s="80">
        <f t="shared" ref="C124:D124" si="5">SUM(C123)</f>
        <v>41017.76</v>
      </c>
      <c r="D124" s="80">
        <f t="shared" si="5"/>
        <v>0</v>
      </c>
      <c r="E124" s="92"/>
      <c r="F124" s="82"/>
      <c r="G124" s="93"/>
    </row>
    <row r="125" ht="4.5" customHeight="1">
      <c r="A125" s="116"/>
      <c r="B125" s="115"/>
      <c r="C125" s="115"/>
      <c r="D125" s="115"/>
      <c r="E125" s="115"/>
      <c r="F125" s="115"/>
      <c r="G125" s="79"/>
    </row>
    <row r="126" ht="19.5" customHeight="1">
      <c r="A126" s="49" t="s">
        <v>15</v>
      </c>
      <c r="B126" s="94">
        <v>45896.0</v>
      </c>
      <c r="C126" s="51">
        <v>10533.33</v>
      </c>
      <c r="D126" s="51"/>
      <c r="E126" s="52" t="s">
        <v>899</v>
      </c>
      <c r="F126" s="64" t="s">
        <v>698</v>
      </c>
      <c r="G126" s="143" t="s">
        <v>26</v>
      </c>
    </row>
    <row r="127" ht="19.5" customHeight="1">
      <c r="A127" s="55"/>
      <c r="B127" s="95">
        <v>45900.0</v>
      </c>
      <c r="C127" s="57">
        <v>10533.33</v>
      </c>
      <c r="D127" s="57"/>
      <c r="E127" s="58" t="s">
        <v>900</v>
      </c>
      <c r="F127" s="64" t="s">
        <v>771</v>
      </c>
      <c r="G127" s="130" t="s">
        <v>26</v>
      </c>
    </row>
    <row r="128" ht="19.5" customHeight="1">
      <c r="A128" s="55"/>
      <c r="B128" s="95">
        <v>45939.0</v>
      </c>
      <c r="C128" s="57">
        <v>79736.4</v>
      </c>
      <c r="D128" s="57"/>
      <c r="E128" s="58" t="s">
        <v>162</v>
      </c>
      <c r="F128" s="64" t="s">
        <v>901</v>
      </c>
      <c r="G128" s="130" t="s">
        <v>26</v>
      </c>
    </row>
    <row r="129" ht="19.5" customHeight="1">
      <c r="A129" s="55"/>
      <c r="B129" s="95">
        <v>45939.0</v>
      </c>
      <c r="C129" s="57">
        <v>42372.0</v>
      </c>
      <c r="D129" s="57"/>
      <c r="E129" s="58" t="s">
        <v>162</v>
      </c>
      <c r="F129" s="64" t="s">
        <v>902</v>
      </c>
      <c r="G129" s="130" t="s">
        <v>26</v>
      </c>
    </row>
    <row r="130" ht="19.5" customHeight="1">
      <c r="A130" s="55"/>
      <c r="B130" s="95">
        <v>45943.0</v>
      </c>
      <c r="C130" s="57">
        <v>49150.0</v>
      </c>
      <c r="D130" s="57"/>
      <c r="E130" s="58" t="s">
        <v>162</v>
      </c>
      <c r="F130" s="64" t="s">
        <v>903</v>
      </c>
      <c r="G130" s="130" t="s">
        <v>26</v>
      </c>
    </row>
    <row r="131" ht="19.5" customHeight="1">
      <c r="A131" s="55"/>
      <c r="B131" s="95">
        <v>45943.0</v>
      </c>
      <c r="C131" s="57">
        <v>44298.0</v>
      </c>
      <c r="D131" s="57"/>
      <c r="E131" s="58" t="s">
        <v>162</v>
      </c>
      <c r="F131" s="64" t="s">
        <v>904</v>
      </c>
      <c r="G131" s="130" t="s">
        <v>26</v>
      </c>
    </row>
    <row r="132" ht="19.5" customHeight="1">
      <c r="A132" s="55"/>
      <c r="B132" s="95">
        <v>45943.0</v>
      </c>
      <c r="C132" s="57">
        <v>67340.0</v>
      </c>
      <c r="D132" s="57"/>
      <c r="E132" s="58" t="s">
        <v>162</v>
      </c>
      <c r="F132" s="64" t="s">
        <v>905</v>
      </c>
      <c r="G132" s="130" t="s">
        <v>26</v>
      </c>
    </row>
    <row r="133" ht="19.5" customHeight="1">
      <c r="A133" s="55"/>
      <c r="B133" s="95">
        <v>45943.0</v>
      </c>
      <c r="C133" s="57">
        <v>30669.99</v>
      </c>
      <c r="D133" s="57"/>
      <c r="E133" s="58" t="s">
        <v>906</v>
      </c>
      <c r="F133" s="64" t="s">
        <v>907</v>
      </c>
      <c r="G133" s="130" t="s">
        <v>26</v>
      </c>
    </row>
    <row r="134" ht="19.5" customHeight="1">
      <c r="A134" s="55"/>
      <c r="B134" s="95">
        <v>45944.0</v>
      </c>
      <c r="C134" s="57">
        <v>43479.0</v>
      </c>
      <c r="D134" s="57"/>
      <c r="E134" s="58" t="s">
        <v>162</v>
      </c>
      <c r="F134" s="64" t="s">
        <v>908</v>
      </c>
      <c r="G134" s="130" t="s">
        <v>26</v>
      </c>
    </row>
    <row r="135" ht="19.5" customHeight="1">
      <c r="A135" s="55"/>
      <c r="B135" s="95">
        <v>45947.0</v>
      </c>
      <c r="C135" s="57">
        <v>86530.0</v>
      </c>
      <c r="D135" s="57"/>
      <c r="E135" s="58" t="s">
        <v>162</v>
      </c>
      <c r="F135" s="64" t="s">
        <v>909</v>
      </c>
      <c r="G135" s="130" t="s">
        <v>26</v>
      </c>
    </row>
    <row r="136" ht="19.5" customHeight="1">
      <c r="A136" s="55"/>
      <c r="B136" s="95">
        <v>45949.0</v>
      </c>
      <c r="C136" s="57">
        <v>49685.0</v>
      </c>
      <c r="D136" s="57"/>
      <c r="E136" s="58" t="s">
        <v>162</v>
      </c>
      <c r="F136" s="64" t="s">
        <v>910</v>
      </c>
      <c r="G136" s="130" t="s">
        <v>26</v>
      </c>
    </row>
    <row r="137" ht="19.5" customHeight="1">
      <c r="A137" s="55"/>
      <c r="B137" s="95">
        <v>45949.0</v>
      </c>
      <c r="C137" s="57">
        <v>281947.54</v>
      </c>
      <c r="D137" s="57"/>
      <c r="E137" s="58" t="s">
        <v>911</v>
      </c>
      <c r="F137" s="64" t="s">
        <v>912</v>
      </c>
      <c r="G137" s="130" t="s">
        <v>26</v>
      </c>
    </row>
    <row r="138" ht="19.5" customHeight="1">
      <c r="A138" s="55"/>
      <c r="B138" s="95">
        <v>45950.0</v>
      </c>
      <c r="C138" s="57">
        <v>21101.64</v>
      </c>
      <c r="D138" s="57"/>
      <c r="E138" s="58" t="s">
        <v>913</v>
      </c>
      <c r="F138" s="64" t="s">
        <v>914</v>
      </c>
      <c r="G138" s="130" t="s">
        <v>26</v>
      </c>
    </row>
    <row r="139" ht="19.5" customHeight="1">
      <c r="A139" s="55"/>
      <c r="B139" s="95">
        <v>45950.0</v>
      </c>
      <c r="C139" s="57">
        <v>89626.38</v>
      </c>
      <c r="D139" s="57"/>
      <c r="E139" s="58" t="s">
        <v>915</v>
      </c>
      <c r="F139" s="64" t="s">
        <v>916</v>
      </c>
      <c r="G139" s="130" t="s">
        <v>26</v>
      </c>
    </row>
    <row r="140" ht="19.5" customHeight="1">
      <c r="A140" s="55"/>
      <c r="B140" s="95">
        <v>45950.0</v>
      </c>
      <c r="C140" s="57">
        <v>57039.0</v>
      </c>
      <c r="D140" s="57"/>
      <c r="E140" s="58" t="s">
        <v>917</v>
      </c>
      <c r="F140" s="64" t="s">
        <v>918</v>
      </c>
      <c r="G140" s="130" t="s">
        <v>26</v>
      </c>
    </row>
    <row r="141" ht="19.5" customHeight="1">
      <c r="A141" s="55"/>
      <c r="B141" s="95">
        <v>45952.0</v>
      </c>
      <c r="C141" s="57">
        <v>47800.0</v>
      </c>
      <c r="D141" s="57"/>
      <c r="E141" s="58" t="s">
        <v>132</v>
      </c>
      <c r="F141" s="64" t="s">
        <v>919</v>
      </c>
      <c r="G141" s="130" t="s">
        <v>26</v>
      </c>
    </row>
    <row r="142" ht="19.5" customHeight="1">
      <c r="A142" s="55"/>
      <c r="B142" s="95">
        <v>45953.0</v>
      </c>
      <c r="C142" s="57">
        <v>21665.48</v>
      </c>
      <c r="D142" s="57"/>
      <c r="E142" s="58" t="s">
        <v>695</v>
      </c>
      <c r="F142" s="64" t="s">
        <v>914</v>
      </c>
      <c r="G142" s="130" t="s">
        <v>26</v>
      </c>
    </row>
    <row r="143" ht="19.5" customHeight="1">
      <c r="A143" s="55"/>
      <c r="B143" s="95">
        <v>45953.0</v>
      </c>
      <c r="C143" s="57">
        <v>31100.0</v>
      </c>
      <c r="D143" s="57"/>
      <c r="E143" s="58" t="s">
        <v>132</v>
      </c>
      <c r="F143" s="64" t="s">
        <v>919</v>
      </c>
      <c r="G143" s="130" t="s">
        <v>26</v>
      </c>
    </row>
    <row r="144" ht="19.5" customHeight="1">
      <c r="A144" s="55"/>
      <c r="B144" s="95">
        <v>45954.0</v>
      </c>
      <c r="C144" s="57">
        <v>132894.0</v>
      </c>
      <c r="D144" s="57"/>
      <c r="E144" s="58" t="s">
        <v>162</v>
      </c>
      <c r="F144" s="64" t="s">
        <v>920</v>
      </c>
      <c r="G144" s="130" t="s">
        <v>26</v>
      </c>
    </row>
    <row r="145" ht="19.5" customHeight="1">
      <c r="A145" s="55"/>
      <c r="B145" s="95">
        <v>45957.0</v>
      </c>
      <c r="C145" s="57">
        <v>5200.0</v>
      </c>
      <c r="D145" s="63"/>
      <c r="E145" s="58" t="s">
        <v>170</v>
      </c>
      <c r="F145" s="64" t="s">
        <v>921</v>
      </c>
      <c r="G145" s="130" t="s">
        <v>26</v>
      </c>
    </row>
    <row r="146" ht="30.0" customHeight="1">
      <c r="A146" s="78" t="s">
        <v>111</v>
      </c>
      <c r="B146" s="79"/>
      <c r="C146" s="80">
        <f t="shared" ref="C146:D146" si="6">SUM(C126:C145)</f>
        <v>1202701.09</v>
      </c>
      <c r="D146" s="80">
        <f t="shared" si="6"/>
        <v>0</v>
      </c>
      <c r="E146" s="81"/>
      <c r="F146" s="98"/>
    </row>
    <row r="147" ht="4.5" customHeight="1">
      <c r="A147" s="116"/>
      <c r="B147" s="115"/>
      <c r="C147" s="115"/>
      <c r="D147" s="115"/>
      <c r="E147" s="115"/>
      <c r="F147" s="115"/>
      <c r="G147" s="79"/>
    </row>
    <row r="148" ht="19.5" customHeight="1">
      <c r="A148" s="49" t="s">
        <v>125</v>
      </c>
      <c r="B148" s="50">
        <v>45906.0</v>
      </c>
      <c r="C148" s="51">
        <v>2250.0</v>
      </c>
      <c r="D148" s="51"/>
      <c r="E148" s="64" t="s">
        <v>922</v>
      </c>
      <c r="F148" s="61" t="s">
        <v>814</v>
      </c>
      <c r="G148" s="62"/>
    </row>
    <row r="149" ht="19.5" customHeight="1">
      <c r="A149" s="55"/>
      <c r="B149" s="56">
        <v>45936.0</v>
      </c>
      <c r="C149" s="57">
        <v>15351.0</v>
      </c>
      <c r="D149" s="57"/>
      <c r="E149" s="58" t="s">
        <v>441</v>
      </c>
      <c r="F149" s="61"/>
      <c r="G149" s="62"/>
    </row>
    <row r="150" ht="19.5" customHeight="1">
      <c r="A150" s="55"/>
      <c r="B150" s="56">
        <v>45937.0</v>
      </c>
      <c r="C150" s="57">
        <v>103000.0</v>
      </c>
      <c r="D150" s="57"/>
      <c r="E150" s="58" t="s">
        <v>703</v>
      </c>
      <c r="F150" s="61" t="s">
        <v>923</v>
      </c>
      <c r="G150" s="62"/>
    </row>
    <row r="151" ht="19.5" customHeight="1">
      <c r="A151" s="55"/>
      <c r="B151" s="56">
        <v>45937.0</v>
      </c>
      <c r="C151" s="57">
        <v>12700.0</v>
      </c>
      <c r="D151" s="57"/>
      <c r="E151" s="58" t="s">
        <v>505</v>
      </c>
      <c r="F151" s="61" t="s">
        <v>823</v>
      </c>
      <c r="G151" s="62"/>
    </row>
    <row r="152" ht="19.5" customHeight="1">
      <c r="A152" s="55"/>
      <c r="B152" s="56">
        <v>45937.0</v>
      </c>
      <c r="C152" s="57">
        <v>48492.2</v>
      </c>
      <c r="D152" s="57"/>
      <c r="E152" s="58" t="s">
        <v>924</v>
      </c>
      <c r="F152" s="61"/>
      <c r="G152" s="62"/>
    </row>
    <row r="153" ht="19.5" customHeight="1">
      <c r="A153" s="55"/>
      <c r="B153" s="56">
        <v>45938.0</v>
      </c>
      <c r="C153" s="57">
        <v>7200.0</v>
      </c>
      <c r="D153" s="57"/>
      <c r="E153" s="58" t="s">
        <v>441</v>
      </c>
      <c r="F153" s="61" t="s">
        <v>823</v>
      </c>
      <c r="G153" s="62"/>
    </row>
    <row r="154" ht="19.5" customHeight="1">
      <c r="A154" s="55"/>
      <c r="B154" s="56">
        <v>45938.0</v>
      </c>
      <c r="C154" s="57">
        <v>9600.0</v>
      </c>
      <c r="D154" s="57"/>
      <c r="E154" s="58" t="s">
        <v>925</v>
      </c>
      <c r="F154" s="61"/>
      <c r="G154" s="62"/>
    </row>
    <row r="155" ht="19.5" customHeight="1">
      <c r="A155" s="55"/>
      <c r="B155" s="56">
        <v>45939.0</v>
      </c>
      <c r="C155" s="57">
        <v>29665.0</v>
      </c>
      <c r="D155" s="57"/>
      <c r="E155" s="58" t="s">
        <v>386</v>
      </c>
      <c r="F155" s="61"/>
      <c r="G155" s="62"/>
    </row>
    <row r="156" ht="19.5" customHeight="1">
      <c r="A156" s="55"/>
      <c r="B156" s="56">
        <v>45939.0</v>
      </c>
      <c r="C156" s="57">
        <v>65005.96</v>
      </c>
      <c r="D156" s="57"/>
      <c r="E156" s="58" t="s">
        <v>386</v>
      </c>
      <c r="F156" s="59" t="s">
        <v>437</v>
      </c>
      <c r="G156" s="60"/>
    </row>
    <row r="157" ht="19.5" customHeight="1">
      <c r="A157" s="55"/>
      <c r="B157" s="56">
        <v>45939.0</v>
      </c>
      <c r="C157" s="57">
        <v>13250.0</v>
      </c>
      <c r="D157" s="57"/>
      <c r="E157" s="58" t="s">
        <v>120</v>
      </c>
      <c r="F157" s="59" t="s">
        <v>926</v>
      </c>
      <c r="G157" s="60"/>
    </row>
    <row r="158" ht="19.5" customHeight="1">
      <c r="A158" s="55"/>
      <c r="B158" s="56">
        <v>45939.0</v>
      </c>
      <c r="C158" s="57">
        <v>37270.0</v>
      </c>
      <c r="D158" s="57"/>
      <c r="E158" s="58" t="s">
        <v>927</v>
      </c>
      <c r="F158" s="59" t="s">
        <v>928</v>
      </c>
      <c r="G158" s="60"/>
    </row>
    <row r="159" ht="19.5" customHeight="1">
      <c r="A159" s="55"/>
      <c r="B159" s="56">
        <v>45939.0</v>
      </c>
      <c r="C159" s="57">
        <v>3000.0</v>
      </c>
      <c r="D159" s="57"/>
      <c r="E159" s="58" t="s">
        <v>927</v>
      </c>
      <c r="F159" s="59" t="s">
        <v>823</v>
      </c>
      <c r="G159" s="60"/>
    </row>
    <row r="160" ht="19.5" customHeight="1">
      <c r="A160" s="55"/>
      <c r="B160" s="56">
        <v>45939.0</v>
      </c>
      <c r="C160" s="57">
        <v>13800.0</v>
      </c>
      <c r="D160" s="57"/>
      <c r="E160" s="58" t="s">
        <v>927</v>
      </c>
      <c r="F160" s="59" t="s">
        <v>929</v>
      </c>
      <c r="G160" s="60"/>
    </row>
    <row r="161" ht="19.5" customHeight="1">
      <c r="A161" s="55"/>
      <c r="B161" s="56">
        <v>45939.0</v>
      </c>
      <c r="C161" s="57">
        <v>3000.0</v>
      </c>
      <c r="D161" s="57"/>
      <c r="E161" s="58" t="s">
        <v>927</v>
      </c>
      <c r="F161" s="59" t="s">
        <v>823</v>
      </c>
      <c r="G161" s="60"/>
    </row>
    <row r="162" ht="19.5" customHeight="1">
      <c r="A162" s="55"/>
      <c r="B162" s="56">
        <v>45939.0</v>
      </c>
      <c r="C162" s="57">
        <v>7600.0</v>
      </c>
      <c r="D162" s="57"/>
      <c r="E162" s="58" t="s">
        <v>927</v>
      </c>
      <c r="F162" s="59" t="s">
        <v>930</v>
      </c>
      <c r="G162" s="60"/>
    </row>
    <row r="163" ht="19.5" customHeight="1">
      <c r="A163" s="55"/>
      <c r="B163" s="56">
        <v>45939.0</v>
      </c>
      <c r="C163" s="57">
        <v>8700.0</v>
      </c>
      <c r="D163" s="57"/>
      <c r="E163" s="58" t="s">
        <v>927</v>
      </c>
      <c r="F163" s="59" t="s">
        <v>823</v>
      </c>
      <c r="G163" s="60"/>
    </row>
    <row r="164" ht="19.5" customHeight="1">
      <c r="A164" s="55"/>
      <c r="B164" s="56">
        <v>45939.0</v>
      </c>
      <c r="C164" s="57">
        <v>21350.0</v>
      </c>
      <c r="D164" s="57"/>
      <c r="E164" s="58" t="s">
        <v>349</v>
      </c>
      <c r="F164" s="59"/>
      <c r="G164" s="60"/>
    </row>
    <row r="165" ht="19.5" customHeight="1">
      <c r="A165" s="55"/>
      <c r="B165" s="56">
        <v>45939.0</v>
      </c>
      <c r="C165" s="57">
        <v>48142.05</v>
      </c>
      <c r="D165" s="57"/>
      <c r="E165" s="58" t="s">
        <v>349</v>
      </c>
      <c r="F165" s="59" t="s">
        <v>437</v>
      </c>
      <c r="G165" s="60"/>
    </row>
    <row r="166" ht="19.5" customHeight="1">
      <c r="A166" s="55"/>
      <c r="B166" s="65">
        <v>45939.0</v>
      </c>
      <c r="C166" s="63">
        <v>15900.0</v>
      </c>
      <c r="D166" s="63"/>
      <c r="E166" s="64" t="s">
        <v>931</v>
      </c>
      <c r="F166" s="61" t="s">
        <v>930</v>
      </c>
      <c r="G166" s="62"/>
    </row>
    <row r="167" ht="19.5" customHeight="1">
      <c r="A167" s="55"/>
      <c r="B167" s="65">
        <v>45939.0</v>
      </c>
      <c r="C167" s="63">
        <v>92000.0</v>
      </c>
      <c r="D167" s="63"/>
      <c r="E167" s="64" t="s">
        <v>932</v>
      </c>
      <c r="F167" s="61" t="s">
        <v>437</v>
      </c>
      <c r="G167" s="62"/>
    </row>
    <row r="168" ht="19.5" customHeight="1">
      <c r="A168" s="55"/>
      <c r="B168" s="65">
        <v>45939.0</v>
      </c>
      <c r="C168" s="63">
        <v>14300.0</v>
      </c>
      <c r="D168" s="63"/>
      <c r="E168" s="64" t="s">
        <v>932</v>
      </c>
      <c r="F168" s="61" t="s">
        <v>933</v>
      </c>
      <c r="G168" s="62"/>
    </row>
    <row r="169" ht="19.5" customHeight="1">
      <c r="A169" s="55"/>
      <c r="B169" s="65">
        <v>45940.0</v>
      </c>
      <c r="C169" s="63">
        <v>88958.68</v>
      </c>
      <c r="D169" s="63"/>
      <c r="E169" s="64" t="s">
        <v>934</v>
      </c>
      <c r="F169" s="61" t="s">
        <v>437</v>
      </c>
      <c r="G169" s="62"/>
    </row>
    <row r="170" ht="19.5" customHeight="1">
      <c r="A170" s="55"/>
      <c r="B170" s="65">
        <v>45940.0</v>
      </c>
      <c r="C170" s="63">
        <v>9400.0</v>
      </c>
      <c r="D170" s="63"/>
      <c r="E170" s="64" t="s">
        <v>505</v>
      </c>
      <c r="F170" s="61" t="s">
        <v>823</v>
      </c>
      <c r="G170" s="62"/>
    </row>
    <row r="171" ht="19.5" customHeight="1">
      <c r="A171" s="55"/>
      <c r="B171" s="65">
        <v>45944.0</v>
      </c>
      <c r="C171" s="63">
        <v>9000.0</v>
      </c>
      <c r="D171" s="63"/>
      <c r="E171" s="64" t="s">
        <v>239</v>
      </c>
      <c r="F171" s="61"/>
      <c r="G171" s="62"/>
    </row>
    <row r="172" ht="19.5" customHeight="1">
      <c r="A172" s="55"/>
      <c r="B172" s="65">
        <v>45944.0</v>
      </c>
      <c r="C172" s="63">
        <v>11500.0</v>
      </c>
      <c r="D172" s="63"/>
      <c r="E172" s="64" t="s">
        <v>935</v>
      </c>
      <c r="F172" s="61"/>
      <c r="G172" s="62"/>
    </row>
    <row r="173" ht="19.5" customHeight="1">
      <c r="A173" s="55"/>
      <c r="B173" s="65">
        <v>45944.0</v>
      </c>
      <c r="C173" s="63">
        <v>13400.0</v>
      </c>
      <c r="D173" s="63"/>
      <c r="E173" s="64" t="s">
        <v>935</v>
      </c>
      <c r="F173" s="61"/>
      <c r="G173" s="62"/>
    </row>
    <row r="174" ht="19.5" customHeight="1">
      <c r="A174" s="55"/>
      <c r="B174" s="65">
        <v>45945.0</v>
      </c>
      <c r="C174" s="63">
        <v>14900.0</v>
      </c>
      <c r="D174" s="63"/>
      <c r="E174" s="64" t="s">
        <v>936</v>
      </c>
      <c r="F174" s="61"/>
      <c r="G174" s="62"/>
    </row>
    <row r="175" ht="19.5" customHeight="1">
      <c r="A175" s="55"/>
      <c r="B175" s="65">
        <v>45945.0</v>
      </c>
      <c r="C175" s="63">
        <v>6700.0</v>
      </c>
      <c r="D175" s="63"/>
      <c r="E175" s="64" t="s">
        <v>120</v>
      </c>
      <c r="F175" s="61"/>
      <c r="G175" s="62"/>
    </row>
    <row r="176" ht="19.5" customHeight="1">
      <c r="A176" s="55"/>
      <c r="B176" s="65">
        <v>45945.0</v>
      </c>
      <c r="C176" s="63">
        <v>6400.0</v>
      </c>
      <c r="D176" s="63"/>
      <c r="E176" s="64" t="s">
        <v>120</v>
      </c>
      <c r="F176" s="61"/>
      <c r="G176" s="62"/>
    </row>
    <row r="177" ht="19.5" customHeight="1">
      <c r="A177" s="55"/>
      <c r="B177" s="65">
        <v>45947.0</v>
      </c>
      <c r="C177" s="63">
        <v>5300.0</v>
      </c>
      <c r="D177" s="63"/>
      <c r="E177" s="64" t="s">
        <v>848</v>
      </c>
      <c r="F177" s="61"/>
      <c r="G177" s="62"/>
    </row>
    <row r="178" ht="19.5" customHeight="1">
      <c r="A178" s="55"/>
      <c r="B178" s="65">
        <v>45947.0</v>
      </c>
      <c r="C178" s="63">
        <v>95331.89</v>
      </c>
      <c r="D178" s="63"/>
      <c r="E178" s="64" t="s">
        <v>937</v>
      </c>
      <c r="F178" s="61"/>
      <c r="G178" s="62"/>
    </row>
    <row r="179" ht="19.5" customHeight="1">
      <c r="A179" s="55"/>
      <c r="B179" s="65">
        <v>45950.0</v>
      </c>
      <c r="C179" s="63">
        <v>28000.0</v>
      </c>
      <c r="D179" s="63"/>
      <c r="E179" s="64" t="s">
        <v>505</v>
      </c>
      <c r="F179" s="61"/>
      <c r="G179" s="62"/>
    </row>
    <row r="180" ht="19.5" customHeight="1">
      <c r="A180" s="55"/>
      <c r="B180" s="65">
        <v>45951.0</v>
      </c>
      <c r="C180" s="63">
        <v>31637.24</v>
      </c>
      <c r="D180" s="63"/>
      <c r="E180" s="64" t="s">
        <v>938</v>
      </c>
      <c r="F180" s="61"/>
      <c r="G180" s="62"/>
    </row>
    <row r="181" ht="19.5" customHeight="1">
      <c r="A181" s="55"/>
      <c r="B181" s="65">
        <v>45951.0</v>
      </c>
      <c r="C181" s="63">
        <v>37200.0</v>
      </c>
      <c r="D181" s="63"/>
      <c r="E181" s="64" t="s">
        <v>939</v>
      </c>
      <c r="F181" s="61"/>
      <c r="G181" s="62"/>
    </row>
    <row r="182" ht="19.5" customHeight="1">
      <c r="A182" s="55"/>
      <c r="B182" s="65">
        <v>45951.0</v>
      </c>
      <c r="C182" s="63">
        <v>5000.0</v>
      </c>
      <c r="D182" s="63"/>
      <c r="E182" s="64" t="s">
        <v>940</v>
      </c>
      <c r="F182" s="61"/>
      <c r="G182" s="62"/>
    </row>
    <row r="183" ht="19.5" customHeight="1">
      <c r="A183" s="55"/>
      <c r="B183" s="65">
        <v>45951.0</v>
      </c>
      <c r="C183" s="63">
        <v>19000.0</v>
      </c>
      <c r="D183" s="63"/>
      <c r="E183" s="64" t="s">
        <v>941</v>
      </c>
      <c r="F183" s="61"/>
      <c r="G183" s="62"/>
    </row>
    <row r="184" ht="19.5" customHeight="1">
      <c r="A184" s="55"/>
      <c r="B184" s="65">
        <v>45951.0</v>
      </c>
      <c r="C184" s="63">
        <v>11400.0</v>
      </c>
      <c r="D184" s="63"/>
      <c r="E184" s="64" t="s">
        <v>822</v>
      </c>
      <c r="F184" s="61"/>
      <c r="G184" s="62"/>
    </row>
    <row r="185" ht="19.5" customHeight="1">
      <c r="A185" s="55"/>
      <c r="B185" s="65">
        <v>45952.0</v>
      </c>
      <c r="C185" s="63">
        <v>236533.34</v>
      </c>
      <c r="D185" s="63"/>
      <c r="E185" s="64" t="s">
        <v>942</v>
      </c>
      <c r="F185" s="61" t="s">
        <v>943</v>
      </c>
      <c r="G185" s="62"/>
    </row>
    <row r="186" ht="19.5" customHeight="1">
      <c r="A186" s="55"/>
      <c r="B186" s="65">
        <v>45952.0</v>
      </c>
      <c r="C186" s="63">
        <v>23300.0</v>
      </c>
      <c r="D186" s="63"/>
      <c r="E186" s="64" t="s">
        <v>703</v>
      </c>
      <c r="F186" s="61"/>
      <c r="G186" s="62"/>
    </row>
    <row r="187" ht="19.5" customHeight="1">
      <c r="A187" s="55"/>
      <c r="B187" s="65">
        <v>45954.0</v>
      </c>
      <c r="C187" s="63">
        <v>54900.0</v>
      </c>
      <c r="D187" s="63"/>
      <c r="E187" s="64" t="s">
        <v>944</v>
      </c>
      <c r="F187" s="61"/>
      <c r="G187" s="62"/>
    </row>
    <row r="188" ht="19.5" customHeight="1">
      <c r="A188" s="55"/>
      <c r="B188" s="65">
        <v>45954.0</v>
      </c>
      <c r="C188" s="63">
        <v>8719.0</v>
      </c>
      <c r="D188" s="63"/>
      <c r="E188" s="64" t="s">
        <v>441</v>
      </c>
      <c r="F188" s="61"/>
      <c r="G188" s="62"/>
    </row>
    <row r="189" ht="19.5" customHeight="1">
      <c r="A189" s="55"/>
      <c r="B189" s="65">
        <v>45955.0</v>
      </c>
      <c r="C189" s="63">
        <v>15500.0</v>
      </c>
      <c r="D189" s="63"/>
      <c r="E189" s="64" t="s">
        <v>132</v>
      </c>
      <c r="F189" s="61"/>
      <c r="G189" s="62"/>
    </row>
    <row r="190" ht="19.5" customHeight="1">
      <c r="A190" s="55"/>
      <c r="B190" s="65">
        <v>45956.0</v>
      </c>
      <c r="C190" s="63">
        <v>17600.0</v>
      </c>
      <c r="D190" s="63"/>
      <c r="E190" s="64" t="s">
        <v>133</v>
      </c>
      <c r="F190" s="61"/>
      <c r="G190" s="62"/>
    </row>
    <row r="191" ht="19.5" customHeight="1">
      <c r="A191" s="55"/>
      <c r="B191" s="65">
        <v>45957.0</v>
      </c>
      <c r="C191" s="63">
        <v>7200.0</v>
      </c>
      <c r="D191" s="63"/>
      <c r="E191" s="64" t="s">
        <v>441</v>
      </c>
      <c r="F191" s="61" t="s">
        <v>823</v>
      </c>
      <c r="G191" s="62"/>
    </row>
    <row r="192" ht="19.5" customHeight="1">
      <c r="A192" s="55"/>
      <c r="B192" s="65">
        <v>45957.0</v>
      </c>
      <c r="C192" s="63">
        <v>6500.0</v>
      </c>
      <c r="D192" s="63"/>
      <c r="E192" s="64" t="s">
        <v>944</v>
      </c>
      <c r="F192" s="61"/>
      <c r="G192" s="62"/>
    </row>
    <row r="193" ht="19.5" customHeight="1">
      <c r="A193" s="55"/>
      <c r="B193" s="65">
        <v>45957.0</v>
      </c>
      <c r="C193" s="63">
        <v>8000.0</v>
      </c>
      <c r="D193" s="63"/>
      <c r="E193" s="64" t="s">
        <v>944</v>
      </c>
      <c r="F193" s="61"/>
      <c r="G193" s="62"/>
    </row>
    <row r="194" ht="19.5" customHeight="1">
      <c r="A194" s="55"/>
      <c r="B194" s="65">
        <v>45959.0</v>
      </c>
      <c r="C194" s="63">
        <v>13700.0</v>
      </c>
      <c r="D194" s="63"/>
      <c r="E194" s="64" t="s">
        <v>132</v>
      </c>
      <c r="F194" s="61" t="s">
        <v>945</v>
      </c>
      <c r="G194" s="62"/>
    </row>
    <row r="195" ht="30.0" customHeight="1">
      <c r="A195" s="78" t="s">
        <v>111</v>
      </c>
      <c r="B195" s="79"/>
      <c r="C195" s="80">
        <f>SUM(C148:C194)</f>
        <v>1356656.36</v>
      </c>
      <c r="D195" s="80">
        <f>SUM(D149:D194)</f>
        <v>0</v>
      </c>
      <c r="E195" s="81"/>
      <c r="F195" s="82"/>
    </row>
    <row r="196" ht="4.5" customHeight="1">
      <c r="A196" s="116"/>
      <c r="B196" s="115"/>
      <c r="C196" s="115"/>
      <c r="D196" s="117"/>
      <c r="E196" s="96"/>
      <c r="F196" s="96"/>
      <c r="G196" s="96"/>
    </row>
    <row r="197" ht="30.0" customHeight="1">
      <c r="A197" s="78" t="s">
        <v>187</v>
      </c>
      <c r="B197" s="79"/>
      <c r="C197" s="80">
        <f t="shared" ref="C197:D197" si="7">+C81+C121+C124+C146+C195</f>
        <v>10870955.54</v>
      </c>
      <c r="D197" s="80">
        <f t="shared" si="7"/>
        <v>14.96</v>
      </c>
      <c r="E197" s="97"/>
      <c r="F197" s="98"/>
    </row>
    <row r="198" ht="19.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A6:C7"/>
    <mergeCell ref="D6:E6"/>
    <mergeCell ref="F6:G6"/>
    <mergeCell ref="D7:E7"/>
    <mergeCell ref="F7:G7"/>
    <mergeCell ref="D8:E8"/>
    <mergeCell ref="F8:G8"/>
    <mergeCell ref="D9:G16"/>
    <mergeCell ref="C11:C12"/>
    <mergeCell ref="C13:C14"/>
    <mergeCell ref="A17:G17"/>
    <mergeCell ref="A19:A80"/>
    <mergeCell ref="A81:B81"/>
    <mergeCell ref="A82:G82"/>
    <mergeCell ref="A126:A145"/>
    <mergeCell ref="A148:A194"/>
    <mergeCell ref="A195:B195"/>
    <mergeCell ref="A196:D196"/>
    <mergeCell ref="A197:B197"/>
    <mergeCell ref="A83:A120"/>
    <mergeCell ref="A121:B121"/>
    <mergeCell ref="A122:G122"/>
    <mergeCell ref="A124:B124"/>
    <mergeCell ref="A125:G125"/>
    <mergeCell ref="A146:B146"/>
    <mergeCell ref="A147:G147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5.57"/>
    <col customWidth="1" min="6" max="6" width="101.0"/>
    <col customWidth="1" min="7" max="7" width="17.14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946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1.290122874E7</v>
      </c>
      <c r="G8" s="14"/>
    </row>
    <row r="9" ht="19.5" customHeight="1">
      <c r="A9" s="20" t="s">
        <v>7</v>
      </c>
      <c r="B9" s="21">
        <f>SUM(C96)</f>
        <v>6205948.93</v>
      </c>
      <c r="C9" s="22">
        <f t="shared" ref="C9:C10" si="1">+B9</f>
        <v>6205948.93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SUM(D96)</f>
        <v>13.97</v>
      </c>
      <c r="C10" s="28">
        <f t="shared" si="1"/>
        <v>13.97</v>
      </c>
      <c r="D10" s="29"/>
      <c r="G10" s="30"/>
    </row>
    <row r="11" ht="19.5" customHeight="1">
      <c r="A11" s="31" t="s">
        <v>10</v>
      </c>
      <c r="B11" s="32">
        <v>1428578.93</v>
      </c>
      <c r="C11" s="33">
        <f>SUM(B11:B12)</f>
        <v>3288940.76</v>
      </c>
      <c r="D11" s="29"/>
      <c r="G11" s="30"/>
    </row>
    <row r="12" ht="19.5" customHeight="1">
      <c r="A12" s="26" t="s">
        <v>11</v>
      </c>
      <c r="B12" s="27">
        <v>1860361.83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15</v>
      </c>
      <c r="B15" s="39">
        <v>1606624.74</v>
      </c>
      <c r="C15" s="40">
        <f t="shared" ref="C15:C17" si="2">+B15</f>
        <v>1606624.74</v>
      </c>
      <c r="D15" s="29"/>
      <c r="G15" s="30"/>
    </row>
    <row r="16" ht="19.5" customHeight="1">
      <c r="A16" s="38" t="s">
        <v>851</v>
      </c>
      <c r="B16" s="39">
        <v>76001.0</v>
      </c>
      <c r="C16" s="40">
        <f t="shared" si="2"/>
        <v>76001</v>
      </c>
      <c r="D16" s="29"/>
      <c r="G16" s="30"/>
    </row>
    <row r="17" ht="19.5" customHeight="1">
      <c r="A17" s="35" t="s">
        <v>14</v>
      </c>
      <c r="B17" s="36">
        <v>142277.05</v>
      </c>
      <c r="C17" s="37">
        <f t="shared" si="2"/>
        <v>142277.05</v>
      </c>
      <c r="D17" s="41"/>
      <c r="E17" s="42"/>
      <c r="F17" s="42"/>
      <c r="G17" s="43"/>
    </row>
    <row r="18" ht="4.5" customHeight="1">
      <c r="A18" s="114"/>
      <c r="B18" s="115"/>
      <c r="C18" s="115"/>
      <c r="D18" s="115"/>
      <c r="E18" s="115"/>
      <c r="F18" s="115"/>
      <c r="G18" s="79"/>
    </row>
    <row r="19" ht="24.75" customHeight="1">
      <c r="A19" s="47" t="s">
        <v>16</v>
      </c>
      <c r="B19" s="47" t="s">
        <v>17</v>
      </c>
      <c r="C19" s="47" t="s">
        <v>18</v>
      </c>
      <c r="D19" s="47" t="s">
        <v>19</v>
      </c>
      <c r="E19" s="48" t="s">
        <v>20</v>
      </c>
      <c r="F19" s="48" t="s">
        <v>21</v>
      </c>
      <c r="G19" s="48" t="s">
        <v>22</v>
      </c>
    </row>
    <row r="20" ht="19.5" customHeight="1">
      <c r="A20" s="49" t="s">
        <v>23</v>
      </c>
      <c r="B20" s="50">
        <v>46322.0</v>
      </c>
      <c r="C20" s="51">
        <v>1323241.35</v>
      </c>
      <c r="D20" s="51"/>
      <c r="E20" s="52" t="s">
        <v>103</v>
      </c>
      <c r="F20" s="61" t="s">
        <v>104</v>
      </c>
      <c r="G20" s="54"/>
    </row>
    <row r="21" ht="19.5" customHeight="1">
      <c r="A21" s="55"/>
      <c r="B21" s="104">
        <v>46325.0</v>
      </c>
      <c r="C21" s="105">
        <v>5340.0</v>
      </c>
      <c r="D21" s="105"/>
      <c r="E21" s="106" t="s">
        <v>233</v>
      </c>
      <c r="F21" s="107"/>
      <c r="G21" s="108"/>
    </row>
    <row r="22" ht="19.5" customHeight="1">
      <c r="A22" s="55"/>
      <c r="B22" s="104">
        <v>46325.0</v>
      </c>
      <c r="C22" s="105">
        <v>125995.96</v>
      </c>
      <c r="D22" s="105"/>
      <c r="E22" s="106" t="s">
        <v>399</v>
      </c>
      <c r="F22" s="107"/>
      <c r="G22" s="108"/>
    </row>
    <row r="23" ht="19.5" customHeight="1">
      <c r="A23" s="55"/>
      <c r="B23" s="104">
        <v>46326.0</v>
      </c>
      <c r="C23" s="105">
        <v>8150.0</v>
      </c>
      <c r="D23" s="105"/>
      <c r="E23" s="106" t="s">
        <v>33</v>
      </c>
      <c r="F23" s="107"/>
      <c r="G23" s="108"/>
    </row>
    <row r="24" ht="19.5" customHeight="1">
      <c r="A24" s="55"/>
      <c r="B24" s="104">
        <v>46326.0</v>
      </c>
      <c r="C24" s="105">
        <v>27300.0</v>
      </c>
      <c r="D24" s="105"/>
      <c r="E24" s="106" t="s">
        <v>947</v>
      </c>
      <c r="F24" s="107"/>
      <c r="G24" s="108"/>
    </row>
    <row r="25" ht="19.5" customHeight="1">
      <c r="A25" s="55"/>
      <c r="B25" s="104">
        <v>46326.0</v>
      </c>
      <c r="C25" s="105">
        <v>8808.65</v>
      </c>
      <c r="D25" s="105"/>
      <c r="E25" s="106" t="s">
        <v>948</v>
      </c>
      <c r="F25" s="107"/>
      <c r="G25" s="108"/>
    </row>
    <row r="26" ht="19.5" customHeight="1">
      <c r="A26" s="55"/>
      <c r="B26" s="104">
        <v>46327.0</v>
      </c>
      <c r="C26" s="105">
        <v>10140.0</v>
      </c>
      <c r="D26" s="105"/>
      <c r="E26" s="106" t="s">
        <v>33</v>
      </c>
      <c r="F26" s="107"/>
      <c r="G26" s="108"/>
    </row>
    <row r="27" ht="19.5" customHeight="1">
      <c r="A27" s="55"/>
      <c r="B27" s="104">
        <v>46327.0</v>
      </c>
      <c r="C27" s="105">
        <v>13300.0</v>
      </c>
      <c r="D27" s="105"/>
      <c r="E27" s="106" t="s">
        <v>753</v>
      </c>
      <c r="F27" s="107"/>
      <c r="G27" s="108"/>
    </row>
    <row r="28" ht="19.5" customHeight="1">
      <c r="A28" s="55"/>
      <c r="B28" s="104">
        <v>46327.0</v>
      </c>
      <c r="C28" s="105">
        <v>23653.0</v>
      </c>
      <c r="D28" s="105"/>
      <c r="E28" s="106" t="s">
        <v>80</v>
      </c>
      <c r="F28" s="107"/>
      <c r="G28" s="108"/>
    </row>
    <row r="29" ht="19.5" customHeight="1">
      <c r="A29" s="55"/>
      <c r="B29" s="104">
        <v>46327.0</v>
      </c>
      <c r="C29" s="105">
        <v>650.0</v>
      </c>
      <c r="D29" s="105"/>
      <c r="E29" s="106" t="s">
        <v>199</v>
      </c>
      <c r="F29" s="107"/>
      <c r="G29" s="108"/>
    </row>
    <row r="30" ht="19.5" customHeight="1">
      <c r="A30" s="55"/>
      <c r="B30" s="104">
        <v>46327.0</v>
      </c>
      <c r="C30" s="105">
        <v>9700.0</v>
      </c>
      <c r="D30" s="105"/>
      <c r="E30" s="106" t="s">
        <v>475</v>
      </c>
      <c r="F30" s="107"/>
      <c r="G30" s="108"/>
    </row>
    <row r="31" ht="19.5" customHeight="1">
      <c r="A31" s="55"/>
      <c r="B31" s="104">
        <v>46328.0</v>
      </c>
      <c r="C31" s="105">
        <v>13109.0</v>
      </c>
      <c r="D31" s="105"/>
      <c r="E31" s="106" t="s">
        <v>80</v>
      </c>
      <c r="F31" s="107"/>
      <c r="G31" s="108"/>
    </row>
    <row r="32" ht="19.5" customHeight="1">
      <c r="A32" s="55"/>
      <c r="B32" s="104">
        <v>46328.0</v>
      </c>
      <c r="C32" s="105">
        <v>18260.08</v>
      </c>
      <c r="D32" s="105"/>
      <c r="E32" s="106" t="s">
        <v>949</v>
      </c>
      <c r="F32" s="107"/>
      <c r="G32" s="108"/>
    </row>
    <row r="33" ht="19.5" customHeight="1">
      <c r="A33" s="55"/>
      <c r="B33" s="104">
        <v>46328.0</v>
      </c>
      <c r="C33" s="105">
        <v>8100.0</v>
      </c>
      <c r="D33" s="105"/>
      <c r="E33" s="106" t="s">
        <v>950</v>
      </c>
      <c r="F33" s="107"/>
      <c r="G33" s="108"/>
    </row>
    <row r="34" ht="19.5" customHeight="1">
      <c r="A34" s="55"/>
      <c r="B34" s="56">
        <v>46329.0</v>
      </c>
      <c r="C34" s="57"/>
      <c r="D34" s="57">
        <v>9.99</v>
      </c>
      <c r="E34" s="58" t="s">
        <v>951</v>
      </c>
      <c r="F34" s="59" t="s">
        <v>32</v>
      </c>
      <c r="G34" s="60"/>
    </row>
    <row r="35" ht="19.5" customHeight="1">
      <c r="A35" s="55"/>
      <c r="B35" s="56">
        <v>46331.0</v>
      </c>
      <c r="C35" s="57">
        <v>49150.0</v>
      </c>
      <c r="D35" s="57"/>
      <c r="E35" s="58" t="s">
        <v>24</v>
      </c>
      <c r="F35" s="61" t="s">
        <v>952</v>
      </c>
      <c r="G35" s="60" t="s">
        <v>26</v>
      </c>
    </row>
    <row r="36" ht="19.5" customHeight="1">
      <c r="A36" s="55"/>
      <c r="B36" s="104">
        <v>46331.0</v>
      </c>
      <c r="C36" s="105">
        <v>9500.0</v>
      </c>
      <c r="D36" s="105"/>
      <c r="E36" s="106" t="s">
        <v>33</v>
      </c>
      <c r="F36" s="107"/>
      <c r="G36" s="108"/>
    </row>
    <row r="37" ht="19.5" customHeight="1">
      <c r="A37" s="55"/>
      <c r="B37" s="56">
        <v>46332.0</v>
      </c>
      <c r="C37" s="57">
        <v>30756.57</v>
      </c>
      <c r="D37" s="57"/>
      <c r="E37" s="58" t="s">
        <v>725</v>
      </c>
      <c r="F37" s="61" t="s">
        <v>43</v>
      </c>
      <c r="G37" s="60"/>
    </row>
    <row r="38" ht="19.5" customHeight="1">
      <c r="A38" s="55"/>
      <c r="B38" s="56">
        <v>46332.0</v>
      </c>
      <c r="C38" s="57">
        <v>24300.0</v>
      </c>
      <c r="D38" s="57"/>
      <c r="E38" s="58" t="s">
        <v>51</v>
      </c>
      <c r="F38" s="61" t="s">
        <v>52</v>
      </c>
      <c r="G38" s="60"/>
    </row>
    <row r="39" ht="19.5" customHeight="1">
      <c r="A39" s="55"/>
      <c r="B39" s="104">
        <v>46333.0</v>
      </c>
      <c r="C39" s="105">
        <v>209880.0</v>
      </c>
      <c r="D39" s="105"/>
      <c r="E39" s="106" t="s">
        <v>953</v>
      </c>
      <c r="F39" s="107"/>
      <c r="G39" s="108"/>
    </row>
    <row r="40" ht="19.5" customHeight="1">
      <c r="A40" s="55"/>
      <c r="B40" s="104">
        <v>46333.0</v>
      </c>
      <c r="C40" s="105">
        <v>10950.0</v>
      </c>
      <c r="D40" s="105"/>
      <c r="E40" s="106" t="s">
        <v>33</v>
      </c>
      <c r="F40" s="107"/>
      <c r="G40" s="108"/>
    </row>
    <row r="41" ht="19.5" customHeight="1">
      <c r="A41" s="55"/>
      <c r="B41" s="56">
        <v>46333.0</v>
      </c>
      <c r="C41" s="57">
        <v>42966.0</v>
      </c>
      <c r="D41" s="57"/>
      <c r="E41" s="58" t="s">
        <v>954</v>
      </c>
      <c r="F41" s="59" t="s">
        <v>955</v>
      </c>
      <c r="G41" s="60"/>
    </row>
    <row r="42" ht="19.5" customHeight="1">
      <c r="A42" s="55"/>
      <c r="B42" s="104">
        <v>46335.0</v>
      </c>
      <c r="C42" s="105">
        <v>33379.0</v>
      </c>
      <c r="D42" s="105"/>
      <c r="E42" s="106" t="s">
        <v>80</v>
      </c>
      <c r="F42" s="107"/>
      <c r="G42" s="108"/>
    </row>
    <row r="43" ht="19.5" customHeight="1">
      <c r="A43" s="55"/>
      <c r="B43" s="104">
        <v>46335.0</v>
      </c>
      <c r="C43" s="105">
        <v>650.0</v>
      </c>
      <c r="D43" s="105"/>
      <c r="E43" s="106" t="s">
        <v>199</v>
      </c>
      <c r="F43" s="107"/>
      <c r="G43" s="108"/>
    </row>
    <row r="44" ht="19.5" customHeight="1">
      <c r="A44" s="55"/>
      <c r="B44" s="56">
        <v>46335.0</v>
      </c>
      <c r="C44" s="57"/>
      <c r="D44" s="57">
        <v>1.99</v>
      </c>
      <c r="E44" s="58" t="s">
        <v>956</v>
      </c>
      <c r="F44" s="61" t="s">
        <v>55</v>
      </c>
      <c r="G44" s="60"/>
    </row>
    <row r="45" ht="19.5" customHeight="1">
      <c r="A45" s="55"/>
      <c r="B45" s="104">
        <v>46336.0</v>
      </c>
      <c r="C45" s="105">
        <v>93880.0</v>
      </c>
      <c r="D45" s="105"/>
      <c r="E45" s="106" t="s">
        <v>957</v>
      </c>
      <c r="F45" s="107"/>
      <c r="G45" s="108"/>
    </row>
    <row r="46" ht="19.5" customHeight="1">
      <c r="A46" s="55"/>
      <c r="B46" s="56">
        <v>46336.0</v>
      </c>
      <c r="C46" s="57">
        <v>44298.0</v>
      </c>
      <c r="D46" s="57"/>
      <c r="E46" s="58" t="s">
        <v>24</v>
      </c>
      <c r="F46" s="59" t="s">
        <v>751</v>
      </c>
      <c r="G46" s="60" t="s">
        <v>26</v>
      </c>
    </row>
    <row r="47" ht="19.5" customHeight="1">
      <c r="A47" s="55"/>
      <c r="B47" s="56">
        <v>46336.0</v>
      </c>
      <c r="C47" s="57">
        <v>9101.0</v>
      </c>
      <c r="D47" s="57"/>
      <c r="E47" s="58" t="s">
        <v>545</v>
      </c>
      <c r="F47" s="61" t="s">
        <v>958</v>
      </c>
      <c r="G47" s="60" t="s">
        <v>26</v>
      </c>
    </row>
    <row r="48" ht="19.5" customHeight="1">
      <c r="A48" s="55"/>
      <c r="B48" s="104">
        <v>46336.0</v>
      </c>
      <c r="C48" s="105">
        <v>8100.0</v>
      </c>
      <c r="D48" s="105"/>
      <c r="E48" s="106" t="s">
        <v>29</v>
      </c>
      <c r="F48" s="107"/>
      <c r="G48" s="108"/>
    </row>
    <row r="49" ht="19.5" customHeight="1">
      <c r="A49" s="55"/>
      <c r="B49" s="104">
        <v>46337.0</v>
      </c>
      <c r="C49" s="105">
        <v>182990.0</v>
      </c>
      <c r="D49" s="105"/>
      <c r="E49" s="106" t="s">
        <v>959</v>
      </c>
      <c r="F49" s="107"/>
      <c r="G49" s="108"/>
    </row>
    <row r="50" ht="19.5" customHeight="1">
      <c r="A50" s="55"/>
      <c r="B50" s="56">
        <v>46337.0</v>
      </c>
      <c r="C50" s="57">
        <v>6266.0</v>
      </c>
      <c r="D50" s="57"/>
      <c r="E50" s="58" t="s">
        <v>545</v>
      </c>
      <c r="F50" s="61" t="s">
        <v>960</v>
      </c>
      <c r="G50" s="60" t="s">
        <v>26</v>
      </c>
    </row>
    <row r="51" ht="19.5" customHeight="1">
      <c r="A51" s="55"/>
      <c r="B51" s="104">
        <v>46337.0</v>
      </c>
      <c r="C51" s="105">
        <v>12800.0</v>
      </c>
      <c r="D51" s="105"/>
      <c r="E51" s="106" t="s">
        <v>29</v>
      </c>
      <c r="F51" s="107"/>
      <c r="G51" s="108"/>
    </row>
    <row r="52" ht="19.5" customHeight="1">
      <c r="A52" s="55"/>
      <c r="B52" s="56">
        <v>46337.0</v>
      </c>
      <c r="C52" s="57">
        <v>480534.0</v>
      </c>
      <c r="D52" s="57"/>
      <c r="E52" s="58" t="s">
        <v>66</v>
      </c>
      <c r="F52" s="61" t="s">
        <v>67</v>
      </c>
      <c r="G52" s="60"/>
    </row>
    <row r="53" ht="19.5" customHeight="1">
      <c r="A53" s="55"/>
      <c r="B53" s="56">
        <v>46337.0</v>
      </c>
      <c r="C53" s="57">
        <v>455167.0</v>
      </c>
      <c r="D53" s="57"/>
      <c r="E53" s="58" t="s">
        <v>64</v>
      </c>
      <c r="F53" s="61" t="s">
        <v>65</v>
      </c>
      <c r="G53" s="60"/>
    </row>
    <row r="54" ht="19.5" customHeight="1">
      <c r="A54" s="55"/>
      <c r="B54" s="104">
        <v>46338.0</v>
      </c>
      <c r="C54" s="105">
        <v>8000.0</v>
      </c>
      <c r="D54" s="105"/>
      <c r="E54" s="106" t="s">
        <v>33</v>
      </c>
      <c r="F54" s="69"/>
      <c r="G54" s="70"/>
    </row>
    <row r="55" ht="19.5" customHeight="1">
      <c r="A55" s="55"/>
      <c r="B55" s="56">
        <v>46338.0</v>
      </c>
      <c r="C55" s="57">
        <v>19076.95</v>
      </c>
      <c r="D55" s="57"/>
      <c r="E55" s="58" t="s">
        <v>961</v>
      </c>
      <c r="F55" s="61" t="s">
        <v>73</v>
      </c>
      <c r="G55" s="62"/>
    </row>
    <row r="56" ht="19.5" customHeight="1">
      <c r="A56" s="55"/>
      <c r="B56" s="56">
        <v>46338.0</v>
      </c>
      <c r="C56" s="57">
        <v>18575.19</v>
      </c>
      <c r="D56" s="57"/>
      <c r="E56" s="58" t="s">
        <v>962</v>
      </c>
      <c r="F56" s="61" t="s">
        <v>77</v>
      </c>
      <c r="G56" s="62"/>
    </row>
    <row r="57" ht="19.5" customHeight="1">
      <c r="A57" s="55"/>
      <c r="B57" s="56">
        <v>46338.0</v>
      </c>
      <c r="C57" s="57">
        <v>105083.16</v>
      </c>
      <c r="D57" s="57"/>
      <c r="E57" s="58" t="s">
        <v>963</v>
      </c>
      <c r="F57" s="61" t="s">
        <v>69</v>
      </c>
      <c r="G57" s="60"/>
    </row>
    <row r="58" ht="19.5" customHeight="1">
      <c r="A58" s="55"/>
      <c r="B58" s="56">
        <v>46338.0</v>
      </c>
      <c r="C58" s="57">
        <v>19076.95</v>
      </c>
      <c r="D58" s="57"/>
      <c r="E58" s="58" t="s">
        <v>964</v>
      </c>
      <c r="F58" s="61" t="s">
        <v>79</v>
      </c>
      <c r="G58" s="62"/>
    </row>
    <row r="59" ht="19.5" customHeight="1">
      <c r="A59" s="55"/>
      <c r="B59" s="56">
        <v>46338.0</v>
      </c>
      <c r="C59" s="57">
        <v>18575.03</v>
      </c>
      <c r="D59" s="57"/>
      <c r="E59" s="58" t="s">
        <v>965</v>
      </c>
      <c r="F59" s="61" t="s">
        <v>71</v>
      </c>
      <c r="G59" s="62"/>
    </row>
    <row r="60" ht="19.5" customHeight="1">
      <c r="A60" s="55"/>
      <c r="B60" s="104">
        <v>46339.0</v>
      </c>
      <c r="C60" s="105">
        <v>38520.0</v>
      </c>
      <c r="D60" s="105"/>
      <c r="E60" s="106" t="s">
        <v>24</v>
      </c>
      <c r="F60" s="69"/>
      <c r="G60" s="70"/>
    </row>
    <row r="61" ht="19.5" customHeight="1">
      <c r="A61" s="55"/>
      <c r="B61" s="104">
        <v>46339.0</v>
      </c>
      <c r="C61" s="67">
        <v>134604.05</v>
      </c>
      <c r="D61" s="67"/>
      <c r="E61" s="68" t="s">
        <v>34</v>
      </c>
      <c r="F61" s="69"/>
      <c r="G61" s="70"/>
    </row>
    <row r="62" ht="19.5" customHeight="1">
      <c r="A62" s="55"/>
      <c r="B62" s="56">
        <v>46339.0</v>
      </c>
      <c r="C62" s="63">
        <v>12975.0</v>
      </c>
      <c r="D62" s="63"/>
      <c r="E62" s="64" t="s">
        <v>545</v>
      </c>
      <c r="F62" s="98" t="s">
        <v>966</v>
      </c>
      <c r="G62" s="62" t="s">
        <v>26</v>
      </c>
    </row>
    <row r="63" ht="19.5" customHeight="1">
      <c r="A63" s="55"/>
      <c r="B63" s="104">
        <v>46339.0</v>
      </c>
      <c r="C63" s="67">
        <v>6600.0</v>
      </c>
      <c r="D63" s="67"/>
      <c r="E63" s="68" t="s">
        <v>29</v>
      </c>
      <c r="F63" s="69"/>
      <c r="G63" s="70"/>
    </row>
    <row r="64" ht="19.5" customHeight="1">
      <c r="A64" s="55"/>
      <c r="B64" s="56">
        <v>46340.0</v>
      </c>
      <c r="C64" s="63">
        <v>88596.0</v>
      </c>
      <c r="D64" s="63"/>
      <c r="E64" s="64" t="s">
        <v>24</v>
      </c>
      <c r="F64" s="98" t="s">
        <v>967</v>
      </c>
      <c r="G64" s="62" t="s">
        <v>26</v>
      </c>
    </row>
    <row r="65" ht="19.5" customHeight="1">
      <c r="A65" s="55"/>
      <c r="B65" s="56">
        <v>46340.0</v>
      </c>
      <c r="C65" s="63">
        <v>31993.0</v>
      </c>
      <c r="D65" s="63"/>
      <c r="E65" s="64" t="s">
        <v>24</v>
      </c>
      <c r="F65" s="61" t="s">
        <v>968</v>
      </c>
      <c r="G65" s="62" t="s">
        <v>26</v>
      </c>
    </row>
    <row r="66" ht="19.5" customHeight="1">
      <c r="A66" s="55"/>
      <c r="B66" s="56">
        <v>46340.0</v>
      </c>
      <c r="C66" s="63">
        <v>58780.0</v>
      </c>
      <c r="D66" s="63"/>
      <c r="E66" s="64" t="s">
        <v>24</v>
      </c>
      <c r="F66" s="61" t="s">
        <v>752</v>
      </c>
      <c r="G66" s="62" t="s">
        <v>26</v>
      </c>
    </row>
    <row r="67" ht="19.5" customHeight="1">
      <c r="A67" s="55"/>
      <c r="B67" s="104">
        <v>46340.0</v>
      </c>
      <c r="C67" s="67">
        <v>20000.0</v>
      </c>
      <c r="D67" s="67"/>
      <c r="E67" s="68" t="s">
        <v>132</v>
      </c>
      <c r="F67" s="69"/>
      <c r="G67" s="70"/>
    </row>
    <row r="68" ht="19.5" customHeight="1">
      <c r="A68" s="55"/>
      <c r="B68" s="56">
        <v>46340.0</v>
      </c>
      <c r="C68" s="63">
        <v>28116.0</v>
      </c>
      <c r="D68" s="63"/>
      <c r="E68" s="64" t="s">
        <v>954</v>
      </c>
      <c r="F68" s="61" t="s">
        <v>969</v>
      </c>
      <c r="G68" s="62" t="s">
        <v>26</v>
      </c>
    </row>
    <row r="69" ht="19.5" customHeight="1">
      <c r="A69" s="55"/>
      <c r="B69" s="56">
        <v>46341.0</v>
      </c>
      <c r="C69" s="63">
        <v>93946.0</v>
      </c>
      <c r="D69" s="63"/>
      <c r="E69" s="64" t="s">
        <v>24</v>
      </c>
      <c r="F69" s="98" t="s">
        <v>970</v>
      </c>
      <c r="G69" s="62" t="s">
        <v>26</v>
      </c>
    </row>
    <row r="70" ht="19.5" customHeight="1">
      <c r="A70" s="55"/>
      <c r="B70" s="104">
        <v>46342.0</v>
      </c>
      <c r="C70" s="67">
        <v>10599.0</v>
      </c>
      <c r="D70" s="67"/>
      <c r="E70" s="68" t="s">
        <v>80</v>
      </c>
      <c r="F70" s="69"/>
      <c r="G70" s="70"/>
    </row>
    <row r="71" ht="19.5" customHeight="1">
      <c r="A71" s="55"/>
      <c r="B71" s="104">
        <v>46342.0</v>
      </c>
      <c r="C71" s="67">
        <v>500.0</v>
      </c>
      <c r="D71" s="67"/>
      <c r="E71" s="68" t="s">
        <v>199</v>
      </c>
      <c r="F71" s="69"/>
      <c r="G71" s="70"/>
    </row>
    <row r="72" ht="19.5" customHeight="1">
      <c r="A72" s="55"/>
      <c r="B72" s="56">
        <v>46342.0</v>
      </c>
      <c r="C72" s="63">
        <v>23430.0</v>
      </c>
      <c r="D72" s="63"/>
      <c r="E72" s="64" t="s">
        <v>954</v>
      </c>
      <c r="F72" s="61" t="s">
        <v>971</v>
      </c>
      <c r="G72" s="62" t="s">
        <v>26</v>
      </c>
    </row>
    <row r="73" ht="19.5" customHeight="1">
      <c r="A73" s="55"/>
      <c r="B73" s="104">
        <v>46344.0</v>
      </c>
      <c r="C73" s="67">
        <v>175687.45</v>
      </c>
      <c r="D73" s="67"/>
      <c r="E73" s="68" t="s">
        <v>871</v>
      </c>
      <c r="F73" s="69"/>
      <c r="G73" s="70"/>
    </row>
    <row r="74" ht="19.5" customHeight="1">
      <c r="A74" s="55"/>
      <c r="B74" s="104">
        <v>46344.0</v>
      </c>
      <c r="C74" s="67">
        <v>2000.0</v>
      </c>
      <c r="D74" s="67"/>
      <c r="E74" s="68" t="s">
        <v>972</v>
      </c>
      <c r="F74" s="69"/>
      <c r="G74" s="70"/>
    </row>
    <row r="75" ht="19.5" customHeight="1">
      <c r="A75" s="55"/>
      <c r="B75" s="104">
        <v>46344.0</v>
      </c>
      <c r="C75" s="67">
        <v>36492.98</v>
      </c>
      <c r="D75" s="67"/>
      <c r="E75" s="68" t="s">
        <v>973</v>
      </c>
      <c r="F75" s="69"/>
      <c r="G75" s="70"/>
    </row>
    <row r="76" ht="19.5" customHeight="1">
      <c r="A76" s="55"/>
      <c r="B76" s="121">
        <v>46344.0</v>
      </c>
      <c r="C76" s="134">
        <v>167625.7</v>
      </c>
      <c r="D76" s="134"/>
      <c r="E76" s="135" t="s">
        <v>974</v>
      </c>
      <c r="F76" s="127"/>
      <c r="G76" s="128"/>
    </row>
    <row r="77" ht="19.5" customHeight="1">
      <c r="A77" s="55"/>
      <c r="B77" s="56">
        <v>46345.0</v>
      </c>
      <c r="C77" s="63">
        <v>15390.0</v>
      </c>
      <c r="D77" s="63"/>
      <c r="E77" s="64" t="s">
        <v>84</v>
      </c>
      <c r="F77" s="61" t="s">
        <v>975</v>
      </c>
      <c r="G77" s="62"/>
    </row>
    <row r="78" ht="19.5" customHeight="1">
      <c r="A78" s="55"/>
      <c r="B78" s="56">
        <v>46345.0</v>
      </c>
      <c r="C78" s="63">
        <v>115560.0</v>
      </c>
      <c r="D78" s="63"/>
      <c r="E78" s="64" t="s">
        <v>24</v>
      </c>
      <c r="F78" s="61" t="s">
        <v>976</v>
      </c>
      <c r="G78" s="62" t="s">
        <v>26</v>
      </c>
    </row>
    <row r="79" ht="19.5" customHeight="1">
      <c r="A79" s="55"/>
      <c r="B79" s="56">
        <v>46345.0</v>
      </c>
      <c r="C79" s="63">
        <v>177192.0</v>
      </c>
      <c r="D79" s="63"/>
      <c r="E79" s="64" t="s">
        <v>24</v>
      </c>
      <c r="F79" s="64" t="s">
        <v>977</v>
      </c>
      <c r="G79" s="62" t="s">
        <v>26</v>
      </c>
    </row>
    <row r="80" ht="19.5" customHeight="1">
      <c r="A80" s="55"/>
      <c r="B80" s="56">
        <v>46345.0</v>
      </c>
      <c r="C80" s="63">
        <v>42052.94</v>
      </c>
      <c r="D80" s="63"/>
      <c r="E80" s="64" t="s">
        <v>225</v>
      </c>
      <c r="F80" s="61" t="s">
        <v>226</v>
      </c>
      <c r="G80" s="62"/>
    </row>
    <row r="81" ht="19.5" customHeight="1">
      <c r="A81" s="55"/>
      <c r="B81" s="104">
        <v>46345.0</v>
      </c>
      <c r="C81" s="67">
        <v>12304.16</v>
      </c>
      <c r="D81" s="67"/>
      <c r="E81" s="68" t="s">
        <v>978</v>
      </c>
      <c r="F81" s="69"/>
      <c r="G81" s="70"/>
    </row>
    <row r="82" ht="19.5" customHeight="1">
      <c r="A82" s="55"/>
      <c r="B82" s="104">
        <v>46345.0</v>
      </c>
      <c r="C82" s="67">
        <v>16015.75</v>
      </c>
      <c r="D82" s="67"/>
      <c r="E82" s="68" t="s">
        <v>875</v>
      </c>
      <c r="F82" s="69"/>
      <c r="G82" s="70"/>
    </row>
    <row r="83" ht="19.5" customHeight="1">
      <c r="A83" s="55"/>
      <c r="B83" s="104">
        <v>46346.0</v>
      </c>
      <c r="C83" s="67">
        <v>154000.0</v>
      </c>
      <c r="D83" s="67"/>
      <c r="E83" s="68" t="s">
        <v>979</v>
      </c>
      <c r="F83" s="69"/>
      <c r="G83" s="70"/>
    </row>
    <row r="84" ht="19.5" customHeight="1">
      <c r="A84" s="55"/>
      <c r="B84" s="65">
        <v>46346.0</v>
      </c>
      <c r="C84" s="63">
        <v>63130.0</v>
      </c>
      <c r="D84" s="63"/>
      <c r="E84" s="64" t="s">
        <v>24</v>
      </c>
      <c r="F84" s="61" t="s">
        <v>980</v>
      </c>
      <c r="G84" s="62" t="s">
        <v>26</v>
      </c>
    </row>
    <row r="85" ht="19.5" customHeight="1">
      <c r="A85" s="55"/>
      <c r="B85" s="65">
        <v>46346.0</v>
      </c>
      <c r="C85" s="63"/>
      <c r="D85" s="63">
        <v>1.99</v>
      </c>
      <c r="E85" s="64" t="s">
        <v>981</v>
      </c>
      <c r="F85" s="61" t="s">
        <v>55</v>
      </c>
      <c r="G85" s="62"/>
    </row>
    <row r="86" ht="19.5" customHeight="1">
      <c r="A86" s="55"/>
      <c r="B86" s="65">
        <v>46346.0</v>
      </c>
      <c r="C86" s="63">
        <v>-27000.0</v>
      </c>
      <c r="D86" s="63"/>
      <c r="E86" s="64" t="s">
        <v>24</v>
      </c>
      <c r="F86" s="61" t="s">
        <v>982</v>
      </c>
      <c r="G86" s="62" t="s">
        <v>26</v>
      </c>
    </row>
    <row r="87" ht="19.5" customHeight="1">
      <c r="A87" s="55"/>
      <c r="B87" s="66">
        <v>46347.0</v>
      </c>
      <c r="C87" s="67">
        <v>23916.0</v>
      </c>
      <c r="D87" s="67"/>
      <c r="E87" s="68" t="s">
        <v>80</v>
      </c>
      <c r="F87" s="69"/>
      <c r="G87" s="70"/>
    </row>
    <row r="88" ht="19.5" customHeight="1">
      <c r="A88" s="55"/>
      <c r="B88" s="66">
        <v>46347.0</v>
      </c>
      <c r="C88" s="67">
        <v>15894.65</v>
      </c>
      <c r="D88" s="67"/>
      <c r="E88" s="68" t="s">
        <v>983</v>
      </c>
      <c r="F88" s="69"/>
      <c r="G88" s="70"/>
    </row>
    <row r="89" ht="19.5" customHeight="1">
      <c r="A89" s="55"/>
      <c r="B89" s="66">
        <v>46347.0</v>
      </c>
      <c r="C89" s="67">
        <v>-23916.0</v>
      </c>
      <c r="D89" s="67"/>
      <c r="E89" s="68" t="s">
        <v>80</v>
      </c>
      <c r="F89" s="69"/>
      <c r="G89" s="70"/>
    </row>
    <row r="90" ht="19.5" customHeight="1">
      <c r="A90" s="55"/>
      <c r="B90" s="65">
        <v>46350.0</v>
      </c>
      <c r="C90" s="63">
        <v>64194.0</v>
      </c>
      <c r="D90" s="63"/>
      <c r="E90" s="64" t="s">
        <v>984</v>
      </c>
      <c r="F90" s="98" t="s">
        <v>985</v>
      </c>
      <c r="G90" s="62" t="s">
        <v>26</v>
      </c>
    </row>
    <row r="91" ht="19.5" customHeight="1">
      <c r="A91" s="55"/>
      <c r="B91" s="66">
        <v>46350.0</v>
      </c>
      <c r="C91" s="67">
        <v>36482.64</v>
      </c>
      <c r="D91" s="67"/>
      <c r="E91" s="68" t="s">
        <v>661</v>
      </c>
      <c r="F91" s="69"/>
      <c r="G91" s="70"/>
    </row>
    <row r="92" ht="19.5" customHeight="1">
      <c r="A92" s="55"/>
      <c r="B92" s="66">
        <v>46350.0</v>
      </c>
      <c r="C92" s="67">
        <v>8000.0</v>
      </c>
      <c r="D92" s="67"/>
      <c r="E92" s="68" t="s">
        <v>29</v>
      </c>
      <c r="F92" s="69"/>
      <c r="G92" s="70"/>
    </row>
    <row r="93" ht="19.5" customHeight="1">
      <c r="A93" s="55"/>
      <c r="B93" s="65">
        <v>46351.0</v>
      </c>
      <c r="C93" s="63">
        <v>1018842.22</v>
      </c>
      <c r="D93" s="63"/>
      <c r="E93" s="64" t="s">
        <v>103</v>
      </c>
      <c r="F93" s="61" t="s">
        <v>104</v>
      </c>
      <c r="G93" s="62"/>
    </row>
    <row r="94" ht="19.5" customHeight="1">
      <c r="A94" s="55"/>
      <c r="B94" s="66">
        <v>46351.0</v>
      </c>
      <c r="C94" s="67">
        <v>22000.0</v>
      </c>
      <c r="D94" s="67"/>
      <c r="E94" s="68" t="s">
        <v>132</v>
      </c>
      <c r="F94" s="69"/>
      <c r="G94" s="70"/>
    </row>
    <row r="95" ht="19.5" customHeight="1">
      <c r="A95" s="76"/>
      <c r="B95" s="65">
        <v>46351.0</v>
      </c>
      <c r="C95" s="63">
        <v>52622.5</v>
      </c>
      <c r="D95" s="63"/>
      <c r="E95" s="64" t="s">
        <v>954</v>
      </c>
      <c r="F95" s="61" t="s">
        <v>986</v>
      </c>
      <c r="G95" s="62" t="s">
        <v>26</v>
      </c>
    </row>
    <row r="96" ht="30.0" customHeight="1">
      <c r="A96" s="78" t="s">
        <v>111</v>
      </c>
      <c r="B96" s="79"/>
      <c r="C96" s="80">
        <f t="shared" ref="C96:D96" si="3">SUM(C20:C95)</f>
        <v>6205948.93</v>
      </c>
      <c r="D96" s="80">
        <f t="shared" si="3"/>
        <v>13.97</v>
      </c>
      <c r="E96" s="81"/>
      <c r="F96" s="98"/>
    </row>
    <row r="97" ht="4.5" customHeight="1">
      <c r="A97" s="116"/>
      <c r="B97" s="115"/>
      <c r="C97" s="115"/>
      <c r="D97" s="115"/>
      <c r="E97" s="115"/>
      <c r="F97" s="115"/>
      <c r="G97" s="79"/>
    </row>
    <row r="98" ht="19.5" customHeight="1">
      <c r="A98" s="49" t="s">
        <v>112</v>
      </c>
      <c r="B98" s="65">
        <v>46297.0</v>
      </c>
      <c r="C98" s="63">
        <v>158333.33</v>
      </c>
      <c r="D98" s="51"/>
      <c r="E98" s="64" t="s">
        <v>987</v>
      </c>
      <c r="F98" s="151" t="s">
        <v>988</v>
      </c>
      <c r="G98" s="62" t="s">
        <v>44</v>
      </c>
    </row>
    <row r="99" ht="19.5" customHeight="1">
      <c r="A99" s="55"/>
      <c r="B99" s="65">
        <v>46305.0</v>
      </c>
      <c r="C99" s="63">
        <v>42672.74</v>
      </c>
      <c r="D99" s="57"/>
      <c r="E99" s="64" t="s">
        <v>989</v>
      </c>
      <c r="F99" s="151" t="s">
        <v>990</v>
      </c>
      <c r="G99" s="62" t="s">
        <v>44</v>
      </c>
    </row>
    <row r="100" ht="19.5" customHeight="1">
      <c r="A100" s="55"/>
      <c r="B100" s="65">
        <v>46312.0</v>
      </c>
      <c r="C100" s="63">
        <v>58433.36</v>
      </c>
      <c r="D100" s="57"/>
      <c r="E100" s="64" t="s">
        <v>991</v>
      </c>
      <c r="F100" s="151" t="s">
        <v>992</v>
      </c>
      <c r="G100" s="62" t="s">
        <v>44</v>
      </c>
    </row>
    <row r="101" ht="19.5" customHeight="1">
      <c r="A101" s="55"/>
      <c r="B101" s="65">
        <v>46327.0</v>
      </c>
      <c r="C101" s="63">
        <v>29999.96</v>
      </c>
      <c r="D101" s="57"/>
      <c r="E101" s="64" t="s">
        <v>214</v>
      </c>
      <c r="F101" s="152" t="s">
        <v>993</v>
      </c>
      <c r="G101" s="62" t="s">
        <v>26</v>
      </c>
    </row>
    <row r="102" ht="19.5" customHeight="1">
      <c r="A102" s="55"/>
      <c r="B102" s="65">
        <v>46327.0</v>
      </c>
      <c r="C102" s="63">
        <v>40000.0</v>
      </c>
      <c r="D102" s="57"/>
      <c r="E102" s="64" t="s">
        <v>416</v>
      </c>
      <c r="F102" s="151" t="s">
        <v>584</v>
      </c>
      <c r="G102" s="62" t="s">
        <v>44</v>
      </c>
    </row>
    <row r="103" ht="19.5" customHeight="1">
      <c r="A103" s="55"/>
      <c r="B103" s="65">
        <v>46327.0</v>
      </c>
      <c r="C103" s="63">
        <v>136027.95</v>
      </c>
      <c r="D103" s="57"/>
      <c r="E103" s="64" t="s">
        <v>994</v>
      </c>
      <c r="F103" s="151" t="s">
        <v>995</v>
      </c>
      <c r="G103" s="62" t="s">
        <v>586</v>
      </c>
    </row>
    <row r="104" ht="19.5" customHeight="1">
      <c r="A104" s="55"/>
      <c r="B104" s="65">
        <v>46328.0</v>
      </c>
      <c r="C104" s="63">
        <v>20000.0</v>
      </c>
      <c r="D104" s="57"/>
      <c r="E104" s="64" t="s">
        <v>418</v>
      </c>
      <c r="F104" s="151" t="s">
        <v>538</v>
      </c>
      <c r="G104" s="62" t="s">
        <v>44</v>
      </c>
    </row>
    <row r="105" ht="19.5" customHeight="1">
      <c r="A105" s="55"/>
      <c r="B105" s="65">
        <v>46329.0</v>
      </c>
      <c r="C105" s="63">
        <v>20000.08</v>
      </c>
      <c r="D105" s="57"/>
      <c r="E105" s="64" t="s">
        <v>214</v>
      </c>
      <c r="F105" s="151" t="s">
        <v>538</v>
      </c>
      <c r="G105" s="62" t="s">
        <v>44</v>
      </c>
    </row>
    <row r="106" ht="19.5" customHeight="1">
      <c r="A106" s="55"/>
      <c r="B106" s="65">
        <v>46329.0</v>
      </c>
      <c r="C106" s="63">
        <v>620000.0</v>
      </c>
      <c r="D106" s="57"/>
      <c r="E106" s="64" t="s">
        <v>120</v>
      </c>
      <c r="F106" s="152" t="s">
        <v>996</v>
      </c>
      <c r="G106" s="62" t="s">
        <v>26</v>
      </c>
    </row>
    <row r="107" ht="19.5" customHeight="1">
      <c r="A107" s="55"/>
      <c r="B107" s="65">
        <v>46332.0</v>
      </c>
      <c r="C107" s="63">
        <v>20000.08</v>
      </c>
      <c r="D107" s="57"/>
      <c r="E107" s="64" t="s">
        <v>214</v>
      </c>
      <c r="F107" s="151" t="s">
        <v>538</v>
      </c>
      <c r="G107" s="62" t="s">
        <v>44</v>
      </c>
    </row>
    <row r="108" ht="19.5" customHeight="1">
      <c r="A108" s="55"/>
      <c r="B108" s="65">
        <v>46334.0</v>
      </c>
      <c r="C108" s="63">
        <v>30000.0</v>
      </c>
      <c r="D108" s="57"/>
      <c r="E108" s="64" t="s">
        <v>418</v>
      </c>
      <c r="F108" s="151" t="s">
        <v>538</v>
      </c>
      <c r="G108" s="62" t="s">
        <v>44</v>
      </c>
    </row>
    <row r="109" ht="19.5" customHeight="1">
      <c r="A109" s="55"/>
      <c r="B109" s="65">
        <v>46334.0</v>
      </c>
      <c r="C109" s="63">
        <v>299999.0</v>
      </c>
      <c r="D109" s="57"/>
      <c r="E109" s="64" t="s">
        <v>997</v>
      </c>
      <c r="F109" s="151" t="s">
        <v>998</v>
      </c>
      <c r="G109" s="62" t="s">
        <v>44</v>
      </c>
    </row>
    <row r="110" ht="19.5" customHeight="1">
      <c r="A110" s="55"/>
      <c r="B110" s="65">
        <v>46336.0</v>
      </c>
      <c r="C110" s="63">
        <v>1000000.0</v>
      </c>
      <c r="D110" s="57"/>
      <c r="E110" s="64" t="s">
        <v>120</v>
      </c>
      <c r="F110" s="152" t="s">
        <v>999</v>
      </c>
      <c r="G110" s="62" t="s">
        <v>26</v>
      </c>
    </row>
    <row r="111" ht="19.5" customHeight="1">
      <c r="A111" s="55"/>
      <c r="B111" s="65">
        <v>46336.0</v>
      </c>
      <c r="C111" s="63">
        <v>45000.0</v>
      </c>
      <c r="D111" s="57"/>
      <c r="E111" s="64" t="s">
        <v>120</v>
      </c>
      <c r="F111" s="152" t="s">
        <v>996</v>
      </c>
      <c r="G111" s="62" t="s">
        <v>26</v>
      </c>
    </row>
    <row r="112" ht="19.5" customHeight="1">
      <c r="A112" s="55"/>
      <c r="B112" s="65">
        <v>46336.0</v>
      </c>
      <c r="C112" s="63">
        <v>35700.0</v>
      </c>
      <c r="D112" s="57"/>
      <c r="E112" s="64" t="s">
        <v>418</v>
      </c>
      <c r="F112" s="151" t="s">
        <v>538</v>
      </c>
      <c r="G112" s="62" t="s">
        <v>44</v>
      </c>
    </row>
    <row r="113" ht="19.5" customHeight="1">
      <c r="A113" s="55"/>
      <c r="B113" s="65">
        <v>46336.0</v>
      </c>
      <c r="C113" s="63">
        <v>35700.0</v>
      </c>
      <c r="D113" s="57"/>
      <c r="E113" s="64" t="s">
        <v>418</v>
      </c>
      <c r="F113" s="151" t="s">
        <v>538</v>
      </c>
      <c r="G113" s="62" t="s">
        <v>44</v>
      </c>
    </row>
    <row r="114" ht="19.5" customHeight="1">
      <c r="A114" s="55"/>
      <c r="B114" s="65">
        <v>46338.0</v>
      </c>
      <c r="C114" s="63">
        <v>20000.08</v>
      </c>
      <c r="D114" s="57"/>
      <c r="E114" s="64" t="s">
        <v>214</v>
      </c>
      <c r="F114" s="151" t="s">
        <v>538</v>
      </c>
      <c r="G114" s="62" t="s">
        <v>44</v>
      </c>
    </row>
    <row r="115" ht="19.5" customHeight="1">
      <c r="A115" s="55"/>
      <c r="B115" s="65">
        <v>46338.0</v>
      </c>
      <c r="C115" s="63">
        <v>52000.0</v>
      </c>
      <c r="D115" s="57"/>
      <c r="E115" s="64" t="s">
        <v>672</v>
      </c>
      <c r="F115" s="151" t="s">
        <v>1000</v>
      </c>
      <c r="G115" s="62" t="s">
        <v>44</v>
      </c>
    </row>
    <row r="116" ht="19.5" customHeight="1">
      <c r="A116" s="55"/>
      <c r="B116" s="65">
        <v>46339.0</v>
      </c>
      <c r="C116" s="63">
        <v>30000.04</v>
      </c>
      <c r="D116" s="57"/>
      <c r="E116" s="64" t="s">
        <v>214</v>
      </c>
      <c r="F116" s="151" t="s">
        <v>538</v>
      </c>
      <c r="G116" s="62" t="s">
        <v>44</v>
      </c>
    </row>
    <row r="117" ht="19.5" customHeight="1">
      <c r="A117" s="55"/>
      <c r="B117" s="65">
        <v>46340.0</v>
      </c>
      <c r="C117" s="63">
        <v>39999.99</v>
      </c>
      <c r="D117" s="57"/>
      <c r="E117" s="64" t="s">
        <v>214</v>
      </c>
      <c r="F117" s="152" t="s">
        <v>993</v>
      </c>
      <c r="G117" s="62" t="s">
        <v>26</v>
      </c>
    </row>
    <row r="118" ht="19.5" customHeight="1">
      <c r="A118" s="55"/>
      <c r="B118" s="65">
        <v>46341.0</v>
      </c>
      <c r="C118" s="63">
        <v>39999.99</v>
      </c>
      <c r="D118" s="63"/>
      <c r="E118" s="64" t="s">
        <v>214</v>
      </c>
      <c r="F118" s="151" t="s">
        <v>538</v>
      </c>
      <c r="G118" s="62" t="s">
        <v>44</v>
      </c>
    </row>
    <row r="119" ht="19.5" customHeight="1">
      <c r="A119" s="55"/>
      <c r="B119" s="65">
        <v>46342.0</v>
      </c>
      <c r="C119" s="63">
        <v>110511.2</v>
      </c>
      <c r="D119" s="63"/>
      <c r="E119" s="64" t="s">
        <v>119</v>
      </c>
      <c r="F119" s="151" t="s">
        <v>481</v>
      </c>
      <c r="G119" s="62" t="s">
        <v>44</v>
      </c>
    </row>
    <row r="120" ht="19.5" customHeight="1">
      <c r="A120" s="55"/>
      <c r="B120" s="65">
        <v>46342.0</v>
      </c>
      <c r="C120" s="63">
        <v>82282.97</v>
      </c>
      <c r="D120" s="63"/>
      <c r="E120" s="64" t="s">
        <v>119</v>
      </c>
      <c r="F120" s="152" t="s">
        <v>482</v>
      </c>
      <c r="G120" s="62" t="s">
        <v>26</v>
      </c>
    </row>
    <row r="121" ht="19.5" customHeight="1">
      <c r="A121" s="55"/>
      <c r="B121" s="65">
        <v>46342.0</v>
      </c>
      <c r="C121" s="63">
        <v>155080.1</v>
      </c>
      <c r="D121" s="63"/>
      <c r="E121" s="64" t="s">
        <v>761</v>
      </c>
      <c r="F121" s="151" t="s">
        <v>762</v>
      </c>
      <c r="G121" s="62" t="s">
        <v>44</v>
      </c>
    </row>
    <row r="122" ht="19.5" customHeight="1">
      <c r="A122" s="55"/>
      <c r="B122" s="65">
        <v>46344.0</v>
      </c>
      <c r="C122" s="63">
        <v>30000.0</v>
      </c>
      <c r="D122" s="63"/>
      <c r="E122" s="64" t="s">
        <v>242</v>
      </c>
      <c r="F122" s="151" t="s">
        <v>538</v>
      </c>
      <c r="G122" s="62" t="s">
        <v>44</v>
      </c>
    </row>
    <row r="123" ht="19.5" customHeight="1">
      <c r="A123" s="55"/>
      <c r="B123" s="65">
        <v>46345.0</v>
      </c>
      <c r="C123" s="63">
        <v>19999.95</v>
      </c>
      <c r="D123" s="63"/>
      <c r="E123" s="64" t="s">
        <v>214</v>
      </c>
      <c r="F123" s="151" t="s">
        <v>538</v>
      </c>
      <c r="G123" s="62" t="s">
        <v>44</v>
      </c>
    </row>
    <row r="124" ht="19.5" customHeight="1">
      <c r="A124" s="55"/>
      <c r="B124" s="65">
        <v>46346.0</v>
      </c>
      <c r="C124" s="63">
        <v>19999.95</v>
      </c>
      <c r="D124" s="63"/>
      <c r="E124" s="64" t="s">
        <v>214</v>
      </c>
      <c r="F124" s="151" t="s">
        <v>538</v>
      </c>
      <c r="G124" s="62" t="s">
        <v>44</v>
      </c>
    </row>
    <row r="125" ht="19.5" customHeight="1">
      <c r="A125" s="55"/>
      <c r="B125" s="65">
        <v>46347.0</v>
      </c>
      <c r="C125" s="63">
        <v>19999.99</v>
      </c>
      <c r="D125" s="63"/>
      <c r="E125" s="64" t="s">
        <v>214</v>
      </c>
      <c r="F125" s="151" t="s">
        <v>538</v>
      </c>
      <c r="G125" s="62" t="s">
        <v>44</v>
      </c>
    </row>
    <row r="126" ht="19.5" customHeight="1">
      <c r="A126" s="55"/>
      <c r="B126" s="65">
        <v>46348.0</v>
      </c>
      <c r="C126" s="63">
        <v>57200.0</v>
      </c>
      <c r="D126" s="63"/>
      <c r="E126" s="64" t="s">
        <v>575</v>
      </c>
      <c r="F126" s="151" t="s">
        <v>1001</v>
      </c>
      <c r="G126" s="62" t="s">
        <v>44</v>
      </c>
    </row>
    <row r="127" ht="19.5" customHeight="1">
      <c r="A127" s="55"/>
      <c r="B127" s="65">
        <v>46348.0</v>
      </c>
      <c r="C127" s="63">
        <v>20000.0</v>
      </c>
      <c r="D127" s="63"/>
      <c r="E127" s="64" t="s">
        <v>575</v>
      </c>
      <c r="F127" s="151" t="s">
        <v>1001</v>
      </c>
      <c r="G127" s="62" t="s">
        <v>44</v>
      </c>
    </row>
    <row r="128" ht="30.0" customHeight="1">
      <c r="A128" s="78" t="s">
        <v>111</v>
      </c>
      <c r="B128" s="79"/>
      <c r="C128" s="80">
        <f t="shared" ref="C128:D128" si="4">SUM(C98:C127)</f>
        <v>3288940.76</v>
      </c>
      <c r="D128" s="80">
        <f t="shared" si="4"/>
        <v>0</v>
      </c>
      <c r="E128" s="81"/>
      <c r="F128" s="82"/>
    </row>
    <row r="129" ht="4.5" customHeight="1">
      <c r="A129" s="116"/>
      <c r="B129" s="115"/>
      <c r="C129" s="115"/>
      <c r="D129" s="115"/>
      <c r="E129" s="115"/>
      <c r="F129" s="115"/>
      <c r="G129" s="79"/>
    </row>
    <row r="130" ht="19.5" customHeight="1">
      <c r="A130" s="49" t="s">
        <v>14</v>
      </c>
      <c r="B130" s="50">
        <v>46326.0</v>
      </c>
      <c r="C130" s="51">
        <v>50586.68</v>
      </c>
      <c r="D130" s="51"/>
      <c r="E130" s="52" t="s">
        <v>1002</v>
      </c>
      <c r="F130" s="53" t="s">
        <v>1003</v>
      </c>
      <c r="G130" s="54" t="s">
        <v>44</v>
      </c>
    </row>
    <row r="131" ht="19.5" customHeight="1">
      <c r="A131" s="55"/>
      <c r="B131" s="56">
        <v>46336.0</v>
      </c>
      <c r="C131" s="57">
        <v>40757.02</v>
      </c>
      <c r="D131" s="57"/>
      <c r="E131" s="58" t="s">
        <v>1004</v>
      </c>
      <c r="F131" s="59" t="s">
        <v>1003</v>
      </c>
      <c r="G131" s="60" t="s">
        <v>44</v>
      </c>
    </row>
    <row r="132" ht="19.5" customHeight="1">
      <c r="A132" s="55"/>
      <c r="B132" s="65">
        <v>46352.0</v>
      </c>
      <c r="C132" s="63">
        <v>50933.35</v>
      </c>
      <c r="D132" s="63"/>
      <c r="E132" s="64" t="s">
        <v>1005</v>
      </c>
      <c r="F132" s="61" t="s">
        <v>1003</v>
      </c>
      <c r="G132" s="62" t="s">
        <v>44</v>
      </c>
    </row>
    <row r="133" ht="30.0" customHeight="1">
      <c r="A133" s="78" t="s">
        <v>111</v>
      </c>
      <c r="B133" s="79"/>
      <c r="C133" s="80">
        <f t="shared" ref="C133:D133" si="5">SUM(C130:C132)</f>
        <v>142277.05</v>
      </c>
      <c r="D133" s="80">
        <f t="shared" si="5"/>
        <v>0</v>
      </c>
      <c r="E133" s="92"/>
      <c r="F133" s="82"/>
      <c r="G133" s="93"/>
    </row>
    <row r="134" ht="4.5" customHeight="1">
      <c r="A134" s="116"/>
      <c r="B134" s="115"/>
      <c r="C134" s="115"/>
      <c r="D134" s="115"/>
      <c r="E134" s="115"/>
      <c r="F134" s="115"/>
      <c r="G134" s="79"/>
    </row>
    <row r="135" ht="19.5" customHeight="1">
      <c r="A135" s="49" t="s">
        <v>15</v>
      </c>
      <c r="B135" s="94">
        <v>46265.0</v>
      </c>
      <c r="C135" s="51">
        <v>10533.33</v>
      </c>
      <c r="D135" s="51"/>
      <c r="E135" s="52" t="s">
        <v>899</v>
      </c>
      <c r="F135" s="64" t="s">
        <v>771</v>
      </c>
      <c r="G135" s="54" t="s">
        <v>26</v>
      </c>
    </row>
    <row r="136" ht="19.5" customHeight="1">
      <c r="A136" s="55"/>
      <c r="B136" s="95">
        <v>46328.0</v>
      </c>
      <c r="C136" s="57">
        <v>44228.0</v>
      </c>
      <c r="D136" s="57"/>
      <c r="E136" s="58" t="s">
        <v>162</v>
      </c>
      <c r="F136" s="64" t="s">
        <v>1006</v>
      </c>
      <c r="G136" s="60" t="s">
        <v>26</v>
      </c>
    </row>
    <row r="137" ht="19.5" customHeight="1">
      <c r="A137" s="55"/>
      <c r="B137" s="95">
        <v>46329.0</v>
      </c>
      <c r="C137" s="57">
        <v>21840.0</v>
      </c>
      <c r="D137" s="57"/>
      <c r="E137" s="58" t="s">
        <v>162</v>
      </c>
      <c r="F137" s="64" t="s">
        <v>1007</v>
      </c>
      <c r="G137" s="60" t="s">
        <v>26</v>
      </c>
    </row>
    <row r="138" ht="19.5" customHeight="1">
      <c r="A138" s="55"/>
      <c r="B138" s="95">
        <v>46330.0</v>
      </c>
      <c r="C138" s="57">
        <v>56640.0</v>
      </c>
      <c r="D138" s="57"/>
      <c r="E138" s="58" t="s">
        <v>162</v>
      </c>
      <c r="F138" s="64" t="s">
        <v>1007</v>
      </c>
      <c r="G138" s="60" t="s">
        <v>26</v>
      </c>
    </row>
    <row r="139" ht="19.5" customHeight="1">
      <c r="A139" s="55"/>
      <c r="B139" s="95">
        <v>46330.0</v>
      </c>
      <c r="C139" s="57">
        <v>1416640.41</v>
      </c>
      <c r="D139" s="57"/>
      <c r="E139" s="58" t="s">
        <v>231</v>
      </c>
      <c r="F139" s="64" t="s">
        <v>1008</v>
      </c>
      <c r="G139" s="60" t="s">
        <v>26</v>
      </c>
    </row>
    <row r="140" ht="19.5" customHeight="1">
      <c r="A140" s="55"/>
      <c r="B140" s="95">
        <v>46330.0</v>
      </c>
      <c r="C140" s="57">
        <v>5228.0</v>
      </c>
      <c r="D140" s="57"/>
      <c r="E140" s="58" t="s">
        <v>545</v>
      </c>
      <c r="F140" s="64" t="s">
        <v>1009</v>
      </c>
      <c r="G140" s="60" t="s">
        <v>26</v>
      </c>
    </row>
    <row r="141" ht="19.5" customHeight="1">
      <c r="A141" s="55"/>
      <c r="B141" s="95">
        <v>46331.0</v>
      </c>
      <c r="C141" s="57">
        <v>52077.0</v>
      </c>
      <c r="D141" s="57"/>
      <c r="E141" s="58" t="s">
        <v>162</v>
      </c>
      <c r="F141" s="64" t="s">
        <v>1010</v>
      </c>
      <c r="G141" s="60" t="s">
        <v>26</v>
      </c>
    </row>
    <row r="142" ht="19.5" customHeight="1">
      <c r="A142" s="55"/>
      <c r="B142" s="95">
        <v>46331.0</v>
      </c>
      <c r="C142" s="57">
        <v>6384.0</v>
      </c>
      <c r="D142" s="57"/>
      <c r="E142" s="58" t="s">
        <v>545</v>
      </c>
      <c r="F142" s="64" t="s">
        <v>1011</v>
      </c>
      <c r="G142" s="60" t="s">
        <v>26</v>
      </c>
    </row>
    <row r="143" ht="19.5" customHeight="1">
      <c r="A143" s="55"/>
      <c r="B143" s="95">
        <v>46333.0</v>
      </c>
      <c r="C143" s="57">
        <v>-41400.0</v>
      </c>
      <c r="D143" s="57"/>
      <c r="E143" s="58" t="s">
        <v>162</v>
      </c>
      <c r="F143" s="64" t="s">
        <v>1012</v>
      </c>
      <c r="G143" s="60" t="s">
        <v>26</v>
      </c>
    </row>
    <row r="144" ht="19.5" customHeight="1">
      <c r="A144" s="55"/>
      <c r="B144" s="95">
        <v>46347.0</v>
      </c>
      <c r="C144" s="57">
        <v>34454.0</v>
      </c>
      <c r="D144" s="57"/>
      <c r="E144" s="58" t="s">
        <v>162</v>
      </c>
      <c r="F144" s="64" t="s">
        <v>1013</v>
      </c>
      <c r="G144" s="60" t="s">
        <v>26</v>
      </c>
    </row>
    <row r="145" ht="19.5" customHeight="1">
      <c r="A145" s="55"/>
      <c r="B145" s="95">
        <v>46347.0</v>
      </c>
      <c r="C145" s="57"/>
      <c r="D145" s="57">
        <v>9.99</v>
      </c>
      <c r="E145" s="58" t="s">
        <v>1014</v>
      </c>
      <c r="F145" s="64" t="s">
        <v>1015</v>
      </c>
      <c r="G145" s="60" t="s">
        <v>26</v>
      </c>
    </row>
    <row r="146" ht="30.0" customHeight="1">
      <c r="A146" s="78" t="s">
        <v>111</v>
      </c>
      <c r="B146" s="79"/>
      <c r="C146" s="80">
        <f t="shared" ref="C146:D146" si="6">SUM(C135:C145)</f>
        <v>1606624.74</v>
      </c>
      <c r="D146" s="80">
        <f t="shared" si="6"/>
        <v>9.99</v>
      </c>
      <c r="E146" s="81"/>
      <c r="F146" s="98"/>
    </row>
    <row r="147" ht="4.5" customHeight="1">
      <c r="A147" s="116"/>
      <c r="B147" s="115"/>
      <c r="C147" s="115"/>
      <c r="D147" s="115"/>
      <c r="E147" s="115"/>
      <c r="F147" s="115"/>
      <c r="G147" s="79"/>
    </row>
    <row r="148" ht="19.5" customHeight="1">
      <c r="A148" s="49" t="s">
        <v>125</v>
      </c>
      <c r="B148" s="50">
        <v>46271.0</v>
      </c>
      <c r="C148" s="51">
        <v>2250.0</v>
      </c>
      <c r="D148" s="51"/>
      <c r="E148" s="52" t="s">
        <v>1016</v>
      </c>
      <c r="F148" s="64" t="s">
        <v>814</v>
      </c>
      <c r="G148" s="62"/>
    </row>
    <row r="149" ht="19.5" customHeight="1">
      <c r="A149" s="55"/>
      <c r="B149" s="56">
        <v>46317.0</v>
      </c>
      <c r="C149" s="57">
        <v>236533.33</v>
      </c>
      <c r="D149" s="57"/>
      <c r="E149" s="52" t="s">
        <v>1017</v>
      </c>
      <c r="F149" s="64" t="s">
        <v>943</v>
      </c>
      <c r="G149" s="62"/>
    </row>
    <row r="150" ht="19.5" customHeight="1">
      <c r="A150" s="55"/>
      <c r="B150" s="56">
        <v>46326.0</v>
      </c>
      <c r="C150" s="57">
        <v>22000.0</v>
      </c>
      <c r="D150" s="57"/>
      <c r="E150" s="58" t="s">
        <v>132</v>
      </c>
      <c r="F150" s="64" t="s">
        <v>1018</v>
      </c>
      <c r="G150" s="62"/>
    </row>
    <row r="151" ht="19.5" customHeight="1">
      <c r="A151" s="55"/>
      <c r="B151" s="56">
        <v>46329.0</v>
      </c>
      <c r="C151" s="57">
        <v>108014.0</v>
      </c>
      <c r="D151" s="57"/>
      <c r="E151" s="58" t="s">
        <v>436</v>
      </c>
      <c r="F151" s="64" t="s">
        <v>1019</v>
      </c>
      <c r="G151" s="62"/>
    </row>
    <row r="152" ht="19.5" customHeight="1">
      <c r="A152" s="55"/>
      <c r="B152" s="56">
        <v>46330.0</v>
      </c>
      <c r="C152" s="57">
        <v>22200.0</v>
      </c>
      <c r="D152" s="57"/>
      <c r="E152" s="58" t="s">
        <v>132</v>
      </c>
      <c r="F152" s="64" t="s">
        <v>1018</v>
      </c>
      <c r="G152" s="62"/>
    </row>
    <row r="153" ht="19.5" customHeight="1">
      <c r="A153" s="55"/>
      <c r="B153" s="56">
        <v>46331.0</v>
      </c>
      <c r="C153" s="57">
        <v>22074.0</v>
      </c>
      <c r="D153" s="57"/>
      <c r="E153" s="58" t="s">
        <v>441</v>
      </c>
      <c r="F153" s="64" t="s">
        <v>1020</v>
      </c>
      <c r="G153" s="62"/>
    </row>
    <row r="154" ht="19.5" customHeight="1">
      <c r="A154" s="55"/>
      <c r="B154" s="56">
        <v>46332.0</v>
      </c>
      <c r="C154" s="57">
        <v>15300.0</v>
      </c>
      <c r="D154" s="57"/>
      <c r="E154" s="58" t="s">
        <v>505</v>
      </c>
      <c r="F154" s="64" t="s">
        <v>1020</v>
      </c>
      <c r="G154" s="62"/>
    </row>
    <row r="155" ht="19.5" customHeight="1">
      <c r="A155" s="55"/>
      <c r="B155" s="56">
        <v>46333.0</v>
      </c>
      <c r="C155" s="57">
        <v>45500.0</v>
      </c>
      <c r="D155" s="57"/>
      <c r="E155" s="58" t="s">
        <v>132</v>
      </c>
      <c r="F155" s="68" t="s">
        <v>1021</v>
      </c>
      <c r="G155" s="62"/>
    </row>
    <row r="156" ht="19.5" customHeight="1">
      <c r="A156" s="55"/>
      <c r="B156" s="56">
        <v>46333.0</v>
      </c>
      <c r="C156" s="57">
        <v>5500.0</v>
      </c>
      <c r="D156" s="57"/>
      <c r="E156" s="58" t="s">
        <v>132</v>
      </c>
      <c r="F156" s="58" t="s">
        <v>1018</v>
      </c>
      <c r="G156" s="60"/>
    </row>
    <row r="157" ht="19.5" customHeight="1">
      <c r="A157" s="55"/>
      <c r="B157" s="56">
        <v>46334.0</v>
      </c>
      <c r="C157" s="57">
        <v>20780.8</v>
      </c>
      <c r="D157" s="57"/>
      <c r="E157" s="58" t="s">
        <v>318</v>
      </c>
      <c r="F157" s="58"/>
      <c r="G157" s="60"/>
    </row>
    <row r="158" ht="19.5" customHeight="1">
      <c r="A158" s="55"/>
      <c r="B158" s="56">
        <v>46334.0</v>
      </c>
      <c r="C158" s="57">
        <v>8450.0</v>
      </c>
      <c r="D158" s="57"/>
      <c r="E158" s="58" t="s">
        <v>1022</v>
      </c>
      <c r="F158" s="58" t="s">
        <v>1023</v>
      </c>
      <c r="G158" s="60"/>
    </row>
    <row r="159" ht="19.5" customHeight="1">
      <c r="A159" s="55"/>
      <c r="B159" s="56">
        <v>46336.0</v>
      </c>
      <c r="C159" s="57">
        <v>7200.0</v>
      </c>
      <c r="D159" s="57"/>
      <c r="E159" s="58" t="s">
        <v>441</v>
      </c>
      <c r="F159" s="64" t="s">
        <v>1024</v>
      </c>
      <c r="G159" s="60"/>
    </row>
    <row r="160" ht="19.5" customHeight="1">
      <c r="A160" s="55"/>
      <c r="B160" s="56">
        <v>46336.0</v>
      </c>
      <c r="C160" s="57">
        <v>106015.96</v>
      </c>
      <c r="D160" s="57"/>
      <c r="E160" s="58" t="s">
        <v>1025</v>
      </c>
      <c r="F160" s="64" t="s">
        <v>437</v>
      </c>
      <c r="G160" s="60"/>
    </row>
    <row r="161" ht="19.5" customHeight="1">
      <c r="A161" s="55"/>
      <c r="B161" s="56">
        <v>46336.0</v>
      </c>
      <c r="C161" s="57">
        <v>15500.0</v>
      </c>
      <c r="D161" s="57"/>
      <c r="E161" s="58" t="s">
        <v>505</v>
      </c>
      <c r="F161" s="58" t="s">
        <v>1026</v>
      </c>
      <c r="G161" s="60"/>
    </row>
    <row r="162" ht="19.5" customHeight="1">
      <c r="A162" s="55"/>
      <c r="B162" s="56">
        <v>46337.0</v>
      </c>
      <c r="C162" s="57">
        <v>6100.0</v>
      </c>
      <c r="D162" s="57"/>
      <c r="E162" s="58" t="s">
        <v>505</v>
      </c>
      <c r="F162" s="64" t="s">
        <v>1027</v>
      </c>
      <c r="G162" s="60"/>
    </row>
    <row r="163" ht="19.5" customHeight="1">
      <c r="A163" s="55"/>
      <c r="B163" s="56">
        <v>46337.0</v>
      </c>
      <c r="C163" s="57">
        <v>42900.0</v>
      </c>
      <c r="D163" s="57"/>
      <c r="E163" s="58" t="s">
        <v>132</v>
      </c>
      <c r="F163" s="64" t="s">
        <v>1028</v>
      </c>
      <c r="G163" s="60"/>
    </row>
    <row r="164" ht="19.5" customHeight="1">
      <c r="A164" s="55"/>
      <c r="B164" s="56">
        <v>46338.0</v>
      </c>
      <c r="C164" s="57">
        <v>28600.0</v>
      </c>
      <c r="D164" s="57"/>
      <c r="E164" s="58" t="s">
        <v>505</v>
      </c>
      <c r="F164" s="64" t="s">
        <v>1028</v>
      </c>
      <c r="G164" s="60"/>
    </row>
    <row r="165" ht="19.5" customHeight="1">
      <c r="A165" s="55"/>
      <c r="B165" s="56">
        <v>46339.0</v>
      </c>
      <c r="C165" s="57">
        <v>30800.0</v>
      </c>
      <c r="D165" s="57"/>
      <c r="E165" s="58" t="s">
        <v>132</v>
      </c>
      <c r="F165" s="64" t="s">
        <v>1029</v>
      </c>
      <c r="G165" s="60"/>
    </row>
    <row r="166" ht="19.5" customHeight="1">
      <c r="A166" s="55"/>
      <c r="B166" s="56">
        <v>46340.0</v>
      </c>
      <c r="C166" s="57">
        <v>19900.0</v>
      </c>
      <c r="D166" s="57"/>
      <c r="E166" s="58" t="s">
        <v>505</v>
      </c>
      <c r="F166" s="58" t="s">
        <v>505</v>
      </c>
      <c r="G166" s="60"/>
    </row>
    <row r="167" ht="19.5" customHeight="1">
      <c r="A167" s="55"/>
      <c r="B167" s="65">
        <v>46344.0</v>
      </c>
      <c r="C167" s="63">
        <v>16300.0</v>
      </c>
      <c r="D167" s="63"/>
      <c r="E167" s="64" t="s">
        <v>505</v>
      </c>
      <c r="F167" s="64" t="s">
        <v>505</v>
      </c>
      <c r="G167" s="62"/>
    </row>
    <row r="168" ht="19.5" customHeight="1">
      <c r="A168" s="55"/>
      <c r="B168" s="65">
        <v>46345.0</v>
      </c>
      <c r="C168" s="63">
        <v>61513.99</v>
      </c>
      <c r="D168" s="63"/>
      <c r="E168" s="64" t="s">
        <v>34</v>
      </c>
      <c r="F168" s="64" t="s">
        <v>437</v>
      </c>
      <c r="G168" s="62"/>
    </row>
    <row r="169" ht="19.5" customHeight="1">
      <c r="A169" s="55"/>
      <c r="B169" s="65">
        <v>46345.0</v>
      </c>
      <c r="C169" s="63">
        <v>7200.0</v>
      </c>
      <c r="D169" s="63"/>
      <c r="E169" s="64" t="s">
        <v>349</v>
      </c>
      <c r="F169" s="64" t="s">
        <v>1030</v>
      </c>
      <c r="G169" s="62"/>
    </row>
    <row r="170" ht="19.5" customHeight="1">
      <c r="A170" s="55"/>
      <c r="B170" s="65">
        <v>46345.0</v>
      </c>
      <c r="C170" s="63">
        <v>95027.0</v>
      </c>
      <c r="D170" s="63"/>
      <c r="E170" s="64" t="s">
        <v>436</v>
      </c>
      <c r="F170" s="64" t="s">
        <v>437</v>
      </c>
      <c r="G170" s="62"/>
    </row>
    <row r="171" ht="19.5" customHeight="1">
      <c r="A171" s="55"/>
      <c r="B171" s="65">
        <v>46345.0</v>
      </c>
      <c r="C171" s="63">
        <v>69006.05</v>
      </c>
      <c r="D171" s="63"/>
      <c r="E171" s="64" t="s">
        <v>1031</v>
      </c>
      <c r="F171" s="64" t="s">
        <v>437</v>
      </c>
      <c r="G171" s="62"/>
    </row>
    <row r="172" ht="19.5" customHeight="1">
      <c r="A172" s="55"/>
      <c r="B172" s="65">
        <v>46345.0</v>
      </c>
      <c r="C172" s="63">
        <v>9200.0</v>
      </c>
      <c r="D172" s="63"/>
      <c r="E172" s="64" t="s">
        <v>1031</v>
      </c>
      <c r="F172" s="64" t="s">
        <v>823</v>
      </c>
      <c r="G172" s="62"/>
    </row>
    <row r="173" ht="19.5" customHeight="1">
      <c r="A173" s="55"/>
      <c r="B173" s="65">
        <v>46346.0</v>
      </c>
      <c r="C173" s="63">
        <v>71007.99</v>
      </c>
      <c r="D173" s="63"/>
      <c r="E173" s="64" t="s">
        <v>34</v>
      </c>
      <c r="F173" s="64" t="s">
        <v>437</v>
      </c>
      <c r="G173" s="62"/>
    </row>
    <row r="174" ht="19.5" customHeight="1">
      <c r="A174" s="55"/>
      <c r="B174" s="65">
        <v>46346.0</v>
      </c>
      <c r="C174" s="63">
        <v>13650.0</v>
      </c>
      <c r="D174" s="63"/>
      <c r="E174" s="64" t="s">
        <v>33</v>
      </c>
      <c r="F174" s="64"/>
      <c r="G174" s="62"/>
    </row>
    <row r="175" ht="19.5" customHeight="1">
      <c r="A175" s="55"/>
      <c r="B175" s="65">
        <v>46346.0</v>
      </c>
      <c r="C175" s="63">
        <v>55000.0</v>
      </c>
      <c r="D175" s="63"/>
      <c r="E175" s="64" t="s">
        <v>1032</v>
      </c>
      <c r="F175" s="64" t="s">
        <v>437</v>
      </c>
      <c r="G175" s="62"/>
    </row>
    <row r="176" ht="19.5" customHeight="1">
      <c r="A176" s="55"/>
      <c r="B176" s="65">
        <v>46346.0</v>
      </c>
      <c r="C176" s="63">
        <v>9800.0</v>
      </c>
      <c r="D176" s="63"/>
      <c r="E176" s="64" t="s">
        <v>1033</v>
      </c>
      <c r="F176" s="64" t="s">
        <v>823</v>
      </c>
      <c r="G176" s="62"/>
    </row>
    <row r="177" ht="19.5" customHeight="1">
      <c r="A177" s="55"/>
      <c r="B177" s="65">
        <v>46346.0</v>
      </c>
      <c r="C177" s="63">
        <v>28200.0</v>
      </c>
      <c r="D177" s="63"/>
      <c r="E177" s="64" t="s">
        <v>1034</v>
      </c>
      <c r="F177" s="64"/>
      <c r="G177" s="62"/>
    </row>
    <row r="178" ht="19.5" customHeight="1">
      <c r="A178" s="55"/>
      <c r="B178" s="65">
        <v>46347.0</v>
      </c>
      <c r="C178" s="63">
        <v>41000.0</v>
      </c>
      <c r="D178" s="63"/>
      <c r="E178" s="64" t="s">
        <v>505</v>
      </c>
      <c r="F178" s="64" t="s">
        <v>505</v>
      </c>
      <c r="G178" s="62"/>
    </row>
    <row r="179" ht="19.5" customHeight="1">
      <c r="A179" s="55"/>
      <c r="B179" s="65">
        <v>46348.0</v>
      </c>
      <c r="C179" s="63">
        <v>50000.0</v>
      </c>
      <c r="D179" s="63"/>
      <c r="E179" s="64" t="s">
        <v>1035</v>
      </c>
      <c r="F179" s="64"/>
      <c r="G179" s="62"/>
    </row>
    <row r="180" ht="19.5" customHeight="1">
      <c r="A180" s="55"/>
      <c r="B180" s="65">
        <v>46351.0</v>
      </c>
      <c r="C180" s="63">
        <v>9200.0</v>
      </c>
      <c r="D180" s="63"/>
      <c r="E180" s="64" t="s">
        <v>935</v>
      </c>
      <c r="F180" s="64"/>
      <c r="G180" s="62"/>
    </row>
    <row r="181" ht="19.5" customHeight="1">
      <c r="A181" s="55"/>
      <c r="B181" s="65">
        <v>46352.0</v>
      </c>
      <c r="C181" s="63">
        <v>50000.0</v>
      </c>
      <c r="D181" s="63"/>
      <c r="E181" s="64" t="s">
        <v>456</v>
      </c>
      <c r="F181" s="97" t="s">
        <v>437</v>
      </c>
      <c r="G181" s="62"/>
    </row>
    <row r="182" ht="19.5" customHeight="1">
      <c r="A182" s="55"/>
      <c r="B182" s="65">
        <v>46352.0</v>
      </c>
      <c r="C182" s="63">
        <v>20900.0</v>
      </c>
      <c r="D182" s="63"/>
      <c r="E182" s="64" t="s">
        <v>132</v>
      </c>
      <c r="F182" s="61"/>
      <c r="G182" s="62"/>
    </row>
    <row r="183" ht="30.0" customHeight="1">
      <c r="A183" s="78" t="s">
        <v>111</v>
      </c>
      <c r="B183" s="79"/>
      <c r="C183" s="80">
        <f>SUM(C148:C182)</f>
        <v>1372623.12</v>
      </c>
      <c r="D183" s="80">
        <f>SUM(D149:D182)</f>
        <v>0</v>
      </c>
      <c r="E183" s="81"/>
      <c r="F183" s="82"/>
    </row>
    <row r="184" ht="4.5" customHeight="1">
      <c r="A184" s="116"/>
      <c r="B184" s="115"/>
      <c r="C184" s="115"/>
      <c r="D184" s="115"/>
      <c r="E184" s="115"/>
      <c r="F184" s="115"/>
      <c r="G184" s="79"/>
    </row>
    <row r="185" ht="19.5" customHeight="1">
      <c r="A185" s="49" t="s">
        <v>851</v>
      </c>
      <c r="B185" s="50">
        <v>46346.0</v>
      </c>
      <c r="C185" s="51">
        <v>76001.0</v>
      </c>
      <c r="D185" s="51"/>
      <c r="E185" s="153" t="s">
        <v>120</v>
      </c>
      <c r="F185" s="53" t="s">
        <v>1036</v>
      </c>
      <c r="G185" s="54"/>
    </row>
    <row r="186" ht="30.0" customHeight="1">
      <c r="A186" s="78" t="s">
        <v>111</v>
      </c>
      <c r="B186" s="79"/>
      <c r="C186" s="80">
        <f t="shared" ref="C186:D186" si="7">SUM(C185)</f>
        <v>76001</v>
      </c>
      <c r="D186" s="80">
        <f t="shared" si="7"/>
        <v>0</v>
      </c>
      <c r="E186" s="92"/>
      <c r="F186" s="82"/>
      <c r="G186" s="93"/>
    </row>
    <row r="187" ht="4.5" customHeight="1">
      <c r="A187" s="116"/>
      <c r="B187" s="115"/>
      <c r="C187" s="115"/>
      <c r="D187" s="117"/>
      <c r="E187" s="96"/>
      <c r="F187" s="96"/>
      <c r="G187" s="96"/>
    </row>
    <row r="188" ht="30.0" customHeight="1">
      <c r="A188" s="78" t="s">
        <v>187</v>
      </c>
      <c r="B188" s="79"/>
      <c r="C188" s="80">
        <f>+C96+C128+C133+C146+C183+C186</f>
        <v>12692415.6</v>
      </c>
      <c r="D188" s="80">
        <f>+D96+D128+D133+D146+D183</f>
        <v>23.96</v>
      </c>
      <c r="E188" s="97"/>
      <c r="F188" s="98"/>
    </row>
    <row r="189" ht="19.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9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95"/>
    <mergeCell ref="A96:B96"/>
    <mergeCell ref="A97:G97"/>
    <mergeCell ref="A146:B146"/>
    <mergeCell ref="A147:G147"/>
    <mergeCell ref="A148:A182"/>
    <mergeCell ref="A183:B183"/>
    <mergeCell ref="A184:G184"/>
    <mergeCell ref="A186:B186"/>
    <mergeCell ref="A187:D187"/>
    <mergeCell ref="A188:B188"/>
    <mergeCell ref="A98:A127"/>
    <mergeCell ref="A128:B128"/>
    <mergeCell ref="A129:G129"/>
    <mergeCell ref="A130:A132"/>
    <mergeCell ref="A133:B133"/>
    <mergeCell ref="A134:G134"/>
    <mergeCell ref="A135:A145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3" width="17.57"/>
    <col customWidth="1" min="4" max="4" width="15.57"/>
    <col customWidth="1" min="5" max="5" width="36.14"/>
    <col customWidth="1" min="6" max="6" width="91.14"/>
    <col customWidth="1" min="7" max="7" width="17.14"/>
    <col customWidth="1" min="8" max="26" width="10.71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1" t="s">
        <v>0</v>
      </c>
      <c r="B6" s="2"/>
      <c r="C6" s="3"/>
      <c r="D6" s="4" t="s">
        <v>1</v>
      </c>
      <c r="E6" s="5"/>
      <c r="F6" s="6" t="s">
        <v>1037</v>
      </c>
      <c r="G6" s="7"/>
    </row>
    <row r="7" ht="19.5" customHeight="1">
      <c r="A7" s="8"/>
      <c r="B7" s="9"/>
      <c r="C7" s="10"/>
      <c r="D7" s="11" t="s">
        <v>3</v>
      </c>
      <c r="E7" s="12"/>
      <c r="F7" s="13">
        <v>2025.0</v>
      </c>
      <c r="G7" s="14"/>
    </row>
    <row r="8" ht="19.5" customHeight="1">
      <c r="A8" s="15" t="s">
        <v>4</v>
      </c>
      <c r="B8" s="16" t="s">
        <v>5</v>
      </c>
      <c r="C8" s="17" t="s">
        <v>6</v>
      </c>
      <c r="D8" s="11" t="s">
        <v>6</v>
      </c>
      <c r="E8" s="18"/>
      <c r="F8" s="19">
        <v>1.814450951E7</v>
      </c>
      <c r="G8" s="14"/>
    </row>
    <row r="9" ht="19.5" customHeight="1">
      <c r="A9" s="20" t="s">
        <v>7</v>
      </c>
      <c r="B9" s="21">
        <f>SUM(C125)</f>
        <v>9923781.46</v>
      </c>
      <c r="C9" s="22">
        <f t="shared" ref="C9:C10" si="1">+B9</f>
        <v>9923781.46</v>
      </c>
      <c r="D9" s="23" t="s">
        <v>8</v>
      </c>
      <c r="E9" s="24"/>
      <c r="F9" s="24"/>
      <c r="G9" s="25"/>
    </row>
    <row r="10" ht="19.5" customHeight="1">
      <c r="A10" s="26" t="s">
        <v>9</v>
      </c>
      <c r="B10" s="27">
        <f>SUM(D125)</f>
        <v>13.97</v>
      </c>
      <c r="C10" s="28">
        <f t="shared" si="1"/>
        <v>13.97</v>
      </c>
      <c r="D10" s="29"/>
      <c r="G10" s="30"/>
    </row>
    <row r="11" ht="19.5" customHeight="1">
      <c r="A11" s="31" t="s">
        <v>10</v>
      </c>
      <c r="B11" s="32">
        <v>1182301.35</v>
      </c>
      <c r="C11" s="33">
        <f>SUM(B11:B12)</f>
        <v>2186291.43</v>
      </c>
      <c r="D11" s="29"/>
      <c r="G11" s="30"/>
    </row>
    <row r="12" ht="19.5" customHeight="1">
      <c r="A12" s="26" t="s">
        <v>11</v>
      </c>
      <c r="B12" s="27">
        <v>1003990.08</v>
      </c>
      <c r="C12" s="34"/>
      <c r="D12" s="29"/>
      <c r="G12" s="30"/>
    </row>
    <row r="13" ht="19.5" customHeight="1">
      <c r="A13" s="31" t="s">
        <v>12</v>
      </c>
      <c r="B13" s="32"/>
      <c r="C13" s="33">
        <f>SUM(B13:B14)</f>
        <v>0</v>
      </c>
      <c r="D13" s="29"/>
      <c r="G13" s="30"/>
    </row>
    <row r="14" ht="19.5" customHeight="1">
      <c r="A14" s="26" t="s">
        <v>13</v>
      </c>
      <c r="B14" s="27"/>
      <c r="C14" s="34"/>
      <c r="D14" s="29"/>
      <c r="G14" s="30"/>
    </row>
    <row r="15" ht="19.5" customHeight="1">
      <c r="A15" s="38" t="s">
        <v>851</v>
      </c>
      <c r="B15" s="39">
        <f>SUM(C263)</f>
        <v>1419188.94</v>
      </c>
      <c r="C15" s="40">
        <f>SUM(B15)</f>
        <v>1419188.94</v>
      </c>
      <c r="D15" s="29"/>
      <c r="G15" s="30"/>
    </row>
    <row r="16" ht="19.5" customHeight="1">
      <c r="A16" s="38" t="s">
        <v>15</v>
      </c>
      <c r="B16" s="39">
        <f>SUM(C192)</f>
        <v>2565147.05</v>
      </c>
      <c r="C16" s="40">
        <f t="shared" ref="C16:C17" si="2">+B16</f>
        <v>2565147.05</v>
      </c>
      <c r="D16" s="29"/>
      <c r="G16" s="30"/>
    </row>
    <row r="17" ht="19.5" customHeight="1">
      <c r="A17" s="35" t="s">
        <v>14</v>
      </c>
      <c r="B17" s="36">
        <f>SUM(C163)</f>
        <v>91343.67</v>
      </c>
      <c r="C17" s="37">
        <f t="shared" si="2"/>
        <v>91343.67</v>
      </c>
      <c r="D17" s="41"/>
      <c r="E17" s="42"/>
      <c r="F17" s="42"/>
      <c r="G17" s="43"/>
    </row>
    <row r="18" ht="4.5" customHeight="1">
      <c r="A18" s="114"/>
      <c r="B18" s="115"/>
      <c r="C18" s="115"/>
      <c r="D18" s="115"/>
      <c r="E18" s="115"/>
      <c r="F18" s="115"/>
      <c r="G18" s="79"/>
    </row>
    <row r="19" ht="24.75" customHeight="1">
      <c r="A19" s="47" t="s">
        <v>16</v>
      </c>
      <c r="B19" s="47" t="s">
        <v>17</v>
      </c>
      <c r="C19" s="47" t="s">
        <v>18</v>
      </c>
      <c r="D19" s="47" t="s">
        <v>19</v>
      </c>
      <c r="E19" s="48" t="s">
        <v>20</v>
      </c>
      <c r="F19" s="48" t="s">
        <v>21</v>
      </c>
      <c r="G19" s="48" t="s">
        <v>22</v>
      </c>
    </row>
    <row r="20" ht="19.5" customHeight="1">
      <c r="A20" s="49" t="s">
        <v>23</v>
      </c>
      <c r="B20" s="99">
        <v>46353.0</v>
      </c>
      <c r="C20" s="100">
        <v>11500.0</v>
      </c>
      <c r="D20" s="100"/>
      <c r="E20" s="101" t="s">
        <v>33</v>
      </c>
      <c r="F20" s="102"/>
      <c r="G20" s="103"/>
    </row>
    <row r="21" ht="19.5" customHeight="1">
      <c r="A21" s="55"/>
      <c r="B21" s="104">
        <v>46353.0</v>
      </c>
      <c r="C21" s="105">
        <v>131007.93</v>
      </c>
      <c r="D21" s="105"/>
      <c r="E21" s="106" t="s">
        <v>34</v>
      </c>
      <c r="F21" s="107"/>
      <c r="G21" s="108"/>
    </row>
    <row r="22" ht="19.5" customHeight="1">
      <c r="A22" s="55"/>
      <c r="B22" s="104">
        <v>46353.0</v>
      </c>
      <c r="C22" s="105">
        <v>9200.0</v>
      </c>
      <c r="D22" s="105"/>
      <c r="E22" s="106" t="s">
        <v>33</v>
      </c>
      <c r="F22" s="107"/>
      <c r="G22" s="108"/>
    </row>
    <row r="23" ht="19.5" customHeight="1">
      <c r="A23" s="55"/>
      <c r="B23" s="56">
        <v>46353.0</v>
      </c>
      <c r="C23" s="57">
        <v>5265.0</v>
      </c>
      <c r="D23" s="57"/>
      <c r="E23" s="58" t="s">
        <v>545</v>
      </c>
      <c r="F23" s="61" t="s">
        <v>1038</v>
      </c>
      <c r="G23" s="60" t="s">
        <v>26</v>
      </c>
    </row>
    <row r="24" ht="19.5" customHeight="1">
      <c r="A24" s="55"/>
      <c r="B24" s="104">
        <v>46355.0</v>
      </c>
      <c r="C24" s="105">
        <v>10000.0</v>
      </c>
      <c r="D24" s="105"/>
      <c r="E24" s="106" t="s">
        <v>33</v>
      </c>
      <c r="F24" s="107"/>
      <c r="G24" s="108"/>
    </row>
    <row r="25" ht="19.5" customHeight="1">
      <c r="A25" s="55"/>
      <c r="B25" s="104">
        <v>46355.0</v>
      </c>
      <c r="C25" s="105">
        <v>14200.0</v>
      </c>
      <c r="D25" s="105"/>
      <c r="E25" s="106" t="s">
        <v>29</v>
      </c>
      <c r="F25" s="107"/>
      <c r="G25" s="108"/>
    </row>
    <row r="26" ht="19.5" customHeight="1">
      <c r="A26" s="55"/>
      <c r="B26" s="104">
        <v>46357.0</v>
      </c>
      <c r="C26" s="105">
        <v>20090.0</v>
      </c>
      <c r="D26" s="105"/>
      <c r="E26" s="106" t="s">
        <v>33</v>
      </c>
      <c r="F26" s="107"/>
      <c r="G26" s="108"/>
    </row>
    <row r="27" ht="19.5" customHeight="1">
      <c r="A27" s="55"/>
      <c r="B27" s="104">
        <v>46357.0</v>
      </c>
      <c r="C27" s="105">
        <v>9000.0</v>
      </c>
      <c r="D27" s="105"/>
      <c r="E27" s="106" t="s">
        <v>132</v>
      </c>
      <c r="F27" s="107"/>
      <c r="G27" s="108"/>
    </row>
    <row r="28" ht="19.5" customHeight="1">
      <c r="A28" s="55"/>
      <c r="B28" s="104">
        <v>46358.0</v>
      </c>
      <c r="C28" s="105">
        <v>12000.0</v>
      </c>
      <c r="D28" s="105"/>
      <c r="E28" s="106" t="s">
        <v>132</v>
      </c>
      <c r="F28" s="107"/>
      <c r="G28" s="108"/>
    </row>
    <row r="29" ht="19.5" customHeight="1">
      <c r="A29" s="55"/>
      <c r="B29" s="104">
        <v>46358.0</v>
      </c>
      <c r="C29" s="105">
        <v>10067.04</v>
      </c>
      <c r="D29" s="105"/>
      <c r="E29" s="106" t="s">
        <v>1039</v>
      </c>
      <c r="F29" s="107"/>
      <c r="G29" s="108"/>
    </row>
    <row r="30" ht="19.5" customHeight="1">
      <c r="A30" s="55"/>
      <c r="B30" s="56">
        <v>46359.0</v>
      </c>
      <c r="C30" s="57">
        <v>423275.0</v>
      </c>
      <c r="D30" s="57"/>
      <c r="E30" s="58" t="s">
        <v>24</v>
      </c>
      <c r="F30" s="61" t="s">
        <v>1040</v>
      </c>
      <c r="G30" s="60" t="s">
        <v>26</v>
      </c>
    </row>
    <row r="31" ht="19.5" customHeight="1">
      <c r="A31" s="55"/>
      <c r="B31" s="56">
        <v>46359.0</v>
      </c>
      <c r="C31" s="57">
        <v>84655.0</v>
      </c>
      <c r="D31" s="57"/>
      <c r="E31" s="58" t="s">
        <v>24</v>
      </c>
      <c r="F31" s="61" t="s">
        <v>1041</v>
      </c>
      <c r="G31" s="60" t="s">
        <v>26</v>
      </c>
    </row>
    <row r="32" ht="19.5" customHeight="1">
      <c r="A32" s="55"/>
      <c r="B32" s="56">
        <v>46359.0</v>
      </c>
      <c r="C32" s="57"/>
      <c r="D32" s="57">
        <v>9.99</v>
      </c>
      <c r="E32" s="58" t="s">
        <v>1042</v>
      </c>
      <c r="F32" s="59" t="s">
        <v>32</v>
      </c>
      <c r="G32" s="60"/>
    </row>
    <row r="33" ht="19.5" customHeight="1">
      <c r="A33" s="55"/>
      <c r="B33" s="56">
        <v>46360.0</v>
      </c>
      <c r="C33" s="57">
        <v>228442.5</v>
      </c>
      <c r="D33" s="57"/>
      <c r="E33" s="58" t="s">
        <v>24</v>
      </c>
      <c r="F33" s="61" t="s">
        <v>1043</v>
      </c>
      <c r="G33" s="60" t="s">
        <v>26</v>
      </c>
    </row>
    <row r="34" ht="19.5" customHeight="1">
      <c r="A34" s="55"/>
      <c r="B34" s="104">
        <v>46360.0</v>
      </c>
      <c r="C34" s="105">
        <v>140007.98</v>
      </c>
      <c r="D34" s="105"/>
      <c r="E34" s="106" t="s">
        <v>34</v>
      </c>
      <c r="F34" s="107"/>
      <c r="G34" s="108"/>
    </row>
    <row r="35" ht="19.5" customHeight="1">
      <c r="A35" s="55"/>
      <c r="B35" s="104">
        <v>46360.0</v>
      </c>
      <c r="C35" s="105">
        <v>2832.85</v>
      </c>
      <c r="D35" s="105"/>
      <c r="E35" s="106" t="s">
        <v>871</v>
      </c>
      <c r="F35" s="107"/>
      <c r="G35" s="108"/>
    </row>
    <row r="36" ht="19.5" customHeight="1">
      <c r="A36" s="55"/>
      <c r="B36" s="104">
        <v>46360.0</v>
      </c>
      <c r="C36" s="105">
        <v>9036.64</v>
      </c>
      <c r="D36" s="105"/>
      <c r="E36" s="106" t="s">
        <v>748</v>
      </c>
      <c r="F36" s="107"/>
      <c r="G36" s="108"/>
    </row>
    <row r="37" ht="19.5" customHeight="1">
      <c r="A37" s="55"/>
      <c r="B37" s="104">
        <v>46360.0</v>
      </c>
      <c r="C37" s="105">
        <v>1398.18</v>
      </c>
      <c r="D37" s="105"/>
      <c r="E37" s="106" t="s">
        <v>875</v>
      </c>
      <c r="F37" s="107"/>
      <c r="G37" s="108"/>
    </row>
    <row r="38" ht="19.5" customHeight="1">
      <c r="A38" s="55"/>
      <c r="B38" s="104">
        <v>46360.0</v>
      </c>
      <c r="C38" s="105">
        <v>9100.0</v>
      </c>
      <c r="D38" s="105"/>
      <c r="E38" s="106" t="s">
        <v>29</v>
      </c>
      <c r="F38" s="107"/>
      <c r="G38" s="108"/>
    </row>
    <row r="39" ht="19.5" customHeight="1">
      <c r="A39" s="55"/>
      <c r="B39" s="104">
        <v>46360.0</v>
      </c>
      <c r="C39" s="105">
        <v>5500.0</v>
      </c>
      <c r="D39" s="105"/>
      <c r="E39" s="106" t="s">
        <v>29</v>
      </c>
      <c r="F39" s="107"/>
      <c r="G39" s="108"/>
    </row>
    <row r="40" ht="19.5" customHeight="1">
      <c r="A40" s="55"/>
      <c r="B40" s="104">
        <v>46361.0</v>
      </c>
      <c r="C40" s="105">
        <v>5250.0</v>
      </c>
      <c r="D40" s="105"/>
      <c r="E40" s="106" t="s">
        <v>233</v>
      </c>
      <c r="F40" s="107"/>
      <c r="G40" s="108"/>
    </row>
    <row r="41" ht="19.5" customHeight="1">
      <c r="A41" s="55"/>
      <c r="B41" s="104">
        <v>46362.0</v>
      </c>
      <c r="C41" s="105">
        <v>92206.99</v>
      </c>
      <c r="D41" s="105"/>
      <c r="E41" s="106" t="s">
        <v>34</v>
      </c>
      <c r="F41" s="107"/>
      <c r="G41" s="108"/>
    </row>
    <row r="42" ht="19.5" customHeight="1">
      <c r="A42" s="55"/>
      <c r="B42" s="56">
        <v>46362.0</v>
      </c>
      <c r="C42" s="57">
        <v>32803.38</v>
      </c>
      <c r="D42" s="57"/>
      <c r="E42" s="58" t="s">
        <v>725</v>
      </c>
      <c r="F42" s="61" t="s">
        <v>43</v>
      </c>
      <c r="G42" s="60"/>
    </row>
    <row r="43" ht="19.5" customHeight="1">
      <c r="A43" s="55"/>
      <c r="B43" s="104">
        <v>46362.0</v>
      </c>
      <c r="C43" s="105">
        <v>37400.0</v>
      </c>
      <c r="D43" s="105"/>
      <c r="E43" s="106" t="s">
        <v>349</v>
      </c>
      <c r="F43" s="69"/>
      <c r="G43" s="108"/>
    </row>
    <row r="44" ht="19.5" customHeight="1">
      <c r="A44" s="55"/>
      <c r="B44" s="104">
        <v>46362.0</v>
      </c>
      <c r="C44" s="105">
        <v>3450.0</v>
      </c>
      <c r="D44" s="105"/>
      <c r="E44" s="106" t="s">
        <v>1044</v>
      </c>
      <c r="F44" s="69"/>
      <c r="G44" s="70"/>
    </row>
    <row r="45" ht="19.5" customHeight="1">
      <c r="A45" s="55"/>
      <c r="B45" s="104">
        <v>46362.0</v>
      </c>
      <c r="C45" s="105">
        <v>62066.7</v>
      </c>
      <c r="D45" s="105"/>
      <c r="E45" s="106" t="s">
        <v>1044</v>
      </c>
      <c r="F45" s="69"/>
      <c r="G45" s="70"/>
    </row>
    <row r="46" ht="19.5" customHeight="1">
      <c r="A46" s="55"/>
      <c r="B46" s="104">
        <v>46362.0</v>
      </c>
      <c r="C46" s="105">
        <v>103800.0</v>
      </c>
      <c r="D46" s="105"/>
      <c r="E46" s="106" t="s">
        <v>1045</v>
      </c>
      <c r="F46" s="69"/>
      <c r="G46" s="70"/>
    </row>
    <row r="47" ht="19.5" customHeight="1">
      <c r="A47" s="55"/>
      <c r="B47" s="104">
        <v>46362.0</v>
      </c>
      <c r="C47" s="105">
        <v>34000.0</v>
      </c>
      <c r="D47" s="105"/>
      <c r="E47" s="106" t="s">
        <v>372</v>
      </c>
      <c r="F47" s="69"/>
      <c r="G47" s="108"/>
    </row>
    <row r="48" ht="19.5" customHeight="1">
      <c r="A48" s="55"/>
      <c r="B48" s="104">
        <v>46362.0</v>
      </c>
      <c r="C48" s="105">
        <v>6500.0</v>
      </c>
      <c r="D48" s="105"/>
      <c r="E48" s="106" t="s">
        <v>372</v>
      </c>
      <c r="F48" s="69"/>
      <c r="G48" s="70"/>
    </row>
    <row r="49" ht="19.5" customHeight="1">
      <c r="A49" s="55"/>
      <c r="B49" s="104">
        <v>46362.0</v>
      </c>
      <c r="C49" s="105">
        <v>700.0</v>
      </c>
      <c r="D49" s="105"/>
      <c r="E49" s="106" t="s">
        <v>372</v>
      </c>
      <c r="F49" s="69"/>
      <c r="G49" s="70"/>
    </row>
    <row r="50" ht="19.5" customHeight="1">
      <c r="A50" s="55"/>
      <c r="B50" s="104">
        <v>46363.0</v>
      </c>
      <c r="C50" s="67">
        <v>76800.0</v>
      </c>
      <c r="D50" s="67"/>
      <c r="E50" s="68" t="s">
        <v>1046</v>
      </c>
      <c r="F50" s="69"/>
      <c r="G50" s="70"/>
    </row>
    <row r="51" ht="19.5" customHeight="1">
      <c r="A51" s="55"/>
      <c r="B51" s="104">
        <v>46363.0</v>
      </c>
      <c r="C51" s="67">
        <v>16000.0</v>
      </c>
      <c r="D51" s="67"/>
      <c r="E51" s="68" t="s">
        <v>372</v>
      </c>
      <c r="F51" s="69"/>
      <c r="G51" s="70"/>
    </row>
    <row r="52" ht="19.5" customHeight="1">
      <c r="A52" s="55"/>
      <c r="B52" s="104">
        <v>46363.0</v>
      </c>
      <c r="C52" s="67">
        <v>33500.0</v>
      </c>
      <c r="D52" s="67"/>
      <c r="E52" s="68" t="s">
        <v>372</v>
      </c>
      <c r="F52" s="69"/>
      <c r="G52" s="70"/>
    </row>
    <row r="53" ht="19.5" customHeight="1">
      <c r="A53" s="55"/>
      <c r="B53" s="104">
        <v>46363.0</v>
      </c>
      <c r="C53" s="67">
        <v>6500.0</v>
      </c>
      <c r="D53" s="67"/>
      <c r="E53" s="68" t="s">
        <v>372</v>
      </c>
      <c r="F53" s="69"/>
      <c r="G53" s="70"/>
    </row>
    <row r="54" ht="19.5" customHeight="1">
      <c r="A54" s="55"/>
      <c r="B54" s="66">
        <v>46364.0</v>
      </c>
      <c r="C54" s="67">
        <v>23187.0</v>
      </c>
      <c r="D54" s="67"/>
      <c r="E54" s="68" t="s">
        <v>1047</v>
      </c>
      <c r="F54" s="69"/>
      <c r="G54" s="70"/>
    </row>
    <row r="55" ht="19.5" customHeight="1">
      <c r="A55" s="55"/>
      <c r="B55" s="66">
        <v>46364.0</v>
      </c>
      <c r="C55" s="67">
        <v>4200.0</v>
      </c>
      <c r="D55" s="67"/>
      <c r="E55" s="68" t="s">
        <v>1048</v>
      </c>
      <c r="F55" s="69"/>
      <c r="G55" s="70"/>
    </row>
    <row r="56" ht="19.5" customHeight="1">
      <c r="A56" s="55"/>
      <c r="B56" s="66">
        <v>46364.0</v>
      </c>
      <c r="C56" s="67">
        <v>16900.0</v>
      </c>
      <c r="D56" s="67"/>
      <c r="E56" s="68" t="s">
        <v>372</v>
      </c>
      <c r="F56" s="69"/>
      <c r="G56" s="70"/>
    </row>
    <row r="57" ht="19.5" customHeight="1">
      <c r="A57" s="55"/>
      <c r="B57" s="66">
        <v>46364.0</v>
      </c>
      <c r="C57" s="67">
        <v>21800.0</v>
      </c>
      <c r="D57" s="67"/>
      <c r="E57" s="68" t="s">
        <v>372</v>
      </c>
      <c r="F57" s="69"/>
      <c r="G57" s="70"/>
    </row>
    <row r="58" ht="19.5" customHeight="1">
      <c r="A58" s="55"/>
      <c r="B58" s="66">
        <v>46364.0</v>
      </c>
      <c r="C58" s="67">
        <v>8200.0</v>
      </c>
      <c r="D58" s="67"/>
      <c r="E58" s="68" t="s">
        <v>372</v>
      </c>
      <c r="F58" s="69"/>
      <c r="G58" s="70"/>
    </row>
    <row r="59" ht="19.5" customHeight="1">
      <c r="A59" s="55"/>
      <c r="B59" s="65">
        <v>46365.0</v>
      </c>
      <c r="C59" s="63">
        <v>230850.0</v>
      </c>
      <c r="D59" s="63"/>
      <c r="E59" s="64" t="s">
        <v>84</v>
      </c>
      <c r="F59" s="61" t="s">
        <v>1049</v>
      </c>
      <c r="G59" s="62"/>
    </row>
    <row r="60" ht="19.5" customHeight="1">
      <c r="A60" s="55"/>
      <c r="B60" s="65">
        <v>46365.0</v>
      </c>
      <c r="C60" s="63">
        <v>173137.5</v>
      </c>
      <c r="D60" s="63"/>
      <c r="E60" s="64" t="s">
        <v>84</v>
      </c>
      <c r="F60" s="61" t="s">
        <v>1050</v>
      </c>
      <c r="G60" s="62"/>
    </row>
    <row r="61" ht="19.5" customHeight="1">
      <c r="A61" s="55"/>
      <c r="B61" s="65">
        <v>46365.0</v>
      </c>
      <c r="C61" s="63">
        <v>76950.0</v>
      </c>
      <c r="D61" s="63"/>
      <c r="E61" s="64" t="s">
        <v>84</v>
      </c>
      <c r="F61" s="61" t="s">
        <v>1051</v>
      </c>
      <c r="G61" s="62"/>
    </row>
    <row r="62" ht="19.5" customHeight="1">
      <c r="A62" s="55"/>
      <c r="B62" s="66">
        <v>46365.0</v>
      </c>
      <c r="C62" s="67">
        <v>94050.0</v>
      </c>
      <c r="D62" s="67"/>
      <c r="E62" s="68" t="s">
        <v>1052</v>
      </c>
      <c r="F62" s="69"/>
      <c r="G62" s="70"/>
    </row>
    <row r="63" ht="19.5" customHeight="1">
      <c r="A63" s="55"/>
      <c r="B63" s="65">
        <v>46365.0</v>
      </c>
      <c r="C63" s="63">
        <v>276626.64</v>
      </c>
      <c r="D63" s="63"/>
      <c r="E63" s="64" t="s">
        <v>103</v>
      </c>
      <c r="F63" s="61" t="s">
        <v>104</v>
      </c>
      <c r="G63" s="62"/>
    </row>
    <row r="64" ht="19.5" customHeight="1">
      <c r="A64" s="55"/>
      <c r="B64" s="66">
        <v>46365.0</v>
      </c>
      <c r="C64" s="67">
        <v>122007.05</v>
      </c>
      <c r="D64" s="67"/>
      <c r="E64" s="68" t="s">
        <v>1053</v>
      </c>
      <c r="F64" s="69"/>
      <c r="G64" s="70"/>
    </row>
    <row r="65" ht="19.5" customHeight="1">
      <c r="A65" s="55"/>
      <c r="B65" s="66">
        <v>46365.0</v>
      </c>
      <c r="C65" s="67">
        <v>122010.97</v>
      </c>
      <c r="D65" s="67"/>
      <c r="E65" s="68" t="s">
        <v>1053</v>
      </c>
      <c r="F65" s="69"/>
      <c r="G65" s="70"/>
    </row>
    <row r="66" ht="19.5" customHeight="1">
      <c r="A66" s="55"/>
      <c r="B66" s="66">
        <v>46365.0</v>
      </c>
      <c r="C66" s="67">
        <v>94500.0</v>
      </c>
      <c r="D66" s="67"/>
      <c r="E66" s="68" t="s">
        <v>1054</v>
      </c>
      <c r="F66" s="69"/>
      <c r="G66" s="70"/>
    </row>
    <row r="67" ht="19.5" customHeight="1">
      <c r="A67" s="55"/>
      <c r="B67" s="66">
        <v>46365.0</v>
      </c>
      <c r="C67" s="67">
        <v>27500.0</v>
      </c>
      <c r="D67" s="67"/>
      <c r="E67" s="68" t="s">
        <v>372</v>
      </c>
      <c r="F67" s="69"/>
      <c r="G67" s="70"/>
    </row>
    <row r="68" ht="19.5" customHeight="1">
      <c r="A68" s="55"/>
      <c r="B68" s="66">
        <v>46365.0</v>
      </c>
      <c r="C68" s="67">
        <v>7700.0</v>
      </c>
      <c r="D68" s="67"/>
      <c r="E68" s="68" t="s">
        <v>372</v>
      </c>
      <c r="F68" s="69"/>
      <c r="G68" s="70"/>
    </row>
    <row r="69" ht="19.5" customHeight="1">
      <c r="A69" s="55"/>
      <c r="B69" s="65">
        <v>46365.0</v>
      </c>
      <c r="C69" s="63"/>
      <c r="D69" s="63">
        <v>1.99</v>
      </c>
      <c r="E69" s="64" t="s">
        <v>1055</v>
      </c>
      <c r="F69" s="61" t="s">
        <v>55</v>
      </c>
      <c r="G69" s="62"/>
    </row>
    <row r="70" ht="19.5" customHeight="1">
      <c r="A70" s="55"/>
      <c r="B70" s="66">
        <v>46366.0</v>
      </c>
      <c r="C70" s="67">
        <v>30643.5</v>
      </c>
      <c r="D70" s="67"/>
      <c r="E70" s="68" t="s">
        <v>1044</v>
      </c>
      <c r="F70" s="69"/>
      <c r="G70" s="70"/>
    </row>
    <row r="71" ht="19.5" customHeight="1">
      <c r="A71" s="55"/>
      <c r="B71" s="66">
        <v>46366.0</v>
      </c>
      <c r="C71" s="67">
        <v>85739.0</v>
      </c>
      <c r="D71" s="67"/>
      <c r="E71" s="68" t="s">
        <v>1056</v>
      </c>
      <c r="F71" s="69"/>
      <c r="G71" s="70"/>
    </row>
    <row r="72" ht="19.5" customHeight="1">
      <c r="A72" s="55"/>
      <c r="B72" s="66">
        <v>46366.0</v>
      </c>
      <c r="C72" s="67">
        <v>650.0</v>
      </c>
      <c r="D72" s="67"/>
      <c r="E72" s="68" t="s">
        <v>1057</v>
      </c>
      <c r="F72" s="69"/>
      <c r="G72" s="70"/>
    </row>
    <row r="73" ht="19.5" customHeight="1">
      <c r="A73" s="55"/>
      <c r="B73" s="66">
        <v>46366.0</v>
      </c>
      <c r="C73" s="67">
        <v>10000.0</v>
      </c>
      <c r="D73" s="67"/>
      <c r="E73" s="68" t="s">
        <v>372</v>
      </c>
      <c r="F73" s="69"/>
      <c r="G73" s="70"/>
    </row>
    <row r="74" ht="19.5" customHeight="1">
      <c r="A74" s="55"/>
      <c r="B74" s="66">
        <v>46366.0</v>
      </c>
      <c r="C74" s="67">
        <v>16000.0</v>
      </c>
      <c r="D74" s="67"/>
      <c r="E74" s="68" t="s">
        <v>372</v>
      </c>
      <c r="F74" s="69"/>
      <c r="G74" s="70"/>
    </row>
    <row r="75" ht="19.5" customHeight="1">
      <c r="A75" s="55"/>
      <c r="B75" s="66">
        <v>46366.0</v>
      </c>
      <c r="C75" s="67">
        <v>8500.0</v>
      </c>
      <c r="D75" s="67"/>
      <c r="E75" s="68" t="s">
        <v>372</v>
      </c>
      <c r="F75" s="69"/>
      <c r="G75" s="70"/>
    </row>
    <row r="76" ht="19.5" customHeight="1">
      <c r="A76" s="55"/>
      <c r="B76" s="66">
        <v>46366.0</v>
      </c>
      <c r="C76" s="67">
        <v>9900.0</v>
      </c>
      <c r="D76" s="67"/>
      <c r="E76" s="68" t="s">
        <v>372</v>
      </c>
      <c r="F76" s="69"/>
      <c r="G76" s="70"/>
    </row>
    <row r="77" ht="19.5" customHeight="1">
      <c r="A77" s="55"/>
      <c r="B77" s="66">
        <v>46367.0</v>
      </c>
      <c r="C77" s="67">
        <v>132016.98</v>
      </c>
      <c r="D77" s="67"/>
      <c r="E77" s="68" t="s">
        <v>34</v>
      </c>
      <c r="F77" s="69"/>
      <c r="G77" s="70"/>
    </row>
    <row r="78" ht="19.5" customHeight="1">
      <c r="A78" s="55"/>
      <c r="B78" s="66">
        <v>46367.0</v>
      </c>
      <c r="C78" s="67">
        <v>112000.0</v>
      </c>
      <c r="D78" s="67"/>
      <c r="E78" s="68" t="s">
        <v>1058</v>
      </c>
      <c r="F78" s="69"/>
      <c r="G78" s="70"/>
    </row>
    <row r="79" ht="19.5" customHeight="1">
      <c r="A79" s="55"/>
      <c r="B79" s="66">
        <v>46367.0</v>
      </c>
      <c r="C79" s="67">
        <v>22600.0</v>
      </c>
      <c r="D79" s="67"/>
      <c r="E79" s="68" t="s">
        <v>372</v>
      </c>
      <c r="F79" s="69"/>
      <c r="G79" s="70"/>
    </row>
    <row r="80" ht="19.5" customHeight="1">
      <c r="A80" s="55"/>
      <c r="B80" s="66">
        <v>46367.0</v>
      </c>
      <c r="C80" s="67">
        <v>12000.0</v>
      </c>
      <c r="D80" s="67"/>
      <c r="E80" s="68" t="s">
        <v>372</v>
      </c>
      <c r="F80" s="69"/>
      <c r="G80" s="70"/>
    </row>
    <row r="81" ht="19.5" customHeight="1">
      <c r="A81" s="55"/>
      <c r="B81" s="66">
        <v>46367.0</v>
      </c>
      <c r="C81" s="67">
        <v>16000.0</v>
      </c>
      <c r="D81" s="67"/>
      <c r="E81" s="68" t="s">
        <v>372</v>
      </c>
      <c r="F81" s="69"/>
      <c r="G81" s="70"/>
    </row>
    <row r="82" ht="19.5" customHeight="1">
      <c r="A82" s="55"/>
      <c r="B82" s="65">
        <v>46367.0</v>
      </c>
      <c r="C82" s="63">
        <v>24300.0</v>
      </c>
      <c r="D82" s="63"/>
      <c r="E82" s="64" t="s">
        <v>51</v>
      </c>
      <c r="F82" s="61" t="s">
        <v>52</v>
      </c>
      <c r="G82" s="62"/>
    </row>
    <row r="83" ht="19.5" customHeight="1">
      <c r="A83" s="55"/>
      <c r="B83" s="66">
        <v>46368.0</v>
      </c>
      <c r="C83" s="67">
        <v>28864.55</v>
      </c>
      <c r="D83" s="67"/>
      <c r="E83" s="68" t="s">
        <v>1059</v>
      </c>
      <c r="F83" s="69"/>
      <c r="G83" s="70"/>
    </row>
    <row r="84" ht="19.5" customHeight="1">
      <c r="A84" s="55"/>
      <c r="B84" s="66">
        <v>46368.0</v>
      </c>
      <c r="C84" s="67">
        <v>14900.0</v>
      </c>
      <c r="D84" s="67"/>
      <c r="E84" s="68" t="s">
        <v>372</v>
      </c>
      <c r="F84" s="69"/>
      <c r="G84" s="70"/>
    </row>
    <row r="85" ht="19.5" customHeight="1">
      <c r="A85" s="55"/>
      <c r="B85" s="66">
        <v>46368.0</v>
      </c>
      <c r="C85" s="67">
        <v>19600.0</v>
      </c>
      <c r="D85" s="67"/>
      <c r="E85" s="68" t="s">
        <v>372</v>
      </c>
      <c r="F85" s="69"/>
      <c r="G85" s="70"/>
    </row>
    <row r="86" ht="19.5" customHeight="1">
      <c r="A86" s="55"/>
      <c r="B86" s="66">
        <v>46368.0</v>
      </c>
      <c r="C86" s="67">
        <v>22400.0</v>
      </c>
      <c r="D86" s="67"/>
      <c r="E86" s="68" t="s">
        <v>372</v>
      </c>
      <c r="F86" s="69"/>
      <c r="G86" s="70"/>
    </row>
    <row r="87" ht="19.5" customHeight="1">
      <c r="A87" s="55"/>
      <c r="B87" s="66">
        <v>46368.0</v>
      </c>
      <c r="C87" s="67">
        <v>23200.0</v>
      </c>
      <c r="D87" s="67"/>
      <c r="E87" s="68" t="s">
        <v>372</v>
      </c>
      <c r="F87" s="69"/>
      <c r="G87" s="70"/>
    </row>
    <row r="88" ht="19.5" customHeight="1">
      <c r="A88" s="55"/>
      <c r="B88" s="66">
        <v>46369.0</v>
      </c>
      <c r="C88" s="67">
        <v>121050.95</v>
      </c>
      <c r="D88" s="67"/>
      <c r="E88" s="68" t="s">
        <v>34</v>
      </c>
      <c r="F88" s="69"/>
      <c r="G88" s="70"/>
    </row>
    <row r="89" ht="19.5" customHeight="1">
      <c r="A89" s="55"/>
      <c r="B89" s="66">
        <v>46369.0</v>
      </c>
      <c r="C89" s="67">
        <v>75000.0</v>
      </c>
      <c r="D89" s="67"/>
      <c r="E89" s="68" t="s">
        <v>1060</v>
      </c>
      <c r="F89" s="69"/>
      <c r="G89" s="70"/>
    </row>
    <row r="90" ht="19.5" customHeight="1">
      <c r="A90" s="55"/>
      <c r="B90" s="66">
        <v>46369.0</v>
      </c>
      <c r="C90" s="67">
        <v>46110.0</v>
      </c>
      <c r="D90" s="67"/>
      <c r="E90" s="68" t="s">
        <v>1033</v>
      </c>
      <c r="F90" s="69"/>
      <c r="G90" s="70"/>
    </row>
    <row r="91" ht="19.5" customHeight="1">
      <c r="A91" s="55"/>
      <c r="B91" s="66">
        <v>46370.0</v>
      </c>
      <c r="C91" s="67">
        <v>10860.0</v>
      </c>
      <c r="D91" s="67"/>
      <c r="E91" s="68" t="s">
        <v>33</v>
      </c>
      <c r="F91" s="69"/>
      <c r="G91" s="70"/>
    </row>
    <row r="92" ht="19.5" customHeight="1">
      <c r="A92" s="55"/>
      <c r="B92" s="66">
        <v>46370.0</v>
      </c>
      <c r="C92" s="67">
        <v>10150.0</v>
      </c>
      <c r="D92" s="67"/>
      <c r="E92" s="68" t="s">
        <v>1061</v>
      </c>
      <c r="F92" s="69"/>
      <c r="G92" s="70"/>
    </row>
    <row r="93" ht="19.5" customHeight="1">
      <c r="A93" s="55"/>
      <c r="B93" s="66">
        <v>46371.0</v>
      </c>
      <c r="C93" s="67">
        <v>21075.97</v>
      </c>
      <c r="D93" s="67"/>
      <c r="E93" s="68" t="s">
        <v>34</v>
      </c>
      <c r="F93" s="69"/>
      <c r="G93" s="70"/>
    </row>
    <row r="94" ht="19.5" customHeight="1">
      <c r="A94" s="55"/>
      <c r="B94" s="66">
        <v>46371.0</v>
      </c>
      <c r="C94" s="67">
        <v>6300.0</v>
      </c>
      <c r="D94" s="67"/>
      <c r="E94" s="68" t="s">
        <v>33</v>
      </c>
      <c r="F94" s="69"/>
      <c r="G94" s="70"/>
    </row>
    <row r="95" ht="19.5" customHeight="1">
      <c r="A95" s="55"/>
      <c r="B95" s="66">
        <v>46372.0</v>
      </c>
      <c r="C95" s="67">
        <v>2800.0</v>
      </c>
      <c r="D95" s="67"/>
      <c r="E95" s="68" t="s">
        <v>1062</v>
      </c>
      <c r="F95" s="69"/>
      <c r="G95" s="70"/>
    </row>
    <row r="96" ht="19.5" customHeight="1">
      <c r="A96" s="55"/>
      <c r="B96" s="66">
        <v>46372.0</v>
      </c>
      <c r="C96" s="67">
        <v>21000.0</v>
      </c>
      <c r="D96" s="67"/>
      <c r="E96" s="68" t="s">
        <v>256</v>
      </c>
      <c r="F96" s="69"/>
      <c r="G96" s="70"/>
    </row>
    <row r="97" ht="19.5" customHeight="1">
      <c r="A97" s="55"/>
      <c r="B97" s="66">
        <v>46372.0</v>
      </c>
      <c r="C97" s="67">
        <v>46559.96</v>
      </c>
      <c r="D97" s="67"/>
      <c r="E97" s="68" t="s">
        <v>1063</v>
      </c>
      <c r="F97" s="69"/>
      <c r="G97" s="70"/>
    </row>
    <row r="98" ht="19.5" customHeight="1">
      <c r="A98" s="55"/>
      <c r="B98" s="65">
        <v>46372.0</v>
      </c>
      <c r="C98" s="63">
        <v>504561.0</v>
      </c>
      <c r="D98" s="63"/>
      <c r="E98" s="64" t="s">
        <v>66</v>
      </c>
      <c r="F98" s="61" t="s">
        <v>67</v>
      </c>
      <c r="G98" s="62"/>
    </row>
    <row r="99" ht="19.5" customHeight="1">
      <c r="A99" s="55"/>
      <c r="B99" s="65">
        <v>46372.0</v>
      </c>
      <c r="C99" s="63">
        <v>477925.0</v>
      </c>
      <c r="D99" s="63"/>
      <c r="E99" s="64" t="s">
        <v>64</v>
      </c>
      <c r="F99" s="61" t="s">
        <v>65</v>
      </c>
      <c r="G99" s="62"/>
    </row>
    <row r="100" ht="19.5" customHeight="1">
      <c r="A100" s="55"/>
      <c r="B100" s="65">
        <v>46373.0</v>
      </c>
      <c r="C100" s="63">
        <v>18575.03</v>
      </c>
      <c r="D100" s="63"/>
      <c r="E100" s="64" t="s">
        <v>1064</v>
      </c>
      <c r="F100" s="61" t="s">
        <v>71</v>
      </c>
      <c r="G100" s="62"/>
    </row>
    <row r="101" ht="19.5" customHeight="1">
      <c r="A101" s="55"/>
      <c r="B101" s="65">
        <v>46373.0</v>
      </c>
      <c r="C101" s="63">
        <v>18575.19</v>
      </c>
      <c r="D101" s="63"/>
      <c r="E101" s="64" t="s">
        <v>1065</v>
      </c>
      <c r="F101" s="61" t="s">
        <v>77</v>
      </c>
      <c r="G101" s="62"/>
    </row>
    <row r="102" ht="19.5" customHeight="1">
      <c r="A102" s="55"/>
      <c r="B102" s="65">
        <v>46373.0</v>
      </c>
      <c r="C102" s="63">
        <v>110421.11</v>
      </c>
      <c r="D102" s="63"/>
      <c r="E102" s="64" t="s">
        <v>1066</v>
      </c>
      <c r="F102" s="61" t="s">
        <v>69</v>
      </c>
      <c r="G102" s="62"/>
    </row>
    <row r="103" ht="19.5" customHeight="1">
      <c r="A103" s="55"/>
      <c r="B103" s="65">
        <v>46373.0</v>
      </c>
      <c r="C103" s="63">
        <v>20046.76</v>
      </c>
      <c r="D103" s="63"/>
      <c r="E103" s="64" t="s">
        <v>1067</v>
      </c>
      <c r="F103" s="61" t="s">
        <v>73</v>
      </c>
      <c r="G103" s="62"/>
    </row>
    <row r="104" ht="19.5" customHeight="1">
      <c r="A104" s="55"/>
      <c r="B104" s="65">
        <v>46373.0</v>
      </c>
      <c r="C104" s="63">
        <v>20046.76</v>
      </c>
      <c r="D104" s="63"/>
      <c r="E104" s="64" t="s">
        <v>1068</v>
      </c>
      <c r="F104" s="61" t="s">
        <v>79</v>
      </c>
      <c r="G104" s="62"/>
    </row>
    <row r="105" ht="19.5" customHeight="1">
      <c r="A105" s="55"/>
      <c r="B105" s="66">
        <v>46373.0</v>
      </c>
      <c r="C105" s="67">
        <v>138728.0</v>
      </c>
      <c r="D105" s="67"/>
      <c r="E105" s="68" t="s">
        <v>464</v>
      </c>
      <c r="F105" s="69"/>
      <c r="G105" s="70"/>
    </row>
    <row r="106" ht="19.5" customHeight="1">
      <c r="A106" s="55"/>
      <c r="B106" s="66">
        <v>46374.0</v>
      </c>
      <c r="C106" s="67">
        <v>15600.0</v>
      </c>
      <c r="D106" s="67"/>
      <c r="E106" s="68" t="s">
        <v>1069</v>
      </c>
      <c r="F106" s="69"/>
      <c r="G106" s="70"/>
    </row>
    <row r="107" ht="19.5" customHeight="1">
      <c r="A107" s="55"/>
      <c r="B107" s="66">
        <v>46374.0</v>
      </c>
      <c r="C107" s="67">
        <v>117066.27</v>
      </c>
      <c r="D107" s="67"/>
      <c r="E107" s="68" t="s">
        <v>748</v>
      </c>
      <c r="F107" s="69"/>
      <c r="G107" s="70"/>
    </row>
    <row r="108" ht="19.5" customHeight="1">
      <c r="A108" s="55"/>
      <c r="B108" s="66">
        <v>46375.0</v>
      </c>
      <c r="C108" s="67">
        <v>1800.0</v>
      </c>
      <c r="D108" s="67"/>
      <c r="E108" s="68" t="s">
        <v>214</v>
      </c>
      <c r="F108" s="69"/>
      <c r="G108" s="70"/>
    </row>
    <row r="109" ht="19.5" customHeight="1">
      <c r="A109" s="55"/>
      <c r="B109" s="66">
        <v>46375.0</v>
      </c>
      <c r="C109" s="67">
        <v>32821.54</v>
      </c>
      <c r="D109" s="67"/>
      <c r="E109" s="68" t="s">
        <v>871</v>
      </c>
      <c r="F109" s="69"/>
      <c r="G109" s="70"/>
    </row>
    <row r="110" ht="19.5" customHeight="1">
      <c r="A110" s="55"/>
      <c r="B110" s="66">
        <v>46375.0</v>
      </c>
      <c r="C110" s="67">
        <v>1677.86</v>
      </c>
      <c r="D110" s="67"/>
      <c r="E110" s="68" t="s">
        <v>978</v>
      </c>
      <c r="F110" s="69"/>
      <c r="G110" s="70"/>
    </row>
    <row r="111" ht="19.5" customHeight="1">
      <c r="A111" s="55"/>
      <c r="B111" s="66">
        <v>46375.0</v>
      </c>
      <c r="C111" s="67">
        <v>28370.73</v>
      </c>
      <c r="D111" s="67"/>
      <c r="E111" s="68" t="s">
        <v>875</v>
      </c>
      <c r="F111" s="69"/>
      <c r="G111" s="70"/>
    </row>
    <row r="112" ht="19.5" customHeight="1">
      <c r="A112" s="55"/>
      <c r="B112" s="65">
        <v>46376.0</v>
      </c>
      <c r="C112" s="63">
        <v>1507180.1</v>
      </c>
      <c r="D112" s="63"/>
      <c r="E112" s="64" t="s">
        <v>103</v>
      </c>
      <c r="F112" s="61" t="s">
        <v>104</v>
      </c>
      <c r="G112" s="62"/>
    </row>
    <row r="113" ht="19.5" customHeight="1">
      <c r="A113" s="55"/>
      <c r="B113" s="65">
        <v>46376.0</v>
      </c>
      <c r="C113" s="63"/>
      <c r="D113" s="63">
        <v>1.99</v>
      </c>
      <c r="E113" s="64" t="s">
        <v>1070</v>
      </c>
      <c r="F113" s="61" t="s">
        <v>55</v>
      </c>
      <c r="G113" s="62"/>
    </row>
    <row r="114" ht="19.5" customHeight="1">
      <c r="A114" s="55"/>
      <c r="B114" s="65">
        <v>46378.0</v>
      </c>
      <c r="C114" s="63">
        <v>76950.0</v>
      </c>
      <c r="D114" s="63"/>
      <c r="E114" s="64" t="s">
        <v>84</v>
      </c>
      <c r="F114" s="61" t="s">
        <v>1071</v>
      </c>
      <c r="G114" s="62"/>
    </row>
    <row r="115" ht="19.5" customHeight="1">
      <c r="A115" s="55"/>
      <c r="B115" s="66">
        <v>46378.0</v>
      </c>
      <c r="C115" s="67">
        <v>8700.0</v>
      </c>
      <c r="D115" s="67"/>
      <c r="E115" s="68" t="s">
        <v>29</v>
      </c>
      <c r="F115" s="69"/>
      <c r="G115" s="70"/>
    </row>
    <row r="116" ht="19.5" customHeight="1">
      <c r="A116" s="55"/>
      <c r="B116" s="66">
        <v>46378.0</v>
      </c>
      <c r="C116" s="67">
        <v>10550.0</v>
      </c>
      <c r="D116" s="67"/>
      <c r="E116" s="68" t="s">
        <v>1072</v>
      </c>
      <c r="F116" s="69"/>
      <c r="G116" s="70"/>
    </row>
    <row r="117" ht="19.5" customHeight="1">
      <c r="A117" s="55"/>
      <c r="B117" s="150">
        <v>46379.0</v>
      </c>
      <c r="C117" s="134">
        <v>2589246.2</v>
      </c>
      <c r="D117" s="134"/>
      <c r="E117" s="135" t="s">
        <v>533</v>
      </c>
      <c r="F117" s="127"/>
      <c r="G117" s="128"/>
    </row>
    <row r="118" ht="19.5" customHeight="1">
      <c r="A118" s="55"/>
      <c r="B118" s="66">
        <v>46380.0</v>
      </c>
      <c r="C118" s="67">
        <v>17980.0</v>
      </c>
      <c r="D118" s="67"/>
      <c r="E118" s="68" t="s">
        <v>29</v>
      </c>
      <c r="F118" s="69"/>
      <c r="G118" s="70"/>
    </row>
    <row r="119" ht="19.5" customHeight="1">
      <c r="A119" s="55"/>
      <c r="B119" s="65">
        <v>46382.0</v>
      </c>
      <c r="C119" s="63">
        <v>38288.25</v>
      </c>
      <c r="D119" s="63"/>
      <c r="E119" s="64" t="s">
        <v>162</v>
      </c>
      <c r="F119" s="61" t="s">
        <v>1073</v>
      </c>
      <c r="G119" s="62" t="s">
        <v>26</v>
      </c>
    </row>
    <row r="120" ht="19.5" customHeight="1">
      <c r="A120" s="55"/>
      <c r="B120" s="65">
        <v>46382.0</v>
      </c>
      <c r="C120" s="63">
        <v>203603.4</v>
      </c>
      <c r="D120" s="63"/>
      <c r="E120" s="64" t="s">
        <v>162</v>
      </c>
      <c r="F120" s="61" t="s">
        <v>1074</v>
      </c>
      <c r="G120" s="62" t="s">
        <v>26</v>
      </c>
    </row>
    <row r="121" ht="19.5" customHeight="1">
      <c r="A121" s="55"/>
      <c r="B121" s="66">
        <v>46383.0</v>
      </c>
      <c r="C121" s="67">
        <v>9700.0</v>
      </c>
      <c r="D121" s="67"/>
      <c r="E121" s="68" t="s">
        <v>29</v>
      </c>
      <c r="F121" s="69"/>
      <c r="G121" s="70"/>
    </row>
    <row r="122" ht="19.5" customHeight="1">
      <c r="A122" s="55"/>
      <c r="B122" s="66">
        <v>46384.0</v>
      </c>
      <c r="C122" s="67">
        <v>26380.0</v>
      </c>
      <c r="D122" s="67"/>
      <c r="E122" s="68" t="s">
        <v>214</v>
      </c>
      <c r="F122" s="69"/>
      <c r="G122" s="70"/>
    </row>
    <row r="123" ht="19.5" customHeight="1">
      <c r="A123" s="55"/>
      <c r="B123" s="66">
        <v>46384.0</v>
      </c>
      <c r="C123" s="67">
        <v>24953.0</v>
      </c>
      <c r="D123" s="67"/>
      <c r="E123" s="68" t="s">
        <v>1075</v>
      </c>
      <c r="F123" s="69"/>
      <c r="G123" s="70"/>
    </row>
    <row r="124" ht="18.0" customHeight="1">
      <c r="A124" s="76"/>
      <c r="B124" s="129">
        <v>46385.0</v>
      </c>
      <c r="C124" s="67">
        <v>6640.0</v>
      </c>
      <c r="D124" s="67"/>
      <c r="E124" s="68" t="s">
        <v>29</v>
      </c>
      <c r="F124" s="69"/>
      <c r="G124" s="70"/>
    </row>
    <row r="125" ht="30.0" customHeight="1">
      <c r="A125" s="78" t="s">
        <v>111</v>
      </c>
      <c r="B125" s="79"/>
      <c r="C125" s="80">
        <f t="shared" ref="C125:D125" si="3">SUM(C20:C124)</f>
        <v>9923781.46</v>
      </c>
      <c r="D125" s="80">
        <f t="shared" si="3"/>
        <v>13.97</v>
      </c>
      <c r="E125" s="81"/>
      <c r="F125" s="82"/>
    </row>
    <row r="126" ht="4.5" customHeight="1">
      <c r="A126" s="116"/>
      <c r="B126" s="115"/>
      <c r="C126" s="115"/>
      <c r="D126" s="115"/>
      <c r="E126" s="115"/>
      <c r="F126" s="115"/>
      <c r="G126" s="79"/>
    </row>
    <row r="127" ht="19.5" customHeight="1">
      <c r="A127" s="49" t="s">
        <v>112</v>
      </c>
      <c r="B127" s="65">
        <v>46297.0</v>
      </c>
      <c r="C127" s="63">
        <v>158333.33</v>
      </c>
      <c r="D127" s="51"/>
      <c r="E127" s="64" t="s">
        <v>1076</v>
      </c>
      <c r="F127" s="151" t="s">
        <v>1077</v>
      </c>
      <c r="G127" s="62" t="s">
        <v>44</v>
      </c>
    </row>
    <row r="128" ht="19.5" customHeight="1">
      <c r="A128" s="55"/>
      <c r="B128" s="65">
        <v>46305.0</v>
      </c>
      <c r="C128" s="63">
        <v>42672.74</v>
      </c>
      <c r="D128" s="57"/>
      <c r="E128" s="64" t="s">
        <v>1078</v>
      </c>
      <c r="F128" s="151" t="s">
        <v>1079</v>
      </c>
      <c r="G128" s="62" t="s">
        <v>44</v>
      </c>
    </row>
    <row r="129" ht="19.5" customHeight="1">
      <c r="A129" s="55"/>
      <c r="B129" s="65">
        <v>46312.0</v>
      </c>
      <c r="C129" s="63">
        <v>58433.36</v>
      </c>
      <c r="D129" s="57"/>
      <c r="E129" s="64" t="s">
        <v>1080</v>
      </c>
      <c r="F129" s="151" t="s">
        <v>1081</v>
      </c>
      <c r="G129" s="62" t="s">
        <v>44</v>
      </c>
    </row>
    <row r="130" ht="19.5" customHeight="1">
      <c r="A130" s="55"/>
      <c r="B130" s="65">
        <v>46362.0</v>
      </c>
      <c r="C130" s="63">
        <v>30000.05</v>
      </c>
      <c r="D130" s="57"/>
      <c r="E130" s="64" t="s">
        <v>214</v>
      </c>
      <c r="F130" s="152" t="s">
        <v>1082</v>
      </c>
      <c r="G130" s="62" t="s">
        <v>26</v>
      </c>
    </row>
    <row r="131" ht="19.5" customHeight="1">
      <c r="A131" s="55"/>
      <c r="B131" s="65">
        <v>46362.0</v>
      </c>
      <c r="C131" s="63">
        <v>20000.0</v>
      </c>
      <c r="D131" s="57"/>
      <c r="E131" s="64" t="s">
        <v>1083</v>
      </c>
      <c r="F131" s="151" t="s">
        <v>1084</v>
      </c>
      <c r="G131" s="62" t="s">
        <v>44</v>
      </c>
    </row>
    <row r="132" ht="19.5" customHeight="1">
      <c r="A132" s="55"/>
      <c r="B132" s="65">
        <v>46363.0</v>
      </c>
      <c r="C132" s="63">
        <v>155928.97</v>
      </c>
      <c r="D132" s="57"/>
      <c r="E132" s="64" t="s">
        <v>119</v>
      </c>
      <c r="F132" s="151" t="s">
        <v>1085</v>
      </c>
      <c r="G132" s="62" t="s">
        <v>586</v>
      </c>
    </row>
    <row r="133" ht="19.5" customHeight="1">
      <c r="A133" s="55"/>
      <c r="B133" s="65">
        <v>46364.0</v>
      </c>
      <c r="C133" s="63">
        <v>29999.92</v>
      </c>
      <c r="D133" s="57"/>
      <c r="E133" s="64" t="s">
        <v>214</v>
      </c>
      <c r="F133" s="152" t="s">
        <v>1086</v>
      </c>
      <c r="G133" s="62" t="s">
        <v>26</v>
      </c>
    </row>
    <row r="134" ht="19.5" customHeight="1">
      <c r="A134" s="55"/>
      <c r="B134" s="65">
        <v>46364.0</v>
      </c>
      <c r="C134" s="63">
        <v>586109.0</v>
      </c>
      <c r="D134" s="57"/>
      <c r="E134" s="64" t="s">
        <v>120</v>
      </c>
      <c r="F134" s="152" t="s">
        <v>1087</v>
      </c>
      <c r="G134" s="62" t="s">
        <v>26</v>
      </c>
    </row>
    <row r="135" ht="19.5" customHeight="1">
      <c r="A135" s="55"/>
      <c r="B135" s="65">
        <v>46364.0</v>
      </c>
      <c r="C135" s="63">
        <v>94000.0</v>
      </c>
      <c r="D135" s="57"/>
      <c r="E135" s="64" t="s">
        <v>1088</v>
      </c>
      <c r="F135" s="152" t="s">
        <v>1089</v>
      </c>
      <c r="G135" s="62" t="s">
        <v>26</v>
      </c>
    </row>
    <row r="136" ht="19.5" customHeight="1">
      <c r="A136" s="55"/>
      <c r="B136" s="65">
        <v>46365.0</v>
      </c>
      <c r="C136" s="63">
        <v>29999.93</v>
      </c>
      <c r="D136" s="57"/>
      <c r="E136" s="64" t="s">
        <v>214</v>
      </c>
      <c r="F136" s="151" t="s">
        <v>1090</v>
      </c>
      <c r="G136" s="62" t="s">
        <v>44</v>
      </c>
    </row>
    <row r="137" ht="19.5" customHeight="1">
      <c r="A137" s="55"/>
      <c r="B137" s="65">
        <v>46366.0</v>
      </c>
      <c r="C137" s="63">
        <v>20088.75</v>
      </c>
      <c r="D137" s="57"/>
      <c r="E137" s="64" t="s">
        <v>895</v>
      </c>
      <c r="F137" s="151" t="s">
        <v>490</v>
      </c>
      <c r="G137" s="62" t="s">
        <v>44</v>
      </c>
    </row>
    <row r="138" ht="19.5" customHeight="1">
      <c r="A138" s="55"/>
      <c r="B138" s="65">
        <v>46367.0</v>
      </c>
      <c r="C138" s="63">
        <v>52000.0</v>
      </c>
      <c r="D138" s="57"/>
      <c r="E138" s="64" t="s">
        <v>672</v>
      </c>
      <c r="F138" s="151" t="s">
        <v>1091</v>
      </c>
      <c r="G138" s="62" t="s">
        <v>44</v>
      </c>
    </row>
    <row r="139" ht="19.5" customHeight="1">
      <c r="A139" s="55"/>
      <c r="B139" s="65">
        <v>46368.0</v>
      </c>
      <c r="C139" s="63">
        <v>29999.93</v>
      </c>
      <c r="D139" s="57"/>
      <c r="E139" s="64" t="s">
        <v>214</v>
      </c>
      <c r="F139" s="152" t="s">
        <v>1092</v>
      </c>
      <c r="G139" s="62" t="s">
        <v>26</v>
      </c>
    </row>
    <row r="140" ht="19.5" customHeight="1">
      <c r="A140" s="55"/>
      <c r="B140" s="65">
        <v>46369.0</v>
      </c>
      <c r="C140" s="63">
        <v>31700.0</v>
      </c>
      <c r="D140" s="57"/>
      <c r="E140" s="64" t="s">
        <v>575</v>
      </c>
      <c r="F140" s="152" t="s">
        <v>1001</v>
      </c>
      <c r="G140" s="62" t="s">
        <v>44</v>
      </c>
    </row>
    <row r="141" ht="19.5" customHeight="1">
      <c r="A141" s="55"/>
      <c r="B141" s="65">
        <v>46369.0</v>
      </c>
      <c r="C141" s="63">
        <v>30000.0</v>
      </c>
      <c r="D141" s="57"/>
      <c r="E141" s="64" t="s">
        <v>670</v>
      </c>
      <c r="F141" s="151" t="s">
        <v>1090</v>
      </c>
      <c r="G141" s="62" t="s">
        <v>44</v>
      </c>
    </row>
    <row r="142" ht="19.5" customHeight="1">
      <c r="A142" s="55"/>
      <c r="B142" s="65">
        <v>46369.0</v>
      </c>
      <c r="C142" s="63">
        <v>15000.0</v>
      </c>
      <c r="D142" s="57"/>
      <c r="E142" s="64" t="s">
        <v>487</v>
      </c>
      <c r="F142" s="151" t="s">
        <v>1093</v>
      </c>
      <c r="G142" s="62" t="s">
        <v>44</v>
      </c>
    </row>
    <row r="143" ht="19.5" customHeight="1">
      <c r="A143" s="55"/>
      <c r="B143" s="65">
        <v>46369.0</v>
      </c>
      <c r="C143" s="63">
        <v>109223.97</v>
      </c>
      <c r="D143" s="57"/>
      <c r="E143" s="64" t="s">
        <v>119</v>
      </c>
      <c r="F143" s="151" t="s">
        <v>1094</v>
      </c>
      <c r="G143" s="62" t="s">
        <v>44</v>
      </c>
    </row>
    <row r="144" ht="19.5" customHeight="1">
      <c r="A144" s="55"/>
      <c r="B144" s="65">
        <v>46370.0</v>
      </c>
      <c r="C144" s="63">
        <v>23000.0</v>
      </c>
      <c r="D144" s="57"/>
      <c r="E144" s="64" t="s">
        <v>1095</v>
      </c>
      <c r="F144" s="151" t="s">
        <v>1096</v>
      </c>
      <c r="G144" s="62" t="s">
        <v>44</v>
      </c>
    </row>
    <row r="145" ht="19.5" customHeight="1">
      <c r="A145" s="55"/>
      <c r="B145" s="65">
        <v>46372.0</v>
      </c>
      <c r="C145" s="63">
        <v>29999.96</v>
      </c>
      <c r="D145" s="57"/>
      <c r="E145" s="64" t="s">
        <v>214</v>
      </c>
      <c r="F145" s="151" t="s">
        <v>1090</v>
      </c>
      <c r="G145" s="62" t="s">
        <v>44</v>
      </c>
    </row>
    <row r="146" ht="19.5" customHeight="1">
      <c r="A146" s="55"/>
      <c r="B146" s="65">
        <v>46372.0</v>
      </c>
      <c r="C146" s="63">
        <v>20000.0</v>
      </c>
      <c r="D146" s="57"/>
      <c r="E146" s="64" t="s">
        <v>418</v>
      </c>
      <c r="F146" s="151" t="s">
        <v>1090</v>
      </c>
      <c r="G146" s="62" t="s">
        <v>44</v>
      </c>
    </row>
    <row r="147" ht="19.5" customHeight="1">
      <c r="A147" s="55"/>
      <c r="B147" s="65">
        <v>46374.0</v>
      </c>
      <c r="C147" s="63">
        <v>20000.03</v>
      </c>
      <c r="D147" s="57"/>
      <c r="E147" s="64" t="s">
        <v>214</v>
      </c>
      <c r="F147" s="151" t="s">
        <v>1090</v>
      </c>
      <c r="G147" s="62" t="s">
        <v>44</v>
      </c>
    </row>
    <row r="148" ht="19.5" customHeight="1">
      <c r="A148" s="55"/>
      <c r="B148" s="65">
        <v>46375.0</v>
      </c>
      <c r="C148" s="63">
        <v>29999.96</v>
      </c>
      <c r="D148" s="57"/>
      <c r="E148" s="64" t="s">
        <v>214</v>
      </c>
      <c r="F148" s="151" t="s">
        <v>1090</v>
      </c>
      <c r="G148" s="62" t="s">
        <v>44</v>
      </c>
    </row>
    <row r="149" ht="19.5" customHeight="1">
      <c r="A149" s="55"/>
      <c r="B149" s="65">
        <v>46376.0</v>
      </c>
      <c r="C149" s="63">
        <v>29999.96</v>
      </c>
      <c r="D149" s="57"/>
      <c r="E149" s="64" t="s">
        <v>214</v>
      </c>
      <c r="F149" s="152" t="s">
        <v>1092</v>
      </c>
      <c r="G149" s="62" t="s">
        <v>26</v>
      </c>
    </row>
    <row r="150" ht="19.5" customHeight="1">
      <c r="A150" s="55"/>
      <c r="B150" s="65">
        <v>46376.0</v>
      </c>
      <c r="C150" s="63">
        <v>93688.98</v>
      </c>
      <c r="D150" s="57"/>
      <c r="E150" s="64" t="s">
        <v>119</v>
      </c>
      <c r="F150" s="151" t="s">
        <v>579</v>
      </c>
      <c r="G150" s="62" t="s">
        <v>44</v>
      </c>
    </row>
    <row r="151" ht="19.5" customHeight="1">
      <c r="A151" s="55"/>
      <c r="B151" s="65">
        <v>46376.0</v>
      </c>
      <c r="C151" s="63">
        <v>20000.0</v>
      </c>
      <c r="D151" s="57"/>
      <c r="E151" s="64" t="s">
        <v>196</v>
      </c>
      <c r="F151" s="151" t="s">
        <v>1093</v>
      </c>
      <c r="G151" s="62" t="s">
        <v>44</v>
      </c>
    </row>
    <row r="152" ht="19.5" customHeight="1">
      <c r="A152" s="55"/>
      <c r="B152" s="65">
        <v>46376.0</v>
      </c>
      <c r="C152" s="63">
        <v>72999.3</v>
      </c>
      <c r="D152" s="57"/>
      <c r="E152" s="64" t="s">
        <v>1097</v>
      </c>
      <c r="F152" s="152" t="s">
        <v>1098</v>
      </c>
      <c r="G152" s="62" t="s">
        <v>44</v>
      </c>
    </row>
    <row r="153" ht="19.5" customHeight="1">
      <c r="A153" s="55"/>
      <c r="B153" s="65">
        <v>46379.0</v>
      </c>
      <c r="C153" s="63">
        <v>29999.96</v>
      </c>
      <c r="D153" s="57"/>
      <c r="E153" s="64" t="s">
        <v>214</v>
      </c>
      <c r="F153" s="152" t="s">
        <v>1099</v>
      </c>
      <c r="G153" s="62" t="s">
        <v>26</v>
      </c>
    </row>
    <row r="154" ht="19.5" customHeight="1">
      <c r="A154" s="55"/>
      <c r="B154" s="65">
        <v>46379.0</v>
      </c>
      <c r="C154" s="63">
        <v>47166.68</v>
      </c>
      <c r="D154" s="57"/>
      <c r="E154" s="64" t="s">
        <v>1100</v>
      </c>
      <c r="F154" s="151" t="s">
        <v>1101</v>
      </c>
      <c r="G154" s="62" t="s">
        <v>44</v>
      </c>
    </row>
    <row r="155" ht="19.5" customHeight="1">
      <c r="A155" s="55"/>
      <c r="B155" s="65">
        <v>46380.0</v>
      </c>
      <c r="C155" s="63">
        <v>61400.0</v>
      </c>
      <c r="D155" s="63"/>
      <c r="E155" s="64" t="s">
        <v>422</v>
      </c>
      <c r="F155" s="151" t="s">
        <v>1102</v>
      </c>
      <c r="G155" s="62" t="s">
        <v>44</v>
      </c>
    </row>
    <row r="156" ht="19.5" customHeight="1">
      <c r="A156" s="55"/>
      <c r="B156" s="65">
        <v>46380.0</v>
      </c>
      <c r="C156" s="63">
        <v>86071.68</v>
      </c>
      <c r="D156" s="63"/>
      <c r="E156" s="64" t="s">
        <v>1103</v>
      </c>
      <c r="F156" s="151" t="s">
        <v>1104</v>
      </c>
      <c r="G156" s="62" t="s">
        <v>44</v>
      </c>
    </row>
    <row r="157" ht="19.5" customHeight="1">
      <c r="A157" s="55"/>
      <c r="B157" s="65">
        <v>46385.0</v>
      </c>
      <c r="C157" s="63">
        <v>29999.96</v>
      </c>
      <c r="D157" s="63"/>
      <c r="E157" s="64" t="s">
        <v>214</v>
      </c>
      <c r="F157" s="152" t="s">
        <v>1105</v>
      </c>
      <c r="G157" s="62" t="s">
        <v>26</v>
      </c>
    </row>
    <row r="158" ht="19.5" customHeight="1">
      <c r="A158" s="55"/>
      <c r="B158" s="65">
        <v>46385.0</v>
      </c>
      <c r="C158" s="63">
        <v>98475.01</v>
      </c>
      <c r="D158" s="63"/>
      <c r="E158" s="64" t="s">
        <v>119</v>
      </c>
      <c r="F158" s="151" t="s">
        <v>1106</v>
      </c>
      <c r="G158" s="62" t="s">
        <v>44</v>
      </c>
    </row>
    <row r="159" ht="30.0" customHeight="1">
      <c r="A159" s="78" t="s">
        <v>111</v>
      </c>
      <c r="B159" s="79"/>
      <c r="C159" s="80">
        <f t="shared" ref="C159:D159" si="4">SUM(C127:C158)</f>
        <v>2186291.43</v>
      </c>
      <c r="D159" s="80">
        <f t="shared" si="4"/>
        <v>0</v>
      </c>
      <c r="E159" s="81"/>
      <c r="F159" s="82"/>
    </row>
    <row r="160" ht="4.5" customHeight="1">
      <c r="A160" s="116"/>
      <c r="B160" s="115"/>
      <c r="C160" s="115"/>
      <c r="D160" s="115"/>
      <c r="E160" s="115"/>
      <c r="F160" s="115"/>
      <c r="G160" s="79"/>
    </row>
    <row r="161" ht="19.5" customHeight="1">
      <c r="A161" s="49" t="s">
        <v>14</v>
      </c>
      <c r="B161" s="50">
        <v>46326.0</v>
      </c>
      <c r="C161" s="63">
        <v>50586.66</v>
      </c>
      <c r="D161" s="51"/>
      <c r="E161" s="52" t="s">
        <v>1107</v>
      </c>
      <c r="F161" s="53" t="s">
        <v>1108</v>
      </c>
      <c r="G161" s="54" t="s">
        <v>44</v>
      </c>
    </row>
    <row r="162" ht="19.5" customHeight="1">
      <c r="A162" s="55"/>
      <c r="B162" s="65">
        <v>46336.0</v>
      </c>
      <c r="C162" s="154">
        <v>40757.01</v>
      </c>
      <c r="D162" s="63"/>
      <c r="E162" s="64" t="s">
        <v>1109</v>
      </c>
      <c r="F162" s="61" t="s">
        <v>1108</v>
      </c>
      <c r="G162" s="62" t="s">
        <v>44</v>
      </c>
    </row>
    <row r="163" ht="30.0" customHeight="1">
      <c r="A163" s="78" t="s">
        <v>111</v>
      </c>
      <c r="B163" s="79"/>
      <c r="C163" s="80">
        <f t="shared" ref="C163:D163" si="5">SUM(C161:C162)</f>
        <v>91343.67</v>
      </c>
      <c r="D163" s="80">
        <f t="shared" si="5"/>
        <v>0</v>
      </c>
      <c r="E163" s="92"/>
      <c r="F163" s="82"/>
      <c r="G163" s="93"/>
    </row>
    <row r="164" ht="4.5" customHeight="1">
      <c r="A164" s="116"/>
      <c r="B164" s="115"/>
      <c r="C164" s="115"/>
      <c r="D164" s="115"/>
      <c r="E164" s="115"/>
      <c r="F164" s="115"/>
      <c r="G164" s="79"/>
    </row>
    <row r="165" ht="19.5" customHeight="1">
      <c r="A165" s="49" t="s">
        <v>15</v>
      </c>
      <c r="B165" s="94">
        <v>46363.0</v>
      </c>
      <c r="C165" s="51">
        <v>57600.0</v>
      </c>
      <c r="D165" s="51"/>
      <c r="E165" s="52" t="s">
        <v>120</v>
      </c>
      <c r="F165" s="64" t="s">
        <v>1110</v>
      </c>
      <c r="G165" s="143" t="s">
        <v>26</v>
      </c>
    </row>
    <row r="166" ht="19.5" customHeight="1">
      <c r="A166" s="55"/>
      <c r="B166" s="95">
        <v>46363.0</v>
      </c>
      <c r="C166" s="57">
        <v>140829.63</v>
      </c>
      <c r="D166" s="57"/>
      <c r="E166" s="58" t="s">
        <v>1111</v>
      </c>
      <c r="F166" s="64" t="s">
        <v>1112</v>
      </c>
      <c r="G166" s="130" t="s">
        <v>26</v>
      </c>
    </row>
    <row r="167" ht="19.5" customHeight="1">
      <c r="A167" s="55"/>
      <c r="B167" s="95">
        <v>46363.0</v>
      </c>
      <c r="C167" s="57">
        <v>40268.41</v>
      </c>
      <c r="D167" s="57"/>
      <c r="E167" s="58" t="s">
        <v>1113</v>
      </c>
      <c r="F167" s="64" t="s">
        <v>1114</v>
      </c>
      <c r="G167" s="130" t="s">
        <v>26</v>
      </c>
    </row>
    <row r="168" ht="19.5" customHeight="1">
      <c r="A168" s="55"/>
      <c r="B168" s="95">
        <v>46364.0</v>
      </c>
      <c r="C168" s="57">
        <v>134990.0</v>
      </c>
      <c r="D168" s="57"/>
      <c r="E168" s="58" t="s">
        <v>162</v>
      </c>
      <c r="F168" s="64" t="s">
        <v>1115</v>
      </c>
      <c r="G168" s="130" t="s">
        <v>26</v>
      </c>
    </row>
    <row r="169" ht="19.5" customHeight="1">
      <c r="A169" s="55"/>
      <c r="B169" s="95">
        <v>46366.0</v>
      </c>
      <c r="C169" s="57">
        <v>620542.0</v>
      </c>
      <c r="D169" s="57"/>
      <c r="E169" s="58" t="s">
        <v>1116</v>
      </c>
      <c r="F169" s="64" t="s">
        <v>1117</v>
      </c>
      <c r="G169" s="130" t="s">
        <v>26</v>
      </c>
    </row>
    <row r="170" ht="19.5" customHeight="1">
      <c r="A170" s="55"/>
      <c r="B170" s="95">
        <v>46371.0</v>
      </c>
      <c r="C170" s="57">
        <v>84655.0</v>
      </c>
      <c r="D170" s="57"/>
      <c r="E170" s="58" t="s">
        <v>162</v>
      </c>
      <c r="F170" s="64" t="s">
        <v>1118</v>
      </c>
      <c r="G170" s="130" t="s">
        <v>26</v>
      </c>
    </row>
    <row r="171" ht="19.5" customHeight="1">
      <c r="A171" s="55"/>
      <c r="B171" s="95">
        <v>46372.0</v>
      </c>
      <c r="C171" s="57">
        <v>423275.0</v>
      </c>
      <c r="D171" s="57"/>
      <c r="E171" s="58" t="s">
        <v>162</v>
      </c>
      <c r="F171" s="64" t="s">
        <v>1119</v>
      </c>
      <c r="G171" s="130" t="s">
        <v>26</v>
      </c>
    </row>
    <row r="172" ht="19.5" customHeight="1">
      <c r="A172" s="55"/>
      <c r="B172" s="95">
        <v>46372.0</v>
      </c>
      <c r="C172" s="57">
        <v>44401.5</v>
      </c>
      <c r="D172" s="57"/>
      <c r="E172" s="58" t="s">
        <v>162</v>
      </c>
      <c r="F172" s="64" t="s">
        <v>1120</v>
      </c>
      <c r="G172" s="130" t="s">
        <v>26</v>
      </c>
    </row>
    <row r="173" ht="19.5" customHeight="1">
      <c r="A173" s="55"/>
      <c r="B173" s="95">
        <v>46373.0</v>
      </c>
      <c r="C173" s="57">
        <v>4696.0</v>
      </c>
      <c r="D173" s="57"/>
      <c r="E173" s="58" t="s">
        <v>545</v>
      </c>
      <c r="F173" s="64" t="s">
        <v>1121</v>
      </c>
      <c r="G173" s="130" t="s">
        <v>26</v>
      </c>
    </row>
    <row r="174" ht="19.5" customHeight="1">
      <c r="A174" s="55"/>
      <c r="B174" s="95">
        <v>46373.0</v>
      </c>
      <c r="C174" s="57">
        <v>21347.0</v>
      </c>
      <c r="D174" s="57"/>
      <c r="E174" s="58" t="s">
        <v>545</v>
      </c>
      <c r="F174" s="64" t="s">
        <v>1122</v>
      </c>
      <c r="G174" s="130" t="s">
        <v>26</v>
      </c>
    </row>
    <row r="175" ht="19.5" customHeight="1">
      <c r="A175" s="55"/>
      <c r="B175" s="95">
        <v>46374.0</v>
      </c>
      <c r="C175" s="57">
        <v>57915.0</v>
      </c>
      <c r="D175" s="57"/>
      <c r="E175" s="58" t="s">
        <v>162</v>
      </c>
      <c r="F175" s="64" t="s">
        <v>1123</v>
      </c>
      <c r="G175" s="130" t="s">
        <v>26</v>
      </c>
    </row>
    <row r="176" ht="19.5" customHeight="1">
      <c r="A176" s="55"/>
      <c r="B176" s="95">
        <v>46374.0</v>
      </c>
      <c r="C176" s="57">
        <v>60703.5</v>
      </c>
      <c r="D176" s="57"/>
      <c r="E176" s="58" t="s">
        <v>162</v>
      </c>
      <c r="F176" s="64" t="s">
        <v>1124</v>
      </c>
      <c r="G176" s="130" t="s">
        <v>26</v>
      </c>
    </row>
    <row r="177" ht="19.5" customHeight="1">
      <c r="A177" s="55"/>
      <c r="B177" s="95">
        <v>46374.0</v>
      </c>
      <c r="C177" s="57">
        <v>149396.25</v>
      </c>
      <c r="D177" s="57"/>
      <c r="E177" s="58" t="s">
        <v>162</v>
      </c>
      <c r="F177" s="64" t="s">
        <v>1125</v>
      </c>
      <c r="G177" s="130" t="s">
        <v>26</v>
      </c>
    </row>
    <row r="178" ht="19.5" customHeight="1">
      <c r="A178" s="55"/>
      <c r="B178" s="95">
        <v>46374.0</v>
      </c>
      <c r="C178" s="57">
        <v>53625.0</v>
      </c>
      <c r="D178" s="57"/>
      <c r="E178" s="58" t="s">
        <v>162</v>
      </c>
      <c r="F178" s="64" t="s">
        <v>1126</v>
      </c>
      <c r="G178" s="130" t="s">
        <v>26</v>
      </c>
    </row>
    <row r="179" ht="21.0" customHeight="1">
      <c r="A179" s="55"/>
      <c r="B179" s="95">
        <v>46374.0</v>
      </c>
      <c r="C179" s="57">
        <v>16871.0</v>
      </c>
      <c r="D179" s="57"/>
      <c r="E179" s="58" t="s">
        <v>545</v>
      </c>
      <c r="F179" s="64" t="s">
        <v>1127</v>
      </c>
      <c r="G179" s="130" t="s">
        <v>26</v>
      </c>
    </row>
    <row r="180" ht="19.5" customHeight="1">
      <c r="A180" s="55"/>
      <c r="B180" s="95">
        <v>46375.0</v>
      </c>
      <c r="C180" s="57">
        <v>10212.0</v>
      </c>
      <c r="D180" s="57"/>
      <c r="E180" s="58" t="s">
        <v>545</v>
      </c>
      <c r="F180" s="64" t="s">
        <v>1128</v>
      </c>
      <c r="G180" s="130" t="s">
        <v>26</v>
      </c>
    </row>
    <row r="181" ht="19.5" customHeight="1">
      <c r="A181" s="55"/>
      <c r="B181" s="95">
        <v>46378.0</v>
      </c>
      <c r="C181" s="57">
        <v>65831.77</v>
      </c>
      <c r="D181" s="57"/>
      <c r="E181" s="58" t="s">
        <v>162</v>
      </c>
      <c r="F181" s="64" t="s">
        <v>1129</v>
      </c>
      <c r="G181" s="130" t="s">
        <v>26</v>
      </c>
    </row>
    <row r="182" ht="19.5" customHeight="1">
      <c r="A182" s="55"/>
      <c r="B182" s="95">
        <v>46378.0</v>
      </c>
      <c r="C182" s="57">
        <v>13278.0</v>
      </c>
      <c r="D182" s="57"/>
      <c r="E182" s="58" t="s">
        <v>545</v>
      </c>
      <c r="F182" s="64" t="s">
        <v>1130</v>
      </c>
      <c r="G182" s="130" t="s">
        <v>26</v>
      </c>
    </row>
    <row r="183" ht="19.5" customHeight="1">
      <c r="A183" s="55"/>
      <c r="B183" s="95">
        <v>46379.0</v>
      </c>
      <c r="C183" s="57">
        <v>16190.0</v>
      </c>
      <c r="D183" s="57"/>
      <c r="E183" s="58" t="s">
        <v>545</v>
      </c>
      <c r="F183" s="64" t="s">
        <v>1131</v>
      </c>
      <c r="G183" s="130" t="s">
        <v>26</v>
      </c>
    </row>
    <row r="184" ht="19.5" customHeight="1">
      <c r="A184" s="55"/>
      <c r="B184" s="95">
        <v>46379.0</v>
      </c>
      <c r="C184" s="57">
        <v>16818.0</v>
      </c>
      <c r="D184" s="57"/>
      <c r="E184" s="58" t="s">
        <v>545</v>
      </c>
      <c r="F184" s="64" t="s">
        <v>1132</v>
      </c>
      <c r="G184" s="130" t="s">
        <v>26</v>
      </c>
    </row>
    <row r="185" ht="19.5" customHeight="1">
      <c r="A185" s="55"/>
      <c r="B185" s="95">
        <v>46381.0</v>
      </c>
      <c r="C185" s="57">
        <v>44401.5</v>
      </c>
      <c r="D185" s="57"/>
      <c r="E185" s="58" t="s">
        <v>162</v>
      </c>
      <c r="F185" s="64" t="s">
        <v>1133</v>
      </c>
      <c r="G185" s="130" t="s">
        <v>26</v>
      </c>
    </row>
    <row r="186" ht="19.5" customHeight="1">
      <c r="A186" s="55"/>
      <c r="B186" s="95">
        <v>46382.0</v>
      </c>
      <c r="C186" s="57">
        <v>44401.5</v>
      </c>
      <c r="D186" s="57"/>
      <c r="E186" s="58" t="s">
        <v>162</v>
      </c>
      <c r="F186" s="64" t="s">
        <v>1134</v>
      </c>
      <c r="G186" s="130" t="s">
        <v>26</v>
      </c>
    </row>
    <row r="187" ht="19.5" customHeight="1">
      <c r="A187" s="55"/>
      <c r="B187" s="95">
        <v>46383.0</v>
      </c>
      <c r="C187" s="57">
        <v>81510.0</v>
      </c>
      <c r="D187" s="57"/>
      <c r="E187" s="58" t="s">
        <v>162</v>
      </c>
      <c r="F187" s="64" t="s">
        <v>1135</v>
      </c>
      <c r="G187" s="130" t="s">
        <v>26</v>
      </c>
    </row>
    <row r="188" ht="19.5" customHeight="1">
      <c r="A188" s="55"/>
      <c r="B188" s="95">
        <v>46383.0</v>
      </c>
      <c r="C188" s="57">
        <v>67867.8</v>
      </c>
      <c r="D188" s="57"/>
      <c r="E188" s="58" t="s">
        <v>162</v>
      </c>
      <c r="F188" s="64" t="s">
        <v>1136</v>
      </c>
      <c r="G188" s="130" t="s">
        <v>26</v>
      </c>
    </row>
    <row r="189" ht="19.5" customHeight="1">
      <c r="A189" s="55"/>
      <c r="B189" s="95">
        <v>46383.0</v>
      </c>
      <c r="C189" s="57">
        <v>122265.0</v>
      </c>
      <c r="D189" s="63"/>
      <c r="E189" s="58" t="s">
        <v>162</v>
      </c>
      <c r="F189" s="64" t="s">
        <v>1137</v>
      </c>
      <c r="G189" s="130" t="s">
        <v>26</v>
      </c>
    </row>
    <row r="190" ht="19.5" customHeight="1">
      <c r="A190" s="55"/>
      <c r="B190" s="95">
        <v>46383.0</v>
      </c>
      <c r="C190" s="57">
        <v>88803.0</v>
      </c>
      <c r="D190" s="63"/>
      <c r="E190" s="58" t="s">
        <v>162</v>
      </c>
      <c r="F190" s="64" t="s">
        <v>1138</v>
      </c>
      <c r="G190" s="130" t="s">
        <v>26</v>
      </c>
    </row>
    <row r="191" ht="19.5" customHeight="1">
      <c r="A191" s="55"/>
      <c r="B191" s="95">
        <v>46383.0</v>
      </c>
      <c r="C191" s="57">
        <v>82453.19</v>
      </c>
      <c r="D191" s="63"/>
      <c r="E191" s="58" t="s">
        <v>1139</v>
      </c>
      <c r="F191" s="64" t="s">
        <v>1140</v>
      </c>
      <c r="G191" s="130" t="s">
        <v>26</v>
      </c>
    </row>
    <row r="192" ht="30.0" customHeight="1">
      <c r="A192" s="78" t="s">
        <v>111</v>
      </c>
      <c r="B192" s="79"/>
      <c r="C192" s="80">
        <f t="shared" ref="C192:D192" si="6">SUM(C165:C191)</f>
        <v>2565147.05</v>
      </c>
      <c r="D192" s="80">
        <f t="shared" si="6"/>
        <v>0</v>
      </c>
      <c r="E192" s="81"/>
      <c r="F192" s="98"/>
    </row>
    <row r="193" ht="4.5" customHeight="1">
      <c r="A193" s="116"/>
      <c r="B193" s="115"/>
      <c r="C193" s="115"/>
      <c r="D193" s="115"/>
      <c r="E193" s="115"/>
      <c r="F193" s="115"/>
      <c r="G193" s="79"/>
    </row>
    <row r="194" ht="19.5" customHeight="1">
      <c r="A194" s="49" t="s">
        <v>125</v>
      </c>
      <c r="B194" s="50">
        <v>46317.0</v>
      </c>
      <c r="C194" s="51">
        <v>236533.33</v>
      </c>
      <c r="D194" s="51"/>
      <c r="E194" s="52" t="s">
        <v>789</v>
      </c>
      <c r="F194" s="64" t="s">
        <v>943</v>
      </c>
      <c r="G194" s="62"/>
    </row>
    <row r="195" ht="19.5" customHeight="1">
      <c r="A195" s="55"/>
      <c r="B195" s="56">
        <v>46353.0</v>
      </c>
      <c r="C195" s="57">
        <v>10600.0</v>
      </c>
      <c r="D195" s="57"/>
      <c r="E195" s="52" t="s">
        <v>848</v>
      </c>
      <c r="F195" s="97" t="s">
        <v>1141</v>
      </c>
      <c r="G195" s="62"/>
    </row>
    <row r="196" ht="19.5" customHeight="1">
      <c r="A196" s="55"/>
      <c r="B196" s="56">
        <v>46353.0</v>
      </c>
      <c r="C196" s="57">
        <v>9400.0</v>
      </c>
      <c r="D196" s="57"/>
      <c r="E196" s="58" t="s">
        <v>505</v>
      </c>
      <c r="F196" s="64"/>
      <c r="G196" s="62"/>
    </row>
    <row r="197" ht="19.5" customHeight="1">
      <c r="A197" s="55"/>
      <c r="B197" s="56">
        <v>46354.0</v>
      </c>
      <c r="C197" s="57">
        <v>37000.0</v>
      </c>
      <c r="D197" s="57"/>
      <c r="E197" s="58" t="s">
        <v>505</v>
      </c>
      <c r="F197" s="64"/>
      <c r="G197" s="62"/>
    </row>
    <row r="198" ht="19.5" customHeight="1">
      <c r="A198" s="55"/>
      <c r="B198" s="56">
        <v>46355.0</v>
      </c>
      <c r="C198" s="57">
        <v>12200.0</v>
      </c>
      <c r="D198" s="57"/>
      <c r="E198" s="58" t="s">
        <v>345</v>
      </c>
      <c r="F198" s="64"/>
      <c r="G198" s="62"/>
    </row>
    <row r="199" ht="19.5" customHeight="1">
      <c r="A199" s="55"/>
      <c r="B199" s="56">
        <v>46356.0</v>
      </c>
      <c r="C199" s="57">
        <v>119000.0</v>
      </c>
      <c r="D199" s="57"/>
      <c r="E199" s="58" t="s">
        <v>436</v>
      </c>
      <c r="F199" s="64"/>
      <c r="G199" s="62"/>
    </row>
    <row r="200" ht="19.5" customHeight="1">
      <c r="A200" s="55"/>
      <c r="B200" s="56">
        <v>46357.0</v>
      </c>
      <c r="C200" s="57">
        <v>6000.0</v>
      </c>
      <c r="D200" s="57"/>
      <c r="E200" s="58" t="s">
        <v>1142</v>
      </c>
      <c r="F200" s="64" t="s">
        <v>1143</v>
      </c>
      <c r="G200" s="62"/>
    </row>
    <row r="201" ht="19.5" customHeight="1">
      <c r="A201" s="55"/>
      <c r="B201" s="56">
        <v>46357.0</v>
      </c>
      <c r="C201" s="57">
        <v>7100.0</v>
      </c>
      <c r="D201" s="57"/>
      <c r="E201" s="58" t="s">
        <v>349</v>
      </c>
      <c r="F201" s="64" t="s">
        <v>1144</v>
      </c>
      <c r="G201" s="62"/>
    </row>
    <row r="202" ht="19.5" customHeight="1">
      <c r="A202" s="55"/>
      <c r="B202" s="56">
        <v>46357.0</v>
      </c>
      <c r="C202" s="57">
        <v>65992.0</v>
      </c>
      <c r="D202" s="57"/>
      <c r="E202" s="58" t="s">
        <v>349</v>
      </c>
      <c r="F202" s="58" t="s">
        <v>437</v>
      </c>
      <c r="G202" s="60"/>
    </row>
    <row r="203" ht="19.5" customHeight="1">
      <c r="A203" s="55"/>
      <c r="B203" s="56">
        <v>46357.0</v>
      </c>
      <c r="C203" s="57">
        <v>31000.0</v>
      </c>
      <c r="D203" s="57"/>
      <c r="E203" s="58" t="s">
        <v>1145</v>
      </c>
      <c r="F203" s="58" t="s">
        <v>1146</v>
      </c>
      <c r="G203" s="60"/>
    </row>
    <row r="204" ht="19.5" customHeight="1">
      <c r="A204" s="55"/>
      <c r="B204" s="56">
        <v>46357.0</v>
      </c>
      <c r="C204" s="57">
        <v>55000.0</v>
      </c>
      <c r="D204" s="57"/>
      <c r="E204" s="58" t="s">
        <v>1142</v>
      </c>
      <c r="F204" s="58" t="s">
        <v>437</v>
      </c>
      <c r="G204" s="60"/>
    </row>
    <row r="205" ht="19.5" customHeight="1">
      <c r="A205" s="55"/>
      <c r="B205" s="56">
        <v>46358.0</v>
      </c>
      <c r="C205" s="57">
        <v>23500.0</v>
      </c>
      <c r="D205" s="57"/>
      <c r="E205" s="58" t="s">
        <v>1147</v>
      </c>
      <c r="F205" s="58" t="s">
        <v>1148</v>
      </c>
      <c r="G205" s="60"/>
    </row>
    <row r="206" ht="19.5" customHeight="1">
      <c r="A206" s="55"/>
      <c r="B206" s="56">
        <v>46359.0</v>
      </c>
      <c r="C206" s="57">
        <v>5400.0</v>
      </c>
      <c r="D206" s="57"/>
      <c r="E206" s="58" t="s">
        <v>1149</v>
      </c>
      <c r="F206" s="58"/>
      <c r="G206" s="60"/>
    </row>
    <row r="207" ht="19.5" customHeight="1">
      <c r="A207" s="55"/>
      <c r="B207" s="56">
        <v>46359.0</v>
      </c>
      <c r="C207" s="57">
        <v>13400.0</v>
      </c>
      <c r="D207" s="57"/>
      <c r="E207" s="58" t="s">
        <v>33</v>
      </c>
      <c r="F207" s="58" t="s">
        <v>1141</v>
      </c>
      <c r="G207" s="60"/>
    </row>
    <row r="208" ht="19.5" customHeight="1">
      <c r="A208" s="55"/>
      <c r="B208" s="56">
        <v>46359.0</v>
      </c>
      <c r="C208" s="57">
        <v>12100.0</v>
      </c>
      <c r="D208" s="57"/>
      <c r="E208" s="58" t="s">
        <v>33</v>
      </c>
      <c r="F208" s="58"/>
      <c r="G208" s="60"/>
    </row>
    <row r="209" ht="19.5" customHeight="1">
      <c r="A209" s="55"/>
      <c r="B209" s="56">
        <v>46359.0</v>
      </c>
      <c r="C209" s="57">
        <v>9000.0</v>
      </c>
      <c r="D209" s="57"/>
      <c r="E209" s="58" t="s">
        <v>1145</v>
      </c>
      <c r="F209" s="58" t="s">
        <v>823</v>
      </c>
      <c r="G209" s="60"/>
    </row>
    <row r="210" ht="19.5" customHeight="1">
      <c r="A210" s="55"/>
      <c r="B210" s="56">
        <v>46360.0</v>
      </c>
      <c r="C210" s="57">
        <v>12000.0</v>
      </c>
      <c r="D210" s="57"/>
      <c r="E210" s="58" t="s">
        <v>1150</v>
      </c>
      <c r="F210" s="58" t="s">
        <v>1151</v>
      </c>
      <c r="G210" s="60"/>
    </row>
    <row r="211" ht="19.5" customHeight="1">
      <c r="A211" s="55"/>
      <c r="B211" s="56">
        <v>46360.0</v>
      </c>
      <c r="C211" s="57">
        <v>25900.0</v>
      </c>
      <c r="D211" s="57"/>
      <c r="E211" s="58" t="s">
        <v>1152</v>
      </c>
      <c r="F211" s="58"/>
      <c r="G211" s="60"/>
    </row>
    <row r="212" ht="19.5" customHeight="1">
      <c r="A212" s="55"/>
      <c r="B212" s="65">
        <v>46360.0</v>
      </c>
      <c r="C212" s="63"/>
      <c r="D212" s="63">
        <v>10.16</v>
      </c>
      <c r="E212" s="64" t="s">
        <v>1153</v>
      </c>
      <c r="F212" s="64"/>
      <c r="G212" s="62"/>
    </row>
    <row r="213" ht="19.5" customHeight="1">
      <c r="A213" s="55"/>
      <c r="B213" s="65">
        <v>46362.0</v>
      </c>
      <c r="C213" s="63"/>
      <c r="D213" s="63">
        <v>7.34</v>
      </c>
      <c r="E213" s="64" t="s">
        <v>1154</v>
      </c>
      <c r="F213" s="64" t="s">
        <v>1155</v>
      </c>
      <c r="G213" s="62"/>
    </row>
    <row r="214" ht="19.5" customHeight="1">
      <c r="A214" s="55"/>
      <c r="B214" s="65">
        <v>46362.0</v>
      </c>
      <c r="C214" s="63"/>
      <c r="D214" s="63">
        <v>25.42</v>
      </c>
      <c r="E214" s="64" t="s">
        <v>1156</v>
      </c>
      <c r="F214" s="64" t="s">
        <v>1157</v>
      </c>
      <c r="G214" s="62"/>
    </row>
    <row r="215" ht="19.5" customHeight="1">
      <c r="A215" s="55"/>
      <c r="B215" s="65">
        <v>46362.0</v>
      </c>
      <c r="C215" s="63"/>
      <c r="D215" s="63">
        <v>22.18</v>
      </c>
      <c r="E215" s="64" t="s">
        <v>1158</v>
      </c>
      <c r="F215" s="64" t="s">
        <v>1159</v>
      </c>
      <c r="G215" s="62"/>
    </row>
    <row r="216" ht="19.5" customHeight="1">
      <c r="A216" s="55"/>
      <c r="B216" s="65">
        <v>46363.0</v>
      </c>
      <c r="C216" s="63">
        <v>47509.85</v>
      </c>
      <c r="D216" s="63"/>
      <c r="E216" s="64" t="s">
        <v>1160</v>
      </c>
      <c r="F216" s="64" t="s">
        <v>1161</v>
      </c>
      <c r="G216" s="62"/>
    </row>
    <row r="217" ht="19.5" customHeight="1">
      <c r="A217" s="55"/>
      <c r="B217" s="65">
        <v>46363.0</v>
      </c>
      <c r="C217" s="63">
        <v>75000.0</v>
      </c>
      <c r="D217" s="63"/>
      <c r="E217" s="64" t="s">
        <v>1145</v>
      </c>
      <c r="F217" s="64" t="s">
        <v>1162</v>
      </c>
      <c r="G217" s="62"/>
    </row>
    <row r="218" ht="19.5" customHeight="1">
      <c r="A218" s="55"/>
      <c r="B218" s="65">
        <v>46363.0</v>
      </c>
      <c r="C218" s="63">
        <v>25000.0</v>
      </c>
      <c r="D218" s="63"/>
      <c r="E218" s="64" t="s">
        <v>1163</v>
      </c>
      <c r="F218" s="64" t="s">
        <v>1164</v>
      </c>
      <c r="G218" s="62"/>
    </row>
    <row r="219" ht="19.5" customHeight="1">
      <c r="A219" s="55"/>
      <c r="B219" s="65">
        <v>46368.0</v>
      </c>
      <c r="C219" s="63">
        <v>19600.0</v>
      </c>
      <c r="D219" s="63"/>
      <c r="E219" s="64" t="s">
        <v>1165</v>
      </c>
      <c r="F219" s="64"/>
      <c r="G219" s="62"/>
    </row>
    <row r="220" ht="19.5" customHeight="1">
      <c r="A220" s="55"/>
      <c r="B220" s="65">
        <v>46368.0</v>
      </c>
      <c r="C220" s="63">
        <v>29667.5</v>
      </c>
      <c r="D220" s="63"/>
      <c r="E220" s="64" t="s">
        <v>1166</v>
      </c>
      <c r="F220" s="64" t="s">
        <v>1161</v>
      </c>
      <c r="G220" s="62"/>
    </row>
    <row r="221" ht="19.5" customHeight="1">
      <c r="A221" s="55"/>
      <c r="B221" s="65">
        <v>46372.0</v>
      </c>
      <c r="C221" s="63">
        <v>100000.0</v>
      </c>
      <c r="D221" s="63"/>
      <c r="E221" s="64" t="s">
        <v>1167</v>
      </c>
      <c r="F221" s="64" t="s">
        <v>1168</v>
      </c>
      <c r="G221" s="62"/>
    </row>
    <row r="222" ht="19.5" customHeight="1">
      <c r="A222" s="55"/>
      <c r="B222" s="65">
        <v>46372.0</v>
      </c>
      <c r="C222" s="63">
        <v>67350.0</v>
      </c>
      <c r="D222" s="63"/>
      <c r="E222" s="64" t="s">
        <v>927</v>
      </c>
      <c r="F222" s="64"/>
      <c r="G222" s="62"/>
    </row>
    <row r="223" ht="19.5" customHeight="1">
      <c r="A223" s="55"/>
      <c r="B223" s="65">
        <v>46372.0</v>
      </c>
      <c r="C223" s="63">
        <v>23500.0</v>
      </c>
      <c r="D223" s="63"/>
      <c r="E223" s="64" t="s">
        <v>1163</v>
      </c>
      <c r="F223" s="64" t="s">
        <v>1164</v>
      </c>
      <c r="G223" s="62"/>
    </row>
    <row r="224" ht="19.5" customHeight="1">
      <c r="A224" s="55"/>
      <c r="B224" s="65">
        <v>46373.0</v>
      </c>
      <c r="C224" s="63">
        <v>6400.0</v>
      </c>
      <c r="D224" s="63"/>
      <c r="E224" s="64" t="s">
        <v>1149</v>
      </c>
      <c r="F224" s="64"/>
      <c r="G224" s="62"/>
    </row>
    <row r="225" ht="19.5" customHeight="1">
      <c r="A225" s="55"/>
      <c r="B225" s="65">
        <v>46373.0</v>
      </c>
      <c r="C225" s="63">
        <v>100000.0</v>
      </c>
      <c r="D225" s="63"/>
      <c r="E225" s="64" t="s">
        <v>927</v>
      </c>
      <c r="F225" s="64" t="s">
        <v>437</v>
      </c>
      <c r="G225" s="62"/>
    </row>
    <row r="226" ht="19.5" customHeight="1">
      <c r="A226" s="55"/>
      <c r="B226" s="65">
        <v>46373.0</v>
      </c>
      <c r="C226" s="63">
        <v>22300.0</v>
      </c>
      <c r="D226" s="63"/>
      <c r="E226" s="64" t="s">
        <v>927</v>
      </c>
      <c r="F226" s="64" t="s">
        <v>1169</v>
      </c>
      <c r="G226" s="62"/>
    </row>
    <row r="227" ht="19.5" customHeight="1">
      <c r="A227" s="55"/>
      <c r="B227" s="65">
        <v>46373.0</v>
      </c>
      <c r="C227" s="63">
        <v>17000.0</v>
      </c>
      <c r="D227" s="63"/>
      <c r="E227" s="64" t="s">
        <v>927</v>
      </c>
      <c r="F227" s="64" t="s">
        <v>627</v>
      </c>
      <c r="G227" s="62"/>
    </row>
    <row r="228" ht="19.5" customHeight="1">
      <c r="A228" s="55"/>
      <c r="B228" s="65">
        <v>46373.0</v>
      </c>
      <c r="C228" s="63">
        <v>22700.0</v>
      </c>
      <c r="D228" s="63"/>
      <c r="E228" s="64" t="s">
        <v>349</v>
      </c>
      <c r="F228" s="64" t="s">
        <v>437</v>
      </c>
      <c r="G228" s="62"/>
    </row>
    <row r="229" ht="19.5" customHeight="1">
      <c r="A229" s="55"/>
      <c r="B229" s="65">
        <v>46373.0</v>
      </c>
      <c r="C229" s="63">
        <v>66037.97</v>
      </c>
      <c r="D229" s="63"/>
      <c r="E229" s="64" t="s">
        <v>349</v>
      </c>
      <c r="F229" s="64" t="s">
        <v>437</v>
      </c>
      <c r="G229" s="62"/>
    </row>
    <row r="230" ht="19.5" customHeight="1">
      <c r="A230" s="55"/>
      <c r="B230" s="65">
        <v>46373.0</v>
      </c>
      <c r="C230" s="63">
        <v>17200.0</v>
      </c>
      <c r="D230" s="63"/>
      <c r="E230" s="64" t="s">
        <v>1170</v>
      </c>
      <c r="F230" s="64" t="s">
        <v>619</v>
      </c>
      <c r="G230" s="62"/>
    </row>
    <row r="231" ht="19.5" customHeight="1">
      <c r="A231" s="55"/>
      <c r="B231" s="65">
        <v>46373.0</v>
      </c>
      <c r="C231" s="63">
        <v>45000.0</v>
      </c>
      <c r="D231" s="63"/>
      <c r="E231" s="64" t="s">
        <v>1171</v>
      </c>
      <c r="F231" s="64" t="s">
        <v>437</v>
      </c>
      <c r="G231" s="62"/>
    </row>
    <row r="232" ht="19.5" customHeight="1">
      <c r="A232" s="55"/>
      <c r="B232" s="65">
        <v>46373.0</v>
      </c>
      <c r="C232" s="63">
        <v>135000.0</v>
      </c>
      <c r="D232" s="63"/>
      <c r="E232" s="64" t="s">
        <v>1152</v>
      </c>
      <c r="F232" s="64"/>
      <c r="G232" s="62"/>
    </row>
    <row r="233" ht="19.5" customHeight="1">
      <c r="A233" s="55"/>
      <c r="B233" s="65">
        <v>46373.0</v>
      </c>
      <c r="C233" s="63">
        <v>34000.0</v>
      </c>
      <c r="D233" s="63"/>
      <c r="E233" s="64" t="s">
        <v>1152</v>
      </c>
      <c r="F233" s="64"/>
      <c r="G233" s="62"/>
    </row>
    <row r="234" ht="19.5" customHeight="1">
      <c r="A234" s="55"/>
      <c r="B234" s="65">
        <v>46374.0</v>
      </c>
      <c r="C234" s="63">
        <v>13500.0</v>
      </c>
      <c r="D234" s="63"/>
      <c r="E234" s="64" t="s">
        <v>33</v>
      </c>
      <c r="F234" s="64"/>
      <c r="G234" s="62"/>
    </row>
    <row r="235" ht="19.5" customHeight="1">
      <c r="A235" s="55"/>
      <c r="B235" s="65">
        <v>46374.0</v>
      </c>
      <c r="C235" s="63">
        <v>10640.0</v>
      </c>
      <c r="D235" s="63"/>
      <c r="E235" s="64" t="s">
        <v>345</v>
      </c>
      <c r="F235" s="64"/>
      <c r="G235" s="62"/>
    </row>
    <row r="236" ht="19.5" customHeight="1">
      <c r="A236" s="55"/>
      <c r="B236" s="65">
        <v>46374.0</v>
      </c>
      <c r="C236" s="63">
        <v>14400.0</v>
      </c>
      <c r="D236" s="63"/>
      <c r="E236" s="64" t="s">
        <v>505</v>
      </c>
      <c r="F236" s="64" t="s">
        <v>1172</v>
      </c>
      <c r="G236" s="62"/>
    </row>
    <row r="237" ht="19.5" customHeight="1">
      <c r="A237" s="55"/>
      <c r="B237" s="65">
        <v>46375.0</v>
      </c>
      <c r="C237" s="63">
        <v>20300.0</v>
      </c>
      <c r="D237" s="63"/>
      <c r="E237" s="64" t="s">
        <v>505</v>
      </c>
      <c r="F237" s="64" t="s">
        <v>1173</v>
      </c>
      <c r="G237" s="62"/>
    </row>
    <row r="238" ht="19.5" customHeight="1">
      <c r="A238" s="55"/>
      <c r="B238" s="65">
        <v>46377.0</v>
      </c>
      <c r="C238" s="63">
        <v>20882.0</v>
      </c>
      <c r="D238" s="63"/>
      <c r="E238" s="64" t="s">
        <v>1174</v>
      </c>
      <c r="F238" s="64"/>
      <c r="G238" s="62"/>
    </row>
    <row r="239" ht="19.5" customHeight="1">
      <c r="A239" s="55"/>
      <c r="B239" s="65">
        <v>46379.0</v>
      </c>
      <c r="C239" s="63">
        <v>7200.0</v>
      </c>
      <c r="D239" s="63"/>
      <c r="E239" s="64" t="s">
        <v>345</v>
      </c>
      <c r="F239" s="64"/>
      <c r="G239" s="62"/>
    </row>
    <row r="240" ht="19.5" customHeight="1">
      <c r="A240" s="55"/>
      <c r="B240" s="65">
        <v>46385.0</v>
      </c>
      <c r="C240" s="63">
        <v>16000.0</v>
      </c>
      <c r="D240" s="63"/>
      <c r="E240" s="64" t="s">
        <v>132</v>
      </c>
      <c r="F240" s="64" t="s">
        <v>455</v>
      </c>
      <c r="G240" s="62"/>
    </row>
    <row r="241" ht="30.0" customHeight="1">
      <c r="A241" s="78" t="s">
        <v>111</v>
      </c>
      <c r="B241" s="79"/>
      <c r="C241" s="80">
        <f>SUM(C194:C240)</f>
        <v>1647312.65</v>
      </c>
      <c r="D241" s="80">
        <f>SUM(D195:D240)</f>
        <v>65.1</v>
      </c>
      <c r="E241" s="81"/>
      <c r="F241" s="82"/>
    </row>
    <row r="242" ht="4.5" customHeight="1">
      <c r="A242" s="155"/>
      <c r="B242" s="115"/>
      <c r="C242" s="115"/>
      <c r="D242" s="115"/>
      <c r="E242" s="115"/>
      <c r="F242" s="115"/>
      <c r="G242" s="79"/>
    </row>
    <row r="243" ht="19.5" customHeight="1">
      <c r="A243" s="49" t="s">
        <v>851</v>
      </c>
      <c r="B243" s="94">
        <v>46353.0</v>
      </c>
      <c r="C243" s="51">
        <v>9000.0</v>
      </c>
      <c r="D243" s="51"/>
      <c r="E243" s="52" t="s">
        <v>1175</v>
      </c>
      <c r="F243" s="54" t="s">
        <v>437</v>
      </c>
      <c r="G243" s="54"/>
    </row>
    <row r="244" ht="19.5" customHeight="1">
      <c r="A244" s="55"/>
      <c r="B244" s="95">
        <v>46353.0</v>
      </c>
      <c r="C244" s="57">
        <v>28063.0</v>
      </c>
      <c r="D244" s="57"/>
      <c r="E244" s="58" t="s">
        <v>1176</v>
      </c>
      <c r="F244" s="60" t="s">
        <v>1177</v>
      </c>
      <c r="G244" s="60"/>
    </row>
    <row r="245" ht="19.5" customHeight="1">
      <c r="A245" s="55"/>
      <c r="B245" s="95">
        <v>46355.0</v>
      </c>
      <c r="C245" s="57">
        <v>17500.0</v>
      </c>
      <c r="D245" s="57"/>
      <c r="E245" s="58" t="s">
        <v>1178</v>
      </c>
      <c r="F245" s="60"/>
      <c r="G245" s="60"/>
    </row>
    <row r="246" ht="19.5" customHeight="1">
      <c r="A246" s="55"/>
      <c r="B246" s="95">
        <v>46358.0</v>
      </c>
      <c r="C246" s="57">
        <v>45006.0</v>
      </c>
      <c r="D246" s="57"/>
      <c r="E246" s="58" t="s">
        <v>1179</v>
      </c>
      <c r="F246" s="60" t="s">
        <v>1180</v>
      </c>
      <c r="G246" s="60"/>
    </row>
    <row r="247" ht="19.5" customHeight="1">
      <c r="A247" s="55"/>
      <c r="B247" s="95">
        <v>46358.0</v>
      </c>
      <c r="C247" s="57">
        <v>120460.0</v>
      </c>
      <c r="D247" s="57"/>
      <c r="E247" s="58" t="s">
        <v>1181</v>
      </c>
      <c r="F247" s="60"/>
      <c r="G247" s="60"/>
    </row>
    <row r="248" ht="19.5" customHeight="1">
      <c r="A248" s="55"/>
      <c r="B248" s="95">
        <v>46359.0</v>
      </c>
      <c r="C248" s="57">
        <v>56801.0</v>
      </c>
      <c r="D248" s="57"/>
      <c r="E248" s="58" t="s">
        <v>1181</v>
      </c>
      <c r="F248" s="60" t="s">
        <v>1180</v>
      </c>
      <c r="G248" s="60"/>
    </row>
    <row r="249" ht="19.5" customHeight="1">
      <c r="A249" s="55"/>
      <c r="B249" s="95">
        <v>46360.0</v>
      </c>
      <c r="C249" s="57">
        <v>147001.0</v>
      </c>
      <c r="D249" s="57"/>
      <c r="E249" s="58" t="s">
        <v>1181</v>
      </c>
      <c r="F249" s="60" t="s">
        <v>1180</v>
      </c>
      <c r="G249" s="60"/>
    </row>
    <row r="250" ht="19.5" customHeight="1">
      <c r="A250" s="55"/>
      <c r="B250" s="95">
        <v>46364.0</v>
      </c>
      <c r="C250" s="57">
        <v>104334.0</v>
      </c>
      <c r="D250" s="57"/>
      <c r="E250" s="58" t="s">
        <v>1181</v>
      </c>
      <c r="F250" s="60" t="s">
        <v>1180</v>
      </c>
      <c r="G250" s="60"/>
    </row>
    <row r="251" ht="19.5" customHeight="1">
      <c r="A251" s="55"/>
      <c r="B251" s="95">
        <v>46365.0</v>
      </c>
      <c r="C251" s="57">
        <v>27600.0</v>
      </c>
      <c r="D251" s="57"/>
      <c r="E251" s="58" t="s">
        <v>1182</v>
      </c>
      <c r="F251" s="60" t="s">
        <v>1183</v>
      </c>
      <c r="G251" s="60"/>
    </row>
    <row r="252" ht="19.5" customHeight="1">
      <c r="A252" s="55"/>
      <c r="B252" s="95">
        <v>46366.0</v>
      </c>
      <c r="C252" s="57">
        <v>158000.0</v>
      </c>
      <c r="D252" s="57"/>
      <c r="E252" s="58" t="s">
        <v>697</v>
      </c>
      <c r="F252" s="60" t="s">
        <v>1184</v>
      </c>
      <c r="G252" s="60"/>
    </row>
    <row r="253" ht="19.5" customHeight="1">
      <c r="A253" s="55"/>
      <c r="B253" s="95">
        <v>46366.0</v>
      </c>
      <c r="C253" s="57">
        <v>83483.94</v>
      </c>
      <c r="D253" s="57"/>
      <c r="E253" s="58" t="s">
        <v>1181</v>
      </c>
      <c r="F253" s="60" t="s">
        <v>1180</v>
      </c>
      <c r="G253" s="60"/>
    </row>
    <row r="254" ht="19.5" customHeight="1">
      <c r="A254" s="55"/>
      <c r="B254" s="95">
        <v>46366.0</v>
      </c>
      <c r="C254" s="57">
        <v>100582.0</v>
      </c>
      <c r="D254" s="57"/>
      <c r="E254" s="58" t="s">
        <v>1181</v>
      </c>
      <c r="F254" s="60" t="s">
        <v>1180</v>
      </c>
      <c r="G254" s="60"/>
    </row>
    <row r="255" ht="19.5" customHeight="1">
      <c r="A255" s="55"/>
      <c r="B255" s="95">
        <v>46367.0</v>
      </c>
      <c r="C255" s="57">
        <v>50000.0</v>
      </c>
      <c r="D255" s="57"/>
      <c r="E255" s="58" t="s">
        <v>1181</v>
      </c>
      <c r="F255" s="60" t="s">
        <v>1180</v>
      </c>
      <c r="G255" s="60"/>
    </row>
    <row r="256" ht="19.5" customHeight="1">
      <c r="A256" s="55"/>
      <c r="B256" s="95">
        <v>46368.0</v>
      </c>
      <c r="C256" s="57">
        <v>59000.0</v>
      </c>
      <c r="D256" s="57"/>
      <c r="E256" s="58" t="s">
        <v>142</v>
      </c>
      <c r="F256" s="60" t="s">
        <v>1180</v>
      </c>
      <c r="G256" s="60"/>
    </row>
    <row r="257" ht="19.5" customHeight="1">
      <c r="A257" s="55"/>
      <c r="B257" s="95">
        <v>46369.0</v>
      </c>
      <c r="C257" s="57">
        <v>58012.0</v>
      </c>
      <c r="D257" s="57"/>
      <c r="E257" s="58" t="s">
        <v>1181</v>
      </c>
      <c r="F257" s="60" t="s">
        <v>1180</v>
      </c>
      <c r="G257" s="60"/>
    </row>
    <row r="258" ht="19.5" customHeight="1">
      <c r="A258" s="55"/>
      <c r="B258" s="95">
        <v>46369.0</v>
      </c>
      <c r="C258" s="57">
        <v>40000.0</v>
      </c>
      <c r="D258" s="57"/>
      <c r="E258" s="58" t="s">
        <v>1181</v>
      </c>
      <c r="F258" s="60" t="s">
        <v>1180</v>
      </c>
      <c r="G258" s="60"/>
    </row>
    <row r="259" ht="19.5" customHeight="1">
      <c r="A259" s="55"/>
      <c r="B259" s="95">
        <v>46370.0</v>
      </c>
      <c r="C259" s="57">
        <v>56200.0</v>
      </c>
      <c r="D259" s="57"/>
      <c r="E259" s="58" t="s">
        <v>697</v>
      </c>
      <c r="F259" s="60" t="s">
        <v>1185</v>
      </c>
      <c r="G259" s="60"/>
    </row>
    <row r="260" ht="19.5" customHeight="1">
      <c r="A260" s="55"/>
      <c r="B260" s="95">
        <v>46370.0</v>
      </c>
      <c r="C260" s="57">
        <v>71400.0</v>
      </c>
      <c r="D260" s="57"/>
      <c r="E260" s="58" t="s">
        <v>1186</v>
      </c>
      <c r="F260" s="60"/>
      <c r="G260" s="60"/>
    </row>
    <row r="261" ht="19.5" customHeight="1">
      <c r="A261" s="55"/>
      <c r="B261" s="95">
        <v>46371.0</v>
      </c>
      <c r="C261" s="57">
        <v>119746.0</v>
      </c>
      <c r="D261" s="57"/>
      <c r="E261" s="58" t="s">
        <v>1181</v>
      </c>
      <c r="F261" s="60" t="s">
        <v>1180</v>
      </c>
      <c r="G261" s="60"/>
    </row>
    <row r="262" ht="19.5" customHeight="1">
      <c r="A262" s="55"/>
      <c r="B262" s="95">
        <v>46372.0</v>
      </c>
      <c r="C262" s="57">
        <v>67000.0</v>
      </c>
      <c r="D262" s="63"/>
      <c r="E262" s="58" t="s">
        <v>1187</v>
      </c>
      <c r="F262" s="60" t="s">
        <v>1188</v>
      </c>
      <c r="G262" s="60"/>
    </row>
    <row r="263" ht="30.0" customHeight="1">
      <c r="A263" s="78" t="s">
        <v>111</v>
      </c>
      <c r="B263" s="79"/>
      <c r="C263" s="80">
        <f t="shared" ref="C263:D263" si="7">SUM(C243:C262)</f>
        <v>1419188.94</v>
      </c>
      <c r="D263" s="80">
        <f t="shared" si="7"/>
        <v>0</v>
      </c>
      <c r="E263" s="81"/>
      <c r="F263" s="82"/>
    </row>
    <row r="264" ht="4.5" customHeight="1">
      <c r="A264" s="116"/>
      <c r="B264" s="115"/>
      <c r="C264" s="115"/>
      <c r="D264" s="117"/>
      <c r="E264" s="96"/>
      <c r="F264" s="96"/>
      <c r="G264" s="96"/>
    </row>
    <row r="265" ht="30.0" customHeight="1">
      <c r="A265" s="78" t="s">
        <v>187</v>
      </c>
      <c r="B265" s="79"/>
      <c r="C265" s="80">
        <f>+C125+C159+C163+C192+C241+C263</f>
        <v>17833065.2</v>
      </c>
      <c r="D265" s="80">
        <f>+D125+D159+D163+D192+D241</f>
        <v>79.07</v>
      </c>
      <c r="E265" s="97"/>
      <c r="F265" s="98"/>
    </row>
    <row r="266" ht="19.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124"/>
    <mergeCell ref="A125:B125"/>
    <mergeCell ref="A126:G126"/>
    <mergeCell ref="A127:A158"/>
    <mergeCell ref="A159:B159"/>
    <mergeCell ref="A160:G160"/>
    <mergeCell ref="A161:A162"/>
    <mergeCell ref="A163:B163"/>
    <mergeCell ref="A164:G164"/>
    <mergeCell ref="A165:A191"/>
    <mergeCell ref="A264:D264"/>
    <mergeCell ref="A265:B265"/>
    <mergeCell ref="A192:B192"/>
    <mergeCell ref="A193:G193"/>
    <mergeCell ref="A194:A240"/>
    <mergeCell ref="A241:B241"/>
    <mergeCell ref="A242:G242"/>
    <mergeCell ref="A243:A262"/>
    <mergeCell ref="A263:B263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2022-02-03T22:54:00Z</dcterms:created>
  <dc:creator>Usuario</dc:creator>
</cp:coreProperties>
</file>