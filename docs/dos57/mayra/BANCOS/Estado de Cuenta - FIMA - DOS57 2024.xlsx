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MAYRA 2024\MAYRA - DOS57\BANCOS DOS57\"/>
    </mc:Choice>
  </mc:AlternateContent>
  <bookViews>
    <workbookView xWindow="-120" yWindow="-120" windowWidth="20736" windowHeight="11160" tabRatio="843" activeTab="1"/>
  </bookViews>
  <sheets>
    <sheet name="FIMA DICIEMBRE - DOS57" sheetId="14" r:id="rId1"/>
    <sheet name="FIMA ENERO" sheetId="15" r:id="rId2"/>
    <sheet name="FIMA FEBRERO" sheetId="16" r:id="rId3"/>
    <sheet name="FIMA MARZO" sheetId="17" r:id="rId4"/>
    <sheet name="FIMA ABRIL" sheetId="18" r:id="rId5"/>
    <sheet name="FIMA MAYO" sheetId="19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9" l="1"/>
  <c r="B11" i="19"/>
  <c r="B26" i="19" s="1"/>
  <c r="B30" i="19" s="1"/>
  <c r="B24" i="18"/>
  <c r="B11" i="18"/>
  <c r="B26" i="18" s="1"/>
  <c r="B30" i="18" s="1"/>
  <c r="B24" i="17"/>
  <c r="B11" i="17"/>
  <c r="B26" i="17" s="1"/>
  <c r="B30" i="17" s="1"/>
  <c r="B24" i="16" l="1"/>
  <c r="B11" i="16"/>
  <c r="B26" i="16" s="1"/>
  <c r="B30" i="16" s="1"/>
  <c r="B26" i="15"/>
  <c r="B24" i="15"/>
  <c r="B11" i="15"/>
  <c r="B30" i="15" l="1"/>
  <c r="B19" i="14"/>
  <c r="B21" i="14" s="1"/>
  <c r="B7" i="14"/>
  <c r="B25" i="14" l="1"/>
</calcChain>
</file>

<file path=xl/sharedStrings.xml><?xml version="1.0" encoding="utf-8"?>
<sst xmlns="http://schemas.openxmlformats.org/spreadsheetml/2006/main" count="83" uniqueCount="31">
  <si>
    <t>FIMA SUSCRIPCIONES</t>
  </si>
  <si>
    <t>Fecha</t>
  </si>
  <si>
    <t>Monto</t>
  </si>
  <si>
    <t>OBSERVACIONES</t>
  </si>
  <si>
    <t>Total Suscripciones</t>
  </si>
  <si>
    <t>FIMA RESCATE DE FONDOS</t>
  </si>
  <si>
    <t>Total Rescate de Fondos</t>
  </si>
  <si>
    <t>DISPONIBLE EN FIMA</t>
  </si>
  <si>
    <t>DISPONIBLE SEGÚN GALICIA</t>
  </si>
  <si>
    <t>Cubrir Galicia</t>
  </si>
  <si>
    <t>GANANCIA FIMA</t>
  </si>
  <si>
    <t>Combustible</t>
  </si>
  <si>
    <t>VGB</t>
  </si>
  <si>
    <t>ACERCO</t>
  </si>
  <si>
    <t>Transf Baster + Javi + Pollo</t>
  </si>
  <si>
    <t>Transf Pollo</t>
  </si>
  <si>
    <t>Transf Tapizado Ranger</t>
  </si>
  <si>
    <t xml:space="preserve">Transf Combustible + Viandas </t>
  </si>
  <si>
    <t xml:space="preserve">Transf Pollo </t>
  </si>
  <si>
    <t>Financiera Venta Echeqs</t>
  </si>
  <si>
    <t>Santiago del Estero</t>
  </si>
  <si>
    <t>ESTADO DE CUENTA FIMA - DOS57 - DICIEMBRE (2do) 2023</t>
  </si>
  <si>
    <t>ESTADO DE CUENTA FIMA - DOS57 - ENERO 2024</t>
  </si>
  <si>
    <t>Saldo de FIMA restante planilla anterior</t>
  </si>
  <si>
    <t>Pago de comida Cosquin</t>
  </si>
  <si>
    <t>Envivo</t>
  </si>
  <si>
    <t>Magnetica</t>
  </si>
  <si>
    <t>ESTADO DE CUENTA FIMA - DOS57 - FEBRERO 2024</t>
  </si>
  <si>
    <t>ESTADO DE CUENTA FIMA - DOS57 - MARZO 2024</t>
  </si>
  <si>
    <t>ESTADO DE CUENTA FIMA - DOS57 - ABRIL 2024</t>
  </si>
  <si>
    <t>ESTADO DE CUENTA FIMA - DOS57 - MAYO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</si>
</sst>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44" fontId="0" fillId="0" borderId="0" xfId="1" applyFont="1"/>
    <xf numFmtId="0" fontId="3" fillId="3" borderId="0" xfId="0" applyFont="1" applyFill="1"/>
    <xf numFmtId="164" fontId="3" fillId="4" borderId="0" xfId="0" applyNumberFormat="1" applyFont="1" applyFill="1"/>
    <xf numFmtId="0" fontId="3" fillId="5" borderId="0" xfId="0" applyFont="1" applyFill="1" applyAlignment="1">
      <alignment horizontal="right"/>
    </xf>
    <xf numFmtId="44" fontId="2" fillId="0" borderId="0" xfId="1" applyFont="1"/>
    <xf numFmtId="0" fontId="0" fillId="0" borderId="0" xfId="0" applyAlignment="1">
      <alignment horizontal="center"/>
    </xf>
    <xf numFmtId="0" fontId="3" fillId="6" borderId="0" xfId="0" applyFont="1" applyFill="1" applyAlignment="1">
      <alignment horizontal="right"/>
    </xf>
    <xf numFmtId="44" fontId="0" fillId="0" borderId="0" xfId="0" applyNumberFormat="1"/>
    <xf numFmtId="0" fontId="2" fillId="0" borderId="0" xfId="0" applyFont="1"/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44" fontId="2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5" fillId="5" borderId="0" xfId="0" applyNumberFormat="1" applyFont="1" applyFill="1"/>
    <xf numFmtId="164" fontId="4" fillId="4" borderId="0" xfId="0" applyNumberFormat="1" applyFont="1" applyFill="1"/>
    <xf numFmtId="0" fontId="3" fillId="8" borderId="0" xfId="0" applyFont="1" applyFill="1" applyAlignment="1">
      <alignment horizontal="right"/>
    </xf>
    <xf numFmtId="164" fontId="3" fillId="8" borderId="0" xfId="0" applyNumberFormat="1" applyFont="1" applyFill="1"/>
    <xf numFmtId="44" fontId="5" fillId="6" borderId="0" xfId="0" applyNumberFormat="1" applyFont="1" applyFill="1"/>
    <xf numFmtId="44" fontId="0" fillId="6" borderId="0" xfId="1" applyFont="1" applyFill="1"/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44" fontId="0" fillId="0" borderId="0" xfId="1" applyFont="1" applyFill="1"/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zoomScale="110" zoomScaleNormal="110" workbookViewId="0">
      <selection activeCell="B35" sqref="B35"/>
    </sheetView>
  </sheetViews>
  <sheetFormatPr baseColWidth="10" defaultRowHeight="14.4" x14ac:dyDescent="0.3"/>
  <cols>
    <col min="1" max="1" width="26.109375" customWidth="1"/>
    <col min="2" max="2" width="30.6640625" customWidth="1"/>
    <col min="3" max="3" width="49" customWidth="1"/>
    <col min="5" max="5" width="12.6640625" bestFit="1" customWidth="1"/>
  </cols>
  <sheetData>
    <row r="1" spans="1:3" x14ac:dyDescent="0.3">
      <c r="A1" s="23" t="s">
        <v>21</v>
      </c>
      <c r="B1" s="24"/>
      <c r="C1" s="25"/>
    </row>
    <row r="2" spans="1:3" ht="15" thickBot="1" x14ac:dyDescent="0.35">
      <c r="A2" s="26"/>
      <c r="B2" s="27"/>
      <c r="C2" s="28"/>
    </row>
    <row r="3" spans="1:3" ht="15" thickBot="1" x14ac:dyDescent="0.35">
      <c r="A3" s="29" t="s">
        <v>0</v>
      </c>
      <c r="B3" s="30"/>
      <c r="C3" s="31"/>
    </row>
    <row r="4" spans="1:3" x14ac:dyDescent="0.3">
      <c r="A4" s="1" t="s">
        <v>1</v>
      </c>
      <c r="B4" s="2" t="s">
        <v>2</v>
      </c>
      <c r="C4" s="2" t="s">
        <v>3</v>
      </c>
    </row>
    <row r="5" spans="1:3" ht="19.95" customHeight="1" x14ac:dyDescent="0.3">
      <c r="A5" s="3">
        <v>45279</v>
      </c>
      <c r="B5" s="4">
        <v>10000000</v>
      </c>
      <c r="C5" s="9" t="s">
        <v>19</v>
      </c>
    </row>
    <row r="6" spans="1:3" ht="19.95" customHeight="1" x14ac:dyDescent="0.3">
      <c r="A6" s="3">
        <v>45280</v>
      </c>
      <c r="B6" s="4">
        <v>3500000</v>
      </c>
      <c r="C6" s="9" t="s">
        <v>20</v>
      </c>
    </row>
    <row r="7" spans="1:3" ht="15" thickBot="1" x14ac:dyDescent="0.35">
      <c r="A7" s="5" t="s">
        <v>4</v>
      </c>
      <c r="B7" s="6">
        <f>SUM(B5:B6)</f>
        <v>13500000</v>
      </c>
    </row>
    <row r="8" spans="1:3" ht="15" thickBot="1" x14ac:dyDescent="0.35">
      <c r="A8" s="29" t="s">
        <v>5</v>
      </c>
      <c r="B8" s="30"/>
      <c r="C8" s="31"/>
    </row>
    <row r="9" spans="1:3" s="16" customFormat="1" ht="28.2" customHeight="1" x14ac:dyDescent="0.3">
      <c r="A9" s="13">
        <v>45261</v>
      </c>
      <c r="B9" s="15">
        <v>-200000</v>
      </c>
      <c r="C9" s="14" t="s">
        <v>11</v>
      </c>
    </row>
    <row r="10" spans="1:3" s="16" customFormat="1" ht="28.2" customHeight="1" x14ac:dyDescent="0.3">
      <c r="A10" s="13">
        <v>45280</v>
      </c>
      <c r="B10" s="15">
        <v>-1500000</v>
      </c>
      <c r="C10" s="14" t="s">
        <v>12</v>
      </c>
    </row>
    <row r="11" spans="1:3" s="16" customFormat="1" ht="28.2" customHeight="1" x14ac:dyDescent="0.3">
      <c r="A11" s="13">
        <v>45281</v>
      </c>
      <c r="B11" s="15">
        <v>-3000000</v>
      </c>
      <c r="C11" s="14" t="s">
        <v>13</v>
      </c>
    </row>
    <row r="12" spans="1:3" s="16" customFormat="1" ht="28.2" customHeight="1" x14ac:dyDescent="0.3">
      <c r="A12" s="13">
        <v>45282</v>
      </c>
      <c r="B12" s="15">
        <v>-1110000</v>
      </c>
      <c r="C12" s="14" t="s">
        <v>14</v>
      </c>
    </row>
    <row r="13" spans="1:3" s="16" customFormat="1" ht="28.2" customHeight="1" x14ac:dyDescent="0.3">
      <c r="A13" s="13">
        <v>45282</v>
      </c>
      <c r="B13" s="15">
        <v>-330000</v>
      </c>
      <c r="C13" s="14" t="s">
        <v>15</v>
      </c>
    </row>
    <row r="14" spans="1:3" s="16" customFormat="1" ht="28.2" customHeight="1" x14ac:dyDescent="0.3">
      <c r="A14" s="13">
        <v>45286</v>
      </c>
      <c r="B14" s="15">
        <v>-250000</v>
      </c>
      <c r="C14" s="14" t="s">
        <v>16</v>
      </c>
    </row>
    <row r="15" spans="1:3" s="16" customFormat="1" ht="28.2" customHeight="1" x14ac:dyDescent="0.3">
      <c r="A15" s="13">
        <v>45287</v>
      </c>
      <c r="B15" s="15">
        <v>-2900000</v>
      </c>
      <c r="C15" s="14" t="s">
        <v>9</v>
      </c>
    </row>
    <row r="16" spans="1:3" s="16" customFormat="1" ht="28.2" customHeight="1" x14ac:dyDescent="0.3">
      <c r="A16" s="13">
        <v>45287</v>
      </c>
      <c r="B16" s="15">
        <v>-800000</v>
      </c>
      <c r="C16" s="14" t="s">
        <v>17</v>
      </c>
    </row>
    <row r="17" spans="1:5" s="16" customFormat="1" ht="28.2" customHeight="1" x14ac:dyDescent="0.3">
      <c r="A17" s="13">
        <v>45287</v>
      </c>
      <c r="B17" s="15">
        <v>-750000</v>
      </c>
      <c r="C17" s="14" t="s">
        <v>12</v>
      </c>
    </row>
    <row r="18" spans="1:5" s="16" customFormat="1" ht="28.2" customHeight="1" x14ac:dyDescent="0.3">
      <c r="A18" s="13">
        <v>45289</v>
      </c>
      <c r="B18" s="15">
        <v>-150000</v>
      </c>
      <c r="C18" s="14" t="s">
        <v>18</v>
      </c>
    </row>
    <row r="19" spans="1:5" x14ac:dyDescent="0.3">
      <c r="A19" s="5" t="s">
        <v>6</v>
      </c>
      <c r="B19" s="18">
        <f>SUM(B9:B18)</f>
        <v>-10990000</v>
      </c>
      <c r="C19" s="3"/>
    </row>
    <row r="20" spans="1:5" ht="9.75" customHeight="1" x14ac:dyDescent="0.3"/>
    <row r="21" spans="1:5" x14ac:dyDescent="0.3">
      <c r="A21" s="7" t="s">
        <v>7</v>
      </c>
      <c r="B21" s="17">
        <f>+B7+B19</f>
        <v>2510000</v>
      </c>
    </row>
    <row r="22" spans="1:5" ht="8.25" customHeight="1" x14ac:dyDescent="0.3"/>
    <row r="23" spans="1:5" x14ac:dyDescent="0.3">
      <c r="A23" s="10" t="s">
        <v>8</v>
      </c>
      <c r="B23" s="21">
        <v>2686933.72</v>
      </c>
    </row>
    <row r="24" spans="1:5" ht="7.5" customHeight="1" x14ac:dyDescent="0.3">
      <c r="B24" s="11"/>
    </row>
    <row r="25" spans="1:5" x14ac:dyDescent="0.3">
      <c r="A25" s="19" t="s">
        <v>10</v>
      </c>
      <c r="B25" s="20">
        <f>+B23-B21</f>
        <v>176933.7200000002</v>
      </c>
    </row>
    <row r="26" spans="1:5" x14ac:dyDescent="0.3">
      <c r="B26" s="11"/>
    </row>
    <row r="27" spans="1:5" x14ac:dyDescent="0.3">
      <c r="D27" s="12"/>
      <c r="E27" s="4"/>
    </row>
    <row r="28" spans="1:5" x14ac:dyDescent="0.3">
      <c r="B28" s="4"/>
      <c r="D28" s="12"/>
      <c r="E28" s="4"/>
    </row>
    <row r="29" spans="1:5" x14ac:dyDescent="0.3">
      <c r="B29" s="8"/>
      <c r="C29" s="11"/>
      <c r="D29" s="12"/>
      <c r="E29" s="4"/>
    </row>
    <row r="30" spans="1:5" x14ac:dyDescent="0.3">
      <c r="B30" s="8"/>
      <c r="D30" s="12"/>
      <c r="E30" s="4"/>
    </row>
    <row r="31" spans="1:5" x14ac:dyDescent="0.3">
      <c r="B31" s="8"/>
      <c r="D31" s="12"/>
      <c r="E31" s="4"/>
    </row>
    <row r="32" spans="1:5" x14ac:dyDescent="0.3">
      <c r="B32" s="8"/>
      <c r="D32" s="12"/>
      <c r="E32" s="4"/>
    </row>
    <row r="33" spans="2:5" x14ac:dyDescent="0.3">
      <c r="B33" s="8"/>
      <c r="D33" s="12"/>
      <c r="E33" s="4"/>
    </row>
    <row r="34" spans="2:5" x14ac:dyDescent="0.3">
      <c r="B34" s="8"/>
      <c r="D34" s="12"/>
      <c r="E34" s="4"/>
    </row>
    <row r="35" spans="2:5" x14ac:dyDescent="0.3">
      <c r="B35" s="8"/>
      <c r="D35" s="12"/>
      <c r="E35" s="4"/>
    </row>
    <row r="36" spans="2:5" x14ac:dyDescent="0.3">
      <c r="E36" s="11"/>
    </row>
    <row r="37" spans="2:5" x14ac:dyDescent="0.3">
      <c r="B37" s="11"/>
    </row>
    <row r="40" spans="2:5" x14ac:dyDescent="0.3">
      <c r="B40" s="4"/>
    </row>
    <row r="41" spans="2:5" x14ac:dyDescent="0.3">
      <c r="B41" s="8"/>
    </row>
    <row r="42" spans="2:5" x14ac:dyDescent="0.3">
      <c r="B42" s="8"/>
    </row>
    <row r="43" spans="2:5" x14ac:dyDescent="0.3">
      <c r="B43" s="8"/>
    </row>
    <row r="44" spans="2:5" x14ac:dyDescent="0.3">
      <c r="B44" s="8"/>
    </row>
    <row r="45" spans="2:5" x14ac:dyDescent="0.3">
      <c r="B45" s="8"/>
    </row>
    <row r="46" spans="2:5" x14ac:dyDescent="0.3">
      <c r="B46" s="8"/>
    </row>
    <row r="47" spans="2:5" x14ac:dyDescent="0.3">
      <c r="B47" s="8"/>
    </row>
    <row r="49" spans="2:2" x14ac:dyDescent="0.3">
      <c r="B49" s="11"/>
    </row>
    <row r="50" spans="2:2" x14ac:dyDescent="0.3">
      <c r="B50" s="11"/>
    </row>
    <row r="51" spans="2:2" x14ac:dyDescent="0.3">
      <c r="B51" s="11"/>
    </row>
  </sheetData>
  <mergeCells count="3">
    <mergeCell ref="A1:C2"/>
    <mergeCell ref="A3:C3"/>
    <mergeCell ref="A8:C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abSelected="1" zoomScale="110" zoomScaleNormal="110" workbookViewId="0">
      <selection activeCell="B28" sqref="B28"/>
    </sheetView>
  </sheetViews>
  <sheetFormatPr baseColWidth="10" defaultRowHeight="14.4" x14ac:dyDescent="0.3"/>
  <cols>
    <col min="1" max="1" width="26.109375" customWidth="1"/>
    <col min="2" max="2" width="30.6640625" customWidth="1"/>
    <col min="3" max="3" width="49" customWidth="1"/>
    <col min="5" max="5" width="12.6640625" bestFit="1" customWidth="1"/>
  </cols>
  <sheetData>
    <row r="1" spans="1:3" x14ac:dyDescent="0.3">
      <c r="A1" s="23" t="s">
        <v>22</v>
      </c>
      <c r="B1" s="24"/>
      <c r="C1" s="25"/>
    </row>
    <row r="2" spans="1:3" ht="15" thickBot="1" x14ac:dyDescent="0.35">
      <c r="A2" s="26"/>
      <c r="B2" s="27"/>
      <c r="C2" s="28"/>
    </row>
    <row r="3" spans="1:3" ht="15" thickBot="1" x14ac:dyDescent="0.35">
      <c r="A3" s="29" t="s">
        <v>0</v>
      </c>
      <c r="B3" s="30"/>
      <c r="C3" s="31"/>
    </row>
    <row r="4" spans="1:3" x14ac:dyDescent="0.3">
      <c r="A4" s="1" t="s">
        <v>1</v>
      </c>
      <c r="B4" s="2" t="s">
        <v>2</v>
      </c>
      <c r="C4" s="2" t="s">
        <v>3</v>
      </c>
    </row>
    <row r="5" spans="1:3" ht="19.95" customHeight="1" x14ac:dyDescent="0.3">
      <c r="A5" s="3">
        <v>45292</v>
      </c>
      <c r="B5" s="4">
        <v>176933.72</v>
      </c>
      <c r="C5" s="9" t="s">
        <v>23</v>
      </c>
    </row>
    <row r="6" spans="1:3" ht="19.95" customHeight="1" x14ac:dyDescent="0.3">
      <c r="A6" s="3">
        <v>45294</v>
      </c>
      <c r="B6" s="4">
        <v>7500000</v>
      </c>
      <c r="C6" s="9"/>
    </row>
    <row r="7" spans="1:3" ht="19.95" customHeight="1" x14ac:dyDescent="0.3">
      <c r="A7" s="3">
        <v>45296</v>
      </c>
      <c r="B7" s="4">
        <v>600000</v>
      </c>
      <c r="C7" s="9"/>
    </row>
    <row r="8" spans="1:3" ht="19.95" customHeight="1" x14ac:dyDescent="0.3">
      <c r="A8" s="3">
        <v>45307</v>
      </c>
      <c r="B8" s="4">
        <v>4000000</v>
      </c>
      <c r="C8" s="9"/>
    </row>
    <row r="9" spans="1:3" ht="19.95" customHeight="1" x14ac:dyDescent="0.3">
      <c r="A9" s="3">
        <v>45317</v>
      </c>
      <c r="B9" s="4">
        <v>1000000</v>
      </c>
      <c r="C9" s="9" t="s">
        <v>25</v>
      </c>
    </row>
    <row r="10" spans="1:3" ht="19.95" customHeight="1" x14ac:dyDescent="0.3">
      <c r="A10" s="3">
        <v>45321</v>
      </c>
      <c r="B10" s="22">
        <v>2500000</v>
      </c>
      <c r="C10" s="9" t="s">
        <v>26</v>
      </c>
    </row>
    <row r="11" spans="1:3" ht="15" thickBot="1" x14ac:dyDescent="0.35">
      <c r="A11" s="5" t="s">
        <v>4</v>
      </c>
      <c r="B11" s="6">
        <f>SUM(B5:B10)</f>
        <v>15776933.719999999</v>
      </c>
    </row>
    <row r="12" spans="1:3" ht="15" thickBot="1" x14ac:dyDescent="0.35">
      <c r="A12" s="29" t="s">
        <v>5</v>
      </c>
      <c r="B12" s="30"/>
      <c r="C12" s="31"/>
    </row>
    <row r="13" spans="1:3" s="16" customFormat="1" ht="28.2" customHeight="1" x14ac:dyDescent="0.3">
      <c r="A13" s="13">
        <v>45293</v>
      </c>
      <c r="B13" s="15">
        <v>-800000</v>
      </c>
      <c r="C13" s="14"/>
    </row>
    <row r="14" spans="1:3" s="16" customFormat="1" ht="28.2" customHeight="1" x14ac:dyDescent="0.3">
      <c r="A14" s="13">
        <v>45294</v>
      </c>
      <c r="B14" s="15">
        <v>-1916500</v>
      </c>
      <c r="C14" s="14"/>
    </row>
    <row r="15" spans="1:3" s="16" customFormat="1" ht="28.2" customHeight="1" x14ac:dyDescent="0.3">
      <c r="A15" s="13">
        <v>45296</v>
      </c>
      <c r="B15" s="15">
        <v>-600000</v>
      </c>
      <c r="C15" s="14"/>
    </row>
    <row r="16" spans="1:3" s="16" customFormat="1" ht="28.2" customHeight="1" x14ac:dyDescent="0.3">
      <c r="A16" s="13">
        <v>45296</v>
      </c>
      <c r="B16" s="15">
        <v>-1000000</v>
      </c>
      <c r="C16" s="14"/>
    </row>
    <row r="17" spans="1:5" s="16" customFormat="1" ht="28.2" customHeight="1" x14ac:dyDescent="0.3">
      <c r="A17" s="13">
        <v>45299</v>
      </c>
      <c r="B17" s="15">
        <v>-750000</v>
      </c>
      <c r="C17" s="14"/>
    </row>
    <row r="18" spans="1:5" s="16" customFormat="1" ht="28.2" customHeight="1" x14ac:dyDescent="0.3">
      <c r="A18" s="13">
        <v>45299</v>
      </c>
      <c r="B18" s="15">
        <v>-2000000</v>
      </c>
      <c r="C18" s="14"/>
    </row>
    <row r="19" spans="1:5" s="16" customFormat="1" ht="28.2" customHeight="1" x14ac:dyDescent="0.3">
      <c r="A19" s="13">
        <v>45300</v>
      </c>
      <c r="B19" s="15">
        <v>-3840000</v>
      </c>
      <c r="C19" s="14"/>
    </row>
    <row r="20" spans="1:5" s="16" customFormat="1" ht="28.2" customHeight="1" x14ac:dyDescent="0.3">
      <c r="A20" s="13">
        <v>45308</v>
      </c>
      <c r="B20" s="15">
        <v>-205000</v>
      </c>
      <c r="C20" s="14"/>
    </row>
    <row r="21" spans="1:5" s="16" customFormat="1" ht="28.2" customHeight="1" x14ac:dyDescent="0.3">
      <c r="A21" s="13">
        <v>45310</v>
      </c>
      <c r="B21" s="15">
        <v>-3822300</v>
      </c>
      <c r="C21" s="14"/>
    </row>
    <row r="22" spans="1:5" s="16" customFormat="1" ht="28.2" customHeight="1" x14ac:dyDescent="0.3">
      <c r="A22" s="13">
        <v>45320</v>
      </c>
      <c r="B22" s="15">
        <v>-800000</v>
      </c>
      <c r="C22" s="14" t="s">
        <v>24</v>
      </c>
    </row>
    <row r="23" spans="1:5" s="16" customFormat="1" ht="28.2" customHeight="1" x14ac:dyDescent="0.3">
      <c r="A23" s="13">
        <v>45322</v>
      </c>
      <c r="B23" s="15">
        <v>-1000000</v>
      </c>
      <c r="C23" s="14" t="s">
        <v>24</v>
      </c>
    </row>
    <row r="24" spans="1:5" x14ac:dyDescent="0.3">
      <c r="A24" s="5" t="s">
        <v>6</v>
      </c>
      <c r="B24" s="18">
        <f>SUM(B13:B23)</f>
        <v>-16733800</v>
      </c>
      <c r="C24" s="3"/>
    </row>
    <row r="25" spans="1:5" ht="9.75" customHeight="1" x14ac:dyDescent="0.3"/>
    <row r="26" spans="1:5" x14ac:dyDescent="0.3">
      <c r="A26" s="7" t="s">
        <v>7</v>
      </c>
      <c r="B26" s="17">
        <f>+B11+B24</f>
        <v>-956866.28000000119</v>
      </c>
    </row>
    <row r="27" spans="1:5" ht="8.25" customHeight="1" x14ac:dyDescent="0.3"/>
    <row r="28" spans="1:5" x14ac:dyDescent="0.3">
      <c r="A28" s="10" t="s">
        <v>8</v>
      </c>
      <c r="B28" s="21">
        <v>206706.53</v>
      </c>
    </row>
    <row r="29" spans="1:5" ht="7.5" customHeight="1" x14ac:dyDescent="0.3">
      <c r="B29" s="11"/>
    </row>
    <row r="30" spans="1:5" x14ac:dyDescent="0.3">
      <c r="A30" s="19" t="s">
        <v>10</v>
      </c>
      <c r="B30" s="20">
        <f>+B28-B26</f>
        <v>1163572.8100000012</v>
      </c>
    </row>
    <row r="31" spans="1:5" x14ac:dyDescent="0.3">
      <c r="B31" s="11"/>
    </row>
    <row r="32" spans="1:5" x14ac:dyDescent="0.3">
      <c r="D32" s="12"/>
      <c r="E32" s="4"/>
    </row>
    <row r="33" spans="2:5" x14ac:dyDescent="0.3">
      <c r="B33" s="4"/>
      <c r="D33" s="12"/>
      <c r="E33" s="4"/>
    </row>
    <row r="34" spans="2:5" x14ac:dyDescent="0.3">
      <c r="B34" s="8"/>
      <c r="C34" s="11"/>
      <c r="D34" s="12"/>
      <c r="E34" s="4"/>
    </row>
    <row r="35" spans="2:5" x14ac:dyDescent="0.3">
      <c r="B35" s="8"/>
      <c r="D35" s="12"/>
      <c r="E35" s="4"/>
    </row>
    <row r="36" spans="2:5" x14ac:dyDescent="0.3">
      <c r="B36" s="8"/>
      <c r="D36" s="12"/>
      <c r="E36" s="4"/>
    </row>
    <row r="37" spans="2:5" x14ac:dyDescent="0.3">
      <c r="B37" s="8"/>
      <c r="D37" s="12"/>
      <c r="E37" s="4"/>
    </row>
    <row r="38" spans="2:5" x14ac:dyDescent="0.3">
      <c r="B38" s="8"/>
      <c r="D38" s="12"/>
      <c r="E38" s="4"/>
    </row>
    <row r="39" spans="2:5" x14ac:dyDescent="0.3">
      <c r="B39" s="8"/>
      <c r="D39" s="12"/>
      <c r="E39" s="4"/>
    </row>
    <row r="40" spans="2:5" x14ac:dyDescent="0.3">
      <c r="B40" s="8"/>
      <c r="D40" s="12"/>
      <c r="E40" s="4"/>
    </row>
    <row r="41" spans="2:5" x14ac:dyDescent="0.3">
      <c r="E41" s="11"/>
    </row>
    <row r="42" spans="2:5" x14ac:dyDescent="0.3">
      <c r="B42" s="11"/>
    </row>
    <row r="45" spans="2:5" x14ac:dyDescent="0.3">
      <c r="B45" s="4"/>
    </row>
    <row r="46" spans="2:5" x14ac:dyDescent="0.3">
      <c r="B46" s="8"/>
    </row>
    <row r="47" spans="2:5" x14ac:dyDescent="0.3">
      <c r="B47" s="8"/>
    </row>
    <row r="48" spans="2:5" x14ac:dyDescent="0.3">
      <c r="B48" s="8"/>
    </row>
    <row r="49" spans="2:2" x14ac:dyDescent="0.3">
      <c r="B49" s="8"/>
    </row>
    <row r="50" spans="2:2" x14ac:dyDescent="0.3">
      <c r="B50" s="8"/>
    </row>
    <row r="51" spans="2:2" x14ac:dyDescent="0.3">
      <c r="B51" s="8"/>
    </row>
    <row r="52" spans="2:2" x14ac:dyDescent="0.3">
      <c r="B52" s="8"/>
    </row>
    <row r="54" spans="2:2" x14ac:dyDescent="0.3">
      <c r="B54" s="11"/>
    </row>
    <row r="55" spans="2:2" x14ac:dyDescent="0.3">
      <c r="B55" s="11"/>
    </row>
    <row r="56" spans="2:2" x14ac:dyDescent="0.3">
      <c r="B56" s="11"/>
    </row>
  </sheetData>
  <mergeCells count="3">
    <mergeCell ref="A1:C2"/>
    <mergeCell ref="A3:C3"/>
    <mergeCell ref="A12:C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zoomScale="110" zoomScaleNormal="110" workbookViewId="0">
      <selection activeCell="A5" sqref="A5"/>
    </sheetView>
  </sheetViews>
  <sheetFormatPr baseColWidth="10" defaultRowHeight="14.4" x14ac:dyDescent="0.3"/>
  <cols>
    <col min="1" max="1" width="26.109375" customWidth="1"/>
    <col min="2" max="2" width="30.6640625" customWidth="1"/>
    <col min="3" max="3" width="49" customWidth="1"/>
    <col min="5" max="5" width="12.6640625" bestFit="1" customWidth="1"/>
  </cols>
  <sheetData>
    <row r="1" spans="1:3" x14ac:dyDescent="0.3">
      <c r="A1" s="23" t="s">
        <v>27</v>
      </c>
      <c r="B1" s="24"/>
      <c r="C1" s="25"/>
    </row>
    <row r="2" spans="1:3" ht="15" thickBot="1" x14ac:dyDescent="0.35">
      <c r="A2" s="26"/>
      <c r="B2" s="27"/>
      <c r="C2" s="28"/>
    </row>
    <row r="3" spans="1:3" ht="15" thickBot="1" x14ac:dyDescent="0.35">
      <c r="A3" s="29" t="s">
        <v>0</v>
      </c>
      <c r="B3" s="30"/>
      <c r="C3" s="31"/>
    </row>
    <row r="4" spans="1:3" x14ac:dyDescent="0.3">
      <c r="A4" s="1" t="s">
        <v>1</v>
      </c>
      <c r="B4" s="2" t="s">
        <v>2</v>
      </c>
      <c r="C4" s="2" t="s">
        <v>3</v>
      </c>
    </row>
    <row r="5" spans="1:3" ht="19.95" customHeight="1" x14ac:dyDescent="0.3">
      <c r="A5" s="33"/>
      <c r="B5" s="32"/>
      <c r="C5" s="34"/>
    </row>
    <row r="6" spans="1:3" ht="19.95" customHeight="1" x14ac:dyDescent="0.3">
      <c r="A6" s="33"/>
      <c r="B6" s="32"/>
      <c r="C6" s="34"/>
    </row>
    <row r="7" spans="1:3" ht="19.95" customHeight="1" x14ac:dyDescent="0.3">
      <c r="A7" s="33"/>
      <c r="B7" s="32"/>
      <c r="C7" s="34"/>
    </row>
    <row r="8" spans="1:3" ht="19.95" customHeight="1" x14ac:dyDescent="0.3">
      <c r="A8" s="33"/>
      <c r="B8" s="32"/>
      <c r="C8" s="34"/>
    </row>
    <row r="9" spans="1:3" ht="19.95" customHeight="1" x14ac:dyDescent="0.3">
      <c r="A9" s="33"/>
      <c r="B9" s="32"/>
      <c r="C9" s="34"/>
    </row>
    <row r="10" spans="1:3" ht="19.95" customHeight="1" x14ac:dyDescent="0.3">
      <c r="A10" s="33"/>
      <c r="B10" s="32"/>
      <c r="C10" s="34"/>
    </row>
    <row r="11" spans="1:3" ht="15" thickBot="1" x14ac:dyDescent="0.35">
      <c r="A11" s="5" t="s">
        <v>4</v>
      </c>
      <c r="B11" s="6">
        <f>SUM(B5:B10)</f>
        <v>0</v>
      </c>
    </row>
    <row r="12" spans="1:3" ht="15" thickBot="1" x14ac:dyDescent="0.35">
      <c r="A12" s="29" t="s">
        <v>5</v>
      </c>
      <c r="B12" s="30"/>
      <c r="C12" s="31"/>
    </row>
    <row r="13" spans="1:3" s="16" customFormat="1" ht="28.2" customHeight="1" x14ac:dyDescent="0.3">
      <c r="A13" s="13"/>
      <c r="B13" s="15"/>
      <c r="C13" s="14"/>
    </row>
    <row r="14" spans="1:3" s="16" customFormat="1" ht="28.2" customHeight="1" x14ac:dyDescent="0.3">
      <c r="A14" s="13"/>
      <c r="B14" s="15"/>
      <c r="C14" s="14"/>
    </row>
    <row r="15" spans="1:3" s="16" customFormat="1" ht="28.2" customHeight="1" x14ac:dyDescent="0.3">
      <c r="A15" s="13"/>
      <c r="B15" s="15"/>
      <c r="C15" s="14"/>
    </row>
    <row r="16" spans="1:3" s="16" customFormat="1" ht="28.2" customHeight="1" x14ac:dyDescent="0.3">
      <c r="A16" s="13"/>
      <c r="B16" s="15"/>
      <c r="C16" s="14"/>
    </row>
    <row r="17" spans="1:5" s="16" customFormat="1" ht="28.2" customHeight="1" x14ac:dyDescent="0.3">
      <c r="A17" s="13"/>
      <c r="B17" s="15"/>
      <c r="C17" s="14"/>
    </row>
    <row r="18" spans="1:5" s="16" customFormat="1" ht="28.2" customHeight="1" x14ac:dyDescent="0.3">
      <c r="A18" s="13"/>
      <c r="B18" s="15"/>
      <c r="C18" s="14"/>
    </row>
    <row r="19" spans="1:5" s="16" customFormat="1" ht="28.2" customHeight="1" x14ac:dyDescent="0.3">
      <c r="A19" s="13"/>
      <c r="B19" s="15"/>
      <c r="C19" s="14"/>
    </row>
    <row r="20" spans="1:5" s="16" customFormat="1" ht="28.2" customHeight="1" x14ac:dyDescent="0.3">
      <c r="A20" s="13"/>
      <c r="B20" s="15"/>
      <c r="C20" s="14"/>
    </row>
    <row r="21" spans="1:5" s="16" customFormat="1" ht="28.2" customHeight="1" x14ac:dyDescent="0.3">
      <c r="A21" s="13"/>
      <c r="B21" s="15"/>
      <c r="C21" s="14"/>
    </row>
    <row r="22" spans="1:5" s="16" customFormat="1" ht="28.2" customHeight="1" x14ac:dyDescent="0.3">
      <c r="A22" s="13"/>
      <c r="B22" s="15"/>
      <c r="C22" s="14"/>
    </row>
    <row r="23" spans="1:5" s="16" customFormat="1" ht="28.2" customHeight="1" x14ac:dyDescent="0.3">
      <c r="A23" s="13"/>
      <c r="B23" s="15"/>
      <c r="C23" s="14"/>
    </row>
    <row r="24" spans="1:5" x14ac:dyDescent="0.3">
      <c r="A24" s="5" t="s">
        <v>6</v>
      </c>
      <c r="B24" s="18">
        <f>SUM(B13:B23)</f>
        <v>0</v>
      </c>
      <c r="C24" s="3"/>
    </row>
    <row r="25" spans="1:5" ht="9.75" customHeight="1" x14ac:dyDescent="0.3"/>
    <row r="26" spans="1:5" x14ac:dyDescent="0.3">
      <c r="A26" s="7" t="s">
        <v>7</v>
      </c>
      <c r="B26" s="17">
        <f>+B11+B24</f>
        <v>0</v>
      </c>
    </row>
    <row r="27" spans="1:5" ht="8.25" customHeight="1" x14ac:dyDescent="0.3"/>
    <row r="28" spans="1:5" x14ac:dyDescent="0.3">
      <c r="A28" s="10" t="s">
        <v>8</v>
      </c>
      <c r="B28" s="21">
        <v>206706.53</v>
      </c>
    </row>
    <row r="29" spans="1:5" ht="7.5" customHeight="1" x14ac:dyDescent="0.3">
      <c r="B29" s="11"/>
    </row>
    <row r="30" spans="1:5" x14ac:dyDescent="0.3">
      <c r="A30" s="19" t="s">
        <v>10</v>
      </c>
      <c r="B30" s="20">
        <f>+B28-B26</f>
        <v>206706.53</v>
      </c>
    </row>
    <row r="31" spans="1:5" x14ac:dyDescent="0.3">
      <c r="B31" s="11"/>
    </row>
    <row r="32" spans="1:5" x14ac:dyDescent="0.3">
      <c r="D32" s="12"/>
      <c r="E32" s="4"/>
    </row>
    <row r="33" spans="2:5" x14ac:dyDescent="0.3">
      <c r="B33" s="4"/>
      <c r="D33" s="12"/>
      <c r="E33" s="4"/>
    </row>
    <row r="34" spans="2:5" x14ac:dyDescent="0.3">
      <c r="B34" s="8"/>
      <c r="C34" s="11"/>
      <c r="D34" s="12"/>
      <c r="E34" s="4"/>
    </row>
    <row r="35" spans="2:5" x14ac:dyDescent="0.3">
      <c r="B35" s="8"/>
      <c r="D35" s="12"/>
      <c r="E35" s="4"/>
    </row>
    <row r="36" spans="2:5" x14ac:dyDescent="0.3">
      <c r="B36" s="8"/>
      <c r="D36" s="12"/>
      <c r="E36" s="4"/>
    </row>
    <row r="37" spans="2:5" x14ac:dyDescent="0.3">
      <c r="B37" s="8"/>
      <c r="D37" s="12"/>
      <c r="E37" s="4"/>
    </row>
    <row r="38" spans="2:5" x14ac:dyDescent="0.3">
      <c r="B38" s="8"/>
      <c r="D38" s="12"/>
      <c r="E38" s="4"/>
    </row>
    <row r="39" spans="2:5" x14ac:dyDescent="0.3">
      <c r="B39" s="8"/>
      <c r="D39" s="12"/>
      <c r="E39" s="4"/>
    </row>
    <row r="40" spans="2:5" x14ac:dyDescent="0.3">
      <c r="B40" s="8"/>
      <c r="D40" s="12"/>
      <c r="E40" s="4"/>
    </row>
    <row r="41" spans="2:5" x14ac:dyDescent="0.3">
      <c r="E41" s="11"/>
    </row>
    <row r="42" spans="2:5" x14ac:dyDescent="0.3">
      <c r="B42" s="11"/>
    </row>
    <row r="45" spans="2:5" x14ac:dyDescent="0.3">
      <c r="B45" s="4"/>
    </row>
    <row r="46" spans="2:5" x14ac:dyDescent="0.3">
      <c r="B46" s="8"/>
    </row>
    <row r="47" spans="2:5" x14ac:dyDescent="0.3">
      <c r="B47" s="8"/>
    </row>
    <row r="48" spans="2:5" x14ac:dyDescent="0.3">
      <c r="B48" s="8"/>
    </row>
    <row r="49" spans="2:2" x14ac:dyDescent="0.3">
      <c r="B49" s="8"/>
    </row>
    <row r="50" spans="2:2" x14ac:dyDescent="0.3">
      <c r="B50" s="8"/>
    </row>
    <row r="51" spans="2:2" x14ac:dyDescent="0.3">
      <c r="B51" s="8"/>
    </row>
    <row r="52" spans="2:2" x14ac:dyDescent="0.3">
      <c r="B52" s="8"/>
    </row>
    <row r="54" spans="2:2" x14ac:dyDescent="0.3">
      <c r="B54" s="11"/>
    </row>
    <row r="55" spans="2:2" x14ac:dyDescent="0.3">
      <c r="B55" s="11"/>
    </row>
    <row r="56" spans="2:2" x14ac:dyDescent="0.3">
      <c r="B56" s="11"/>
    </row>
  </sheetData>
  <mergeCells count="3">
    <mergeCell ref="A1:C2"/>
    <mergeCell ref="A3:C3"/>
    <mergeCell ref="A12:C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opLeftCell="A16" zoomScale="110" zoomScaleNormal="110" workbookViewId="0">
      <selection activeCell="A3" sqref="A3:C3"/>
    </sheetView>
  </sheetViews>
  <sheetFormatPr baseColWidth="10" defaultRowHeight="14.4" x14ac:dyDescent="0.3"/>
  <cols>
    <col min="1" max="1" width="26.109375" customWidth="1"/>
    <col min="2" max="2" width="30.6640625" customWidth="1"/>
    <col min="3" max="3" width="49" customWidth="1"/>
    <col min="5" max="5" width="12.6640625" bestFit="1" customWidth="1"/>
  </cols>
  <sheetData>
    <row r="1" spans="1:3" x14ac:dyDescent="0.3">
      <c r="A1" s="23" t="s">
        <v>28</v>
      </c>
      <c r="B1" s="24"/>
      <c r="C1" s="25"/>
    </row>
    <row r="2" spans="1:3" ht="15" thickBot="1" x14ac:dyDescent="0.35">
      <c r="A2" s="26"/>
      <c r="B2" s="27"/>
      <c r="C2" s="28"/>
    </row>
    <row r="3" spans="1:3" ht="15" thickBot="1" x14ac:dyDescent="0.35">
      <c r="A3" s="29" t="s">
        <v>0</v>
      </c>
      <c r="B3" s="30"/>
      <c r="C3" s="31"/>
    </row>
    <row r="4" spans="1:3" x14ac:dyDescent="0.3">
      <c r="A4" s="1" t="s">
        <v>1</v>
      </c>
      <c r="B4" s="2" t="s">
        <v>2</v>
      </c>
      <c r="C4" s="2" t="s">
        <v>3</v>
      </c>
    </row>
    <row r="5" spans="1:3" ht="19.95" customHeight="1" x14ac:dyDescent="0.3">
      <c r="A5" s="3"/>
      <c r="B5" s="4"/>
      <c r="C5" s="9"/>
    </row>
    <row r="6" spans="1:3" ht="19.95" customHeight="1" x14ac:dyDescent="0.3">
      <c r="A6" s="3"/>
      <c r="B6" s="4"/>
      <c r="C6" s="9"/>
    </row>
    <row r="7" spans="1:3" ht="19.95" customHeight="1" x14ac:dyDescent="0.3">
      <c r="A7" s="3"/>
      <c r="B7" s="4"/>
      <c r="C7" s="9"/>
    </row>
    <row r="8" spans="1:3" ht="19.95" customHeight="1" x14ac:dyDescent="0.3">
      <c r="A8" s="3"/>
      <c r="B8" s="4"/>
      <c r="C8" s="9"/>
    </row>
    <row r="9" spans="1:3" ht="19.95" customHeight="1" x14ac:dyDescent="0.3">
      <c r="A9" s="3"/>
      <c r="B9" s="4"/>
      <c r="C9" s="9"/>
    </row>
    <row r="10" spans="1:3" ht="19.95" customHeight="1" x14ac:dyDescent="0.3">
      <c r="A10" s="3"/>
      <c r="B10" s="32"/>
      <c r="C10" s="9"/>
    </row>
    <row r="11" spans="1:3" ht="15" thickBot="1" x14ac:dyDescent="0.35">
      <c r="A11" s="5" t="s">
        <v>4</v>
      </c>
      <c r="B11" s="6">
        <f>SUM(B5:B10)</f>
        <v>0</v>
      </c>
    </row>
    <row r="12" spans="1:3" ht="15" thickBot="1" x14ac:dyDescent="0.35">
      <c r="A12" s="29" t="s">
        <v>5</v>
      </c>
      <c r="B12" s="30"/>
      <c r="C12" s="31"/>
    </row>
    <row r="13" spans="1:3" s="16" customFormat="1" ht="28.2" customHeight="1" x14ac:dyDescent="0.3">
      <c r="A13" s="13"/>
      <c r="B13" s="15"/>
      <c r="C13" s="14"/>
    </row>
    <row r="14" spans="1:3" s="16" customFormat="1" ht="28.2" customHeight="1" x14ac:dyDescent="0.3">
      <c r="A14" s="13"/>
      <c r="B14" s="15"/>
      <c r="C14" s="14"/>
    </row>
    <row r="15" spans="1:3" s="16" customFormat="1" ht="28.2" customHeight="1" x14ac:dyDescent="0.3">
      <c r="A15" s="13"/>
      <c r="B15" s="15"/>
      <c r="C15" s="14"/>
    </row>
    <row r="16" spans="1:3" s="16" customFormat="1" ht="28.2" customHeight="1" x14ac:dyDescent="0.3">
      <c r="A16" s="13"/>
      <c r="B16" s="15"/>
      <c r="C16" s="14"/>
    </row>
    <row r="17" spans="1:5" s="16" customFormat="1" ht="28.2" customHeight="1" x14ac:dyDescent="0.3">
      <c r="A17" s="13"/>
      <c r="B17" s="15"/>
      <c r="C17" s="14"/>
    </row>
    <row r="18" spans="1:5" s="16" customFormat="1" ht="28.2" customHeight="1" x14ac:dyDescent="0.3">
      <c r="A18" s="13"/>
      <c r="B18" s="15"/>
      <c r="C18" s="14"/>
    </row>
    <row r="19" spans="1:5" s="16" customFormat="1" ht="28.2" customHeight="1" x14ac:dyDescent="0.3">
      <c r="A19" s="13"/>
      <c r="B19" s="15"/>
      <c r="C19" s="14"/>
    </row>
    <row r="20" spans="1:5" s="16" customFormat="1" ht="28.2" customHeight="1" x14ac:dyDescent="0.3">
      <c r="A20" s="13"/>
      <c r="B20" s="15"/>
      <c r="C20" s="14"/>
    </row>
    <row r="21" spans="1:5" s="16" customFormat="1" ht="28.2" customHeight="1" x14ac:dyDescent="0.3">
      <c r="A21" s="13"/>
      <c r="B21" s="15"/>
      <c r="C21" s="14"/>
    </row>
    <row r="22" spans="1:5" s="16" customFormat="1" ht="28.2" customHeight="1" x14ac:dyDescent="0.3">
      <c r="A22" s="13"/>
      <c r="B22" s="15"/>
      <c r="C22" s="14"/>
    </row>
    <row r="23" spans="1:5" s="16" customFormat="1" ht="28.2" customHeight="1" x14ac:dyDescent="0.3">
      <c r="A23" s="13"/>
      <c r="B23" s="15"/>
      <c r="C23" s="14"/>
    </row>
    <row r="24" spans="1:5" x14ac:dyDescent="0.3">
      <c r="A24" s="5" t="s">
        <v>6</v>
      </c>
      <c r="B24" s="18">
        <f>SUM(B13:B23)</f>
        <v>0</v>
      </c>
      <c r="C24" s="3"/>
    </row>
    <row r="25" spans="1:5" ht="9.75" customHeight="1" x14ac:dyDescent="0.3"/>
    <row r="26" spans="1:5" x14ac:dyDescent="0.3">
      <c r="A26" s="7" t="s">
        <v>7</v>
      </c>
      <c r="B26" s="17">
        <f>+B11+B24</f>
        <v>0</v>
      </c>
    </row>
    <row r="27" spans="1:5" ht="8.25" customHeight="1" x14ac:dyDescent="0.3"/>
    <row r="28" spans="1:5" x14ac:dyDescent="0.3">
      <c r="A28" s="10" t="s">
        <v>8</v>
      </c>
      <c r="B28" s="21">
        <v>206706.53</v>
      </c>
    </row>
    <row r="29" spans="1:5" ht="7.5" customHeight="1" x14ac:dyDescent="0.3">
      <c r="B29" s="11"/>
    </row>
    <row r="30" spans="1:5" x14ac:dyDescent="0.3">
      <c r="A30" s="19" t="s">
        <v>10</v>
      </c>
      <c r="B30" s="20">
        <f>+B28-B26</f>
        <v>206706.53</v>
      </c>
    </row>
    <row r="31" spans="1:5" x14ac:dyDescent="0.3">
      <c r="B31" s="11"/>
    </row>
    <row r="32" spans="1:5" x14ac:dyDescent="0.3">
      <c r="D32" s="12"/>
      <c r="E32" s="4"/>
    </row>
    <row r="33" spans="2:5" x14ac:dyDescent="0.3">
      <c r="B33" s="4"/>
      <c r="D33" s="12"/>
      <c r="E33" s="4"/>
    </row>
    <row r="34" spans="2:5" x14ac:dyDescent="0.3">
      <c r="B34" s="8"/>
      <c r="C34" s="11"/>
      <c r="D34" s="12"/>
      <c r="E34" s="4"/>
    </row>
    <row r="35" spans="2:5" x14ac:dyDescent="0.3">
      <c r="B35" s="8"/>
      <c r="D35" s="12"/>
      <c r="E35" s="4"/>
    </row>
    <row r="36" spans="2:5" x14ac:dyDescent="0.3">
      <c r="B36" s="8"/>
      <c r="D36" s="12"/>
      <c r="E36" s="4"/>
    </row>
    <row r="37" spans="2:5" x14ac:dyDescent="0.3">
      <c r="B37" s="8"/>
      <c r="D37" s="12"/>
      <c r="E37" s="4"/>
    </row>
    <row r="38" spans="2:5" x14ac:dyDescent="0.3">
      <c r="B38" s="8"/>
      <c r="D38" s="12"/>
      <c r="E38" s="4"/>
    </row>
    <row r="39" spans="2:5" x14ac:dyDescent="0.3">
      <c r="B39" s="8"/>
      <c r="D39" s="12"/>
      <c r="E39" s="4"/>
    </row>
    <row r="40" spans="2:5" x14ac:dyDescent="0.3">
      <c r="B40" s="8"/>
      <c r="D40" s="12"/>
      <c r="E40" s="4"/>
    </row>
    <row r="41" spans="2:5" x14ac:dyDescent="0.3">
      <c r="E41" s="11"/>
    </row>
    <row r="42" spans="2:5" x14ac:dyDescent="0.3">
      <c r="B42" s="11"/>
    </row>
    <row r="45" spans="2:5" x14ac:dyDescent="0.3">
      <c r="B45" s="4"/>
    </row>
    <row r="46" spans="2:5" x14ac:dyDescent="0.3">
      <c r="B46" s="8"/>
    </row>
    <row r="47" spans="2:5" x14ac:dyDescent="0.3">
      <c r="B47" s="8"/>
    </row>
    <row r="48" spans="2:5" x14ac:dyDescent="0.3">
      <c r="B48" s="8"/>
    </row>
    <row r="49" spans="2:2" x14ac:dyDescent="0.3">
      <c r="B49" s="8"/>
    </row>
    <row r="50" spans="2:2" x14ac:dyDescent="0.3">
      <c r="B50" s="8"/>
    </row>
    <row r="51" spans="2:2" x14ac:dyDescent="0.3">
      <c r="B51" s="8"/>
    </row>
    <row r="52" spans="2:2" x14ac:dyDescent="0.3">
      <c r="B52" s="8"/>
    </row>
    <row r="54" spans="2:2" x14ac:dyDescent="0.3">
      <c r="B54" s="11"/>
    </row>
    <row r="55" spans="2:2" x14ac:dyDescent="0.3">
      <c r="B55" s="11"/>
    </row>
    <row r="56" spans="2:2" x14ac:dyDescent="0.3">
      <c r="B56" s="11"/>
    </row>
  </sheetData>
  <mergeCells count="3">
    <mergeCell ref="A1:C2"/>
    <mergeCell ref="A3:C3"/>
    <mergeCell ref="A12:C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zoomScale="110" zoomScaleNormal="110" workbookViewId="0">
      <selection activeCell="A3" sqref="A3:C3"/>
    </sheetView>
  </sheetViews>
  <sheetFormatPr baseColWidth="10" defaultRowHeight="14.4" x14ac:dyDescent="0.3"/>
  <cols>
    <col min="1" max="1" width="26.109375" customWidth="1"/>
    <col min="2" max="2" width="30.6640625" customWidth="1"/>
    <col min="3" max="3" width="49" customWidth="1"/>
    <col min="5" max="5" width="12.6640625" bestFit="1" customWidth="1"/>
  </cols>
  <sheetData>
    <row r="1" spans="1:3" x14ac:dyDescent="0.3">
      <c r="A1" s="23" t="s">
        <v>29</v>
      </c>
      <c r="B1" s="24"/>
      <c r="C1" s="25"/>
    </row>
    <row r="2" spans="1:3" ht="15" thickBot="1" x14ac:dyDescent="0.35">
      <c r="A2" s="26"/>
      <c r="B2" s="27"/>
      <c r="C2" s="28"/>
    </row>
    <row r="3" spans="1:3" ht="15" thickBot="1" x14ac:dyDescent="0.35">
      <c r="A3" s="29" t="s">
        <v>0</v>
      </c>
      <c r="B3" s="30"/>
      <c r="C3" s="31"/>
    </row>
    <row r="4" spans="1:3" x14ac:dyDescent="0.3">
      <c r="A4" s="1" t="s">
        <v>1</v>
      </c>
      <c r="B4" s="2" t="s">
        <v>2</v>
      </c>
      <c r="C4" s="2" t="s">
        <v>3</v>
      </c>
    </row>
    <row r="5" spans="1:3" ht="19.95" customHeight="1" x14ac:dyDescent="0.3">
      <c r="A5" s="3"/>
      <c r="B5" s="4"/>
      <c r="C5" s="9"/>
    </row>
    <row r="6" spans="1:3" ht="19.95" customHeight="1" x14ac:dyDescent="0.3">
      <c r="A6" s="3"/>
      <c r="B6" s="4"/>
      <c r="C6" s="9"/>
    </row>
    <row r="7" spans="1:3" ht="19.95" customHeight="1" x14ac:dyDescent="0.3">
      <c r="A7" s="3"/>
      <c r="B7" s="4"/>
      <c r="C7" s="9"/>
    </row>
    <row r="8" spans="1:3" ht="19.95" customHeight="1" x14ac:dyDescent="0.3">
      <c r="A8" s="3"/>
      <c r="B8" s="4"/>
      <c r="C8" s="9"/>
    </row>
    <row r="9" spans="1:3" ht="19.95" customHeight="1" x14ac:dyDescent="0.3">
      <c r="A9" s="3"/>
      <c r="B9" s="4"/>
      <c r="C9" s="9"/>
    </row>
    <row r="10" spans="1:3" ht="19.95" customHeight="1" x14ac:dyDescent="0.3">
      <c r="A10" s="3"/>
      <c r="B10" s="32"/>
      <c r="C10" s="9"/>
    </row>
    <row r="11" spans="1:3" ht="15" thickBot="1" x14ac:dyDescent="0.35">
      <c r="A11" s="5" t="s">
        <v>4</v>
      </c>
      <c r="B11" s="6">
        <f>SUM(B5:B10)</f>
        <v>0</v>
      </c>
    </row>
    <row r="12" spans="1:3" ht="15" thickBot="1" x14ac:dyDescent="0.35">
      <c r="A12" s="29" t="s">
        <v>5</v>
      </c>
      <c r="B12" s="30"/>
      <c r="C12" s="31"/>
    </row>
    <row r="13" spans="1:3" s="16" customFormat="1" ht="28.2" customHeight="1" x14ac:dyDescent="0.3">
      <c r="A13" s="13"/>
      <c r="B13" s="15"/>
      <c r="C13" s="14"/>
    </row>
    <row r="14" spans="1:3" s="16" customFormat="1" ht="28.2" customHeight="1" x14ac:dyDescent="0.3">
      <c r="A14" s="13"/>
      <c r="B14" s="15"/>
      <c r="C14" s="14"/>
    </row>
    <row r="15" spans="1:3" s="16" customFormat="1" ht="28.2" customHeight="1" x14ac:dyDescent="0.3">
      <c r="A15" s="13"/>
      <c r="B15" s="15"/>
      <c r="C15" s="14"/>
    </row>
    <row r="16" spans="1:3" s="16" customFormat="1" ht="28.2" customHeight="1" x14ac:dyDescent="0.3">
      <c r="A16" s="13"/>
      <c r="B16" s="15"/>
      <c r="C16" s="14"/>
    </row>
    <row r="17" spans="1:5" s="16" customFormat="1" ht="28.2" customHeight="1" x14ac:dyDescent="0.3">
      <c r="A17" s="13"/>
      <c r="B17" s="15"/>
      <c r="C17" s="14"/>
    </row>
    <row r="18" spans="1:5" s="16" customFormat="1" ht="28.2" customHeight="1" x14ac:dyDescent="0.3">
      <c r="A18" s="13"/>
      <c r="B18" s="15"/>
      <c r="C18" s="14"/>
    </row>
    <row r="19" spans="1:5" s="16" customFormat="1" ht="28.2" customHeight="1" x14ac:dyDescent="0.3">
      <c r="A19" s="13"/>
      <c r="B19" s="15"/>
      <c r="C19" s="14"/>
    </row>
    <row r="20" spans="1:5" s="16" customFormat="1" ht="28.2" customHeight="1" x14ac:dyDescent="0.3">
      <c r="A20" s="13"/>
      <c r="B20" s="15"/>
      <c r="C20" s="14"/>
    </row>
    <row r="21" spans="1:5" s="16" customFormat="1" ht="28.2" customHeight="1" x14ac:dyDescent="0.3">
      <c r="A21" s="13"/>
      <c r="B21" s="15"/>
      <c r="C21" s="14"/>
    </row>
    <row r="22" spans="1:5" s="16" customFormat="1" ht="28.2" customHeight="1" x14ac:dyDescent="0.3">
      <c r="A22" s="13"/>
      <c r="B22" s="15"/>
      <c r="C22" s="14"/>
    </row>
    <row r="23" spans="1:5" s="16" customFormat="1" ht="28.2" customHeight="1" x14ac:dyDescent="0.3">
      <c r="A23" s="13"/>
      <c r="B23" s="15"/>
      <c r="C23" s="14"/>
    </row>
    <row r="24" spans="1:5" x14ac:dyDescent="0.3">
      <c r="A24" s="5" t="s">
        <v>6</v>
      </c>
      <c r="B24" s="18">
        <f>SUM(B13:B23)</f>
        <v>0</v>
      </c>
      <c r="C24" s="3"/>
    </row>
    <row r="25" spans="1:5" ht="9.75" customHeight="1" x14ac:dyDescent="0.3"/>
    <row r="26" spans="1:5" x14ac:dyDescent="0.3">
      <c r="A26" s="7" t="s">
        <v>7</v>
      </c>
      <c r="B26" s="17">
        <f>+B11+B24</f>
        <v>0</v>
      </c>
    </row>
    <row r="27" spans="1:5" ht="8.25" customHeight="1" x14ac:dyDescent="0.3"/>
    <row r="28" spans="1:5" x14ac:dyDescent="0.3">
      <c r="A28" s="10" t="s">
        <v>8</v>
      </c>
      <c r="B28" s="21">
        <v>206706.53</v>
      </c>
    </row>
    <row r="29" spans="1:5" ht="7.5" customHeight="1" x14ac:dyDescent="0.3">
      <c r="B29" s="11"/>
    </row>
    <row r="30" spans="1:5" x14ac:dyDescent="0.3">
      <c r="A30" s="19" t="s">
        <v>10</v>
      </c>
      <c r="B30" s="20">
        <f>+B28-B26</f>
        <v>206706.53</v>
      </c>
    </row>
    <row r="31" spans="1:5" x14ac:dyDescent="0.3">
      <c r="B31" s="11"/>
    </row>
    <row r="32" spans="1:5" x14ac:dyDescent="0.3">
      <c r="D32" s="12"/>
      <c r="E32" s="4"/>
    </row>
    <row r="33" spans="2:5" x14ac:dyDescent="0.3">
      <c r="B33" s="4"/>
      <c r="D33" s="12"/>
      <c r="E33" s="4"/>
    </row>
    <row r="34" spans="2:5" x14ac:dyDescent="0.3">
      <c r="B34" s="8"/>
      <c r="C34" s="11"/>
      <c r="D34" s="12"/>
      <c r="E34" s="4"/>
    </row>
    <row r="35" spans="2:5" x14ac:dyDescent="0.3">
      <c r="B35" s="8"/>
      <c r="D35" s="12"/>
      <c r="E35" s="4"/>
    </row>
    <row r="36" spans="2:5" x14ac:dyDescent="0.3">
      <c r="B36" s="8"/>
      <c r="D36" s="12"/>
      <c r="E36" s="4"/>
    </row>
    <row r="37" spans="2:5" x14ac:dyDescent="0.3">
      <c r="B37" s="8"/>
      <c r="D37" s="12"/>
      <c r="E37" s="4"/>
    </row>
    <row r="38" spans="2:5" x14ac:dyDescent="0.3">
      <c r="B38" s="8"/>
      <c r="D38" s="12"/>
      <c r="E38" s="4"/>
    </row>
    <row r="39" spans="2:5" x14ac:dyDescent="0.3">
      <c r="B39" s="8"/>
      <c r="D39" s="12"/>
      <c r="E39" s="4"/>
    </row>
    <row r="40" spans="2:5" x14ac:dyDescent="0.3">
      <c r="B40" s="8"/>
      <c r="D40" s="12"/>
      <c r="E40" s="4"/>
    </row>
    <row r="41" spans="2:5" x14ac:dyDescent="0.3">
      <c r="E41" s="11"/>
    </row>
    <row r="42" spans="2:5" x14ac:dyDescent="0.3">
      <c r="B42" s="11"/>
    </row>
    <row r="45" spans="2:5" x14ac:dyDescent="0.3">
      <c r="B45" s="4"/>
    </row>
    <row r="46" spans="2:5" x14ac:dyDescent="0.3">
      <c r="B46" s="8"/>
    </row>
    <row r="47" spans="2:5" x14ac:dyDescent="0.3">
      <c r="B47" s="8"/>
    </row>
    <row r="48" spans="2:5" x14ac:dyDescent="0.3">
      <c r="B48" s="8"/>
    </row>
    <row r="49" spans="2:2" x14ac:dyDescent="0.3">
      <c r="B49" s="8"/>
    </row>
    <row r="50" spans="2:2" x14ac:dyDescent="0.3">
      <c r="B50" s="8"/>
    </row>
    <row r="51" spans="2:2" x14ac:dyDescent="0.3">
      <c r="B51" s="8"/>
    </row>
    <row r="52" spans="2:2" x14ac:dyDescent="0.3">
      <c r="B52" s="8"/>
    </row>
    <row r="54" spans="2:2" x14ac:dyDescent="0.3">
      <c r="B54" s="11"/>
    </row>
    <row r="55" spans="2:2" x14ac:dyDescent="0.3">
      <c r="B55" s="11"/>
    </row>
    <row r="56" spans="2:2" x14ac:dyDescent="0.3">
      <c r="B56" s="11"/>
    </row>
  </sheetData>
  <mergeCells count="3">
    <mergeCell ref="A1:C2"/>
    <mergeCell ref="A3:C3"/>
    <mergeCell ref="A12:C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zoomScale="110" zoomScaleNormal="110" workbookViewId="0">
      <selection activeCell="A3" sqref="A3:C3"/>
    </sheetView>
  </sheetViews>
  <sheetFormatPr baseColWidth="10" defaultRowHeight="14.4" x14ac:dyDescent="0.3"/>
  <cols>
    <col min="1" max="1" width="26.109375" customWidth="1"/>
    <col min="2" max="2" width="30.6640625" customWidth="1"/>
    <col min="3" max="3" width="49" customWidth="1"/>
    <col min="5" max="5" width="12.6640625" bestFit="1" customWidth="1"/>
  </cols>
  <sheetData>
    <row r="1" spans="1:3" x14ac:dyDescent="0.3">
      <c r="A1" s="23" t="s">
        <v>30</v>
      </c>
      <c r="B1" s="24"/>
      <c r="C1" s="25"/>
    </row>
    <row r="2" spans="1:3" ht="15" thickBot="1" x14ac:dyDescent="0.35">
      <c r="A2" s="26"/>
      <c r="B2" s="27"/>
      <c r="C2" s="28"/>
    </row>
    <row r="3" spans="1:3" ht="15" thickBot="1" x14ac:dyDescent="0.35">
      <c r="A3" s="29" t="s">
        <v>0</v>
      </c>
      <c r="B3" s="30"/>
      <c r="C3" s="31"/>
    </row>
    <row r="4" spans="1:3" x14ac:dyDescent="0.3">
      <c r="A4" s="1" t="s">
        <v>1</v>
      </c>
      <c r="B4" s="2" t="s">
        <v>2</v>
      </c>
      <c r="C4" s="2" t="s">
        <v>3</v>
      </c>
    </row>
    <row r="5" spans="1:3" ht="19.95" customHeight="1" x14ac:dyDescent="0.3">
      <c r="A5" s="3"/>
      <c r="B5" s="4"/>
      <c r="C5" s="9"/>
    </row>
    <row r="6" spans="1:3" ht="19.95" customHeight="1" x14ac:dyDescent="0.3">
      <c r="A6" s="3"/>
      <c r="B6" s="4"/>
      <c r="C6" s="9"/>
    </row>
    <row r="7" spans="1:3" ht="19.95" customHeight="1" x14ac:dyDescent="0.3">
      <c r="A7" s="3"/>
      <c r="B7" s="4"/>
      <c r="C7" s="9"/>
    </row>
    <row r="8" spans="1:3" ht="19.95" customHeight="1" x14ac:dyDescent="0.3">
      <c r="A8" s="3"/>
      <c r="B8" s="4"/>
      <c r="C8" s="9"/>
    </row>
    <row r="9" spans="1:3" ht="19.95" customHeight="1" x14ac:dyDescent="0.3">
      <c r="A9" s="3"/>
      <c r="B9" s="4"/>
      <c r="C9" s="9"/>
    </row>
    <row r="10" spans="1:3" ht="19.95" customHeight="1" x14ac:dyDescent="0.3">
      <c r="A10" s="3"/>
      <c r="B10" s="32"/>
      <c r="C10" s="9"/>
    </row>
    <row r="11" spans="1:3" ht="15" thickBot="1" x14ac:dyDescent="0.35">
      <c r="A11" s="5" t="s">
        <v>4</v>
      </c>
      <c r="B11" s="6">
        <f>SUM(B5:B10)</f>
        <v>0</v>
      </c>
    </row>
    <row r="12" spans="1:3" ht="15" thickBot="1" x14ac:dyDescent="0.35">
      <c r="A12" s="29" t="s">
        <v>5</v>
      </c>
      <c r="B12" s="30"/>
      <c r="C12" s="31"/>
    </row>
    <row r="13" spans="1:3" s="16" customFormat="1" ht="28.2" customHeight="1" x14ac:dyDescent="0.3">
      <c r="A13" s="13"/>
      <c r="B13" s="15"/>
      <c r="C13" s="14"/>
    </row>
    <row r="14" spans="1:3" s="16" customFormat="1" ht="28.2" customHeight="1" x14ac:dyDescent="0.3">
      <c r="A14" s="13"/>
      <c r="B14" s="15"/>
      <c r="C14" s="14"/>
    </row>
    <row r="15" spans="1:3" s="16" customFormat="1" ht="28.2" customHeight="1" x14ac:dyDescent="0.3">
      <c r="A15" s="13"/>
      <c r="B15" s="15"/>
      <c r="C15" s="14"/>
    </row>
    <row r="16" spans="1:3" s="16" customFormat="1" ht="28.2" customHeight="1" x14ac:dyDescent="0.3">
      <c r="A16" s="13"/>
      <c r="B16" s="15"/>
      <c r="C16" s="14"/>
    </row>
    <row r="17" spans="1:5" s="16" customFormat="1" ht="28.2" customHeight="1" x14ac:dyDescent="0.3">
      <c r="A17" s="13"/>
      <c r="B17" s="15"/>
      <c r="C17" s="14"/>
    </row>
    <row r="18" spans="1:5" s="16" customFormat="1" ht="28.2" customHeight="1" x14ac:dyDescent="0.3">
      <c r="A18" s="13"/>
      <c r="B18" s="15"/>
      <c r="C18" s="14"/>
    </row>
    <row r="19" spans="1:5" s="16" customFormat="1" ht="28.2" customHeight="1" x14ac:dyDescent="0.3">
      <c r="A19" s="13"/>
      <c r="B19" s="15"/>
      <c r="C19" s="14"/>
    </row>
    <row r="20" spans="1:5" s="16" customFormat="1" ht="28.2" customHeight="1" x14ac:dyDescent="0.3">
      <c r="A20" s="13"/>
      <c r="B20" s="15"/>
      <c r="C20" s="14"/>
    </row>
    <row r="21" spans="1:5" s="16" customFormat="1" ht="28.2" customHeight="1" x14ac:dyDescent="0.3">
      <c r="A21" s="13"/>
      <c r="B21" s="15"/>
      <c r="C21" s="14"/>
    </row>
    <row r="22" spans="1:5" s="16" customFormat="1" ht="28.2" customHeight="1" x14ac:dyDescent="0.3">
      <c r="A22" s="13"/>
      <c r="B22" s="15"/>
      <c r="C22" s="14"/>
    </row>
    <row r="23" spans="1:5" s="16" customFormat="1" ht="28.2" customHeight="1" x14ac:dyDescent="0.3">
      <c r="A23" s="13"/>
      <c r="B23" s="15"/>
      <c r="C23" s="14"/>
    </row>
    <row r="24" spans="1:5" x14ac:dyDescent="0.3">
      <c r="A24" s="5" t="s">
        <v>6</v>
      </c>
      <c r="B24" s="18">
        <f>SUM(B13:B23)</f>
        <v>0</v>
      </c>
      <c r="C24" s="3"/>
    </row>
    <row r="25" spans="1:5" ht="9.75" customHeight="1" x14ac:dyDescent="0.3"/>
    <row r="26" spans="1:5" x14ac:dyDescent="0.3">
      <c r="A26" s="7" t="s">
        <v>7</v>
      </c>
      <c r="B26" s="17">
        <f>+B11+B24</f>
        <v>0</v>
      </c>
    </row>
    <row r="27" spans="1:5" ht="8.25" customHeight="1" x14ac:dyDescent="0.3"/>
    <row r="28" spans="1:5" x14ac:dyDescent="0.3">
      <c r="A28" s="10" t="s">
        <v>8</v>
      </c>
      <c r="B28" s="21">
        <v>206706.53</v>
      </c>
    </row>
    <row r="29" spans="1:5" ht="7.5" customHeight="1" x14ac:dyDescent="0.3">
      <c r="B29" s="11"/>
    </row>
    <row r="30" spans="1:5" x14ac:dyDescent="0.3">
      <c r="A30" s="19" t="s">
        <v>10</v>
      </c>
      <c r="B30" s="20">
        <f>+B28-B26</f>
        <v>206706.53</v>
      </c>
    </row>
    <row r="31" spans="1:5" x14ac:dyDescent="0.3">
      <c r="B31" s="11"/>
    </row>
    <row r="32" spans="1:5" x14ac:dyDescent="0.3">
      <c r="D32" s="12"/>
      <c r="E32" s="4"/>
    </row>
    <row r="33" spans="2:5" x14ac:dyDescent="0.3">
      <c r="B33" s="4"/>
      <c r="D33" s="12"/>
      <c r="E33" s="4"/>
    </row>
    <row r="34" spans="2:5" x14ac:dyDescent="0.3">
      <c r="B34" s="8"/>
      <c r="C34" s="11"/>
      <c r="D34" s="12"/>
      <c r="E34" s="4"/>
    </row>
    <row r="35" spans="2:5" x14ac:dyDescent="0.3">
      <c r="B35" s="8"/>
      <c r="D35" s="12"/>
      <c r="E35" s="4"/>
    </row>
    <row r="36" spans="2:5" x14ac:dyDescent="0.3">
      <c r="B36" s="8"/>
      <c r="D36" s="12"/>
      <c r="E36" s="4"/>
    </row>
    <row r="37" spans="2:5" x14ac:dyDescent="0.3">
      <c r="B37" s="8"/>
      <c r="D37" s="12"/>
      <c r="E37" s="4"/>
    </row>
    <row r="38" spans="2:5" x14ac:dyDescent="0.3">
      <c r="B38" s="8"/>
      <c r="D38" s="12"/>
      <c r="E38" s="4"/>
    </row>
    <row r="39" spans="2:5" x14ac:dyDescent="0.3">
      <c r="B39" s="8"/>
      <c r="D39" s="12"/>
      <c r="E39" s="4"/>
    </row>
    <row r="40" spans="2:5" x14ac:dyDescent="0.3">
      <c r="B40" s="8"/>
      <c r="D40" s="12"/>
      <c r="E40" s="4"/>
    </row>
    <row r="41" spans="2:5" x14ac:dyDescent="0.3">
      <c r="E41" s="11"/>
    </row>
    <row r="42" spans="2:5" x14ac:dyDescent="0.3">
      <c r="B42" s="11"/>
    </row>
    <row r="45" spans="2:5" x14ac:dyDescent="0.3">
      <c r="B45" s="4"/>
    </row>
    <row r="46" spans="2:5" x14ac:dyDescent="0.3">
      <c r="B46" s="8"/>
    </row>
    <row r="47" spans="2:5" x14ac:dyDescent="0.3">
      <c r="B47" s="8"/>
    </row>
    <row r="48" spans="2:5" x14ac:dyDescent="0.3">
      <c r="B48" s="8"/>
    </row>
    <row r="49" spans="2:2" x14ac:dyDescent="0.3">
      <c r="B49" s="8"/>
    </row>
    <row r="50" spans="2:2" x14ac:dyDescent="0.3">
      <c r="B50" s="8"/>
    </row>
    <row r="51" spans="2:2" x14ac:dyDescent="0.3">
      <c r="B51" s="8"/>
    </row>
    <row r="52" spans="2:2" x14ac:dyDescent="0.3">
      <c r="B52" s="8"/>
    </row>
    <row r="54" spans="2:2" x14ac:dyDescent="0.3">
      <c r="B54" s="11"/>
    </row>
    <row r="55" spans="2:2" x14ac:dyDescent="0.3">
      <c r="B55" s="11"/>
    </row>
    <row r="56" spans="2:2" x14ac:dyDescent="0.3">
      <c r="B56" s="11"/>
    </row>
  </sheetData>
  <mergeCells count="3">
    <mergeCell ref="A1:C2"/>
    <mergeCell ref="A3:C3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FIMA DICIEMBRE - DOS57</vt:lpstr>
      <vt:lpstr>FIMA ENERO</vt:lpstr>
      <vt:lpstr>FIMA FEBRERO</vt:lpstr>
      <vt:lpstr>FIMA MARZO</vt:lpstr>
      <vt:lpstr>FIMA ABRIL</vt:lpstr>
      <vt:lpstr>FIMA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Enjoy</dc:creator>
  <cp:lastModifiedBy>LENOVO</cp:lastModifiedBy>
  <dcterms:created xsi:type="dcterms:W3CDTF">2022-03-09T16:54:57Z</dcterms:created>
  <dcterms:modified xsi:type="dcterms:W3CDTF">2024-04-30T13:13:51Z</dcterms:modified>
</cp:coreProperties>
</file>