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OS57\"/>
    </mc:Choice>
  </mc:AlternateContent>
  <bookViews>
    <workbookView xWindow="0" yWindow="0" windowWidth="23040" windowHeight="9192"/>
  </bookViews>
  <sheets>
    <sheet name="Orden de compra - DOS57" sheetId="4" r:id="rId1"/>
    <sheet name="Orden de compra - ENJOY" sheetId="5" r:id="rId2"/>
    <sheet name="Hoja2" sheetId="6" r:id="rId3"/>
    <sheet name="Orden de compra - DOS57 (2)" sheetId="7" r:id="rId4"/>
  </sheets>
  <externalReferences>
    <externalReference r:id="rId5"/>
  </externalReferences>
  <definedNames>
    <definedName name="_xlnm.Print_Area" localSheetId="0">'Orden de compra - DOS57'!$B$4:$G$45</definedName>
    <definedName name="_xlnm.Print_Area" localSheetId="3">'Orden de compra - DOS57 (2)'!$B$4:$G$36</definedName>
    <definedName name="_xlnm.Print_Area" localSheetId="1">'Orden de compra - ENJOY'!$B$4:$G$45</definedName>
    <definedName name="Comprobantes">'[1]Tabla de Comprobantes'!$A$3:$A$65</definedName>
    <definedName name="PC">'[1]Tabla de Comprobantes'!$E$3:$E$14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7" l="1"/>
  <c r="D30" i="7"/>
  <c r="F44" i="6" l="1"/>
  <c r="E42" i="6"/>
  <c r="C42" i="6"/>
  <c r="E28" i="6"/>
  <c r="E27" i="6"/>
  <c r="G32" i="5"/>
  <c r="G31" i="5"/>
  <c r="G30" i="5"/>
  <c r="G29" i="5"/>
  <c r="G28" i="5"/>
  <c r="G27" i="5"/>
  <c r="G26" i="5"/>
  <c r="G25" i="5"/>
  <c r="G21" i="5"/>
  <c r="G33" i="5" s="1"/>
  <c r="G34" i="5" l="1"/>
  <c r="G35" i="5" s="1"/>
  <c r="G29" i="4"/>
  <c r="G30" i="4"/>
  <c r="G31" i="4"/>
  <c r="G32" i="4"/>
  <c r="G34" i="4" l="1"/>
</calcChain>
</file>

<file path=xl/sharedStrings.xml><?xml version="1.0" encoding="utf-8"?>
<sst xmlns="http://schemas.openxmlformats.org/spreadsheetml/2006/main" count="163" uniqueCount="90">
  <si>
    <t>ARTÍCULO</t>
  </si>
  <si>
    <t>CANTIDAD</t>
  </si>
  <si>
    <t>PRECIO UNITARIO</t>
  </si>
  <si>
    <t>PRECIO TOTAL</t>
  </si>
  <si>
    <t>ORDEN DE COMPRA</t>
  </si>
  <si>
    <t>DOMICILIO</t>
  </si>
  <si>
    <t>FECHA</t>
  </si>
  <si>
    <t>PROVEEDOR</t>
  </si>
  <si>
    <t>ENTREGA</t>
  </si>
  <si>
    <t>PAGO</t>
  </si>
  <si>
    <t>Nº ORDEN</t>
  </si>
  <si>
    <t>CONTACTO</t>
  </si>
  <si>
    <t>TELÉFONO</t>
  </si>
  <si>
    <t xml:space="preserve">Nº </t>
  </si>
  <si>
    <t>TOTAL</t>
  </si>
  <si>
    <t>IVA</t>
  </si>
  <si>
    <t>SUB-TOTAL</t>
  </si>
  <si>
    <t>CIUDAD</t>
  </si>
  <si>
    <t>PLAZO</t>
  </si>
  <si>
    <t>DOS57 SRL</t>
  </si>
  <si>
    <t>CUIT: 30716175061</t>
  </si>
  <si>
    <t>Codigo Postal: 5000</t>
  </si>
  <si>
    <t>Direccion: La Posta 3861 - Cordoba Capital</t>
  </si>
  <si>
    <t>Tel: Administracion 3515177511</t>
  </si>
  <si>
    <t>16022023-0001</t>
  </si>
  <si>
    <t>DIRECCION</t>
  </si>
  <si>
    <t>Envío a domicilio</t>
  </si>
  <si>
    <t>Parque Industrial Polo52</t>
  </si>
  <si>
    <t>30-60-90 dias</t>
  </si>
  <si>
    <t>Echeqs</t>
  </si>
  <si>
    <t>Av circunvalacion Ruta 9, Cordoba</t>
  </si>
  <si>
    <t>Cordoba</t>
  </si>
  <si>
    <t>ENJOY NIGHT PRODUCCION SA</t>
  </si>
  <si>
    <t>CUIT: 30714811963</t>
  </si>
  <si>
    <t>Direccion: Yavi 4250 - Cordoba Capital</t>
  </si>
  <si>
    <t>ORDEN DE PAGO</t>
  </si>
  <si>
    <t>ORDEN N°</t>
  </si>
  <si>
    <t>2021/23</t>
  </si>
  <si>
    <t>PROVEEDOR:</t>
  </si>
  <si>
    <t>IDEADOS S.R.L   30 - 71222819 - 5</t>
  </si>
  <si>
    <t>FECHA:</t>
  </si>
  <si>
    <t>CONCEPTO:</t>
  </si>
  <si>
    <t>DESARROLLO DE LANDING Y JUEGOS DE JUNTOSSOMOSMEJOR</t>
  </si>
  <si>
    <t>FECHA DE FACTURA</t>
  </si>
  <si>
    <t>N° FACTURA</t>
  </si>
  <si>
    <t>IMPORTE TOTAL</t>
  </si>
  <si>
    <t>MEDIO DE PAGO</t>
  </si>
  <si>
    <t>IMPORTE</t>
  </si>
  <si>
    <t>FECHA DE PAGO</t>
  </si>
  <si>
    <t>000200001492</t>
  </si>
  <si>
    <t>ECHEQ N° 0002</t>
  </si>
  <si>
    <t>ECHEQ N° 0003</t>
  </si>
  <si>
    <t>TOTAL A PAGAR</t>
  </si>
  <si>
    <t>TOTAL PAGADO</t>
  </si>
  <si>
    <t>ELABORADO POR:</t>
  </si>
  <si>
    <t>REVISADO POR:</t>
  </si>
  <si>
    <t>AUTORIZADO POR:</t>
  </si>
  <si>
    <t>NOMBRE Y APELLIDO:</t>
  </si>
  <si>
    <t>Patricia Martinez</t>
  </si>
  <si>
    <t>Matias Lorenzati</t>
  </si>
  <si>
    <t>FIRMA</t>
  </si>
  <si>
    <t>N° CLIENTE</t>
  </si>
  <si>
    <t>NOMBRE</t>
  </si>
  <si>
    <t>CUIT</t>
  </si>
  <si>
    <t>BULONERA ROVI</t>
  </si>
  <si>
    <t>+54 9 3515 93-7619</t>
  </si>
  <si>
    <t>Roman Villasana</t>
  </si>
  <si>
    <t>15 dias</t>
  </si>
  <si>
    <t>A01000047725</t>
  </si>
  <si>
    <t>A01000047830</t>
  </si>
  <si>
    <t>A01000047933</t>
  </si>
  <si>
    <t>A01000047971</t>
  </si>
  <si>
    <t>A01000048163</t>
  </si>
  <si>
    <t xml:space="preserve">Retiro en Local </t>
  </si>
  <si>
    <t>Sergio Bibiloni</t>
  </si>
  <si>
    <t>ECHEQ N° 00360</t>
  </si>
  <si>
    <t>1652023-0155</t>
  </si>
  <si>
    <t>00001-000002</t>
  </si>
  <si>
    <t>Centro Acero SRL</t>
  </si>
  <si>
    <t>Ivan</t>
  </si>
  <si>
    <t>3525663011</t>
  </si>
  <si>
    <t>CAÑO EST 60X60X2MM 6MT</t>
  </si>
  <si>
    <t>CAÑO EST 60X60X3,2MM 6MT</t>
  </si>
  <si>
    <t>CAÑO EST 40X40X2MM 6MT</t>
  </si>
  <si>
    <t>CAÑO EST 2´´ X1,6MM 6MT</t>
  </si>
  <si>
    <t>CAÑO EST 7/8´´ X1,6MM 6MT</t>
  </si>
  <si>
    <t>CAÑO EST 50x50 X2MM 6MT</t>
  </si>
  <si>
    <t>PLANCHUELA 2´´ X 3/16´´ X 6MT</t>
  </si>
  <si>
    <t>CHAPA LAC 3/16´´ 1,50X3MT</t>
  </si>
  <si>
    <t>30-45-60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</si>
</sst>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\ #,##0.00;&quot;$&quot;\ #,##0.00;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</font>
    <font>
      <sz val="16"/>
      <color rgb="FF595959"/>
      <name val="Calibri"/>
      <family val="2"/>
      <scheme val="minor"/>
    </font>
    <font>
      <sz val="15"/>
      <color rgb="FF595959"/>
      <name val="Calibri"/>
      <family val="2"/>
      <scheme val="minor"/>
    </font>
    <font>
      <sz val="12"/>
      <color indexed="23"/>
      <name val="Calibri"/>
      <family val="2"/>
    </font>
    <font>
      <sz val="16"/>
      <color rgb="FF595959"/>
      <name val="Calibri"/>
      <family val="2"/>
    </font>
    <font>
      <b/>
      <sz val="16"/>
      <color rgb="FF14BD89"/>
      <name val="Calibri"/>
      <family val="2"/>
      <scheme val="minor"/>
    </font>
    <font>
      <b/>
      <sz val="36"/>
      <color rgb="FF14BD89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sz val="3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rgb="FF59595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FFEF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14BD89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44" fontId="2" fillId="0" borderId="0" applyFont="0" applyFill="0" applyBorder="0" applyAlignment="0" applyProtection="0"/>
    <xf numFmtId="0" fontId="11" fillId="5" borderId="0" applyNumberFormat="0" applyBorder="0" applyAlignment="0" applyProtection="0"/>
    <xf numFmtId="0" fontId="13" fillId="6" borderId="0" applyNumberFormat="0" applyBorder="0" applyAlignment="0" applyProtection="0"/>
    <xf numFmtId="0" fontId="2" fillId="7" borderId="0" applyNumberFormat="0" applyBorder="0" applyAlignment="0" applyProtection="0"/>
  </cellStyleXfs>
  <cellXfs count="100">
    <xf numFmtId="0" fontId="0" fillId="0" borderId="0" xfId="0"/>
    <xf numFmtId="9" fontId="4" fillId="0" borderId="0" xfId="2" applyFont="1" applyBorder="1" applyAlignment="1">
      <alignment horizontal="left"/>
    </xf>
    <xf numFmtId="0" fontId="5" fillId="0" borderId="0" xfId="3" applyFont="1" applyFill="1" applyBorder="1" applyAlignment="1">
      <alignment horizontal="left"/>
    </xf>
    <xf numFmtId="49" fontId="6" fillId="3" borderId="0" xfId="1" applyNumberFormat="1" applyFont="1" applyFill="1" applyAlignment="1" applyProtection="1">
      <alignment shrinkToFit="1"/>
      <protection locked="0"/>
    </xf>
    <xf numFmtId="9" fontId="4" fillId="0" borderId="0" xfId="2" applyFont="1" applyBorder="1" applyAlignment="1">
      <alignment horizontal="center"/>
    </xf>
    <xf numFmtId="14" fontId="4" fillId="0" borderId="0" xfId="2" applyNumberFormat="1" applyFont="1" applyBorder="1" applyAlignment="1">
      <alignment horizontal="center"/>
    </xf>
    <xf numFmtId="3" fontId="7" fillId="3" borderId="2" xfId="1" applyNumberFormat="1" applyFont="1" applyFill="1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center" vertical="center"/>
    </xf>
    <xf numFmtId="0" fontId="0" fillId="0" borderId="0" xfId="0" applyBorder="1"/>
    <xf numFmtId="0" fontId="5" fillId="0" borderId="3" xfId="3" applyFont="1" applyBorder="1" applyAlignment="1">
      <alignment horizontal="left"/>
    </xf>
    <xf numFmtId="0" fontId="3" fillId="0" borderId="3" xfId="3" applyBorder="1"/>
    <xf numFmtId="0" fontId="3" fillId="0" borderId="3" xfId="3" applyFill="1" applyBorder="1" applyAlignment="1" applyProtection="1">
      <alignment vertical="center"/>
    </xf>
    <xf numFmtId="1" fontId="4" fillId="0" borderId="0" xfId="2" applyNumberFormat="1" applyFont="1" applyBorder="1" applyAlignment="1">
      <alignment horizontal="center"/>
    </xf>
    <xf numFmtId="164" fontId="7" fillId="4" borderId="2" xfId="1" applyNumberFormat="1" applyFont="1" applyFill="1" applyBorder="1" applyAlignment="1" applyProtection="1">
      <alignment horizontal="center" shrinkToFit="1"/>
      <protection locked="0"/>
    </xf>
    <xf numFmtId="0" fontId="0" fillId="0" borderId="0" xfId="0" applyFill="1"/>
    <xf numFmtId="164" fontId="7" fillId="4" borderId="0" xfId="1" applyNumberFormat="1" applyFont="1" applyFill="1" applyBorder="1" applyAlignment="1" applyProtection="1">
      <alignment horizontal="center" shrinkToFit="1"/>
      <protection locked="0"/>
    </xf>
    <xf numFmtId="49" fontId="9" fillId="3" borderId="0" xfId="3" applyNumberFormat="1" applyFont="1" applyFill="1" applyBorder="1" applyAlignment="1" applyProtection="1">
      <alignment vertical="center" shrinkToFit="1"/>
      <protection locked="0"/>
    </xf>
    <xf numFmtId="49" fontId="9" fillId="3" borderId="3" xfId="3" applyNumberFormat="1" applyFont="1" applyFill="1" applyBorder="1" applyAlignment="1" applyProtection="1">
      <alignment vertical="center" shrinkToFit="1"/>
      <protection locked="0"/>
    </xf>
    <xf numFmtId="0" fontId="10" fillId="0" borderId="0" xfId="0" applyFont="1" applyFill="1" applyAlignment="1">
      <alignment vertical="center"/>
    </xf>
    <xf numFmtId="9" fontId="4" fillId="0" borderId="0" xfId="2" applyFont="1" applyBorder="1" applyAlignment="1"/>
    <xf numFmtId="0" fontId="8" fillId="0" borderId="0" xfId="0" applyFont="1" applyAlignment="1">
      <alignment horizontal="center" vertical="center"/>
    </xf>
    <xf numFmtId="9" fontId="4" fillId="0" borderId="0" xfId="2" applyFont="1" applyBorder="1" applyAlignment="1">
      <alignment horizontal="left"/>
    </xf>
    <xf numFmtId="14" fontId="4" fillId="0" borderId="0" xfId="2" applyNumberFormat="1" applyFont="1" applyBorder="1" applyAlignment="1">
      <alignment horizontal="left"/>
    </xf>
    <xf numFmtId="9" fontId="4" fillId="0" borderId="0" xfId="2" applyFont="1" applyBorder="1" applyAlignment="1">
      <alignment horizontal="left" wrapText="1"/>
    </xf>
    <xf numFmtId="49" fontId="4" fillId="0" borderId="0" xfId="2" applyNumberFormat="1" applyFont="1" applyBorder="1" applyAlignment="1"/>
    <xf numFmtId="0" fontId="13" fillId="6" borderId="0" xfId="6"/>
    <xf numFmtId="0" fontId="11" fillId="5" borderId="0" xfId="5"/>
    <xf numFmtId="0" fontId="11" fillId="5" borderId="0" xfId="5" applyAlignment="1">
      <alignment horizontal="center" vertical="center"/>
    </xf>
    <xf numFmtId="0" fontId="11" fillId="5" borderId="0" xfId="5" applyAlignment="1">
      <alignment vertical="center"/>
    </xf>
    <xf numFmtId="0" fontId="11" fillId="5" borderId="0" xfId="5" applyAlignment="1">
      <alignment horizontal="center" vertical="center" wrapText="1"/>
    </xf>
    <xf numFmtId="0" fontId="13" fillId="6" borderId="0" xfId="6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Fill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7" borderId="0" xfId="7" applyFont="1" applyAlignment="1">
      <alignment horizontal="center" vertical="center"/>
    </xf>
    <xf numFmtId="0" fontId="12" fillId="7" borderId="0" xfId="7" applyFont="1" applyAlignment="1">
      <alignment horizontal="center" vertical="center" wrapText="1"/>
    </xf>
    <xf numFmtId="0" fontId="16" fillId="0" borderId="0" xfId="0" applyFont="1"/>
    <xf numFmtId="0" fontId="17" fillId="2" borderId="0" xfId="0" applyFont="1" applyFill="1" applyAlignment="1">
      <alignment horizontal="center" vertical="center" wrapText="1"/>
    </xf>
    <xf numFmtId="9" fontId="18" fillId="3" borderId="2" xfId="2" applyFont="1" applyFill="1" applyBorder="1" applyAlignment="1" applyProtection="1">
      <alignment horizontal="center" shrinkToFit="1"/>
      <protection locked="0"/>
    </xf>
    <xf numFmtId="0" fontId="0" fillId="0" borderId="0" xfId="0" applyFont="1"/>
    <xf numFmtId="44" fontId="7" fillId="3" borderId="2" xfId="4" applyFont="1" applyFill="1" applyBorder="1" applyAlignment="1" applyProtection="1">
      <alignment horizontal="center" shrinkToFit="1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9" fontId="0" fillId="0" borderId="0" xfId="2" applyFont="1"/>
    <xf numFmtId="0" fontId="11" fillId="8" borderId="0" xfId="5" applyFill="1"/>
    <xf numFmtId="0" fontId="23" fillId="0" borderId="10" xfId="0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4" fontId="23" fillId="0" borderId="10" xfId="4" applyFont="1" applyBorder="1" applyAlignment="1">
      <alignment vertical="center"/>
    </xf>
    <xf numFmtId="0" fontId="23" fillId="0" borderId="0" xfId="0" applyFont="1" applyAlignment="1">
      <alignment vertical="center"/>
    </xf>
    <xf numFmtId="0" fontId="0" fillId="0" borderId="10" xfId="0" applyBorder="1"/>
    <xf numFmtId="0" fontId="0" fillId="0" borderId="10" xfId="0" applyBorder="1" applyAlignment="1"/>
    <xf numFmtId="0" fontId="22" fillId="0" borderId="16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/>
    <xf numFmtId="44" fontId="0" fillId="0" borderId="16" xfId="0" applyNumberFormat="1" applyBorder="1" applyAlignment="1"/>
    <xf numFmtId="0" fontId="24" fillId="0" borderId="10" xfId="0" applyFont="1" applyBorder="1"/>
    <xf numFmtId="0" fontId="23" fillId="0" borderId="10" xfId="0" applyFont="1" applyBorder="1" applyAlignment="1"/>
    <xf numFmtId="0" fontId="22" fillId="0" borderId="0" xfId="0" applyFont="1"/>
    <xf numFmtId="0" fontId="0" fillId="0" borderId="0" xfId="0" applyBorder="1" applyAlignment="1"/>
    <xf numFmtId="0" fontId="26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27" fillId="1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22" fillId="10" borderId="10" xfId="0" applyFont="1" applyFill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1" fontId="29" fillId="0" borderId="0" xfId="2" applyNumberFormat="1" applyFont="1" applyBorder="1" applyAlignment="1">
      <alignment horizontal="center"/>
    </xf>
    <xf numFmtId="3" fontId="7" fillId="3" borderId="4" xfId="1" applyNumberFormat="1" applyFont="1" applyFill="1" applyBorder="1" applyAlignment="1" applyProtection="1">
      <alignment horizontal="center" shrinkToFit="1"/>
      <protection locked="0"/>
    </xf>
    <xf numFmtId="3" fontId="7" fillId="3" borderId="5" xfId="1" applyNumberFormat="1" applyFont="1" applyFill="1" applyBorder="1" applyAlignment="1" applyProtection="1">
      <alignment horizontal="center" shrinkToFit="1"/>
      <protection locked="0"/>
    </xf>
    <xf numFmtId="0" fontId="15" fillId="0" borderId="0" xfId="0" applyFont="1" applyAlignment="1">
      <alignment horizontal="left" vertical="center"/>
    </xf>
    <xf numFmtId="0" fontId="12" fillId="7" borderId="0" xfId="7" applyFont="1" applyAlignment="1">
      <alignment horizontal="center" vertical="center"/>
    </xf>
    <xf numFmtId="9" fontId="4" fillId="0" borderId="0" xfId="2" applyFont="1" applyBorder="1" applyAlignment="1">
      <alignment horizontal="left"/>
    </xf>
    <xf numFmtId="49" fontId="14" fillId="3" borderId="0" xfId="3" applyNumberFormat="1" applyFont="1" applyFill="1" applyBorder="1" applyAlignment="1" applyProtection="1">
      <alignment horizontal="left" vertical="center" shrinkToFit="1"/>
      <protection locked="0"/>
    </xf>
    <xf numFmtId="0" fontId="20" fillId="0" borderId="0" xfId="0" applyFont="1" applyAlignment="1">
      <alignment horizontal="left" vertical="center"/>
    </xf>
    <xf numFmtId="49" fontId="19" fillId="3" borderId="0" xfId="3" applyNumberFormat="1" applyFont="1" applyFill="1" applyBorder="1" applyAlignment="1" applyProtection="1">
      <alignment horizontal="left" vertical="center" shrinkToFit="1"/>
      <protection locked="0"/>
    </xf>
    <xf numFmtId="0" fontId="11" fillId="5" borderId="0" xfId="5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6" xfId="0" applyFill="1" applyBorder="1" applyAlignment="1">
      <alignment horizontal="center"/>
    </xf>
    <xf numFmtId="0" fontId="21" fillId="8" borderId="7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2" fillId="0" borderId="10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44" fontId="7" fillId="4" borderId="2" xfId="4" applyFont="1" applyFill="1" applyBorder="1" applyAlignment="1" applyProtection="1">
      <alignment horizontal="center" shrinkToFit="1"/>
      <protection locked="0"/>
    </xf>
  </cellXfs>
  <cellStyles count="8">
    <cellStyle name="20% - Énfasis5" xfId="7" builtinId="46"/>
    <cellStyle name="Encabezado 1" xfId="3" builtinId="16"/>
    <cellStyle name="Énfasis5" xfId="6" builtinId="45"/>
    <cellStyle name="Incorrecto" xfId="5" builtinId="27"/>
    <cellStyle name="Moneda" xfId="4" builtinId="4"/>
    <cellStyle name="Normal" xfId="0" builtinId="0"/>
    <cellStyle name="Normal 2" xfId="1"/>
    <cellStyle name="Porcentaje" xfId="2" builtinId="5"/>
  </cellStyles>
  <dxfs count="0"/>
  <tableStyles count="0" defaultTableStyle="TableStyleMedium2" defaultPivotStyle="PivotStyleLight16"/>
  <colors>
    <mruColors>
      <color rgb="FF14BD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1</xdr:row>
      <xdr:rowOff>91440</xdr:rowOff>
    </xdr:from>
    <xdr:to>
      <xdr:col>7</xdr:col>
      <xdr:colOff>7620</xdr:colOff>
      <xdr:row>2</xdr:row>
      <xdr:rowOff>68580</xdr:rowOff>
    </xdr:to>
    <xdr:pic>
      <xdr:nvPicPr>
        <xdr:cNvPr id="7" name="Imagen 6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0" t="3165" r="908" b="90782"/>
        <a:stretch/>
      </xdr:blipFill>
      <xdr:spPr>
        <a:xfrm>
          <a:off x="259080" y="274320"/>
          <a:ext cx="7414260" cy="67056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35</xdr:row>
      <xdr:rowOff>68580</xdr:rowOff>
    </xdr:from>
    <xdr:to>
      <xdr:col>7</xdr:col>
      <xdr:colOff>15240</xdr:colOff>
      <xdr:row>39</xdr:row>
      <xdr:rowOff>148590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D4C1CFE-F508-4F93-A8C2-8B904C29FCB2}"/>
            </a:ext>
          </a:extLst>
        </xdr:cNvPr>
        <xdr:cNvSpPr txBox="1"/>
      </xdr:nvSpPr>
      <xdr:spPr>
        <a:xfrm>
          <a:off x="156210" y="9189720"/>
          <a:ext cx="7524750" cy="811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>
              <a:latin typeface="+mn-lt"/>
            </a:rPr>
            <a:t>Firma del vendedor		                      </a:t>
          </a:r>
          <a:r>
            <a:rPr lang="es-A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 del comprador</a:t>
          </a:r>
          <a:endParaRPr lang="es-AR" sz="1600">
            <a:effectLst/>
          </a:endParaRPr>
        </a:p>
        <a:p>
          <a:r>
            <a:rPr lang="es-AR" sz="1600">
              <a:latin typeface="+mn-lt"/>
            </a:rPr>
            <a:t>	</a:t>
          </a:r>
          <a:endParaRPr lang="es-AR" sz="1100"/>
        </a:p>
        <a:p>
          <a:endParaRPr lang="es-AR" sz="1100"/>
        </a:p>
      </xdr:txBody>
    </xdr:sp>
    <xdr:clientData/>
  </xdr:twoCellAnchor>
  <xdr:twoCellAnchor editAs="absolute">
    <xdr:from>
      <xdr:col>6</xdr:col>
      <xdr:colOff>2030730</xdr:colOff>
      <xdr:row>0</xdr:row>
      <xdr:rowOff>156210</xdr:rowOff>
    </xdr:from>
    <xdr:to>
      <xdr:col>9</xdr:col>
      <xdr:colOff>361950</xdr:colOff>
      <xdr:row>1</xdr:row>
      <xdr:rowOff>95250</xdr:rowOff>
    </xdr:to>
    <xdr:sp macro="" textlink="">
      <xdr:nvSpPr>
        <xdr:cNvPr id="5" name="TextBox 13">
          <a:extLst>
            <a:ext uri="{FF2B5EF4-FFF2-40B4-BE49-F238E27FC236}">
              <a16:creationId xmlns:a16="http://schemas.microsoft.com/office/drawing/2014/main" id="{E08AF161-8FB3-42BB-8624-2FC413F83D7A}"/>
            </a:ext>
          </a:extLst>
        </xdr:cNvPr>
        <xdr:cNvSpPr txBox="1"/>
      </xdr:nvSpPr>
      <xdr:spPr>
        <a:xfrm>
          <a:off x="7635240" y="167640"/>
          <a:ext cx="200025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400" b="1">
            <a:solidFill>
              <a:srgbClr val="DCF8F0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  <xdr:twoCellAnchor editAs="absolute">
    <xdr:from>
      <xdr:col>1</xdr:col>
      <xdr:colOff>72390</xdr:colOff>
      <xdr:row>0</xdr:row>
      <xdr:rowOff>182880</xdr:rowOff>
    </xdr:from>
    <xdr:to>
      <xdr:col>5</xdr:col>
      <xdr:colOff>11430</xdr:colOff>
      <xdr:row>1</xdr:row>
      <xdr:rowOff>125902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3E0DADC2-884A-42FA-ADCA-7BB38ACC8BA2}"/>
            </a:ext>
          </a:extLst>
        </xdr:cNvPr>
        <xdr:cNvSpPr txBox="1"/>
      </xdr:nvSpPr>
      <xdr:spPr>
        <a:xfrm>
          <a:off x="212090" y="180340"/>
          <a:ext cx="4222750" cy="729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220698</xdr:colOff>
      <xdr:row>35</xdr:row>
      <xdr:rowOff>145062</xdr:rowOff>
    </xdr:from>
    <xdr:to>
      <xdr:col>6</xdr:col>
      <xdr:colOff>2072640</xdr:colOff>
      <xdr:row>39</xdr:row>
      <xdr:rowOff>32794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422503" y="8649857"/>
          <a:ext cx="619252" cy="18519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35</xdr:row>
      <xdr:rowOff>68580</xdr:rowOff>
    </xdr:from>
    <xdr:to>
      <xdr:col>7</xdr:col>
      <xdr:colOff>15240</xdr:colOff>
      <xdr:row>39</xdr:row>
      <xdr:rowOff>148590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D4C1CFE-F508-4F93-A8C2-8B904C29FCB2}"/>
            </a:ext>
          </a:extLst>
        </xdr:cNvPr>
        <xdr:cNvSpPr txBox="1"/>
      </xdr:nvSpPr>
      <xdr:spPr>
        <a:xfrm>
          <a:off x="156210" y="9189720"/>
          <a:ext cx="7524750" cy="811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>
              <a:latin typeface="+mn-lt"/>
            </a:rPr>
            <a:t>Firma del vendedor		                      </a:t>
          </a:r>
          <a:r>
            <a:rPr lang="es-A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 del comprador</a:t>
          </a:r>
          <a:endParaRPr lang="es-AR" sz="1600">
            <a:effectLst/>
          </a:endParaRPr>
        </a:p>
        <a:p>
          <a:r>
            <a:rPr lang="es-AR" sz="1600">
              <a:latin typeface="+mn-lt"/>
            </a:rPr>
            <a:t>	</a:t>
          </a:r>
          <a:endParaRPr lang="es-AR" sz="1100"/>
        </a:p>
        <a:p>
          <a:endParaRPr lang="es-AR" sz="1100"/>
        </a:p>
      </xdr:txBody>
    </xdr:sp>
    <xdr:clientData/>
  </xdr:twoCellAnchor>
  <xdr:twoCellAnchor editAs="absolute">
    <xdr:from>
      <xdr:col>6</xdr:col>
      <xdr:colOff>2030730</xdr:colOff>
      <xdr:row>0</xdr:row>
      <xdr:rowOff>156210</xdr:rowOff>
    </xdr:from>
    <xdr:to>
      <xdr:col>9</xdr:col>
      <xdr:colOff>361950</xdr:colOff>
      <xdr:row>1</xdr:row>
      <xdr:rowOff>697230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E08AF161-8FB3-42BB-8624-2FC413F83D7A}"/>
            </a:ext>
          </a:extLst>
        </xdr:cNvPr>
        <xdr:cNvSpPr txBox="1"/>
      </xdr:nvSpPr>
      <xdr:spPr>
        <a:xfrm>
          <a:off x="7616190" y="156210"/>
          <a:ext cx="199644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400" b="1">
            <a:solidFill>
              <a:srgbClr val="DCF8F0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  <xdr:twoCellAnchor editAs="absolute">
    <xdr:from>
      <xdr:col>1</xdr:col>
      <xdr:colOff>72390</xdr:colOff>
      <xdr:row>1</xdr:row>
      <xdr:rowOff>0</xdr:rowOff>
    </xdr:from>
    <xdr:to>
      <xdr:col>5</xdr:col>
      <xdr:colOff>11430</xdr:colOff>
      <xdr:row>1</xdr:row>
      <xdr:rowOff>727882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3E0DADC2-884A-42FA-ADCA-7BB38ACC8BA2}"/>
            </a:ext>
          </a:extLst>
        </xdr:cNvPr>
        <xdr:cNvSpPr txBox="1"/>
      </xdr:nvSpPr>
      <xdr:spPr>
        <a:xfrm>
          <a:off x="209550" y="182880"/>
          <a:ext cx="4221480" cy="727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</xdr:col>
      <xdr:colOff>487680</xdr:colOff>
      <xdr:row>1</xdr:row>
      <xdr:rowOff>38100</xdr:rowOff>
    </xdr:from>
    <xdr:to>
      <xdr:col>6</xdr:col>
      <xdr:colOff>2057400</xdr:colOff>
      <xdr:row>1</xdr:row>
      <xdr:rowOff>746760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4755492-33AB-4B4C-81AE-49C7D1CD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220980"/>
          <a:ext cx="273558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988696</xdr:colOff>
      <xdr:row>0</xdr:row>
      <xdr:rowOff>40005</xdr:rowOff>
    </xdr:from>
    <xdr:to>
      <xdr:col>4</xdr:col>
      <xdr:colOff>89536</xdr:colOff>
      <xdr:row>3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755492-33AB-4B4C-81AE-49C7D1CD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116" y="40005"/>
          <a:ext cx="249936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45</xdr:row>
      <xdr:rowOff>28575</xdr:rowOff>
    </xdr:from>
    <xdr:to>
      <xdr:col>5</xdr:col>
      <xdr:colOff>781050</xdr:colOff>
      <xdr:row>45</xdr:row>
      <xdr:rowOff>590319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9130" y="7252335"/>
          <a:ext cx="1684020" cy="561744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45</xdr:row>
      <xdr:rowOff>19050</xdr:rowOff>
    </xdr:from>
    <xdr:to>
      <xdr:col>3</xdr:col>
      <xdr:colOff>819150</xdr:colOff>
      <xdr:row>45</xdr:row>
      <xdr:rowOff>580794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8390" y="7242810"/>
          <a:ext cx="1684020" cy="561744"/>
        </a:xfrm>
        <a:prstGeom prst="rect">
          <a:avLst/>
        </a:prstGeom>
      </xdr:spPr>
    </xdr:pic>
    <xdr:clientData/>
  </xdr:twoCellAnchor>
  <xdr:twoCellAnchor editAs="oneCell">
    <xdr:from>
      <xdr:col>0</xdr:col>
      <xdr:colOff>475131</xdr:colOff>
      <xdr:row>45</xdr:row>
      <xdr:rowOff>27043</xdr:rowOff>
    </xdr:from>
    <xdr:to>
      <xdr:col>1</xdr:col>
      <xdr:colOff>533401</xdr:colOff>
      <xdr:row>45</xdr:row>
      <xdr:rowOff>581025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</a:blip>
        <a:stretch>
          <a:fillRect/>
        </a:stretch>
      </xdr:blipFill>
      <xdr:spPr>
        <a:xfrm>
          <a:off x="475131" y="7250803"/>
          <a:ext cx="1132690" cy="5539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1</xdr:row>
      <xdr:rowOff>53340</xdr:rowOff>
    </xdr:from>
    <xdr:to>
      <xdr:col>7</xdr:col>
      <xdr:colOff>0</xdr:colOff>
      <xdr:row>2</xdr:row>
      <xdr:rowOff>30480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0" t="3165" r="13995" b="90782"/>
        <a:stretch/>
      </xdr:blipFill>
      <xdr:spPr>
        <a:xfrm>
          <a:off x="259080" y="838200"/>
          <a:ext cx="6370320" cy="6705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6</xdr:col>
      <xdr:colOff>1283970</xdr:colOff>
      <xdr:row>36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D4C1CFE-F508-4F93-A8C2-8B904C29FCB2}"/>
            </a:ext>
          </a:extLst>
        </xdr:cNvPr>
        <xdr:cNvSpPr txBox="1"/>
      </xdr:nvSpPr>
      <xdr:spPr>
        <a:xfrm>
          <a:off x="0" y="8785860"/>
          <a:ext cx="8545830" cy="811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>
              <a:latin typeface="+mn-lt"/>
            </a:rPr>
            <a:t>Firma del vendedor		                      </a:t>
          </a:r>
          <a:r>
            <a:rPr lang="es-A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 del comprador</a:t>
          </a:r>
          <a:endParaRPr lang="es-AR" sz="1600">
            <a:effectLst/>
          </a:endParaRPr>
        </a:p>
        <a:p>
          <a:r>
            <a:rPr lang="es-AR" sz="1600">
              <a:latin typeface="+mn-lt"/>
            </a:rPr>
            <a:t>	</a:t>
          </a:r>
          <a:endParaRPr lang="es-AR" sz="1100"/>
        </a:p>
        <a:p>
          <a:endParaRPr lang="es-AR" sz="1100"/>
        </a:p>
      </xdr:txBody>
    </xdr:sp>
    <xdr:clientData/>
  </xdr:twoCellAnchor>
  <xdr:twoCellAnchor editAs="absolute">
    <xdr:from>
      <xdr:col>8</xdr:col>
      <xdr:colOff>194310</xdr:colOff>
      <xdr:row>0</xdr:row>
      <xdr:rowOff>156210</xdr:rowOff>
    </xdr:from>
    <xdr:to>
      <xdr:col>10</xdr:col>
      <xdr:colOff>605790</xdr:colOff>
      <xdr:row>1</xdr:row>
      <xdr:rowOff>95250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E08AF161-8FB3-42BB-8624-2FC413F83D7A}"/>
            </a:ext>
          </a:extLst>
        </xdr:cNvPr>
        <xdr:cNvSpPr txBox="1"/>
      </xdr:nvSpPr>
      <xdr:spPr>
        <a:xfrm>
          <a:off x="7616190" y="156210"/>
          <a:ext cx="199644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400" b="1">
            <a:solidFill>
              <a:srgbClr val="DCF8F0"/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  <xdr:twoCellAnchor editAs="absolute">
    <xdr:from>
      <xdr:col>1</xdr:col>
      <xdr:colOff>72390</xdr:colOff>
      <xdr:row>0</xdr:row>
      <xdr:rowOff>182880</xdr:rowOff>
    </xdr:from>
    <xdr:to>
      <xdr:col>4</xdr:col>
      <xdr:colOff>1047750</xdr:colOff>
      <xdr:row>1</xdr:row>
      <xdr:rowOff>125902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3E0DADC2-884A-42FA-ADCA-7BB38ACC8BA2}"/>
            </a:ext>
          </a:extLst>
        </xdr:cNvPr>
        <xdr:cNvSpPr txBox="1"/>
      </xdr:nvSpPr>
      <xdr:spPr>
        <a:xfrm>
          <a:off x="209550" y="182880"/>
          <a:ext cx="4221480" cy="727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475131</xdr:colOff>
      <xdr:row>33</xdr:row>
      <xdr:rowOff>42283</xdr:rowOff>
    </xdr:from>
    <xdr:to>
      <xdr:col>2</xdr:col>
      <xdr:colOff>525781</xdr:colOff>
      <xdr:row>33</xdr:row>
      <xdr:rowOff>596265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>
          <a:biLevel thresh="50000"/>
        </a:blip>
        <a:stretch>
          <a:fillRect/>
        </a:stretch>
      </xdr:blipFill>
      <xdr:spPr>
        <a:xfrm>
          <a:off x="612291" y="8264263"/>
          <a:ext cx="1132690" cy="553982"/>
        </a:xfrm>
        <a:prstGeom prst="rect">
          <a:avLst/>
        </a:prstGeom>
      </xdr:spPr>
    </xdr:pic>
    <xdr:clientData/>
  </xdr:twoCellAnchor>
  <xdr:twoCellAnchor editAs="oneCell">
    <xdr:from>
      <xdr:col>3</xdr:col>
      <xdr:colOff>329837</xdr:colOff>
      <xdr:row>33</xdr:row>
      <xdr:rowOff>119743</xdr:rowOff>
    </xdr:from>
    <xdr:to>
      <xdr:col>4</xdr:col>
      <xdr:colOff>656415</xdr:colOff>
      <xdr:row>33</xdr:row>
      <xdr:rowOff>572594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180491">
          <a:off x="3108960" y="7863840"/>
          <a:ext cx="452851" cy="1408618"/>
        </a:xfrm>
        <a:prstGeom prst="rect">
          <a:avLst/>
        </a:prstGeom>
      </xdr:spPr>
    </xdr:pic>
    <xdr:clientData/>
  </xdr:twoCellAnchor>
  <xdr:twoCellAnchor editAs="oneCell">
    <xdr:from>
      <xdr:col>5</xdr:col>
      <xdr:colOff>320040</xdr:colOff>
      <xdr:row>33</xdr:row>
      <xdr:rowOff>91440</xdr:rowOff>
    </xdr:from>
    <xdr:to>
      <xdr:col>6</xdr:col>
      <xdr:colOff>646618</xdr:colOff>
      <xdr:row>33</xdr:row>
      <xdr:rowOff>544291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180491">
          <a:off x="5263243" y="7835537"/>
          <a:ext cx="452851" cy="1408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K36"/>
  <sheetViews>
    <sheetView showGridLines="0" tabSelected="1" workbookViewId="0">
      <selection activeCell="G46" sqref="A1:G46"/>
    </sheetView>
  </sheetViews>
  <sheetFormatPr baseColWidth="10" defaultRowHeight="14.4" x14ac:dyDescent="0.3"/>
  <cols>
    <col min="1" max="1" width="2" customWidth="1"/>
    <col min="2" max="2" width="13.88671875" customWidth="1"/>
    <col min="3" max="3" width="16.44140625" bestFit="1" customWidth="1"/>
    <col min="4" max="4" width="18.88671875" customWidth="1"/>
    <col min="5" max="5" width="13.21875" customWidth="1"/>
    <col min="6" max="6" width="17" customWidth="1"/>
    <col min="7" max="7" width="30.33203125" customWidth="1"/>
    <col min="12" max="13" width="12" bestFit="1" customWidth="1"/>
  </cols>
  <sheetData>
    <row r="1" spans="2:11" ht="61.8" customHeight="1" x14ac:dyDescent="0.3">
      <c r="H1" s="14"/>
      <c r="I1" s="14"/>
      <c r="J1" s="14"/>
      <c r="K1" s="14"/>
    </row>
    <row r="2" spans="2:11" ht="54.9" customHeight="1" x14ac:dyDescent="0.3">
      <c r="B2" s="25"/>
      <c r="C2" s="25"/>
      <c r="D2" s="25"/>
      <c r="E2" s="25"/>
      <c r="F2" s="25"/>
      <c r="G2" s="25"/>
      <c r="H2" s="14"/>
      <c r="I2" s="14"/>
      <c r="J2" s="14"/>
      <c r="K2" s="14"/>
    </row>
    <row r="3" spans="2:11" s="14" customFormat="1" x14ac:dyDescent="0.3"/>
    <row r="4" spans="2:11" s="14" customFormat="1" ht="14.4" customHeight="1" x14ac:dyDescent="0.3">
      <c r="B4" s="75" t="s">
        <v>4</v>
      </c>
      <c r="C4" s="75"/>
      <c r="D4" s="75"/>
      <c r="E4" s="16"/>
    </row>
    <row r="5" spans="2:11" s="14" customFormat="1" ht="14.4" customHeight="1" x14ac:dyDescent="0.3">
      <c r="B5" s="75"/>
      <c r="C5" s="75"/>
      <c r="D5" s="75"/>
      <c r="E5" s="16"/>
    </row>
    <row r="6" spans="2:11" s="14" customFormat="1" ht="14.4" customHeight="1" x14ac:dyDescent="0.3">
      <c r="B6" s="75"/>
      <c r="C6" s="75"/>
      <c r="D6" s="75"/>
      <c r="E6" s="16"/>
    </row>
    <row r="7" spans="2:11" ht="21" customHeight="1" x14ac:dyDescent="0.4">
      <c r="B7" s="1" t="s">
        <v>19</v>
      </c>
      <c r="C7" s="8"/>
      <c r="D7" s="8"/>
      <c r="E7" s="8"/>
      <c r="F7" s="31" t="s">
        <v>10</v>
      </c>
      <c r="G7" s="12" t="s">
        <v>77</v>
      </c>
    </row>
    <row r="8" spans="2:11" ht="21" customHeight="1" x14ac:dyDescent="0.4">
      <c r="B8" s="2" t="s">
        <v>20</v>
      </c>
      <c r="C8" s="8"/>
      <c r="D8" s="8"/>
      <c r="E8" s="8"/>
      <c r="F8" s="31"/>
      <c r="G8" s="12"/>
    </row>
    <row r="9" spans="2:11" ht="21" customHeight="1" x14ac:dyDescent="0.4">
      <c r="B9" s="1" t="s">
        <v>22</v>
      </c>
      <c r="C9" s="8"/>
      <c r="D9" s="8"/>
      <c r="E9" s="8"/>
      <c r="F9" s="31" t="s">
        <v>6</v>
      </c>
      <c r="G9" s="5">
        <v>45113</v>
      </c>
    </row>
    <row r="10" spans="2:11" ht="19.8" customHeight="1" x14ac:dyDescent="0.4">
      <c r="B10" s="2" t="s">
        <v>23</v>
      </c>
      <c r="C10" s="8"/>
      <c r="D10" s="8"/>
      <c r="E10" s="8"/>
      <c r="F10" s="16"/>
      <c r="G10" s="16"/>
    </row>
    <row r="11" spans="2:11" ht="20.399999999999999" customHeight="1" thickBot="1" x14ac:dyDescent="0.45">
      <c r="B11" s="9" t="s">
        <v>21</v>
      </c>
      <c r="C11" s="10"/>
      <c r="D11" s="10"/>
      <c r="E11" s="11"/>
      <c r="F11" s="17"/>
      <c r="G11" s="17"/>
    </row>
    <row r="12" spans="2:11" ht="25.8" customHeight="1" thickTop="1" x14ac:dyDescent="0.3">
      <c r="B12" s="30"/>
      <c r="C12" s="25"/>
      <c r="D12" s="25"/>
      <c r="E12" s="25"/>
      <c r="F12" s="25"/>
      <c r="G12" s="25"/>
    </row>
    <row r="13" spans="2:11" s="14" customFormat="1" ht="4.2" customHeight="1" x14ac:dyDescent="0.3">
      <c r="B13" s="18"/>
      <c r="F13" s="32"/>
    </row>
    <row r="14" spans="2:11" ht="20.399999999999999" customHeight="1" x14ac:dyDescent="0.4">
      <c r="B14" s="72" t="s">
        <v>7</v>
      </c>
      <c r="C14" s="72"/>
      <c r="D14" s="19" t="s">
        <v>78</v>
      </c>
      <c r="E14" s="3"/>
      <c r="F14" s="33" t="s">
        <v>8</v>
      </c>
      <c r="G14" s="1" t="s">
        <v>26</v>
      </c>
    </row>
    <row r="15" spans="2:11" ht="20.399999999999999" customHeight="1" x14ac:dyDescent="0.4">
      <c r="B15" s="72" t="s">
        <v>5</v>
      </c>
      <c r="C15" s="72"/>
      <c r="D15" s="19" t="s">
        <v>31</v>
      </c>
      <c r="E15" s="3"/>
      <c r="F15" s="33" t="s">
        <v>25</v>
      </c>
      <c r="G15" s="1" t="s">
        <v>27</v>
      </c>
    </row>
    <row r="16" spans="2:11" ht="19.8" customHeight="1" x14ac:dyDescent="0.4">
      <c r="B16" s="72" t="s">
        <v>17</v>
      </c>
      <c r="C16" s="72"/>
      <c r="D16" s="19" t="s">
        <v>31</v>
      </c>
      <c r="E16" s="3"/>
      <c r="F16" s="74" t="s">
        <v>30</v>
      </c>
      <c r="G16" s="74"/>
    </row>
    <row r="17" spans="2:7" ht="19.8" customHeight="1" x14ac:dyDescent="0.4">
      <c r="B17" s="72" t="s">
        <v>11</v>
      </c>
      <c r="C17" s="72"/>
      <c r="D17" s="19" t="s">
        <v>79</v>
      </c>
      <c r="E17" s="3"/>
      <c r="F17" s="33" t="s">
        <v>18</v>
      </c>
      <c r="G17" s="22" t="s">
        <v>89</v>
      </c>
    </row>
    <row r="18" spans="2:7" ht="19.8" customHeight="1" x14ac:dyDescent="0.4">
      <c r="B18" s="72" t="s">
        <v>12</v>
      </c>
      <c r="C18" s="72"/>
      <c r="D18" s="24" t="s">
        <v>80</v>
      </c>
      <c r="E18" s="3"/>
      <c r="F18" s="33" t="s">
        <v>9</v>
      </c>
      <c r="G18" s="23" t="s">
        <v>29</v>
      </c>
    </row>
    <row r="19" spans="2:7" ht="19.8" customHeight="1" x14ac:dyDescent="0.4">
      <c r="B19" s="7"/>
      <c r="C19" s="4"/>
      <c r="D19" s="4"/>
      <c r="E19" s="3"/>
    </row>
    <row r="20" spans="2:7" ht="23.4" customHeight="1" x14ac:dyDescent="0.3">
      <c r="B20" s="35" t="s">
        <v>13</v>
      </c>
      <c r="C20" s="73" t="s">
        <v>0</v>
      </c>
      <c r="D20" s="73"/>
      <c r="E20" s="35" t="s">
        <v>1</v>
      </c>
      <c r="F20" s="36" t="s">
        <v>2</v>
      </c>
      <c r="G20" s="36" t="s">
        <v>3</v>
      </c>
    </row>
    <row r="21" spans="2:7" ht="21" x14ac:dyDescent="0.4">
      <c r="B21" s="6">
        <v>1</v>
      </c>
      <c r="C21" s="70" t="s">
        <v>81</v>
      </c>
      <c r="D21" s="71"/>
      <c r="E21" s="6">
        <v>84</v>
      </c>
      <c r="F21" s="41">
        <v>14540.72</v>
      </c>
      <c r="G21" s="99">
        <v>1221420.08</v>
      </c>
    </row>
    <row r="22" spans="2:7" ht="21" x14ac:dyDescent="0.4">
      <c r="B22" s="6">
        <v>2</v>
      </c>
      <c r="C22" s="70" t="s">
        <v>82</v>
      </c>
      <c r="D22" s="71"/>
      <c r="E22" s="6">
        <v>35</v>
      </c>
      <c r="F22" s="41">
        <v>22391.46</v>
      </c>
      <c r="G22" s="99">
        <v>783701.06</v>
      </c>
    </row>
    <row r="23" spans="2:7" ht="21" x14ac:dyDescent="0.4">
      <c r="B23" s="6">
        <v>3</v>
      </c>
      <c r="C23" s="70" t="s">
        <v>83</v>
      </c>
      <c r="D23" s="71"/>
      <c r="E23" s="6">
        <v>29</v>
      </c>
      <c r="F23" s="41">
        <v>9583.65</v>
      </c>
      <c r="G23" s="99">
        <v>277925.94</v>
      </c>
    </row>
    <row r="24" spans="2:7" ht="21" x14ac:dyDescent="0.4">
      <c r="B24" s="6">
        <v>4</v>
      </c>
      <c r="C24" s="70" t="s">
        <v>84</v>
      </c>
      <c r="D24" s="71"/>
      <c r="E24" s="6">
        <v>678</v>
      </c>
      <c r="F24" s="41">
        <v>8310.14</v>
      </c>
      <c r="G24" s="99">
        <v>5634277.6299999999</v>
      </c>
    </row>
    <row r="25" spans="2:7" ht="21" x14ac:dyDescent="0.4">
      <c r="B25" s="6">
        <v>5</v>
      </c>
      <c r="C25" s="70" t="s">
        <v>85</v>
      </c>
      <c r="D25" s="71"/>
      <c r="E25" s="6">
        <v>940</v>
      </c>
      <c r="F25" s="41">
        <v>2753.77</v>
      </c>
      <c r="G25" s="99">
        <v>2588547.4900000002</v>
      </c>
    </row>
    <row r="26" spans="2:7" ht="21" x14ac:dyDescent="0.4">
      <c r="B26" s="6">
        <v>6</v>
      </c>
      <c r="C26" s="70" t="s">
        <v>86</v>
      </c>
      <c r="D26" s="71"/>
      <c r="E26" s="6">
        <v>10</v>
      </c>
      <c r="F26" s="41">
        <v>12095.23</v>
      </c>
      <c r="G26" s="99">
        <v>120952.31</v>
      </c>
    </row>
    <row r="27" spans="2:7" ht="21" x14ac:dyDescent="0.4">
      <c r="B27" s="6">
        <v>7</v>
      </c>
      <c r="C27" s="70" t="s">
        <v>87</v>
      </c>
      <c r="D27" s="71"/>
      <c r="E27" s="6">
        <v>66</v>
      </c>
      <c r="F27" s="41">
        <v>5896.8</v>
      </c>
      <c r="G27" s="99">
        <v>389188.93</v>
      </c>
    </row>
    <row r="28" spans="2:7" ht="21" x14ac:dyDescent="0.4">
      <c r="B28" s="6">
        <v>8</v>
      </c>
      <c r="C28" s="70" t="s">
        <v>88</v>
      </c>
      <c r="D28" s="71"/>
      <c r="E28" s="6">
        <v>2</v>
      </c>
      <c r="F28" s="41">
        <v>109391.44</v>
      </c>
      <c r="G28" s="99">
        <v>218782.87</v>
      </c>
    </row>
    <row r="29" spans="2:7" ht="21" x14ac:dyDescent="0.4">
      <c r="B29" s="6"/>
      <c r="C29" s="70"/>
      <c r="D29" s="71"/>
      <c r="E29" s="6"/>
      <c r="F29" s="6"/>
      <c r="G29" s="13">
        <f t="shared" ref="G25:G32" si="0">E29*F29</f>
        <v>0</v>
      </c>
    </row>
    <row r="30" spans="2:7" ht="21" x14ac:dyDescent="0.4">
      <c r="B30" s="6"/>
      <c r="C30" s="70"/>
      <c r="D30" s="71"/>
      <c r="E30" s="6"/>
      <c r="F30" s="6"/>
      <c r="G30" s="13">
        <f t="shared" si="0"/>
        <v>0</v>
      </c>
    </row>
    <row r="31" spans="2:7" ht="21" x14ac:dyDescent="0.4">
      <c r="B31" s="6"/>
      <c r="C31" s="70"/>
      <c r="D31" s="71"/>
      <c r="E31" s="6"/>
      <c r="F31" s="6"/>
      <c r="G31" s="13">
        <f t="shared" si="0"/>
        <v>0</v>
      </c>
    </row>
    <row r="32" spans="2:7" ht="21" x14ac:dyDescent="0.4">
      <c r="B32" s="6"/>
      <c r="C32" s="70"/>
      <c r="D32" s="71"/>
      <c r="E32" s="6"/>
      <c r="F32" s="6"/>
      <c r="G32" s="13">
        <f t="shared" si="0"/>
        <v>0</v>
      </c>
    </row>
    <row r="33" spans="5:7" ht="21" x14ac:dyDescent="0.4">
      <c r="E33" s="37"/>
      <c r="F33" s="38" t="s">
        <v>16</v>
      </c>
      <c r="G33" s="13">
        <v>11234796.33</v>
      </c>
    </row>
    <row r="34" spans="5:7" ht="21" x14ac:dyDescent="0.4">
      <c r="E34" s="38" t="s">
        <v>15</v>
      </c>
      <c r="F34" s="39">
        <v>0.21</v>
      </c>
      <c r="G34" s="13">
        <f>G33*F34</f>
        <v>2359307.2292999998</v>
      </c>
    </row>
    <row r="35" spans="5:7" ht="21" x14ac:dyDescent="0.4">
      <c r="E35" s="37"/>
      <c r="F35" s="38" t="s">
        <v>14</v>
      </c>
      <c r="G35" s="15">
        <v>13594103.550000001</v>
      </c>
    </row>
    <row r="36" spans="5:7" x14ac:dyDescent="0.3">
      <c r="E36" s="40"/>
      <c r="F36" s="40"/>
    </row>
  </sheetData>
  <mergeCells count="20">
    <mergeCell ref="F16:G16"/>
    <mergeCell ref="B17:C17"/>
    <mergeCell ref="B18:C18"/>
    <mergeCell ref="B4:D6"/>
    <mergeCell ref="B14:C14"/>
    <mergeCell ref="C31:D31"/>
    <mergeCell ref="C32:D32"/>
    <mergeCell ref="B15:C15"/>
    <mergeCell ref="C30:D30"/>
    <mergeCell ref="C27:D27"/>
    <mergeCell ref="C28:D28"/>
    <mergeCell ref="C29:D29"/>
    <mergeCell ref="C21:D21"/>
    <mergeCell ref="C22:D22"/>
    <mergeCell ref="C23:D23"/>
    <mergeCell ref="C24:D24"/>
    <mergeCell ref="C25:D25"/>
    <mergeCell ref="C26:D26"/>
    <mergeCell ref="C20:D20"/>
    <mergeCell ref="B16:C16"/>
  </mergeCells>
  <pageMargins left="0.39370078740157483" right="0.39370078740157483" top="0.19685039370078741" bottom="0.19685039370078741" header="0.31496062992125984" footer="0.31496062992125984"/>
  <pageSetup paperSize="9" scale="85" orientation="portrait" r:id="rId1"/>
  <ignoredErrors>
    <ignoredError sqref="G34 G31:G32 G29:G3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6"/>
  <sheetViews>
    <sheetView showGridLines="0" workbookViewId="0">
      <selection activeCell="J7" sqref="J7"/>
    </sheetView>
  </sheetViews>
  <sheetFormatPr baseColWidth="10" defaultRowHeight="14.4" x14ac:dyDescent="0.3"/>
  <cols>
    <col min="1" max="1" width="2" customWidth="1"/>
    <col min="2" max="2" width="13.88671875" customWidth="1"/>
    <col min="3" max="3" width="16.44140625" bestFit="1" customWidth="1"/>
    <col min="4" max="4" width="18.88671875" customWidth="1"/>
    <col min="5" max="5" width="13.21875" customWidth="1"/>
    <col min="6" max="6" width="17" customWidth="1"/>
    <col min="7" max="7" width="30.33203125" customWidth="1"/>
    <col min="12" max="13" width="12" bestFit="1" customWidth="1"/>
  </cols>
  <sheetData>
    <row r="1" spans="2:11" x14ac:dyDescent="0.3">
      <c r="H1" s="14"/>
      <c r="I1" s="14"/>
      <c r="J1" s="14"/>
      <c r="K1" s="14"/>
    </row>
    <row r="2" spans="2:11" ht="60.6" customHeight="1" x14ac:dyDescent="0.3">
      <c r="B2" s="45"/>
      <c r="C2" s="45"/>
      <c r="D2" s="45"/>
      <c r="E2" s="45"/>
      <c r="F2" s="45"/>
      <c r="G2" s="45"/>
      <c r="H2" s="14"/>
      <c r="I2" s="14"/>
      <c r="J2" s="14"/>
      <c r="K2" s="14"/>
    </row>
    <row r="3" spans="2:11" s="14" customFormat="1" x14ac:dyDescent="0.3"/>
    <row r="4" spans="2:11" s="14" customFormat="1" ht="14.4" customHeight="1" x14ac:dyDescent="0.3">
      <c r="B4" s="77" t="s">
        <v>4</v>
      </c>
      <c r="C4" s="77"/>
      <c r="D4" s="77"/>
      <c r="E4" s="16"/>
    </row>
    <row r="5" spans="2:11" s="14" customFormat="1" ht="14.4" customHeight="1" x14ac:dyDescent="0.3">
      <c r="B5" s="77"/>
      <c r="C5" s="77"/>
      <c r="D5" s="77"/>
      <c r="E5" s="16"/>
    </row>
    <row r="6" spans="2:11" s="14" customFormat="1" ht="14.4" customHeight="1" x14ac:dyDescent="0.3">
      <c r="B6" s="77"/>
      <c r="C6" s="77"/>
      <c r="D6" s="77"/>
      <c r="E6" s="16"/>
    </row>
    <row r="7" spans="2:11" ht="21" customHeight="1" x14ac:dyDescent="0.4">
      <c r="B7" s="1" t="s">
        <v>32</v>
      </c>
      <c r="C7" s="8"/>
      <c r="D7" s="8"/>
      <c r="E7" s="8"/>
      <c r="F7" s="42" t="s">
        <v>10</v>
      </c>
      <c r="G7" s="12" t="s">
        <v>24</v>
      </c>
    </row>
    <row r="8" spans="2:11" ht="21" customHeight="1" x14ac:dyDescent="0.4">
      <c r="B8" s="2" t="s">
        <v>33</v>
      </c>
      <c r="C8" s="8"/>
      <c r="D8" s="8"/>
      <c r="E8" s="8"/>
      <c r="F8" s="42"/>
      <c r="G8" s="12"/>
    </row>
    <row r="9" spans="2:11" ht="21" customHeight="1" x14ac:dyDescent="0.4">
      <c r="B9" s="1" t="s">
        <v>34</v>
      </c>
      <c r="C9" s="8"/>
      <c r="D9" s="8"/>
      <c r="E9" s="8"/>
      <c r="F9" s="42" t="s">
        <v>6</v>
      </c>
      <c r="G9" s="5">
        <v>44973</v>
      </c>
    </row>
    <row r="10" spans="2:11" ht="19.8" customHeight="1" x14ac:dyDescent="0.4">
      <c r="B10" s="2" t="s">
        <v>23</v>
      </c>
      <c r="C10" s="8"/>
      <c r="D10" s="8"/>
      <c r="E10" s="8"/>
      <c r="F10" s="16"/>
      <c r="G10" s="16"/>
    </row>
    <row r="11" spans="2:11" ht="20.399999999999999" customHeight="1" thickBot="1" x14ac:dyDescent="0.45">
      <c r="B11" s="9" t="s">
        <v>21</v>
      </c>
      <c r="C11" s="10"/>
      <c r="D11" s="10"/>
      <c r="E11" s="11"/>
      <c r="F11" s="17"/>
      <c r="G11" s="17"/>
    </row>
    <row r="12" spans="2:11" ht="25.8" customHeight="1" thickTop="1" x14ac:dyDescent="0.3">
      <c r="B12" s="28"/>
      <c r="C12" s="26"/>
      <c r="D12" s="26"/>
      <c r="E12" s="26"/>
      <c r="F12" s="26"/>
      <c r="G12" s="26"/>
    </row>
    <row r="13" spans="2:11" s="14" customFormat="1" ht="4.2" customHeight="1" x14ac:dyDescent="0.3">
      <c r="B13" s="18"/>
      <c r="F13" s="32"/>
    </row>
    <row r="14" spans="2:11" ht="20.399999999999999" customHeight="1" x14ac:dyDescent="0.4">
      <c r="B14" s="76" t="s">
        <v>7</v>
      </c>
      <c r="C14" s="76"/>
      <c r="D14" s="19"/>
      <c r="E14" s="3"/>
      <c r="F14" s="43" t="s">
        <v>8</v>
      </c>
      <c r="G14" s="1" t="s">
        <v>26</v>
      </c>
    </row>
    <row r="15" spans="2:11" ht="20.399999999999999" customHeight="1" x14ac:dyDescent="0.4">
      <c r="B15" s="76" t="s">
        <v>5</v>
      </c>
      <c r="C15" s="76"/>
      <c r="D15" s="19" t="s">
        <v>31</v>
      </c>
      <c r="E15" s="3"/>
      <c r="F15" s="43" t="s">
        <v>25</v>
      </c>
      <c r="G15" s="1" t="s">
        <v>27</v>
      </c>
    </row>
    <row r="16" spans="2:11" ht="19.8" customHeight="1" x14ac:dyDescent="0.4">
      <c r="B16" s="76" t="s">
        <v>17</v>
      </c>
      <c r="C16" s="76"/>
      <c r="D16" s="19" t="s">
        <v>31</v>
      </c>
      <c r="E16" s="3"/>
      <c r="F16" s="74" t="s">
        <v>30</v>
      </c>
      <c r="G16" s="74"/>
    </row>
    <row r="17" spans="2:7" ht="19.8" customHeight="1" x14ac:dyDescent="0.4">
      <c r="B17" s="76" t="s">
        <v>11</v>
      </c>
      <c r="C17" s="76"/>
      <c r="D17" s="19"/>
      <c r="E17" s="3"/>
      <c r="F17" s="43" t="s">
        <v>18</v>
      </c>
      <c r="G17" s="22" t="s">
        <v>28</v>
      </c>
    </row>
    <row r="18" spans="2:7" ht="19.8" customHeight="1" x14ac:dyDescent="0.4">
      <c r="B18" s="76" t="s">
        <v>12</v>
      </c>
      <c r="C18" s="76"/>
      <c r="D18" s="24"/>
      <c r="E18" s="3"/>
      <c r="F18" s="43" t="s">
        <v>9</v>
      </c>
      <c r="G18" s="23" t="s">
        <v>29</v>
      </c>
    </row>
    <row r="19" spans="2:7" ht="19.8" customHeight="1" x14ac:dyDescent="0.4">
      <c r="B19" s="20"/>
      <c r="C19" s="4"/>
      <c r="D19" s="4"/>
      <c r="E19" s="3"/>
    </row>
    <row r="20" spans="2:7" ht="23.4" customHeight="1" x14ac:dyDescent="0.3">
      <c r="B20" s="27" t="s">
        <v>13</v>
      </c>
      <c r="C20" s="78" t="s">
        <v>0</v>
      </c>
      <c r="D20" s="78"/>
      <c r="E20" s="27" t="s">
        <v>1</v>
      </c>
      <c r="F20" s="29" t="s">
        <v>2</v>
      </c>
      <c r="G20" s="29" t="s">
        <v>3</v>
      </c>
    </row>
    <row r="21" spans="2:7" ht="21" x14ac:dyDescent="0.4">
      <c r="B21" s="6">
        <v>1</v>
      </c>
      <c r="C21" s="70"/>
      <c r="D21" s="71"/>
      <c r="E21" s="6">
        <v>20</v>
      </c>
      <c r="F21" s="41">
        <v>17350</v>
      </c>
      <c r="G21" s="13">
        <f>+E21*F21</f>
        <v>347000</v>
      </c>
    </row>
    <row r="22" spans="2:7" ht="21" x14ac:dyDescent="0.4">
      <c r="B22" s="6"/>
      <c r="C22" s="70"/>
      <c r="D22" s="71"/>
      <c r="E22" s="6"/>
      <c r="F22" s="6"/>
      <c r="G22" s="13"/>
    </row>
    <row r="23" spans="2:7" ht="21" x14ac:dyDescent="0.4">
      <c r="B23" s="6"/>
      <c r="C23" s="70"/>
      <c r="D23" s="71"/>
      <c r="E23" s="6"/>
      <c r="F23" s="6"/>
      <c r="G23" s="13"/>
    </row>
    <row r="24" spans="2:7" ht="21" x14ac:dyDescent="0.4">
      <c r="B24" s="6"/>
      <c r="C24" s="70"/>
      <c r="D24" s="71"/>
      <c r="E24" s="6"/>
      <c r="F24" s="6"/>
      <c r="G24" s="13"/>
    </row>
    <row r="25" spans="2:7" ht="21" x14ac:dyDescent="0.4">
      <c r="B25" s="6"/>
      <c r="C25" s="70"/>
      <c r="D25" s="71"/>
      <c r="E25" s="6"/>
      <c r="F25" s="6"/>
      <c r="G25" s="13">
        <f t="shared" ref="G25:G32" si="0">E25*F25</f>
        <v>0</v>
      </c>
    </row>
    <row r="26" spans="2:7" ht="21" x14ac:dyDescent="0.4">
      <c r="B26" s="6"/>
      <c r="C26" s="70"/>
      <c r="D26" s="71"/>
      <c r="E26" s="6"/>
      <c r="F26" s="6"/>
      <c r="G26" s="13">
        <f t="shared" si="0"/>
        <v>0</v>
      </c>
    </row>
    <row r="27" spans="2:7" ht="21" x14ac:dyDescent="0.4">
      <c r="B27" s="6"/>
      <c r="C27" s="70"/>
      <c r="D27" s="71"/>
      <c r="E27" s="6"/>
      <c r="F27" s="6"/>
      <c r="G27" s="13">
        <f t="shared" si="0"/>
        <v>0</v>
      </c>
    </row>
    <row r="28" spans="2:7" ht="21" x14ac:dyDescent="0.4">
      <c r="B28" s="6"/>
      <c r="C28" s="70"/>
      <c r="D28" s="71"/>
      <c r="E28" s="6"/>
      <c r="F28" s="6"/>
      <c r="G28" s="13">
        <f t="shared" si="0"/>
        <v>0</v>
      </c>
    </row>
    <row r="29" spans="2:7" ht="21" x14ac:dyDescent="0.4">
      <c r="B29" s="6"/>
      <c r="C29" s="70"/>
      <c r="D29" s="71"/>
      <c r="E29" s="6"/>
      <c r="F29" s="6"/>
      <c r="G29" s="13">
        <f t="shared" si="0"/>
        <v>0</v>
      </c>
    </row>
    <row r="30" spans="2:7" ht="21" x14ac:dyDescent="0.4">
      <c r="B30" s="6"/>
      <c r="C30" s="70"/>
      <c r="D30" s="71"/>
      <c r="E30" s="6"/>
      <c r="F30" s="6"/>
      <c r="G30" s="13">
        <f t="shared" si="0"/>
        <v>0</v>
      </c>
    </row>
    <row r="31" spans="2:7" ht="21" x14ac:dyDescent="0.4">
      <c r="B31" s="6"/>
      <c r="C31" s="70"/>
      <c r="D31" s="71"/>
      <c r="E31" s="6"/>
      <c r="F31" s="6"/>
      <c r="G31" s="13">
        <f t="shared" si="0"/>
        <v>0</v>
      </c>
    </row>
    <row r="32" spans="2:7" ht="21" x14ac:dyDescent="0.4">
      <c r="B32" s="6"/>
      <c r="C32" s="70"/>
      <c r="D32" s="71"/>
      <c r="E32" s="6"/>
      <c r="F32" s="6"/>
      <c r="G32" s="13">
        <f t="shared" si="0"/>
        <v>0</v>
      </c>
    </row>
    <row r="33" spans="5:7" ht="21" x14ac:dyDescent="0.4">
      <c r="F33" s="29" t="s">
        <v>16</v>
      </c>
      <c r="G33" s="13">
        <f>SUM(G21:G32)</f>
        <v>347000</v>
      </c>
    </row>
    <row r="34" spans="5:7" ht="21" x14ac:dyDescent="0.4">
      <c r="E34" s="29" t="s">
        <v>15</v>
      </c>
      <c r="F34" s="44">
        <v>0.21</v>
      </c>
      <c r="G34" s="13">
        <f>G33*F34</f>
        <v>72870</v>
      </c>
    </row>
    <row r="35" spans="5:7" ht="21" x14ac:dyDescent="0.4">
      <c r="F35" s="29" t="s">
        <v>14</v>
      </c>
      <c r="G35" s="15">
        <f>G33+G34</f>
        <v>419870</v>
      </c>
    </row>
    <row r="36" spans="5:7" x14ac:dyDescent="0.3">
      <c r="E36" s="40"/>
      <c r="F36" s="40"/>
    </row>
  </sheetData>
  <mergeCells count="20">
    <mergeCell ref="C31:D31"/>
    <mergeCell ref="C32:D32"/>
    <mergeCell ref="C25:D25"/>
    <mergeCell ref="C26:D26"/>
    <mergeCell ref="C27:D27"/>
    <mergeCell ref="C28:D28"/>
    <mergeCell ref="C29:D29"/>
    <mergeCell ref="C30:D30"/>
    <mergeCell ref="F16:G16"/>
    <mergeCell ref="B17:C17"/>
    <mergeCell ref="C24:D24"/>
    <mergeCell ref="B4:D6"/>
    <mergeCell ref="B14:C14"/>
    <mergeCell ref="B15:C15"/>
    <mergeCell ref="B16:C16"/>
    <mergeCell ref="B18:C18"/>
    <mergeCell ref="C20:D20"/>
    <mergeCell ref="C21:D21"/>
    <mergeCell ref="C22:D22"/>
    <mergeCell ref="C23:D23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opLeftCell="A4" workbookViewId="0">
      <selection activeCell="F22" sqref="F22"/>
    </sheetView>
  </sheetViews>
  <sheetFormatPr baseColWidth="10" defaultRowHeight="14.4" x14ac:dyDescent="0.3"/>
  <cols>
    <col min="1" max="1" width="15.6640625" customWidth="1"/>
    <col min="2" max="2" width="18.21875" customWidth="1"/>
    <col min="3" max="6" width="15.6640625" customWidth="1"/>
    <col min="9" max="9" width="12" bestFit="1" customWidth="1"/>
  </cols>
  <sheetData>
    <row r="1" spans="1:6" x14ac:dyDescent="0.3">
      <c r="A1" s="79"/>
      <c r="B1" s="79"/>
      <c r="C1" s="79"/>
      <c r="D1" s="79"/>
      <c r="E1" s="79"/>
      <c r="F1" s="79"/>
    </row>
    <row r="2" spans="1:6" x14ac:dyDescent="0.3">
      <c r="A2" s="79"/>
      <c r="B2" s="79"/>
      <c r="C2" s="79"/>
      <c r="D2" s="79"/>
      <c r="E2" s="79"/>
      <c r="F2" s="79"/>
    </row>
    <row r="3" spans="1:6" x14ac:dyDescent="0.3">
      <c r="A3" s="79"/>
      <c r="B3" s="79"/>
      <c r="C3" s="79"/>
      <c r="D3" s="79"/>
      <c r="E3" s="79"/>
      <c r="F3" s="79"/>
    </row>
    <row r="4" spans="1:6" ht="15" thickBot="1" x14ac:dyDescent="0.35">
      <c r="A4" s="80"/>
      <c r="B4" s="80"/>
      <c r="C4" s="80"/>
      <c r="D4" s="80"/>
      <c r="E4" s="80"/>
      <c r="F4" s="80"/>
    </row>
    <row r="5" spans="1:6" ht="18.600000000000001" thickBot="1" x14ac:dyDescent="0.35">
      <c r="A5" s="81" t="s">
        <v>35</v>
      </c>
      <c r="B5" s="82"/>
      <c r="C5" s="82"/>
      <c r="D5" s="82"/>
      <c r="E5" s="82"/>
      <c r="F5" s="83"/>
    </row>
    <row r="6" spans="1:6" ht="7.5" customHeight="1" x14ac:dyDescent="0.3">
      <c r="A6" s="8"/>
      <c r="B6" s="8"/>
      <c r="C6" s="8"/>
      <c r="D6" s="8"/>
      <c r="E6" s="8"/>
      <c r="F6" s="8"/>
    </row>
    <row r="7" spans="1:6" ht="25.05" customHeight="1" x14ac:dyDescent="0.3">
      <c r="A7" s="8" t="s">
        <v>61</v>
      </c>
      <c r="B7" s="8"/>
      <c r="C7" s="8"/>
      <c r="D7" s="8"/>
      <c r="E7" s="8"/>
      <c r="F7" s="8"/>
    </row>
    <row r="8" spans="1:6" ht="25.05" customHeight="1" x14ac:dyDescent="0.3">
      <c r="A8" s="8" t="s">
        <v>62</v>
      </c>
      <c r="B8" s="8"/>
      <c r="C8" s="8"/>
      <c r="D8" s="8"/>
      <c r="E8" s="8"/>
      <c r="F8" s="8"/>
    </row>
    <row r="9" spans="1:6" ht="25.05" customHeight="1" x14ac:dyDescent="0.3">
      <c r="A9" s="8" t="s">
        <v>63</v>
      </c>
      <c r="B9" s="8"/>
      <c r="C9" s="8"/>
      <c r="D9" s="8"/>
      <c r="E9" s="8"/>
      <c r="F9" s="8"/>
    </row>
    <row r="10" spans="1:6" ht="25.05" customHeight="1" x14ac:dyDescent="0.3">
      <c r="A10" s="66" t="s">
        <v>25</v>
      </c>
      <c r="B10" s="8"/>
      <c r="C10" s="8"/>
      <c r="D10" s="8"/>
      <c r="E10" s="8"/>
      <c r="F10" s="8"/>
    </row>
    <row r="11" spans="1:6" ht="25.05" customHeight="1" x14ac:dyDescent="0.3">
      <c r="A11" s="8"/>
      <c r="B11" s="8"/>
      <c r="C11" s="8"/>
      <c r="D11" s="8"/>
      <c r="E11" s="8"/>
      <c r="F11" s="8"/>
    </row>
    <row r="12" spans="1:6" ht="25.05" customHeight="1" x14ac:dyDescent="0.3">
      <c r="A12" s="8"/>
      <c r="B12" s="8"/>
      <c r="C12" s="8"/>
      <c r="D12" s="8"/>
      <c r="E12" s="8"/>
      <c r="F12" s="8"/>
    </row>
    <row r="13" spans="1:6" ht="25.05" customHeight="1" x14ac:dyDescent="0.3">
      <c r="A13" s="8"/>
      <c r="B13" s="8"/>
      <c r="C13" s="8"/>
      <c r="D13" s="8"/>
      <c r="E13" s="8"/>
      <c r="F13" s="8"/>
    </row>
    <row r="14" spans="1:6" ht="25.05" customHeight="1" x14ac:dyDescent="0.3">
      <c r="A14" s="8"/>
      <c r="B14" s="8"/>
      <c r="C14" s="8"/>
      <c r="D14" s="8"/>
      <c r="E14" s="8"/>
      <c r="F14" s="8"/>
    </row>
    <row r="15" spans="1:6" ht="25.05" customHeight="1" x14ac:dyDescent="0.3">
      <c r="A15" s="8"/>
      <c r="B15" s="8"/>
      <c r="C15" s="8"/>
      <c r="D15" s="8"/>
      <c r="E15" s="8"/>
      <c r="F15" s="8"/>
    </row>
    <row r="16" spans="1:6" ht="25.05" customHeight="1" x14ac:dyDescent="0.3">
      <c r="A16" s="8"/>
      <c r="B16" s="8"/>
      <c r="C16" s="8"/>
      <c r="D16" s="8"/>
      <c r="E16" s="8"/>
      <c r="F16" s="8"/>
    </row>
    <row r="17" spans="1:6" ht="25.05" customHeight="1" x14ac:dyDescent="0.3">
      <c r="A17" s="8"/>
      <c r="B17" s="8"/>
      <c r="C17" s="8"/>
      <c r="D17" s="8"/>
      <c r="E17" s="8"/>
      <c r="F17" s="8"/>
    </row>
    <row r="18" spans="1:6" ht="25.05" customHeight="1" x14ac:dyDescent="0.3">
      <c r="A18" s="8"/>
      <c r="B18" s="8"/>
      <c r="C18" s="8"/>
      <c r="D18" s="8"/>
      <c r="E18" s="8"/>
      <c r="F18" s="8"/>
    </row>
    <row r="19" spans="1:6" ht="25.05" customHeight="1" x14ac:dyDescent="0.3">
      <c r="A19" s="8"/>
      <c r="B19" s="8"/>
      <c r="C19" s="8"/>
      <c r="D19" s="8"/>
      <c r="E19" s="8"/>
      <c r="F19" s="8"/>
    </row>
    <row r="20" spans="1:6" ht="25.05" customHeight="1" x14ac:dyDescent="0.3">
      <c r="A20" s="8"/>
      <c r="B20" s="8"/>
      <c r="C20" s="8"/>
      <c r="D20" s="8"/>
      <c r="E20" s="8"/>
      <c r="F20" s="8"/>
    </row>
    <row r="21" spans="1:6" ht="25.05" customHeight="1" x14ac:dyDescent="0.3">
      <c r="A21" s="8"/>
      <c r="B21" s="8"/>
      <c r="C21" s="8"/>
      <c r="D21" s="8"/>
      <c r="E21" s="8"/>
      <c r="F21" s="8"/>
    </row>
    <row r="22" spans="1:6" ht="25.05" customHeight="1" x14ac:dyDescent="0.3">
      <c r="A22" s="8"/>
      <c r="B22" s="8"/>
      <c r="C22" s="8"/>
      <c r="D22" s="8"/>
      <c r="E22" s="8"/>
      <c r="F22" s="8"/>
    </row>
    <row r="23" spans="1:6" ht="20.100000000000001" customHeight="1" x14ac:dyDescent="0.3">
      <c r="A23" s="64" t="s">
        <v>36</v>
      </c>
      <c r="B23" s="46" t="s">
        <v>37</v>
      </c>
      <c r="C23" s="64" t="s">
        <v>38</v>
      </c>
      <c r="D23" s="84" t="s">
        <v>39</v>
      </c>
      <c r="E23" s="85"/>
      <c r="F23" s="86"/>
    </row>
    <row r="24" spans="1:6" ht="20.100000000000001" customHeight="1" x14ac:dyDescent="0.3">
      <c r="A24" s="64" t="s">
        <v>40</v>
      </c>
      <c r="B24" s="47">
        <v>44553</v>
      </c>
      <c r="C24" s="64" t="s">
        <v>41</v>
      </c>
      <c r="D24" s="87" t="s">
        <v>42</v>
      </c>
      <c r="E24" s="88"/>
      <c r="F24" s="89"/>
    </row>
    <row r="25" spans="1:6" ht="9" customHeight="1" x14ac:dyDescent="0.3">
      <c r="A25" s="48"/>
      <c r="B25" s="49"/>
      <c r="C25" s="49"/>
      <c r="D25" s="49"/>
      <c r="E25" s="49"/>
      <c r="F25" s="49"/>
    </row>
    <row r="26" spans="1:6" x14ac:dyDescent="0.3">
      <c r="A26" s="65" t="s">
        <v>43</v>
      </c>
      <c r="B26" s="65" t="s">
        <v>44</v>
      </c>
      <c r="C26" s="65" t="s">
        <v>45</v>
      </c>
      <c r="D26" s="65" t="s">
        <v>46</v>
      </c>
      <c r="E26" s="65" t="s">
        <v>47</v>
      </c>
      <c r="F26" s="65" t="s">
        <v>48</v>
      </c>
    </row>
    <row r="27" spans="1:6" s="52" customFormat="1" ht="13.8" x14ac:dyDescent="0.3">
      <c r="A27" s="47">
        <v>44545</v>
      </c>
      <c r="B27" s="50" t="s">
        <v>49</v>
      </c>
      <c r="C27" s="51">
        <v>302500</v>
      </c>
      <c r="D27" s="46" t="s">
        <v>50</v>
      </c>
      <c r="E27" s="51">
        <f>125000*1.21</f>
        <v>151250</v>
      </c>
      <c r="F27" s="47">
        <v>44576</v>
      </c>
    </row>
    <row r="28" spans="1:6" ht="21.9" customHeight="1" x14ac:dyDescent="0.3">
      <c r="A28" s="53"/>
      <c r="B28" s="54"/>
      <c r="C28" s="54"/>
      <c r="D28" s="46" t="s">
        <v>51</v>
      </c>
      <c r="E28" s="51">
        <f>125000*1.21</f>
        <v>151250</v>
      </c>
      <c r="F28" s="47">
        <v>44591</v>
      </c>
    </row>
    <row r="29" spans="1:6" ht="21.9" customHeight="1" x14ac:dyDescent="0.3">
      <c r="A29" s="53"/>
      <c r="B29" s="54"/>
      <c r="C29" s="54"/>
      <c r="D29" s="54"/>
      <c r="E29" s="54"/>
      <c r="F29" s="54"/>
    </row>
    <row r="30" spans="1:6" ht="21.9" customHeight="1" x14ac:dyDescent="0.3">
      <c r="A30" s="53"/>
      <c r="B30" s="54"/>
      <c r="C30" s="54"/>
      <c r="D30" s="54"/>
      <c r="E30" s="54"/>
      <c r="F30" s="54"/>
    </row>
    <row r="31" spans="1:6" ht="21.9" customHeight="1" x14ac:dyDescent="0.3">
      <c r="A31" s="53"/>
      <c r="B31" s="54"/>
      <c r="C31" s="54"/>
      <c r="D31" s="54"/>
      <c r="E31" s="54"/>
      <c r="F31" s="54"/>
    </row>
    <row r="32" spans="1:6" ht="21.9" customHeight="1" x14ac:dyDescent="0.3">
      <c r="A32" s="53"/>
      <c r="B32" s="54"/>
      <c r="C32" s="54"/>
      <c r="D32" s="54"/>
      <c r="E32" s="54"/>
      <c r="F32" s="54"/>
    </row>
    <row r="33" spans="1:6" ht="21.9" customHeight="1" x14ac:dyDescent="0.3">
      <c r="A33" s="53"/>
      <c r="B33" s="54"/>
      <c r="C33" s="54"/>
      <c r="D33" s="54"/>
      <c r="E33" s="54"/>
      <c r="F33" s="54"/>
    </row>
    <row r="34" spans="1:6" ht="21.9" customHeight="1" x14ac:dyDescent="0.3">
      <c r="A34" s="53"/>
      <c r="B34" s="54"/>
      <c r="C34" s="54"/>
      <c r="D34" s="54"/>
      <c r="E34" s="54"/>
      <c r="F34" s="54"/>
    </row>
    <row r="35" spans="1:6" ht="21.9" customHeight="1" x14ac:dyDescent="0.3">
      <c r="A35" s="53"/>
      <c r="B35" s="54"/>
      <c r="C35" s="54"/>
      <c r="D35" s="54"/>
      <c r="E35" s="54"/>
      <c r="F35" s="54"/>
    </row>
    <row r="36" spans="1:6" ht="21.9" customHeight="1" x14ac:dyDescent="0.3">
      <c r="A36" s="53"/>
      <c r="B36" s="54"/>
      <c r="C36" s="54"/>
      <c r="D36" s="54"/>
      <c r="E36" s="54"/>
      <c r="F36" s="54"/>
    </row>
    <row r="37" spans="1:6" ht="21.9" customHeight="1" x14ac:dyDescent="0.3">
      <c r="A37" s="53"/>
      <c r="B37" s="54"/>
      <c r="C37" s="54"/>
      <c r="D37" s="54"/>
      <c r="E37" s="54"/>
      <c r="F37" s="54"/>
    </row>
    <row r="38" spans="1:6" ht="21.9" customHeight="1" x14ac:dyDescent="0.3">
      <c r="A38" s="53"/>
      <c r="B38" s="54"/>
      <c r="C38" s="54"/>
      <c r="D38" s="54"/>
      <c r="E38" s="54"/>
      <c r="F38" s="54"/>
    </row>
    <row r="39" spans="1:6" ht="21.9" customHeight="1" x14ac:dyDescent="0.3">
      <c r="A39" s="53"/>
      <c r="B39" s="54"/>
      <c r="C39" s="54"/>
      <c r="D39" s="54"/>
      <c r="E39" s="54"/>
      <c r="F39" s="54"/>
    </row>
    <row r="40" spans="1:6" ht="21.9" customHeight="1" x14ac:dyDescent="0.3">
      <c r="A40" s="53"/>
      <c r="B40" s="54"/>
      <c r="C40" s="54"/>
      <c r="D40" s="54"/>
      <c r="E40" s="54"/>
      <c r="F40" s="54"/>
    </row>
    <row r="41" spans="1:6" ht="15" thickBot="1" x14ac:dyDescent="0.35">
      <c r="A41" s="53"/>
      <c r="B41" s="55"/>
      <c r="C41" s="56"/>
      <c r="D41" s="56"/>
      <c r="E41" s="55"/>
      <c r="F41" s="54"/>
    </row>
    <row r="42" spans="1:6" ht="15.6" thickTop="1" thickBot="1" x14ac:dyDescent="0.35">
      <c r="A42" s="57"/>
      <c r="B42" s="55" t="s">
        <v>52</v>
      </c>
      <c r="C42" s="58">
        <f>SUM(C27:C41)</f>
        <v>302500</v>
      </c>
      <c r="D42" s="55" t="s">
        <v>53</v>
      </c>
      <c r="E42" s="58">
        <f>SUM(E27:E41)</f>
        <v>302500</v>
      </c>
      <c r="F42" s="54"/>
    </row>
    <row r="43" spans="1:6" ht="12" customHeight="1" thickTop="1" x14ac:dyDescent="0.3">
      <c r="A43" s="90" t="s">
        <v>54</v>
      </c>
      <c r="B43" s="90"/>
      <c r="C43" s="91" t="s">
        <v>55</v>
      </c>
      <c r="D43" s="91"/>
      <c r="E43" s="92" t="s">
        <v>56</v>
      </c>
      <c r="F43" s="93"/>
    </row>
    <row r="44" spans="1:6" ht="21.9" customHeight="1" x14ac:dyDescent="0.3">
      <c r="A44" s="59" t="s">
        <v>57</v>
      </c>
      <c r="B44" s="60" t="s">
        <v>58</v>
      </c>
      <c r="C44" s="59" t="s">
        <v>57</v>
      </c>
      <c r="D44" s="60" t="s">
        <v>59</v>
      </c>
      <c r="E44" s="59" t="s">
        <v>57</v>
      </c>
      <c r="F44" s="60" t="str">
        <f>+D44</f>
        <v>Matias Lorenzati</v>
      </c>
    </row>
    <row r="45" spans="1:6" s="61" customFormat="1" ht="10.199999999999999" x14ac:dyDescent="0.2">
      <c r="A45" s="90" t="s">
        <v>60</v>
      </c>
      <c r="B45" s="90"/>
      <c r="C45" s="90" t="s">
        <v>60</v>
      </c>
      <c r="D45" s="90"/>
      <c r="E45" s="94" t="s">
        <v>60</v>
      </c>
      <c r="F45" s="95"/>
    </row>
    <row r="46" spans="1:6" ht="53.25" customHeight="1" x14ac:dyDescent="0.3">
      <c r="A46" s="96"/>
      <c r="B46" s="96"/>
      <c r="C46" s="96"/>
      <c r="D46" s="96"/>
      <c r="E46" s="97"/>
      <c r="F46" s="98"/>
    </row>
    <row r="47" spans="1:6" ht="21.9" customHeight="1" x14ac:dyDescent="0.3">
      <c r="A47" s="8"/>
      <c r="B47" s="62"/>
      <c r="C47" s="62"/>
      <c r="D47" s="62"/>
      <c r="E47" s="62"/>
      <c r="F47" s="62"/>
    </row>
    <row r="48" spans="1:6" ht="24.9" customHeight="1" x14ac:dyDescent="0.3"/>
    <row r="49" spans="9:9" ht="15.6" x14ac:dyDescent="0.3">
      <c r="I49" s="63"/>
    </row>
  </sheetData>
  <mergeCells count="13">
    <mergeCell ref="A45:B45"/>
    <mergeCell ref="C45:D45"/>
    <mergeCell ref="E45:F45"/>
    <mergeCell ref="A46:B46"/>
    <mergeCell ref="C46:D46"/>
    <mergeCell ref="E46:F46"/>
    <mergeCell ref="A1:F4"/>
    <mergeCell ref="A5:F5"/>
    <mergeCell ref="D23:F23"/>
    <mergeCell ref="D24:F24"/>
    <mergeCell ref="A43:B43"/>
    <mergeCell ref="C43:D43"/>
    <mergeCell ref="E43:F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4"/>
  <sheetViews>
    <sheetView showGridLines="0" workbookViewId="0">
      <selection activeCell="G36" sqref="A2:G36"/>
    </sheetView>
  </sheetViews>
  <sheetFormatPr baseColWidth="10" defaultRowHeight="14.4" x14ac:dyDescent="0.3"/>
  <cols>
    <col min="1" max="1" width="2" customWidth="1"/>
    <col min="2" max="7" width="15.77734375" customWidth="1"/>
    <col min="12" max="13" width="12" bestFit="1" customWidth="1"/>
  </cols>
  <sheetData>
    <row r="1" spans="2:11" ht="61.8" customHeight="1" x14ac:dyDescent="0.3">
      <c r="H1" s="14"/>
      <c r="I1" s="14"/>
      <c r="J1" s="14"/>
      <c r="K1" s="14"/>
    </row>
    <row r="2" spans="2:11" ht="54.9" customHeight="1" x14ac:dyDescent="0.3">
      <c r="B2" s="25"/>
      <c r="C2" s="25"/>
      <c r="D2" s="25"/>
      <c r="E2" s="25"/>
      <c r="F2" s="25"/>
      <c r="G2" s="25"/>
      <c r="H2" s="14"/>
      <c r="I2" s="14"/>
      <c r="J2" s="14"/>
      <c r="K2" s="14"/>
    </row>
    <row r="3" spans="2:11" s="14" customFormat="1" x14ac:dyDescent="0.3"/>
    <row r="4" spans="2:11" s="14" customFormat="1" ht="14.4" customHeight="1" x14ac:dyDescent="0.3">
      <c r="B4" s="75" t="s">
        <v>35</v>
      </c>
      <c r="C4" s="75"/>
      <c r="D4" s="75"/>
      <c r="E4" s="16"/>
    </row>
    <row r="5" spans="2:11" s="14" customFormat="1" ht="14.4" customHeight="1" x14ac:dyDescent="0.3">
      <c r="B5" s="75"/>
      <c r="C5" s="75"/>
      <c r="D5" s="75"/>
      <c r="E5" s="16"/>
    </row>
    <row r="6" spans="2:11" s="14" customFormat="1" ht="14.4" customHeight="1" x14ac:dyDescent="0.3">
      <c r="B6" s="75"/>
      <c r="C6" s="75"/>
      <c r="D6" s="75"/>
      <c r="E6" s="16"/>
    </row>
    <row r="7" spans="2:11" ht="21" customHeight="1" x14ac:dyDescent="0.4">
      <c r="B7" s="21" t="s">
        <v>19</v>
      </c>
      <c r="C7" s="8"/>
      <c r="D7" s="8"/>
      <c r="E7" s="8"/>
      <c r="F7" s="31" t="s">
        <v>10</v>
      </c>
      <c r="G7" s="69" t="s">
        <v>76</v>
      </c>
    </row>
    <row r="8" spans="2:11" ht="21" customHeight="1" x14ac:dyDescent="0.4">
      <c r="B8" s="2" t="s">
        <v>20</v>
      </c>
      <c r="C8" s="8"/>
      <c r="D8" s="8"/>
      <c r="E8" s="8"/>
      <c r="F8" s="31"/>
      <c r="G8" s="12"/>
    </row>
    <row r="9" spans="2:11" ht="21" customHeight="1" x14ac:dyDescent="0.4">
      <c r="B9" s="21" t="s">
        <v>22</v>
      </c>
      <c r="C9" s="8"/>
      <c r="D9" s="8"/>
      <c r="E9" s="8"/>
      <c r="F9" s="31" t="s">
        <v>6</v>
      </c>
      <c r="G9" s="5">
        <v>45061</v>
      </c>
    </row>
    <row r="10" spans="2:11" ht="19.8" customHeight="1" x14ac:dyDescent="0.4">
      <c r="B10" s="2" t="s">
        <v>23</v>
      </c>
      <c r="C10" s="8"/>
      <c r="D10" s="8"/>
      <c r="E10" s="8"/>
      <c r="F10" s="16"/>
      <c r="G10" s="16"/>
    </row>
    <row r="11" spans="2:11" ht="20.399999999999999" customHeight="1" thickBot="1" x14ac:dyDescent="0.45">
      <c r="B11" s="9" t="s">
        <v>21</v>
      </c>
      <c r="C11" s="10"/>
      <c r="D11" s="10"/>
      <c r="E11" s="11"/>
      <c r="F11" s="17"/>
      <c r="G11" s="17"/>
    </row>
    <row r="12" spans="2:11" ht="25.8" customHeight="1" thickTop="1" x14ac:dyDescent="0.3">
      <c r="B12" s="30"/>
      <c r="C12" s="25"/>
      <c r="D12" s="25"/>
      <c r="E12" s="25"/>
      <c r="F12" s="25"/>
      <c r="G12" s="25"/>
    </row>
    <row r="13" spans="2:11" s="14" customFormat="1" ht="4.2" customHeight="1" x14ac:dyDescent="0.3">
      <c r="B13" s="18"/>
      <c r="F13" s="32"/>
    </row>
    <row r="14" spans="2:11" ht="20.399999999999999" customHeight="1" x14ac:dyDescent="0.4">
      <c r="B14" s="72" t="s">
        <v>7</v>
      </c>
      <c r="C14" s="72"/>
      <c r="D14" s="19" t="s">
        <v>64</v>
      </c>
      <c r="E14" s="3"/>
      <c r="F14" s="34" t="s">
        <v>8</v>
      </c>
      <c r="G14" s="23" t="s">
        <v>73</v>
      </c>
    </row>
    <row r="15" spans="2:11" ht="20.399999999999999" customHeight="1" x14ac:dyDescent="0.4">
      <c r="B15" s="72" t="s">
        <v>5</v>
      </c>
      <c r="C15" s="72"/>
      <c r="D15" s="19" t="s">
        <v>31</v>
      </c>
      <c r="E15" s="3"/>
      <c r="F15" s="34" t="s">
        <v>25</v>
      </c>
      <c r="G15" s="21"/>
    </row>
    <row r="16" spans="2:11" ht="19.8" customHeight="1" x14ac:dyDescent="0.4">
      <c r="B16" s="72" t="s">
        <v>17</v>
      </c>
      <c r="C16" s="72"/>
      <c r="D16" s="19" t="s">
        <v>31</v>
      </c>
      <c r="E16" s="3"/>
      <c r="F16" s="74"/>
      <c r="G16" s="74"/>
    </row>
    <row r="17" spans="2:7" ht="19.8" customHeight="1" x14ac:dyDescent="0.4">
      <c r="B17" s="72" t="s">
        <v>11</v>
      </c>
      <c r="C17" s="72"/>
      <c r="D17" s="19" t="s">
        <v>66</v>
      </c>
      <c r="E17" s="3"/>
      <c r="F17" s="34" t="s">
        <v>18</v>
      </c>
      <c r="G17" s="22" t="s">
        <v>67</v>
      </c>
    </row>
    <row r="18" spans="2:7" ht="19.8" customHeight="1" x14ac:dyDescent="0.4">
      <c r="B18" s="72" t="s">
        <v>12</v>
      </c>
      <c r="C18" s="72"/>
      <c r="D18" s="24" t="s">
        <v>65</v>
      </c>
      <c r="E18" s="3"/>
      <c r="F18" s="34" t="s">
        <v>9</v>
      </c>
      <c r="G18" s="23" t="s">
        <v>29</v>
      </c>
    </row>
    <row r="19" spans="2:7" ht="19.8" customHeight="1" x14ac:dyDescent="0.4">
      <c r="B19" s="20"/>
      <c r="C19" s="4"/>
      <c r="D19" s="4"/>
      <c r="E19" s="3"/>
    </row>
    <row r="20" spans="2:7" ht="23.4" customHeight="1" x14ac:dyDescent="0.3">
      <c r="B20" s="67" t="s">
        <v>43</v>
      </c>
      <c r="C20" s="67" t="s">
        <v>44</v>
      </c>
      <c r="D20" s="67" t="s">
        <v>45</v>
      </c>
      <c r="E20" s="67" t="s">
        <v>46</v>
      </c>
      <c r="F20" s="67" t="s">
        <v>47</v>
      </c>
      <c r="G20" s="67" t="s">
        <v>48</v>
      </c>
    </row>
    <row r="21" spans="2:7" x14ac:dyDescent="0.3">
      <c r="B21" s="47">
        <v>45016</v>
      </c>
      <c r="C21" s="68" t="s">
        <v>68</v>
      </c>
      <c r="D21" s="51">
        <v>22393.43</v>
      </c>
      <c r="E21" s="46" t="s">
        <v>75</v>
      </c>
      <c r="F21" s="51">
        <v>217754.92</v>
      </c>
      <c r="G21" s="47">
        <v>45066</v>
      </c>
    </row>
    <row r="22" spans="2:7" x14ac:dyDescent="0.3">
      <c r="B22" s="47">
        <v>45021</v>
      </c>
      <c r="C22" s="68" t="s">
        <v>69</v>
      </c>
      <c r="D22" s="51">
        <v>21942.14</v>
      </c>
      <c r="E22" s="46"/>
      <c r="F22" s="51"/>
      <c r="G22" s="47"/>
    </row>
    <row r="23" spans="2:7" x14ac:dyDescent="0.3">
      <c r="B23" s="47">
        <v>45028</v>
      </c>
      <c r="C23" s="68" t="s">
        <v>70</v>
      </c>
      <c r="D23" s="51">
        <v>111804</v>
      </c>
      <c r="E23" s="46"/>
      <c r="F23" s="51"/>
      <c r="G23" s="47"/>
    </row>
    <row r="24" spans="2:7" x14ac:dyDescent="0.3">
      <c r="B24" s="47">
        <v>45029</v>
      </c>
      <c r="C24" s="68" t="s">
        <v>71</v>
      </c>
      <c r="D24" s="51">
        <v>3090.07</v>
      </c>
      <c r="E24" s="46"/>
      <c r="F24" s="51"/>
      <c r="G24" s="47"/>
    </row>
    <row r="25" spans="2:7" x14ac:dyDescent="0.3">
      <c r="B25" s="47">
        <v>45036</v>
      </c>
      <c r="C25" s="68" t="s">
        <v>72</v>
      </c>
      <c r="D25" s="51">
        <v>58525.279999999999</v>
      </c>
      <c r="E25" s="46"/>
      <c r="F25" s="51"/>
      <c r="G25" s="47"/>
    </row>
    <row r="26" spans="2:7" x14ac:dyDescent="0.3">
      <c r="B26" s="47"/>
      <c r="C26" s="68"/>
      <c r="D26" s="51"/>
      <c r="E26" s="46"/>
      <c r="F26" s="51"/>
      <c r="G26" s="47"/>
    </row>
    <row r="27" spans="2:7" x14ac:dyDescent="0.3">
      <c r="B27" s="53"/>
      <c r="C27" s="68"/>
      <c r="D27" s="54"/>
      <c r="E27" s="54"/>
      <c r="F27" s="54"/>
      <c r="G27" s="54"/>
    </row>
    <row r="28" spans="2:7" x14ac:dyDescent="0.3">
      <c r="B28" s="53"/>
      <c r="C28" s="54"/>
      <c r="D28" s="54"/>
      <c r="E28" s="54"/>
      <c r="F28" s="54"/>
      <c r="G28" s="54"/>
    </row>
    <row r="29" spans="2:7" x14ac:dyDescent="0.3">
      <c r="B29" s="53"/>
      <c r="C29" s="54"/>
      <c r="D29" s="54"/>
      <c r="E29" s="54"/>
      <c r="F29" s="54"/>
      <c r="G29" s="54"/>
    </row>
    <row r="30" spans="2:7" ht="21.9" customHeight="1" thickBot="1" x14ac:dyDescent="0.35">
      <c r="B30" s="57"/>
      <c r="C30" s="55" t="s">
        <v>52</v>
      </c>
      <c r="D30" s="58">
        <f>SUM(D21:D29)</f>
        <v>217754.92</v>
      </c>
      <c r="E30" s="55" t="s">
        <v>53</v>
      </c>
      <c r="F30" s="58">
        <f>SUM(F15:F29)</f>
        <v>217754.92</v>
      </c>
      <c r="G30" s="54"/>
    </row>
    <row r="31" spans="2:7" ht="12" customHeight="1" thickTop="1" x14ac:dyDescent="0.3">
      <c r="B31" s="90" t="s">
        <v>54</v>
      </c>
      <c r="C31" s="90"/>
      <c r="D31" s="91" t="s">
        <v>55</v>
      </c>
      <c r="E31" s="91"/>
      <c r="F31" s="92" t="s">
        <v>56</v>
      </c>
      <c r="G31" s="93"/>
    </row>
    <row r="32" spans="2:7" ht="21.9" customHeight="1" x14ac:dyDescent="0.3">
      <c r="B32" s="59" t="s">
        <v>57</v>
      </c>
      <c r="C32" s="60" t="s">
        <v>58</v>
      </c>
      <c r="D32" s="59" t="s">
        <v>57</v>
      </c>
      <c r="E32" s="60" t="s">
        <v>74</v>
      </c>
      <c r="F32" s="59" t="s">
        <v>57</v>
      </c>
      <c r="G32" s="60" t="s">
        <v>74</v>
      </c>
    </row>
    <row r="33" spans="2:7" ht="12" customHeight="1" x14ac:dyDescent="0.3">
      <c r="B33" s="90" t="s">
        <v>60</v>
      </c>
      <c r="C33" s="90"/>
      <c r="D33" s="90" t="s">
        <v>60</v>
      </c>
      <c r="E33" s="90"/>
      <c r="F33" s="94" t="s">
        <v>60</v>
      </c>
      <c r="G33" s="95"/>
    </row>
    <row r="34" spans="2:7" ht="54.6" customHeight="1" x14ac:dyDescent="0.3">
      <c r="B34" s="96"/>
      <c r="C34" s="96"/>
      <c r="D34" s="96"/>
      <c r="E34" s="96"/>
      <c r="F34" s="97"/>
      <c r="G34" s="98"/>
    </row>
  </sheetData>
  <mergeCells count="16">
    <mergeCell ref="F16:G16"/>
    <mergeCell ref="B17:C17"/>
    <mergeCell ref="B18:C18"/>
    <mergeCell ref="B4:D6"/>
    <mergeCell ref="B14:C14"/>
    <mergeCell ref="B15:C15"/>
    <mergeCell ref="B16:C16"/>
    <mergeCell ref="D34:E34"/>
    <mergeCell ref="F34:G34"/>
    <mergeCell ref="B31:C31"/>
    <mergeCell ref="D31:E31"/>
    <mergeCell ref="F31:G31"/>
    <mergeCell ref="B33:C33"/>
    <mergeCell ref="D33:E33"/>
    <mergeCell ref="F33:G33"/>
    <mergeCell ref="B34:C34"/>
  </mergeCells>
  <pageMargins left="0.39370078740157483" right="0.39370078740157483" top="0.19685039370078741" bottom="0.19685039370078741" header="0.31496062992125984" footer="0.31496062992125984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Orden de compra - DOS57</vt:lpstr>
      <vt:lpstr>Orden de compra - ENJOY</vt:lpstr>
      <vt:lpstr>Hoja2</vt:lpstr>
      <vt:lpstr>Orden de compra - DOS57 (2)</vt:lpstr>
      <vt:lpstr>'Orden de compra - DOS57'!Área_de_impresión</vt:lpstr>
      <vt:lpstr>'Orden de compra - DOS57 (2)'!Área_de_impresión</vt:lpstr>
      <vt:lpstr>'Orden de compra - ENJOY'!Área_de_impresión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LENOVO</cp:lastModifiedBy>
  <cp:lastPrinted>2023-07-06T13:41:04Z</cp:lastPrinted>
  <dcterms:created xsi:type="dcterms:W3CDTF">2015-08-24T20:24:34Z</dcterms:created>
  <dcterms:modified xsi:type="dcterms:W3CDTF">2023-07-06T14:34:09Z</dcterms:modified>
</cp:coreProperties>
</file>