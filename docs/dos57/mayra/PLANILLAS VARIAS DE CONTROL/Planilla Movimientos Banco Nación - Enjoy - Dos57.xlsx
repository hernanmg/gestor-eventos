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MAYRA 2024\"/>
    </mc:Choice>
  </mc:AlternateContent>
  <bookViews>
    <workbookView xWindow="-120" yWindow="-120" windowWidth="20736" windowHeight="11160" tabRatio="977" firstSheet="2" activeTab="3"/>
  </bookViews>
  <sheets>
    <sheet name="Marzo" sheetId="5" state="hidden" r:id="rId1"/>
    <sheet name="Abril" sheetId="6" state="hidden" r:id="rId2"/>
    <sheet name="NACIÓN ENJOY" sheetId="32" r:id="rId3"/>
    <sheet name="NACIÓN DOS57" sheetId="33" r:id="rId4"/>
  </sheets>
  <calcPr calcId="162913"/>
</workbook>
</file>

<file path=xl/calcChain.xml><?xml version="1.0" encoding="utf-8"?>
<calcChain xmlns="http://schemas.openxmlformats.org/spreadsheetml/2006/main">
  <c r="E15" i="33" l="1"/>
  <c r="E16" i="33"/>
  <c r="E13" i="32" l="1"/>
  <c r="E14" i="32"/>
  <c r="E15" i="32" s="1"/>
  <c r="E16" i="32" s="1"/>
  <c r="E4" i="33" l="1"/>
  <c r="E5" i="33" s="1"/>
  <c r="E6" i="33" s="1"/>
  <c r="E7" i="33" s="1"/>
  <c r="E8" i="33" s="1"/>
  <c r="E9" i="33" s="1"/>
  <c r="E10" i="33" s="1"/>
  <c r="E11" i="33" s="1"/>
  <c r="E12" i="33" s="1"/>
  <c r="E13" i="33" s="1"/>
  <c r="E14" i="33" s="1"/>
  <c r="E4" i="32" l="1"/>
  <c r="E5" i="32" s="1"/>
  <c r="E6" i="32" s="1"/>
  <c r="E7" i="32" s="1"/>
  <c r="E8" i="32" s="1"/>
  <c r="E9" i="32" s="1"/>
  <c r="E10" i="32" s="1"/>
  <c r="E11" i="32" s="1"/>
  <c r="E12" i="32" s="1"/>
  <c r="E69" i="6" l="1"/>
  <c r="E57" i="6"/>
  <c r="E20" i="6"/>
  <c r="E46" i="6" s="1"/>
  <c r="D54" i="5"/>
  <c r="D49" i="5"/>
  <c r="D45" i="5"/>
  <c r="D44" i="5"/>
  <c r="D38" i="5"/>
  <c r="D6" i="5"/>
  <c r="E5" i="5" l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71" i="6"/>
  <c r="E27" i="5" l="1"/>
  <c r="E28" i="5" s="1"/>
  <c r="E29" i="5" s="1"/>
  <c r="E30" i="5" s="1"/>
  <c r="E31" i="5" s="1"/>
  <c r="E32" i="5" s="1"/>
  <c r="E33" i="5" s="1"/>
  <c r="D5" i="6" l="1"/>
  <c r="D16" i="6" l="1"/>
  <c r="E70" i="6" s="1"/>
  <c r="E72" i="6" s="1"/>
</calcChain>
</file>

<file path=xl/sharedStrings.xml><?xml version="1.0" encoding="utf-8"?>
<sst xmlns="http://schemas.openxmlformats.org/spreadsheetml/2006/main" count="204" uniqueCount="125">
  <si>
    <t>Evento: CAJA CHICA PATRICIA- DOS57 SRL</t>
  </si>
  <si>
    <t>SEGUIMIENTO DE CAJA</t>
  </si>
  <si>
    <t>MES:</t>
  </si>
  <si>
    <t>FECHA</t>
  </si>
  <si>
    <t>CONCEPTO</t>
  </si>
  <si>
    <t>INGRESO</t>
  </si>
  <si>
    <t>EGRESO</t>
  </si>
  <si>
    <t>SALDO</t>
  </si>
  <si>
    <t>POLLO</t>
  </si>
  <si>
    <t>LIBRERÍA</t>
  </si>
  <si>
    <t>VALE TOMAS</t>
  </si>
  <si>
    <t>VALE ISAIAS</t>
  </si>
  <si>
    <t>WIWI</t>
  </si>
  <si>
    <t>VALE RASTA</t>
  </si>
  <si>
    <t>RAFAS</t>
  </si>
  <si>
    <t>MARCOS FAUSTITO</t>
  </si>
  <si>
    <t>LUCAS FAUSTITO</t>
  </si>
  <si>
    <t>COMIDA CARLOS PAZ</t>
  </si>
  <si>
    <t>COMIDA POLO</t>
  </si>
  <si>
    <t>RAMIRO CAJA CHICA</t>
  </si>
  <si>
    <t>VALE POLA</t>
  </si>
  <si>
    <t>VALE CHISPITA</t>
  </si>
  <si>
    <t>COMIDA COLONO</t>
  </si>
  <si>
    <t>VALE ROBERTO</t>
  </si>
  <si>
    <t>MARIO FERRETERIA</t>
  </si>
  <si>
    <t>FER CHISPITA</t>
  </si>
  <si>
    <t>COMISIONISTA VARILLAS</t>
  </si>
  <si>
    <t>CHISPITA NAFTA</t>
  </si>
  <si>
    <t>MARZO</t>
  </si>
  <si>
    <t>VALE RAFA</t>
  </si>
  <si>
    <t>NAFTA DIEGO</t>
  </si>
  <si>
    <t>LIBERTAD</t>
  </si>
  <si>
    <t xml:space="preserve">LIBRERÍA  </t>
  </si>
  <si>
    <t>MARIO LIQUIDOS DE LIMPIEZA</t>
  </si>
  <si>
    <t>SUELDO PATRI FEBRERO</t>
  </si>
  <si>
    <t>FAUSTITOS</t>
  </si>
  <si>
    <t>POLLO VIAJE</t>
  </si>
  <si>
    <t>ZARATINI MOTOS</t>
  </si>
  <si>
    <t>SOGA</t>
  </si>
  <si>
    <t>JAVIER ESCOBAR</t>
  </si>
  <si>
    <t>CAMIONERO</t>
  </si>
  <si>
    <t xml:space="preserve">CHARLIE </t>
  </si>
  <si>
    <t>COMIDA HAKA</t>
  </si>
  <si>
    <t>COMIDA POLO ASADO</t>
  </si>
  <si>
    <t>DIF JAVIER ESCOBAR</t>
  </si>
  <si>
    <t xml:space="preserve">FLETE FURIA </t>
  </si>
  <si>
    <t>FURIA PERFUMINA</t>
  </si>
  <si>
    <t xml:space="preserve">VALE POLA </t>
  </si>
  <si>
    <t>DIEGO GASOIL</t>
  </si>
  <si>
    <t>CAJA CHICA WIWI RENDIDO</t>
  </si>
  <si>
    <t>CHISPITA COMIDA</t>
  </si>
  <si>
    <t>AGUA BIDONES (4) + SODA</t>
  </si>
  <si>
    <t>VALE LUCAS</t>
  </si>
  <si>
    <t>VALE DIEGO</t>
  </si>
  <si>
    <t>CHISPITA COMIDA + NAFTA TRANSF</t>
  </si>
  <si>
    <t>INFODOCTA</t>
  </si>
  <si>
    <t xml:space="preserve">FURIA  </t>
  </si>
  <si>
    <t>DANI CAJA CHICA MONTE MAIZ</t>
  </si>
  <si>
    <t>RAMI SUELDO</t>
  </si>
  <si>
    <t>AGUA BIDONES (3) + SODA</t>
  </si>
  <si>
    <t>GASOIL MULA</t>
  </si>
  <si>
    <t>GASOIL CHATA</t>
  </si>
  <si>
    <t>CARLOS ZARATINI</t>
  </si>
  <si>
    <t>2/</t>
  </si>
  <si>
    <t>CAJA CHICA PATRICIA  - ABRIL 2022</t>
  </si>
  <si>
    <t>INGRESOS</t>
  </si>
  <si>
    <t>DESCRIPCION</t>
  </si>
  <si>
    <t xml:space="preserve">MONTO </t>
  </si>
  <si>
    <t>FINAL MARZO</t>
  </si>
  <si>
    <t>TONY</t>
  </si>
  <si>
    <t>ANDREA</t>
  </si>
  <si>
    <t>TOTAL INGRESOS</t>
  </si>
  <si>
    <t>EGRESOS</t>
  </si>
  <si>
    <t>MONTO</t>
  </si>
  <si>
    <t>CAJA CHICA CHISPITA EMBALSE</t>
  </si>
  <si>
    <t xml:space="preserve">NAFTA </t>
  </si>
  <si>
    <t>CHISPITA  MOTOS</t>
  </si>
  <si>
    <t>TONY A RENDIR</t>
  </si>
  <si>
    <t>FRANCO</t>
  </si>
  <si>
    <t>EOLICOS</t>
  </si>
  <si>
    <t>ANDREA A RENDIR</t>
  </si>
  <si>
    <t xml:space="preserve">NATFA </t>
  </si>
  <si>
    <t>MULA</t>
  </si>
  <si>
    <t>DIFERENCIA SUELDOS DOS57</t>
  </si>
  <si>
    <t>COMIDA FORJA</t>
  </si>
  <si>
    <t>BASSANI</t>
  </si>
  <si>
    <t>ESTEBAN FAUSTITO</t>
  </si>
  <si>
    <t>COWORKING ABRIL</t>
  </si>
  <si>
    <t>FAUSTO</t>
  </si>
  <si>
    <t>TOTAL EGRESOS</t>
  </si>
  <si>
    <t xml:space="preserve">CAJAS CHICAS </t>
  </si>
  <si>
    <t>MARIO</t>
  </si>
  <si>
    <t>FURIA</t>
  </si>
  <si>
    <t>CHISPITA EMBALSE</t>
  </si>
  <si>
    <t>ADELANTOS</t>
  </si>
  <si>
    <t>RAFAS AL 05/04/2022</t>
  </si>
  <si>
    <t>FAUSTITOS AL 05/04/2022</t>
  </si>
  <si>
    <t>FAUSTITOS PREMIO ANGOSTURA</t>
  </si>
  <si>
    <t>SUELDO PATRI MARZO</t>
  </si>
  <si>
    <t>TOTAL VALES</t>
  </si>
  <si>
    <t>TOTAL  INGRESOS</t>
  </si>
  <si>
    <t>TOTAL EGRESOS + CAJA CHICA + PAGO PERSONAL</t>
  </si>
  <si>
    <t>DIFERENCIA</t>
  </si>
  <si>
    <t>PLANILLA MOVIMIENTOS NACIÓN - ENJOY</t>
  </si>
  <si>
    <t>Acreditación Préstamo</t>
  </si>
  <si>
    <t>Gravamen Ley 25413 s/deb</t>
  </si>
  <si>
    <t>PLANILLA MOVIMIENTOS NACIÓN - DOS57</t>
  </si>
  <si>
    <t>Descuento propio del banco acreditación préstamo</t>
  </si>
  <si>
    <t>Transferencia a Galicia para pagos de Veps Arca (F 931 06/2026 + IIBB 05/2026 + Anticipo 6 + Anticipo 7)</t>
  </si>
  <si>
    <t>Transferencia a Galicia para pagos de Veps Arca (F 931 05/2026 + F 931 - 06/2026 + IVA 05/2026)</t>
  </si>
  <si>
    <t>Transferencia a Galicia para cancelación de cheque anticipado por cheque de $36.750.000 con vto 24/7</t>
  </si>
  <si>
    <t>Cubrimiento Cheques Varios + AFIP Enjoy</t>
  </si>
  <si>
    <t>Pago XX XX XX - Turismo TC</t>
  </si>
  <si>
    <t>Transferencia parcial para cubrir cheques de Galicia Enjoy con vto 31/7 - Saldo $67.500.000</t>
  </si>
  <si>
    <t>Levantamiento de cheques ArgenPymes + Avales Centro + Fintech</t>
  </si>
  <si>
    <t>Layher - Cubrimiento de cheque cancelación de leasings</t>
  </si>
  <si>
    <t>Transferencia parcial para cubrir cheques de Galicia Enjoy con vto 31/7 - Saldo $17.500.000</t>
  </si>
  <si>
    <t>Transferencia Galicia para pago de Sueldos</t>
  </si>
  <si>
    <t>Venta Cheque de Jal para pago de Sueldos</t>
  </si>
  <si>
    <t>Pago de Sueldos Enjoy Julio 2026</t>
  </si>
  <si>
    <t>Devolución TC CABALEN 2026 - Por exceso de salvataje</t>
  </si>
  <si>
    <t>Descubierto Galicia + Pago 931 + Pagos varios lunes 10/8/2026</t>
  </si>
  <si>
    <t>Descubierto Galicia</t>
  </si>
  <si>
    <t>Pagos semanales Dos57 14/8</t>
  </si>
  <si>
    <t>Préstamo Bancor Agosto + Combustible YPF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</si>
</sst>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\ #,##0"/>
    <numFmt numFmtId="165" formatCode="_-&quot;$&quot;* #,##0.00_-;\-&quot;$&quot;* #,##0.00_-;_-&quot;$&quot;* &quot;-&quot;??_-;_-@"/>
    <numFmt numFmtId="166" formatCode="_-&quot;$&quot;\ * #,##0.00_-;\-&quot;$&quot;\ * #,##0.00_-;_-&quot;$&quot;\ * &quot;-&quot;??_-;_-@"/>
    <numFmt numFmtId="167" formatCode="&quot;$&quot;\ #,##0.00"/>
    <numFmt numFmtId="168" formatCode="_(&quot;$&quot;\ * #,##0.00_);_(&quot;$&quot;\ * \(#,##0.00\);_(&quot;$&quot;\ * &quot;-&quot;??_);_(@_)"/>
  </numFmts>
  <fonts count="23" x14ac:knownFonts="1">
    <font>
      <b/>
      <sz val="10"/>
      <color rgb="FF7F7F7F"/>
      <name val="Arial"/>
      <scheme val="minor"/>
    </font>
    <font>
      <sz val="11"/>
      <color theme="1"/>
      <name val="Arial"/>
      <family val="2"/>
      <scheme val="minor"/>
    </font>
    <font>
      <sz val="18"/>
      <color rgb="FF154A76"/>
      <name val="Arial"/>
      <family val="2"/>
    </font>
    <font>
      <b/>
      <sz val="18"/>
      <color rgb="FF154A76"/>
      <name val="Arial"/>
      <family val="2"/>
    </font>
    <font>
      <b/>
      <sz val="10"/>
      <color rgb="FF7F7F7F"/>
      <name val="Arial"/>
      <family val="2"/>
    </font>
    <font>
      <b/>
      <sz val="18"/>
      <color rgb="FF262626"/>
      <name val="Arial"/>
      <family val="2"/>
    </font>
    <font>
      <b/>
      <sz val="9"/>
      <color rgb="FF7F7F7F"/>
      <name val="Arial"/>
      <family val="2"/>
    </font>
    <font>
      <b/>
      <sz val="11"/>
      <color theme="1"/>
      <name val="Arial"/>
      <family val="2"/>
    </font>
    <font>
      <b/>
      <u/>
      <sz val="12"/>
      <color theme="1"/>
      <name val="Arial"/>
      <family val="2"/>
    </font>
    <font>
      <b/>
      <sz val="10"/>
      <color rgb="FF262626"/>
      <name val="Arial"/>
      <family val="2"/>
    </font>
    <font>
      <sz val="10"/>
      <color rgb="FF7F7F7F"/>
      <name val="Arial"/>
      <family val="2"/>
    </font>
    <font>
      <b/>
      <sz val="10"/>
      <color theme="4"/>
      <name val="Arial"/>
      <family val="2"/>
    </font>
    <font>
      <sz val="10"/>
      <color theme="4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lgerian"/>
      <family val="5"/>
    </font>
    <font>
      <sz val="10"/>
      <name val="Arial"/>
      <family val="2"/>
    </font>
    <font>
      <sz val="10"/>
      <color theme="1"/>
      <name val="Arial"/>
      <family val="2"/>
    </font>
    <font>
      <sz val="16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  <scheme val="minor"/>
    </font>
    <font>
      <b/>
      <sz val="10"/>
      <color rgb="FFFF0000"/>
      <name val="Arial"/>
      <family val="2"/>
    </font>
    <font>
      <b/>
      <sz val="10"/>
      <color rgb="FF7F7F7F"/>
      <name val="Arial"/>
      <scheme val="minor"/>
    </font>
    <font>
      <b/>
      <sz val="20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33CCCC"/>
        <bgColor rgb="FF33CCCC"/>
      </patternFill>
    </fill>
    <fill>
      <patternFill patternType="solid">
        <fgColor rgb="FFFCF305"/>
        <bgColor rgb="FFFCF305"/>
      </patternFill>
    </fill>
    <fill>
      <patternFill patternType="solid">
        <fgColor rgb="FF90C2EB"/>
        <bgColor rgb="FF90C2EB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9AE1C8"/>
        <bgColor rgb="FF9AE1C8"/>
      </patternFill>
    </fill>
    <fill>
      <patternFill patternType="solid">
        <fgColor rgb="FFEAD785"/>
        <bgColor rgb="FFEAD785"/>
      </patternFill>
    </fill>
    <fill>
      <patternFill patternType="solid">
        <fgColor theme="1"/>
        <bgColor theme="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rgb="FF33CCCC"/>
      </patternFill>
    </fill>
    <fill>
      <patternFill patternType="solid">
        <fgColor rgb="FF0070C0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A5A5A5"/>
      </left>
      <right/>
      <top style="medium">
        <color rgb="FFA5A5A5"/>
      </top>
      <bottom/>
      <diagonal/>
    </border>
    <border>
      <left/>
      <right/>
      <top style="medium">
        <color rgb="FFA5A5A5"/>
      </top>
      <bottom/>
      <diagonal/>
    </border>
    <border>
      <left/>
      <right style="medium">
        <color rgb="FFA5A5A5"/>
      </right>
      <top style="medium">
        <color rgb="FFA5A5A5"/>
      </top>
      <bottom/>
      <diagonal/>
    </border>
    <border>
      <left style="medium">
        <color rgb="FFA5A5A5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A5A5A5"/>
      </right>
      <top style="medium">
        <color rgb="FF000000"/>
      </top>
      <bottom style="medium">
        <color rgb="FF000000"/>
      </bottom>
      <diagonal/>
    </border>
    <border>
      <left style="medium">
        <color rgb="FFA5A5A5"/>
      </left>
      <right/>
      <top/>
      <bottom/>
      <diagonal/>
    </border>
    <border>
      <left style="thin">
        <color rgb="FFA5A5A5"/>
      </left>
      <right style="medium">
        <color rgb="FFA5A5A5"/>
      </right>
      <top style="thin">
        <color rgb="FFA5A5A5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1" fillId="0" borderId="15"/>
    <xf numFmtId="0" fontId="1" fillId="0" borderId="15"/>
  </cellStyleXfs>
  <cellXfs count="135">
    <xf numFmtId="0" fontId="0" fillId="0" borderId="0" xfId="0"/>
    <xf numFmtId="0" fontId="2" fillId="0" borderId="0" xfId="0" applyFont="1"/>
    <xf numFmtId="0" fontId="3" fillId="0" borderId="0" xfId="0" applyFont="1"/>
    <xf numFmtId="164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164" fontId="7" fillId="0" borderId="1" xfId="0" applyNumberFormat="1" applyFont="1" applyBorder="1" applyAlignment="1">
      <alignment horizontal="left"/>
    </xf>
    <xf numFmtId="164" fontId="8" fillId="0" borderId="1" xfId="0" applyNumberFormat="1" applyFont="1" applyBorder="1" applyAlignment="1">
      <alignment horizontal="center"/>
    </xf>
    <xf numFmtId="16" fontId="11" fillId="0" borderId="8" xfId="0" applyNumberFormat="1" applyFont="1" applyBorder="1"/>
    <xf numFmtId="0" fontId="12" fillId="0" borderId="7" xfId="0" applyFont="1" applyBorder="1" applyAlignment="1">
      <alignment vertical="center" wrapText="1"/>
    </xf>
    <xf numFmtId="165" fontId="4" fillId="0" borderId="7" xfId="0" applyNumberFormat="1" applyFont="1" applyBorder="1" applyAlignment="1">
      <alignment horizontal="right" vertical="center" wrapText="1"/>
    </xf>
    <xf numFmtId="165" fontId="4" fillId="0" borderId="7" xfId="0" applyNumberFormat="1" applyFont="1" applyBorder="1" applyAlignment="1">
      <alignment horizontal="right" vertical="center"/>
    </xf>
    <xf numFmtId="165" fontId="10" fillId="0" borderId="7" xfId="0" applyNumberFormat="1" applyFont="1" applyBorder="1" applyAlignment="1">
      <alignment horizontal="right" vertical="center" wrapText="1"/>
    </xf>
    <xf numFmtId="165" fontId="4" fillId="0" borderId="9" xfId="0" applyNumberFormat="1" applyFont="1" applyBorder="1" applyAlignment="1">
      <alignment horizontal="right" vertical="center"/>
    </xf>
    <xf numFmtId="0" fontId="10" fillId="0" borderId="0" xfId="0" applyFont="1"/>
    <xf numFmtId="164" fontId="10" fillId="0" borderId="0" xfId="0" applyNumberFormat="1" applyFont="1" applyAlignment="1">
      <alignment horizontal="right" wrapText="1"/>
    </xf>
    <xf numFmtId="166" fontId="4" fillId="0" borderId="0" xfId="0" applyNumberFormat="1" applyFont="1"/>
    <xf numFmtId="0" fontId="4" fillId="5" borderId="6" xfId="0" applyFont="1" applyFill="1" applyBorder="1"/>
    <xf numFmtId="0" fontId="10" fillId="0" borderId="9" xfId="0" applyFont="1" applyBorder="1" applyAlignment="1">
      <alignment vertical="center" wrapText="1"/>
    </xf>
    <xf numFmtId="165" fontId="10" fillId="0" borderId="9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14" fontId="13" fillId="6" borderId="20" xfId="0" applyNumberFormat="1" applyFont="1" applyFill="1" applyBorder="1" applyAlignment="1">
      <alignment horizontal="center" vertical="center"/>
    </xf>
    <xf numFmtId="0" fontId="13" fillId="6" borderId="21" xfId="0" applyFont="1" applyFill="1" applyBorder="1" applyAlignment="1">
      <alignment horizontal="center" vertical="center"/>
    </xf>
    <xf numFmtId="167" fontId="13" fillId="6" borderId="21" xfId="0" applyNumberFormat="1" applyFont="1" applyFill="1" applyBorder="1" applyAlignment="1">
      <alignment horizontal="center" vertical="center"/>
    </xf>
    <xf numFmtId="167" fontId="13" fillId="6" borderId="22" xfId="0" applyNumberFormat="1" applyFont="1" applyFill="1" applyBorder="1" applyAlignment="1">
      <alignment horizontal="center" vertical="center"/>
    </xf>
    <xf numFmtId="14" fontId="16" fillId="0" borderId="23" xfId="0" applyNumberFormat="1" applyFont="1" applyBorder="1" applyAlignment="1">
      <alignment horizontal="center"/>
    </xf>
    <xf numFmtId="0" fontId="16" fillId="0" borderId="23" xfId="0" applyFont="1" applyBorder="1"/>
    <xf numFmtId="165" fontId="16" fillId="0" borderId="23" xfId="0" applyNumberFormat="1" applyFont="1" applyBorder="1" applyAlignment="1">
      <alignment horizontal="right"/>
    </xf>
    <xf numFmtId="167" fontId="10" fillId="0" borderId="23" xfId="0" applyNumberFormat="1" applyFont="1" applyBorder="1"/>
    <xf numFmtId="0" fontId="13" fillId="0" borderId="23" xfId="0" applyFont="1" applyBorder="1"/>
    <xf numFmtId="165" fontId="13" fillId="6" borderId="28" xfId="0" applyNumberFormat="1" applyFont="1" applyFill="1" applyBorder="1" applyAlignment="1">
      <alignment horizontal="center"/>
    </xf>
    <xf numFmtId="167" fontId="13" fillId="6" borderId="29" xfId="0" applyNumberFormat="1" applyFont="1" applyFill="1" applyBorder="1"/>
    <xf numFmtId="0" fontId="17" fillId="0" borderId="0" xfId="0" applyFont="1"/>
    <xf numFmtId="14" fontId="13" fillId="6" borderId="24" xfId="0" applyNumberFormat="1" applyFont="1" applyFill="1" applyBorder="1" applyAlignment="1">
      <alignment horizontal="center"/>
    </xf>
    <xf numFmtId="0" fontId="13" fillId="6" borderId="24" xfId="0" applyFont="1" applyFill="1" applyBorder="1" applyAlignment="1">
      <alignment horizontal="center"/>
    </xf>
    <xf numFmtId="167" fontId="13" fillId="6" borderId="24" xfId="0" applyNumberFormat="1" applyFont="1" applyFill="1" applyBorder="1" applyAlignment="1">
      <alignment horizontal="center"/>
    </xf>
    <xf numFmtId="165" fontId="16" fillId="0" borderId="25" xfId="0" applyNumberFormat="1" applyFont="1" applyBorder="1"/>
    <xf numFmtId="165" fontId="16" fillId="0" borderId="23" xfId="0" applyNumberFormat="1" applyFont="1" applyBorder="1" applyAlignment="1">
      <alignment horizontal="center"/>
    </xf>
    <xf numFmtId="165" fontId="16" fillId="9" borderId="25" xfId="0" applyNumberFormat="1" applyFont="1" applyFill="1" applyBorder="1"/>
    <xf numFmtId="165" fontId="13" fillId="0" borderId="23" xfId="0" applyNumberFormat="1" applyFont="1" applyBorder="1" applyAlignment="1">
      <alignment horizontal="right"/>
    </xf>
    <xf numFmtId="165" fontId="13" fillId="0" borderId="25" xfId="0" applyNumberFormat="1" applyFont="1" applyBorder="1"/>
    <xf numFmtId="167" fontId="13" fillId="6" borderId="28" xfId="0" applyNumberFormat="1" applyFont="1" applyFill="1" applyBorder="1" applyAlignment="1">
      <alignment horizontal="center"/>
    </xf>
    <xf numFmtId="0" fontId="4" fillId="0" borderId="0" xfId="0" applyFont="1"/>
    <xf numFmtId="165" fontId="13" fillId="5" borderId="34" xfId="0" applyNumberFormat="1" applyFont="1" applyFill="1" applyBorder="1"/>
    <xf numFmtId="165" fontId="13" fillId="5" borderId="37" xfId="0" applyNumberFormat="1" applyFont="1" applyFill="1" applyBorder="1"/>
    <xf numFmtId="14" fontId="4" fillId="0" borderId="0" xfId="0" applyNumberFormat="1" applyFont="1"/>
    <xf numFmtId="167" fontId="4" fillId="0" borderId="0" xfId="0" applyNumberFormat="1" applyFont="1" applyAlignment="1">
      <alignment horizontal="center"/>
    </xf>
    <xf numFmtId="167" fontId="4" fillId="0" borderId="0" xfId="0" applyNumberFormat="1" applyFont="1"/>
    <xf numFmtId="168" fontId="4" fillId="0" borderId="0" xfId="0" applyNumberFormat="1" applyFont="1"/>
    <xf numFmtId="0" fontId="15" fillId="0" borderId="8" xfId="0" applyFont="1" applyFill="1" applyBorder="1" applyAlignment="1">
      <alignment vertical="center" wrapText="1"/>
    </xf>
    <xf numFmtId="0" fontId="15" fillId="0" borderId="7" xfId="0" applyFont="1" applyFill="1" applyBorder="1" applyAlignment="1">
      <alignment vertical="center" wrapText="1"/>
    </xf>
    <xf numFmtId="165" fontId="15" fillId="0" borderId="7" xfId="0" applyNumberFormat="1" applyFont="1" applyFill="1" applyBorder="1" applyAlignment="1">
      <alignment horizontal="right" vertical="center" wrapText="1"/>
    </xf>
    <xf numFmtId="0" fontId="18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164" fontId="18" fillId="2" borderId="4" xfId="0" applyNumberFormat="1" applyFont="1" applyFill="1" applyBorder="1" applyAlignment="1">
      <alignment horizontal="center" vertical="center"/>
    </xf>
    <xf numFmtId="164" fontId="18" fillId="2" borderId="3" xfId="0" applyNumberFormat="1" applyFont="1" applyFill="1" applyBorder="1" applyAlignment="1">
      <alignment horizontal="center" vertical="center"/>
    </xf>
    <xf numFmtId="164" fontId="18" fillId="2" borderId="5" xfId="0" applyNumberFormat="1" applyFont="1" applyFill="1" applyBorder="1" applyAlignment="1">
      <alignment horizontal="center" vertical="center" wrapText="1"/>
    </xf>
    <xf numFmtId="16" fontId="15" fillId="0" borderId="8" xfId="0" applyNumberFormat="1" applyFont="1" applyFill="1" applyBorder="1"/>
    <xf numFmtId="165" fontId="15" fillId="0" borderId="8" xfId="0" applyNumberFormat="1" applyFont="1" applyFill="1" applyBorder="1" applyAlignment="1">
      <alignment horizontal="right" vertical="center" wrapText="1"/>
    </xf>
    <xf numFmtId="165" fontId="15" fillId="0" borderId="8" xfId="0" applyNumberFormat="1" applyFont="1" applyFill="1" applyBorder="1" applyAlignment="1">
      <alignment horizontal="right" vertical="center"/>
    </xf>
    <xf numFmtId="165" fontId="15" fillId="0" borderId="7" xfId="0" applyNumberFormat="1" applyFont="1" applyFill="1" applyBorder="1" applyAlignment="1">
      <alignment horizontal="right" vertical="center"/>
    </xf>
    <xf numFmtId="0" fontId="19" fillId="0" borderId="0" xfId="0" applyFont="1" applyFill="1"/>
    <xf numFmtId="16" fontId="15" fillId="0" borderId="10" xfId="0" applyNumberFormat="1" applyFont="1" applyFill="1" applyBorder="1"/>
    <xf numFmtId="14" fontId="16" fillId="0" borderId="24" xfId="0" applyNumberFormat="1" applyFont="1" applyFill="1" applyBorder="1" applyAlignment="1">
      <alignment horizontal="center"/>
    </xf>
    <xf numFmtId="0" fontId="16" fillId="0" borderId="24" xfId="0" applyFont="1" applyFill="1" applyBorder="1"/>
    <xf numFmtId="165" fontId="16" fillId="0" borderId="24" xfId="0" applyNumberFormat="1" applyFont="1" applyFill="1" applyBorder="1" applyAlignment="1">
      <alignment horizontal="right"/>
    </xf>
    <xf numFmtId="167" fontId="10" fillId="0" borderId="24" xfId="0" applyNumberFormat="1" applyFont="1" applyFill="1" applyBorder="1"/>
    <xf numFmtId="167" fontId="10" fillId="0" borderId="24" xfId="0" applyNumberFormat="1" applyFont="1" applyFill="1" applyBorder="1" applyAlignment="1">
      <alignment horizontal="center"/>
    </xf>
    <xf numFmtId="165" fontId="16" fillId="0" borderId="24" xfId="0" applyNumberFormat="1" applyFont="1" applyFill="1" applyBorder="1" applyAlignment="1">
      <alignment horizontal="center"/>
    </xf>
    <xf numFmtId="167" fontId="4" fillId="0" borderId="25" xfId="0" applyNumberFormat="1" applyFont="1" applyFill="1" applyBorder="1"/>
    <xf numFmtId="165" fontId="20" fillId="3" borderId="29" xfId="0" applyNumberFormat="1" applyFont="1" applyFill="1" applyBorder="1"/>
    <xf numFmtId="165" fontId="16" fillId="0" borderId="25" xfId="0" applyNumberFormat="1" applyFont="1" applyFill="1" applyBorder="1"/>
    <xf numFmtId="14" fontId="16" fillId="0" borderId="23" xfId="0" applyNumberFormat="1" applyFont="1" applyFill="1" applyBorder="1" applyAlignment="1">
      <alignment horizontal="center"/>
    </xf>
    <xf numFmtId="0" fontId="16" fillId="0" borderId="23" xfId="0" applyFont="1" applyFill="1" applyBorder="1"/>
    <xf numFmtId="165" fontId="16" fillId="0" borderId="23" xfId="0" applyNumberFormat="1" applyFont="1" applyFill="1" applyBorder="1" applyAlignment="1">
      <alignment horizontal="right"/>
    </xf>
    <xf numFmtId="0" fontId="21" fillId="0" borderId="15" xfId="1"/>
    <xf numFmtId="0" fontId="4" fillId="0" borderId="15" xfId="1" applyFont="1" applyAlignment="1">
      <alignment horizontal="center" vertical="center"/>
    </xf>
    <xf numFmtId="0" fontId="13" fillId="13" borderId="3" xfId="1" applyFont="1" applyFill="1" applyBorder="1" applyAlignment="1">
      <alignment horizontal="center" vertical="center"/>
    </xf>
    <xf numFmtId="164" fontId="13" fillId="13" borderId="31" xfId="1" applyNumberFormat="1" applyFont="1" applyFill="1" applyBorder="1" applyAlignment="1">
      <alignment horizontal="center" vertical="center"/>
    </xf>
    <xf numFmtId="164" fontId="13" fillId="13" borderId="3" xfId="1" applyNumberFormat="1" applyFont="1" applyFill="1" applyBorder="1" applyAlignment="1">
      <alignment horizontal="center" vertical="center"/>
    </xf>
    <xf numFmtId="0" fontId="9" fillId="13" borderId="41" xfId="1" applyFont="1" applyFill="1" applyBorder="1" applyAlignment="1">
      <alignment horizontal="center" vertical="center"/>
    </xf>
    <xf numFmtId="164" fontId="13" fillId="13" borderId="42" xfId="1" applyNumberFormat="1" applyFont="1" applyFill="1" applyBorder="1" applyAlignment="1">
      <alignment horizontal="center" vertical="center" wrapText="1"/>
    </xf>
    <xf numFmtId="0" fontId="9" fillId="2" borderId="43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vertical="center" wrapText="1"/>
    </xf>
    <xf numFmtId="165" fontId="4" fillId="2" borderId="9" xfId="1" applyNumberFormat="1" applyFont="1" applyFill="1" applyBorder="1" applyAlignment="1">
      <alignment horizontal="right" vertical="center" wrapText="1"/>
    </xf>
    <xf numFmtId="165" fontId="10" fillId="2" borderId="9" xfId="1" applyNumberFormat="1" applyFont="1" applyFill="1" applyBorder="1" applyAlignment="1">
      <alignment horizontal="right" vertical="center" wrapText="1"/>
    </xf>
    <xf numFmtId="165" fontId="4" fillId="2" borderId="44" xfId="1" applyNumberFormat="1" applyFont="1" applyFill="1" applyBorder="1" applyAlignment="1">
      <alignment horizontal="right" vertical="center"/>
    </xf>
    <xf numFmtId="16" fontId="13" fillId="0" borderId="45" xfId="1" applyNumberFormat="1" applyFont="1" applyBorder="1" applyAlignment="1">
      <alignment horizontal="center" vertical="center"/>
    </xf>
    <xf numFmtId="0" fontId="16" fillId="11" borderId="46" xfId="1" applyFont="1" applyFill="1" applyBorder="1" applyAlignment="1">
      <alignment horizontal="center" vertical="center" wrapText="1"/>
    </xf>
    <xf numFmtId="165" fontId="16" fillId="11" borderId="46" xfId="1" applyNumberFormat="1" applyFont="1" applyFill="1" applyBorder="1" applyAlignment="1">
      <alignment horizontal="center" vertical="center" wrapText="1"/>
    </xf>
    <xf numFmtId="165" fontId="16" fillId="0" borderId="46" xfId="1" applyNumberFormat="1" applyFont="1" applyBorder="1" applyAlignment="1">
      <alignment horizontal="center" vertical="center"/>
    </xf>
    <xf numFmtId="165" fontId="18" fillId="0" borderId="47" xfId="1" applyNumberFormat="1" applyFont="1" applyBorder="1" applyAlignment="1">
      <alignment horizontal="center" vertical="center"/>
    </xf>
    <xf numFmtId="16" fontId="13" fillId="11" borderId="48" xfId="1" applyNumberFormat="1" applyFont="1" applyFill="1" applyBorder="1" applyAlignment="1">
      <alignment horizontal="center" vertical="center"/>
    </xf>
    <xf numFmtId="0" fontId="16" fillId="11" borderId="49" xfId="1" applyFont="1" applyFill="1" applyBorder="1" applyAlignment="1">
      <alignment horizontal="center" vertical="center" wrapText="1"/>
    </xf>
    <xf numFmtId="165" fontId="16" fillId="11" borderId="49" xfId="1" applyNumberFormat="1" applyFont="1" applyFill="1" applyBorder="1" applyAlignment="1">
      <alignment horizontal="center" vertical="center" wrapText="1"/>
    </xf>
    <xf numFmtId="165" fontId="18" fillId="0" borderId="50" xfId="1" applyNumberFormat="1" applyFont="1" applyBorder="1" applyAlignment="1">
      <alignment horizontal="center" vertical="center"/>
    </xf>
    <xf numFmtId="165" fontId="13" fillId="11" borderId="50" xfId="1" applyNumberFormat="1" applyFont="1" applyFill="1" applyBorder="1" applyAlignment="1">
      <alignment horizontal="center" vertical="center" wrapText="1"/>
    </xf>
    <xf numFmtId="16" fontId="13" fillId="11" borderId="51" xfId="1" applyNumberFormat="1" applyFont="1" applyFill="1" applyBorder="1" applyAlignment="1">
      <alignment horizontal="center" vertical="center"/>
    </xf>
    <xf numFmtId="0" fontId="16" fillId="11" borderId="52" xfId="1" applyFont="1" applyFill="1" applyBorder="1" applyAlignment="1">
      <alignment horizontal="center" vertical="center" wrapText="1"/>
    </xf>
    <xf numFmtId="165" fontId="16" fillId="11" borderId="52" xfId="1" applyNumberFormat="1" applyFont="1" applyFill="1" applyBorder="1" applyAlignment="1">
      <alignment horizontal="center" vertical="center" wrapText="1"/>
    </xf>
    <xf numFmtId="165" fontId="20" fillId="0" borderId="53" xfId="1" applyNumberFormat="1" applyFont="1" applyBorder="1" applyAlignment="1">
      <alignment horizontal="center" vertical="center"/>
    </xf>
    <xf numFmtId="16" fontId="13" fillId="11" borderId="54" xfId="1" applyNumberFormat="1" applyFont="1" applyFill="1" applyBorder="1" applyAlignment="1">
      <alignment horizontal="center" vertical="center"/>
    </xf>
    <xf numFmtId="0" fontId="16" fillId="11" borderId="55" xfId="1" applyFont="1" applyFill="1" applyBorder="1" applyAlignment="1">
      <alignment horizontal="center" vertical="center" wrapText="1"/>
    </xf>
    <xf numFmtId="165" fontId="16" fillId="11" borderId="55" xfId="1" applyNumberFormat="1" applyFont="1" applyFill="1" applyBorder="1" applyAlignment="1">
      <alignment horizontal="center" vertical="center" wrapText="1"/>
    </xf>
    <xf numFmtId="165" fontId="18" fillId="0" borderId="56" xfId="1" applyNumberFormat="1" applyFont="1" applyBorder="1" applyAlignment="1">
      <alignment horizontal="center" vertical="center"/>
    </xf>
    <xf numFmtId="14" fontId="14" fillId="6" borderId="11" xfId="0" applyNumberFormat="1" applyFont="1" applyFill="1" applyBorder="1" applyAlignment="1">
      <alignment horizontal="center" vertical="center"/>
    </xf>
    <xf numFmtId="0" fontId="15" fillId="0" borderId="12" xfId="0" applyFont="1" applyBorder="1"/>
    <xf numFmtId="0" fontId="15" fillId="0" borderId="13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16" xfId="0" applyFont="1" applyBorder="1"/>
    <xf numFmtId="0" fontId="13" fillId="7" borderId="17" xfId="0" applyFont="1" applyFill="1" applyBorder="1" applyAlignment="1">
      <alignment horizontal="left" vertical="center"/>
    </xf>
    <xf numFmtId="0" fontId="15" fillId="0" borderId="18" xfId="0" applyFont="1" applyBorder="1"/>
    <xf numFmtId="0" fontId="15" fillId="0" borderId="19" xfId="0" applyFont="1" applyBorder="1"/>
    <xf numFmtId="0" fontId="13" fillId="6" borderId="26" xfId="0" applyFont="1" applyFill="1" applyBorder="1" applyAlignment="1">
      <alignment horizontal="right"/>
    </xf>
    <xf numFmtId="0" fontId="15" fillId="0" borderId="27" xfId="0" applyFont="1" applyBorder="1"/>
    <xf numFmtId="0" fontId="13" fillId="8" borderId="30" xfId="0" applyFont="1" applyFill="1" applyBorder="1" applyAlignment="1">
      <alignment horizontal="left" vertical="center"/>
    </xf>
    <xf numFmtId="0" fontId="15" fillId="0" borderId="31" xfId="0" applyFont="1" applyBorder="1"/>
    <xf numFmtId="0" fontId="15" fillId="0" borderId="32" xfId="0" applyFont="1" applyBorder="1"/>
    <xf numFmtId="0" fontId="13" fillId="5" borderId="17" xfId="0" applyFont="1" applyFill="1" applyBorder="1" applyAlignment="1">
      <alignment horizontal="right"/>
    </xf>
    <xf numFmtId="0" fontId="15" fillId="0" borderId="33" xfId="0" applyFont="1" applyBorder="1"/>
    <xf numFmtId="0" fontId="13" fillId="5" borderId="26" xfId="0" applyFont="1" applyFill="1" applyBorder="1" applyAlignment="1">
      <alignment horizontal="right"/>
    </xf>
    <xf numFmtId="0" fontId="15" fillId="0" borderId="35" xfId="0" applyFont="1" applyBorder="1"/>
    <xf numFmtId="0" fontId="15" fillId="0" borderId="36" xfId="0" applyFont="1" applyBorder="1"/>
    <xf numFmtId="0" fontId="13" fillId="3" borderId="26" xfId="0" applyFont="1" applyFill="1" applyBorder="1" applyAlignment="1">
      <alignment horizontal="right"/>
    </xf>
    <xf numFmtId="0" fontId="13" fillId="10" borderId="30" xfId="0" applyFont="1" applyFill="1" applyBorder="1" applyAlignment="1">
      <alignment horizontal="left" vertical="center"/>
    </xf>
    <xf numFmtId="0" fontId="15" fillId="10" borderId="31" xfId="0" applyFont="1" applyFill="1" applyBorder="1"/>
    <xf numFmtId="0" fontId="15" fillId="10" borderId="32" xfId="0" applyFont="1" applyFill="1" applyBorder="1"/>
    <xf numFmtId="0" fontId="13" fillId="4" borderId="30" xfId="0" applyFont="1" applyFill="1" applyBorder="1" applyAlignment="1">
      <alignment horizontal="left" vertical="center"/>
    </xf>
    <xf numFmtId="0" fontId="22" fillId="12" borderId="38" xfId="1" applyFont="1" applyFill="1" applyBorder="1" applyAlignment="1">
      <alignment horizontal="center"/>
    </xf>
    <xf numFmtId="0" fontId="2" fillId="12" borderId="39" xfId="1" applyFont="1" applyFill="1" applyBorder="1" applyAlignment="1">
      <alignment horizontal="center"/>
    </xf>
    <xf numFmtId="0" fontId="2" fillId="12" borderId="40" xfId="1" applyFont="1" applyFill="1" applyBorder="1" applyAlignment="1">
      <alignment horizontal="center"/>
    </xf>
    <xf numFmtId="0" fontId="22" fillId="14" borderId="38" xfId="1" applyFont="1" applyFill="1" applyBorder="1" applyAlignment="1">
      <alignment horizontal="center"/>
    </xf>
    <xf numFmtId="0" fontId="2" fillId="14" borderId="39" xfId="1" applyFont="1" applyFill="1" applyBorder="1" applyAlignment="1">
      <alignment horizontal="center"/>
    </xf>
    <xf numFmtId="0" fontId="2" fillId="14" borderId="40" xfId="1" applyFont="1" applyFill="1" applyBorder="1" applyAlignment="1">
      <alignment horizont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C639E"/>
      </a:accent1>
      <a:accent2>
        <a:srgbClr val="E85564"/>
      </a:accent2>
      <a:accent3>
        <a:srgbClr val="513C6C"/>
      </a:accent3>
      <a:accent4>
        <a:srgbClr val="E28017"/>
      </a:accent4>
      <a:accent5>
        <a:srgbClr val="DDBD35"/>
      </a:accent5>
      <a:accent6>
        <a:srgbClr val="2A8F6B"/>
      </a:accent6>
      <a:hlink>
        <a:srgbClr val="1CA1C4"/>
      </a:hlink>
      <a:folHlink>
        <a:srgbClr val="1CA1C4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1000"/>
  <sheetViews>
    <sheetView topLeftCell="A16" workbookViewId="0">
      <selection activeCell="B23" sqref="B23"/>
    </sheetView>
  </sheetViews>
  <sheetFormatPr baseColWidth="10" defaultColWidth="12.5546875" defaultRowHeight="15" customHeight="1" x14ac:dyDescent="0.25"/>
  <cols>
    <col min="1" max="1" width="9.109375" customWidth="1"/>
    <col min="2" max="2" width="36.5546875" customWidth="1"/>
    <col min="3" max="5" width="18.5546875" customWidth="1"/>
    <col min="6" max="6" width="9.109375" customWidth="1"/>
    <col min="7" max="26" width="10" customWidth="1"/>
  </cols>
  <sheetData>
    <row r="1" spans="1:5" ht="26.25" customHeight="1" x14ac:dyDescent="0.4">
      <c r="A1" s="1" t="s">
        <v>0</v>
      </c>
      <c r="B1" s="2"/>
      <c r="C1" s="3"/>
      <c r="D1" s="3"/>
      <c r="E1" s="3"/>
    </row>
    <row r="2" spans="1:5" ht="22.5" customHeight="1" x14ac:dyDescent="0.4">
      <c r="A2" s="4" t="s">
        <v>1</v>
      </c>
      <c r="B2" s="5"/>
      <c r="C2" s="3"/>
      <c r="D2" s="6" t="s">
        <v>2</v>
      </c>
      <c r="E2" s="7" t="s">
        <v>28</v>
      </c>
    </row>
    <row r="3" spans="1:5" ht="10.5" customHeight="1" x14ac:dyDescent="0.25">
      <c r="B3" s="3"/>
      <c r="C3" s="3"/>
      <c r="D3" s="3"/>
      <c r="E3" s="3"/>
    </row>
    <row r="4" spans="1:5" ht="30" customHeight="1" x14ac:dyDescent="0.25">
      <c r="A4" s="52" t="s">
        <v>3</v>
      </c>
      <c r="B4" s="53" t="s">
        <v>4</v>
      </c>
      <c r="C4" s="54" t="s">
        <v>5</v>
      </c>
      <c r="D4" s="55" t="s">
        <v>6</v>
      </c>
      <c r="E4" s="56" t="s">
        <v>7</v>
      </c>
    </row>
    <row r="5" spans="1:5" ht="30" customHeight="1" x14ac:dyDescent="0.25">
      <c r="A5" s="57"/>
      <c r="B5" s="49"/>
      <c r="C5" s="58"/>
      <c r="D5" s="59"/>
      <c r="E5" s="59" t="e">
        <f>+#REF!</f>
        <v>#REF!</v>
      </c>
    </row>
    <row r="6" spans="1:5" ht="30" customHeight="1" x14ac:dyDescent="0.25">
      <c r="A6" s="57">
        <v>44621</v>
      </c>
      <c r="B6" s="50" t="s">
        <v>18</v>
      </c>
      <c r="C6" s="51"/>
      <c r="D6" s="51">
        <f>5*420</f>
        <v>2100</v>
      </c>
      <c r="E6" s="59" t="e">
        <f>E5+C6-D6</f>
        <v>#REF!</v>
      </c>
    </row>
    <row r="7" spans="1:5" ht="30" customHeight="1" x14ac:dyDescent="0.25">
      <c r="A7" s="57">
        <v>44622</v>
      </c>
      <c r="B7" s="50" t="s">
        <v>29</v>
      </c>
      <c r="C7" s="51"/>
      <c r="D7" s="51">
        <v>2000</v>
      </c>
      <c r="E7" s="59" t="e">
        <f t="shared" ref="E7:E33" si="0">+E6+C7-D7</f>
        <v>#REF!</v>
      </c>
    </row>
    <row r="8" spans="1:5" ht="30" customHeight="1" x14ac:dyDescent="0.25">
      <c r="A8" s="57"/>
      <c r="B8" s="50" t="s">
        <v>18</v>
      </c>
      <c r="C8" s="51"/>
      <c r="D8" s="51">
        <v>6720</v>
      </c>
      <c r="E8" s="59" t="e">
        <f t="shared" si="0"/>
        <v>#REF!</v>
      </c>
    </row>
    <row r="9" spans="1:5" ht="30" customHeight="1" x14ac:dyDescent="0.25">
      <c r="A9" s="57"/>
      <c r="B9" s="50" t="s">
        <v>29</v>
      </c>
      <c r="C9" s="51"/>
      <c r="D9" s="51">
        <v>2500</v>
      </c>
      <c r="E9" s="59" t="e">
        <f t="shared" si="0"/>
        <v>#REF!</v>
      </c>
    </row>
    <row r="10" spans="1:5" ht="30" customHeight="1" x14ac:dyDescent="0.25">
      <c r="A10" s="57"/>
      <c r="B10" s="50" t="s">
        <v>16</v>
      </c>
      <c r="C10" s="51"/>
      <c r="D10" s="51">
        <v>9000</v>
      </c>
      <c r="E10" s="59" t="e">
        <f t="shared" si="0"/>
        <v>#REF!</v>
      </c>
    </row>
    <row r="11" spans="1:5" ht="30" customHeight="1" x14ac:dyDescent="0.25">
      <c r="A11" s="57">
        <v>44623</v>
      </c>
      <c r="B11" s="50" t="s">
        <v>22</v>
      </c>
      <c r="C11" s="51"/>
      <c r="D11" s="51">
        <v>6950</v>
      </c>
      <c r="E11" s="59" t="e">
        <f t="shared" si="0"/>
        <v>#REF!</v>
      </c>
    </row>
    <row r="12" spans="1:5" ht="30" customHeight="1" x14ac:dyDescent="0.25">
      <c r="A12" s="57"/>
      <c r="B12" s="50" t="s">
        <v>30</v>
      </c>
      <c r="C12" s="51"/>
      <c r="D12" s="51">
        <v>5000</v>
      </c>
      <c r="E12" s="59" t="e">
        <f t="shared" si="0"/>
        <v>#REF!</v>
      </c>
    </row>
    <row r="13" spans="1:5" ht="30" customHeight="1" x14ac:dyDescent="0.25">
      <c r="A13" s="57"/>
      <c r="B13" s="50" t="s">
        <v>18</v>
      </c>
      <c r="C13" s="51"/>
      <c r="D13" s="51">
        <v>4200</v>
      </c>
      <c r="E13" s="59" t="e">
        <f t="shared" si="0"/>
        <v>#REF!</v>
      </c>
    </row>
    <row r="14" spans="1:5" ht="30" customHeight="1" x14ac:dyDescent="0.25">
      <c r="A14" s="57">
        <v>44624</v>
      </c>
      <c r="B14" s="50" t="s">
        <v>20</v>
      </c>
      <c r="C14" s="51"/>
      <c r="D14" s="51">
        <v>2000</v>
      </c>
      <c r="E14" s="59" t="e">
        <f t="shared" si="0"/>
        <v>#REF!</v>
      </c>
    </row>
    <row r="15" spans="1:5" ht="30" customHeight="1" x14ac:dyDescent="0.25">
      <c r="A15" s="57"/>
      <c r="B15" s="50" t="s">
        <v>8</v>
      </c>
      <c r="C15" s="51">
        <v>25000</v>
      </c>
      <c r="D15" s="51"/>
      <c r="E15" s="59" t="e">
        <f t="shared" si="0"/>
        <v>#REF!</v>
      </c>
    </row>
    <row r="16" spans="1:5" ht="30" customHeight="1" x14ac:dyDescent="0.25">
      <c r="A16" s="57"/>
      <c r="B16" s="50" t="s">
        <v>31</v>
      </c>
      <c r="C16" s="51"/>
      <c r="D16" s="51">
        <v>18000</v>
      </c>
      <c r="E16" s="59" t="e">
        <f t="shared" si="0"/>
        <v>#REF!</v>
      </c>
    </row>
    <row r="17" spans="1:26" ht="30" customHeight="1" x14ac:dyDescent="0.25">
      <c r="A17" s="57"/>
      <c r="B17" s="50" t="s">
        <v>32</v>
      </c>
      <c r="C17" s="51"/>
      <c r="D17" s="51">
        <v>3700</v>
      </c>
      <c r="E17" s="59" t="e">
        <f t="shared" si="0"/>
        <v>#REF!</v>
      </c>
    </row>
    <row r="18" spans="1:26" ht="30" customHeight="1" x14ac:dyDescent="0.25">
      <c r="A18" s="57"/>
      <c r="B18" s="50" t="s">
        <v>33</v>
      </c>
      <c r="C18" s="51"/>
      <c r="D18" s="51">
        <v>5100</v>
      </c>
      <c r="E18" s="59" t="e">
        <f t="shared" si="0"/>
        <v>#REF!</v>
      </c>
    </row>
    <row r="19" spans="1:26" ht="30" customHeight="1" x14ac:dyDescent="0.25">
      <c r="A19" s="57"/>
      <c r="B19" s="50" t="s">
        <v>18</v>
      </c>
      <c r="C19" s="51"/>
      <c r="D19" s="51">
        <v>3780</v>
      </c>
      <c r="E19" s="59" t="e">
        <f t="shared" si="0"/>
        <v>#REF!</v>
      </c>
    </row>
    <row r="20" spans="1:26" ht="30" customHeight="1" x14ac:dyDescent="0.25">
      <c r="A20" s="57"/>
      <c r="B20" s="50" t="s">
        <v>10</v>
      </c>
      <c r="C20" s="51"/>
      <c r="D20" s="51">
        <v>1000</v>
      </c>
      <c r="E20" s="59" t="e">
        <f t="shared" si="0"/>
        <v>#REF!</v>
      </c>
    </row>
    <row r="21" spans="1:26" ht="30" customHeight="1" x14ac:dyDescent="0.25">
      <c r="A21" s="57"/>
      <c r="B21" s="50" t="s">
        <v>8</v>
      </c>
      <c r="C21" s="51">
        <v>140000</v>
      </c>
      <c r="D21" s="51"/>
      <c r="E21" s="59" t="e">
        <f t="shared" si="0"/>
        <v>#REF!</v>
      </c>
    </row>
    <row r="22" spans="1:26" ht="30" customHeight="1" x14ac:dyDescent="0.25">
      <c r="A22" s="57"/>
      <c r="B22" s="50" t="s">
        <v>34</v>
      </c>
      <c r="C22" s="51"/>
      <c r="D22" s="51">
        <v>40000</v>
      </c>
      <c r="E22" s="59" t="e">
        <f t="shared" si="0"/>
        <v>#REF!</v>
      </c>
    </row>
    <row r="23" spans="1:26" ht="30" customHeight="1" x14ac:dyDescent="0.25">
      <c r="A23" s="57"/>
      <c r="B23" s="50" t="s">
        <v>35</v>
      </c>
      <c r="C23" s="51"/>
      <c r="D23" s="51">
        <v>133500</v>
      </c>
      <c r="E23" s="59" t="e">
        <f t="shared" si="0"/>
        <v>#REF!</v>
      </c>
    </row>
    <row r="24" spans="1:26" ht="30" customHeight="1" x14ac:dyDescent="0.25">
      <c r="A24" s="57"/>
      <c r="B24" s="50" t="s">
        <v>25</v>
      </c>
      <c r="C24" s="51"/>
      <c r="D24" s="51">
        <v>7800</v>
      </c>
      <c r="E24" s="59" t="e">
        <f t="shared" si="0"/>
        <v>#REF!</v>
      </c>
    </row>
    <row r="25" spans="1:26" ht="30" customHeight="1" x14ac:dyDescent="0.25">
      <c r="A25" s="57"/>
      <c r="B25" s="50" t="s">
        <v>8</v>
      </c>
      <c r="C25" s="51">
        <v>60000</v>
      </c>
      <c r="D25" s="51"/>
      <c r="E25" s="59" t="e">
        <f t="shared" si="0"/>
        <v>#REF!</v>
      </c>
    </row>
    <row r="26" spans="1:26" ht="30" customHeight="1" x14ac:dyDescent="0.25">
      <c r="A26" s="57"/>
      <c r="B26" s="50" t="s">
        <v>8</v>
      </c>
      <c r="C26" s="51">
        <v>30000</v>
      </c>
      <c r="D26" s="51"/>
      <c r="E26" s="59" t="e">
        <f t="shared" si="0"/>
        <v>#REF!</v>
      </c>
    </row>
    <row r="27" spans="1:26" ht="30" customHeight="1" x14ac:dyDescent="0.25">
      <c r="A27" s="62"/>
      <c r="B27" s="50" t="s">
        <v>36</v>
      </c>
      <c r="C27" s="51">
        <v>514000</v>
      </c>
      <c r="D27" s="51"/>
      <c r="E27" s="59" t="e">
        <f t="shared" si="0"/>
        <v>#REF!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30" customHeight="1" x14ac:dyDescent="0.25">
      <c r="A28" s="62"/>
      <c r="B28" s="50" t="s">
        <v>19</v>
      </c>
      <c r="C28" s="51"/>
      <c r="D28" s="51">
        <v>214000</v>
      </c>
      <c r="E28" s="59" t="e">
        <f t="shared" si="0"/>
        <v>#REF!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30" customHeight="1" x14ac:dyDescent="0.25">
      <c r="A29" s="62"/>
      <c r="B29" s="50" t="s">
        <v>21</v>
      </c>
      <c r="C29" s="51"/>
      <c r="D29" s="51">
        <v>8000</v>
      </c>
      <c r="E29" s="59" t="e">
        <f t="shared" si="0"/>
        <v>#REF!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30" customHeight="1" x14ac:dyDescent="0.25">
      <c r="A30" s="62"/>
      <c r="B30" s="50" t="s">
        <v>37</v>
      </c>
      <c r="C30" s="51"/>
      <c r="D30" s="51">
        <v>40000</v>
      </c>
      <c r="E30" s="59" t="e">
        <f t="shared" si="0"/>
        <v>#REF!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30" customHeight="1" x14ac:dyDescent="0.25">
      <c r="A31" s="62"/>
      <c r="B31" s="50" t="s">
        <v>38</v>
      </c>
      <c r="C31" s="51"/>
      <c r="D31" s="51">
        <v>26000</v>
      </c>
      <c r="E31" s="59" t="e">
        <f t="shared" si="0"/>
        <v>#REF!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30" customHeight="1" x14ac:dyDescent="0.25">
      <c r="A32" s="62"/>
      <c r="B32" s="50" t="s">
        <v>39</v>
      </c>
      <c r="C32" s="51"/>
      <c r="D32" s="51">
        <v>76000</v>
      </c>
      <c r="E32" s="59" t="e">
        <f t="shared" si="0"/>
        <v>#REF!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30" customHeight="1" x14ac:dyDescent="0.25">
      <c r="A33" s="62"/>
      <c r="B33" s="50" t="s">
        <v>40</v>
      </c>
      <c r="C33" s="51"/>
      <c r="D33" s="51">
        <v>30000</v>
      </c>
      <c r="E33" s="59" t="e">
        <f t="shared" si="0"/>
        <v>#REF!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30" customHeight="1" x14ac:dyDescent="0.25">
      <c r="A34" s="61"/>
      <c r="B34" s="50" t="s">
        <v>36</v>
      </c>
      <c r="C34" s="51"/>
      <c r="D34" s="51"/>
      <c r="E34" s="60" t="e">
        <f>+E26+C34-D34</f>
        <v>#REF!</v>
      </c>
    </row>
    <row r="35" spans="1:26" ht="30" customHeight="1" x14ac:dyDescent="0.25">
      <c r="A35" s="57">
        <v>44627</v>
      </c>
      <c r="B35" s="50" t="s">
        <v>18</v>
      </c>
      <c r="C35" s="51"/>
      <c r="D35" s="51">
        <v>5880</v>
      </c>
      <c r="E35" s="60" t="e">
        <f t="shared" ref="E35:E86" si="1">+E34+C35-D35</f>
        <v>#REF!</v>
      </c>
    </row>
    <row r="36" spans="1:26" ht="30" customHeight="1" x14ac:dyDescent="0.25">
      <c r="A36" s="57">
        <v>44628</v>
      </c>
      <c r="B36" s="50" t="s">
        <v>41</v>
      </c>
      <c r="C36" s="51"/>
      <c r="D36" s="51">
        <v>21820</v>
      </c>
      <c r="E36" s="60" t="e">
        <f t="shared" si="1"/>
        <v>#REF!</v>
      </c>
    </row>
    <row r="37" spans="1:26" ht="30" customHeight="1" x14ac:dyDescent="0.25">
      <c r="A37" s="57"/>
      <c r="B37" s="50" t="s">
        <v>42</v>
      </c>
      <c r="C37" s="51"/>
      <c r="D37" s="51">
        <v>3500</v>
      </c>
      <c r="E37" s="60" t="e">
        <f t="shared" si="1"/>
        <v>#REF!</v>
      </c>
    </row>
    <row r="38" spans="1:26" ht="30" customHeight="1" x14ac:dyDescent="0.25">
      <c r="A38" s="57"/>
      <c r="B38" s="50" t="s">
        <v>43</v>
      </c>
      <c r="C38" s="51"/>
      <c r="D38" s="51">
        <f>6000+370+600</f>
        <v>6970</v>
      </c>
      <c r="E38" s="60" t="e">
        <f t="shared" si="1"/>
        <v>#REF!</v>
      </c>
    </row>
    <row r="39" spans="1:26" ht="30" customHeight="1" x14ac:dyDescent="0.25">
      <c r="A39" s="57"/>
      <c r="B39" s="50" t="s">
        <v>44</v>
      </c>
      <c r="C39" s="51"/>
      <c r="D39" s="51">
        <v>1350</v>
      </c>
      <c r="E39" s="60" t="e">
        <f t="shared" si="1"/>
        <v>#REF!</v>
      </c>
    </row>
    <row r="40" spans="1:26" ht="30" customHeight="1" x14ac:dyDescent="0.25">
      <c r="A40" s="57"/>
      <c r="B40" s="50" t="s">
        <v>30</v>
      </c>
      <c r="C40" s="51"/>
      <c r="D40" s="51">
        <v>3000</v>
      </c>
      <c r="E40" s="60" t="e">
        <f t="shared" si="1"/>
        <v>#REF!</v>
      </c>
    </row>
    <row r="41" spans="1:26" ht="30" customHeight="1" x14ac:dyDescent="0.25">
      <c r="A41" s="57"/>
      <c r="B41" s="50" t="s">
        <v>11</v>
      </c>
      <c r="C41" s="51"/>
      <c r="D41" s="51">
        <v>6000</v>
      </c>
      <c r="E41" s="60" t="e">
        <f t="shared" si="1"/>
        <v>#REF!</v>
      </c>
    </row>
    <row r="42" spans="1:26" ht="30" customHeight="1" x14ac:dyDescent="0.25">
      <c r="A42" s="57"/>
      <c r="B42" s="50" t="s">
        <v>45</v>
      </c>
      <c r="C42" s="51"/>
      <c r="D42" s="51">
        <v>5000</v>
      </c>
      <c r="E42" s="60" t="e">
        <f t="shared" si="1"/>
        <v>#REF!</v>
      </c>
    </row>
    <row r="43" spans="1:26" ht="30" customHeight="1" x14ac:dyDescent="0.25">
      <c r="A43" s="57"/>
      <c r="B43" s="50" t="s">
        <v>26</v>
      </c>
      <c r="C43" s="51"/>
      <c r="D43" s="51">
        <v>800</v>
      </c>
      <c r="E43" s="60" t="e">
        <f t="shared" si="1"/>
        <v>#REF!</v>
      </c>
    </row>
    <row r="44" spans="1:26" ht="30" customHeight="1" x14ac:dyDescent="0.25">
      <c r="A44" s="57">
        <v>44629</v>
      </c>
      <c r="B44" s="50" t="s">
        <v>18</v>
      </c>
      <c r="C44" s="51"/>
      <c r="D44" s="51">
        <f>17*420</f>
        <v>7140</v>
      </c>
      <c r="E44" s="60" t="e">
        <f t="shared" si="1"/>
        <v>#REF!</v>
      </c>
    </row>
    <row r="45" spans="1:26" ht="30" customHeight="1" x14ac:dyDescent="0.25">
      <c r="A45" s="57">
        <v>44630</v>
      </c>
      <c r="B45" s="50" t="s">
        <v>18</v>
      </c>
      <c r="C45" s="51"/>
      <c r="D45" s="51">
        <f>17*420</f>
        <v>7140</v>
      </c>
      <c r="E45" s="60" t="e">
        <f t="shared" si="1"/>
        <v>#REF!</v>
      </c>
    </row>
    <row r="46" spans="1:26" ht="30" customHeight="1" x14ac:dyDescent="0.25">
      <c r="A46" s="57"/>
      <c r="B46" s="50" t="s">
        <v>53</v>
      </c>
      <c r="C46" s="51"/>
      <c r="D46" s="51">
        <v>10000</v>
      </c>
      <c r="E46" s="60" t="e">
        <f t="shared" si="1"/>
        <v>#REF!</v>
      </c>
    </row>
    <row r="47" spans="1:26" ht="30" customHeight="1" x14ac:dyDescent="0.25">
      <c r="A47" s="57"/>
      <c r="B47" s="50" t="s">
        <v>46</v>
      </c>
      <c r="C47" s="51"/>
      <c r="D47" s="51">
        <v>500</v>
      </c>
      <c r="E47" s="60" t="e">
        <f t="shared" si="1"/>
        <v>#REF!</v>
      </c>
    </row>
    <row r="48" spans="1:26" ht="30" customHeight="1" x14ac:dyDescent="0.25">
      <c r="A48" s="57">
        <v>44631</v>
      </c>
      <c r="B48" s="50" t="s">
        <v>42</v>
      </c>
      <c r="C48" s="51"/>
      <c r="D48" s="51">
        <v>4350</v>
      </c>
      <c r="E48" s="60" t="e">
        <f t="shared" si="1"/>
        <v>#REF!</v>
      </c>
    </row>
    <row r="49" spans="1:5" ht="30" customHeight="1" x14ac:dyDescent="0.25">
      <c r="A49" s="57"/>
      <c r="B49" s="50" t="s">
        <v>18</v>
      </c>
      <c r="C49" s="51"/>
      <c r="D49" s="51">
        <f>9*420</f>
        <v>3780</v>
      </c>
      <c r="E49" s="60" t="e">
        <f t="shared" si="1"/>
        <v>#REF!</v>
      </c>
    </row>
    <row r="50" spans="1:5" ht="30" customHeight="1" x14ac:dyDescent="0.25">
      <c r="A50" s="57"/>
      <c r="B50" s="50" t="s">
        <v>13</v>
      </c>
      <c r="C50" s="51"/>
      <c r="D50" s="51">
        <v>10000</v>
      </c>
      <c r="E50" s="60" t="e">
        <f t="shared" si="1"/>
        <v>#REF!</v>
      </c>
    </row>
    <row r="51" spans="1:5" ht="30" customHeight="1" x14ac:dyDescent="0.25">
      <c r="A51" s="57"/>
      <c r="B51" s="50" t="s">
        <v>47</v>
      </c>
      <c r="C51" s="51"/>
      <c r="D51" s="51">
        <v>3000</v>
      </c>
      <c r="E51" s="60" t="e">
        <f t="shared" si="1"/>
        <v>#REF!</v>
      </c>
    </row>
    <row r="52" spans="1:5" ht="30" customHeight="1" x14ac:dyDescent="0.25">
      <c r="A52" s="57"/>
      <c r="B52" s="50" t="s">
        <v>21</v>
      </c>
      <c r="C52" s="51"/>
      <c r="D52" s="51">
        <v>8000</v>
      </c>
      <c r="E52" s="60" t="e">
        <f t="shared" si="1"/>
        <v>#REF!</v>
      </c>
    </row>
    <row r="53" spans="1:5" ht="30" customHeight="1" x14ac:dyDescent="0.25">
      <c r="A53" s="57">
        <v>44634</v>
      </c>
      <c r="B53" s="50" t="s">
        <v>42</v>
      </c>
      <c r="C53" s="51"/>
      <c r="D53" s="51">
        <v>3600</v>
      </c>
      <c r="E53" s="60" t="e">
        <f t="shared" si="1"/>
        <v>#REF!</v>
      </c>
    </row>
    <row r="54" spans="1:5" ht="30" customHeight="1" x14ac:dyDescent="0.25">
      <c r="A54" s="57"/>
      <c r="B54" s="50" t="s">
        <v>18</v>
      </c>
      <c r="C54" s="51"/>
      <c r="D54" s="51">
        <f>8*420</f>
        <v>3360</v>
      </c>
      <c r="E54" s="60" t="e">
        <f t="shared" si="1"/>
        <v>#REF!</v>
      </c>
    </row>
    <row r="55" spans="1:5" ht="30" customHeight="1" x14ac:dyDescent="0.25">
      <c r="A55" s="57"/>
      <c r="B55" s="50" t="s">
        <v>48</v>
      </c>
      <c r="C55" s="51"/>
      <c r="D55" s="51">
        <v>4000</v>
      </c>
      <c r="E55" s="60" t="e">
        <f t="shared" si="1"/>
        <v>#REF!</v>
      </c>
    </row>
    <row r="56" spans="1:5" ht="30" customHeight="1" x14ac:dyDescent="0.25">
      <c r="A56" s="57"/>
      <c r="B56" s="50" t="s">
        <v>8</v>
      </c>
      <c r="C56" s="51">
        <v>150000</v>
      </c>
      <c r="D56" s="51"/>
      <c r="E56" s="60" t="e">
        <f t="shared" si="1"/>
        <v>#REF!</v>
      </c>
    </row>
    <row r="57" spans="1:5" ht="30" customHeight="1" x14ac:dyDescent="0.25">
      <c r="A57" s="57"/>
      <c r="B57" s="50" t="s">
        <v>49</v>
      </c>
      <c r="C57" s="51"/>
      <c r="D57" s="51">
        <v>19000</v>
      </c>
      <c r="E57" s="60" t="e">
        <f t="shared" si="1"/>
        <v>#REF!</v>
      </c>
    </row>
    <row r="58" spans="1:5" ht="30" customHeight="1" x14ac:dyDescent="0.25">
      <c r="A58" s="57">
        <v>44635</v>
      </c>
      <c r="B58" s="50" t="s">
        <v>50</v>
      </c>
      <c r="C58" s="51"/>
      <c r="D58" s="51">
        <v>3000</v>
      </c>
      <c r="E58" s="60" t="e">
        <f t="shared" si="1"/>
        <v>#REF!</v>
      </c>
    </row>
    <row r="59" spans="1:5" ht="30" customHeight="1" x14ac:dyDescent="0.25">
      <c r="A59" s="57"/>
      <c r="B59" s="50" t="s">
        <v>27</v>
      </c>
      <c r="C59" s="51"/>
      <c r="D59" s="51">
        <v>5000</v>
      </c>
      <c r="E59" s="60" t="e">
        <f t="shared" si="1"/>
        <v>#REF!</v>
      </c>
    </row>
    <row r="60" spans="1:5" ht="30" customHeight="1" x14ac:dyDescent="0.25">
      <c r="A60" s="57"/>
      <c r="B60" s="50" t="s">
        <v>51</v>
      </c>
      <c r="C60" s="51"/>
      <c r="D60" s="51">
        <v>1560</v>
      </c>
      <c r="E60" s="60" t="e">
        <f t="shared" si="1"/>
        <v>#REF!</v>
      </c>
    </row>
    <row r="61" spans="1:5" ht="30" customHeight="1" x14ac:dyDescent="0.25">
      <c r="A61" s="57"/>
      <c r="B61" s="50" t="s">
        <v>18</v>
      </c>
      <c r="C61" s="51"/>
      <c r="D61" s="51">
        <v>17560</v>
      </c>
      <c r="E61" s="60" t="e">
        <f t="shared" si="1"/>
        <v>#REF!</v>
      </c>
    </row>
    <row r="62" spans="1:5" ht="30" customHeight="1" x14ac:dyDescent="0.25">
      <c r="A62" s="57"/>
      <c r="B62" s="50" t="s">
        <v>23</v>
      </c>
      <c r="C62" s="51"/>
      <c r="D62" s="51">
        <v>15000</v>
      </c>
      <c r="E62" s="60" t="e">
        <f t="shared" si="1"/>
        <v>#REF!</v>
      </c>
    </row>
    <row r="63" spans="1:5" ht="30" customHeight="1" x14ac:dyDescent="0.25">
      <c r="A63" s="57"/>
      <c r="B63" s="50" t="s">
        <v>52</v>
      </c>
      <c r="C63" s="51"/>
      <c r="D63" s="51">
        <v>1000</v>
      </c>
      <c r="E63" s="60" t="e">
        <f t="shared" si="1"/>
        <v>#REF!</v>
      </c>
    </row>
    <row r="64" spans="1:5" ht="30" customHeight="1" x14ac:dyDescent="0.25">
      <c r="A64" s="57"/>
      <c r="B64" s="50" t="s">
        <v>20</v>
      </c>
      <c r="C64" s="51"/>
      <c r="D64" s="51">
        <v>6000</v>
      </c>
      <c r="E64" s="60" t="e">
        <f t="shared" si="1"/>
        <v>#REF!</v>
      </c>
    </row>
    <row r="65" spans="1:5" ht="30" customHeight="1" x14ac:dyDescent="0.25">
      <c r="A65" s="57"/>
      <c r="B65" s="50" t="s">
        <v>21</v>
      </c>
      <c r="C65" s="51"/>
      <c r="D65" s="51">
        <v>15000</v>
      </c>
      <c r="E65" s="60" t="e">
        <f t="shared" si="1"/>
        <v>#REF!</v>
      </c>
    </row>
    <row r="66" spans="1:5" ht="30" customHeight="1" x14ac:dyDescent="0.25">
      <c r="A66" s="57"/>
      <c r="B66" s="50" t="s">
        <v>53</v>
      </c>
      <c r="C66" s="51"/>
      <c r="D66" s="51">
        <v>10000</v>
      </c>
      <c r="E66" s="60" t="e">
        <f t="shared" si="1"/>
        <v>#REF!</v>
      </c>
    </row>
    <row r="67" spans="1:5" ht="30" customHeight="1" x14ac:dyDescent="0.25">
      <c r="A67" s="57">
        <v>44636</v>
      </c>
      <c r="B67" s="50" t="s">
        <v>54</v>
      </c>
      <c r="C67" s="51"/>
      <c r="D67" s="51">
        <v>12000</v>
      </c>
      <c r="E67" s="60" t="e">
        <f t="shared" si="1"/>
        <v>#REF!</v>
      </c>
    </row>
    <row r="68" spans="1:5" ht="30" customHeight="1" x14ac:dyDescent="0.25">
      <c r="A68" s="57"/>
      <c r="B68" s="50" t="s">
        <v>8</v>
      </c>
      <c r="C68" s="51">
        <v>200000</v>
      </c>
      <c r="D68" s="51"/>
      <c r="E68" s="60" t="e">
        <f t="shared" si="1"/>
        <v>#REF!</v>
      </c>
    </row>
    <row r="69" spans="1:5" ht="30" customHeight="1" x14ac:dyDescent="0.25">
      <c r="A69" s="57"/>
      <c r="B69" s="50" t="s">
        <v>35</v>
      </c>
      <c r="C69" s="51"/>
      <c r="D69" s="51">
        <v>89000</v>
      </c>
      <c r="E69" s="60" t="e">
        <f t="shared" si="1"/>
        <v>#REF!</v>
      </c>
    </row>
    <row r="70" spans="1:5" ht="30" customHeight="1" x14ac:dyDescent="0.25">
      <c r="A70" s="57"/>
      <c r="B70" s="50" t="s">
        <v>55</v>
      </c>
      <c r="C70" s="51"/>
      <c r="D70" s="51">
        <v>4381.49</v>
      </c>
      <c r="E70" s="60" t="e">
        <f t="shared" si="1"/>
        <v>#REF!</v>
      </c>
    </row>
    <row r="71" spans="1:5" ht="30" customHeight="1" x14ac:dyDescent="0.25">
      <c r="A71" s="57"/>
      <c r="B71" s="50" t="s">
        <v>56</v>
      </c>
      <c r="C71" s="51"/>
      <c r="D71" s="51">
        <v>35000</v>
      </c>
      <c r="E71" s="60" t="e">
        <f t="shared" si="1"/>
        <v>#REF!</v>
      </c>
    </row>
    <row r="72" spans="1:5" ht="30" customHeight="1" x14ac:dyDescent="0.25">
      <c r="A72" s="57">
        <v>44638</v>
      </c>
      <c r="B72" s="50" t="s">
        <v>15</v>
      </c>
      <c r="C72" s="51"/>
      <c r="D72" s="51">
        <v>2000</v>
      </c>
      <c r="E72" s="60" t="e">
        <f t="shared" si="1"/>
        <v>#REF!</v>
      </c>
    </row>
    <row r="73" spans="1:5" ht="30" customHeight="1" x14ac:dyDescent="0.25">
      <c r="A73" s="57"/>
      <c r="B73" s="50" t="s">
        <v>13</v>
      </c>
      <c r="C73" s="51"/>
      <c r="D73" s="51">
        <v>5000</v>
      </c>
      <c r="E73" s="60" t="e">
        <f t="shared" si="1"/>
        <v>#REF!</v>
      </c>
    </row>
    <row r="74" spans="1:5" ht="30" customHeight="1" x14ac:dyDescent="0.25">
      <c r="A74" s="57"/>
      <c r="B74" s="50" t="s">
        <v>18</v>
      </c>
      <c r="C74" s="51"/>
      <c r="D74" s="51">
        <v>7000</v>
      </c>
      <c r="E74" s="60" t="e">
        <f t="shared" si="1"/>
        <v>#REF!</v>
      </c>
    </row>
    <row r="75" spans="1:5" ht="30" customHeight="1" x14ac:dyDescent="0.25">
      <c r="A75" s="57"/>
      <c r="B75" s="50" t="s">
        <v>57</v>
      </c>
      <c r="C75" s="51"/>
      <c r="D75" s="51">
        <v>10000</v>
      </c>
      <c r="E75" s="60" t="e">
        <f t="shared" si="1"/>
        <v>#REF!</v>
      </c>
    </row>
    <row r="76" spans="1:5" ht="30" customHeight="1" x14ac:dyDescent="0.25">
      <c r="A76" s="57"/>
      <c r="B76" s="50" t="s">
        <v>8</v>
      </c>
      <c r="C76" s="51">
        <v>300</v>
      </c>
      <c r="D76" s="51"/>
      <c r="E76" s="60" t="e">
        <f t="shared" si="1"/>
        <v>#REF!</v>
      </c>
    </row>
    <row r="77" spans="1:5" ht="30" customHeight="1" x14ac:dyDescent="0.25">
      <c r="A77" s="57"/>
      <c r="B77" s="50" t="s">
        <v>8</v>
      </c>
      <c r="C77" s="51">
        <v>100000</v>
      </c>
      <c r="D77" s="51"/>
      <c r="E77" s="60" t="e">
        <f t="shared" si="1"/>
        <v>#REF!</v>
      </c>
    </row>
    <row r="78" spans="1:5" ht="30" customHeight="1" x14ac:dyDescent="0.25">
      <c r="A78" s="57"/>
      <c r="B78" s="50" t="s">
        <v>8</v>
      </c>
      <c r="C78" s="51">
        <v>210000</v>
      </c>
      <c r="D78" s="51"/>
      <c r="E78" s="60" t="e">
        <f t="shared" si="1"/>
        <v>#REF!</v>
      </c>
    </row>
    <row r="79" spans="1:5" ht="30" customHeight="1" x14ac:dyDescent="0.25">
      <c r="A79" s="57"/>
      <c r="B79" s="50" t="s">
        <v>14</v>
      </c>
      <c r="C79" s="51"/>
      <c r="D79" s="51">
        <v>213300</v>
      </c>
      <c r="E79" s="60" t="e">
        <f t="shared" si="1"/>
        <v>#REF!</v>
      </c>
    </row>
    <row r="80" spans="1:5" ht="30" customHeight="1" x14ac:dyDescent="0.25">
      <c r="A80" s="57">
        <v>44641</v>
      </c>
      <c r="B80" s="50" t="s">
        <v>58</v>
      </c>
      <c r="C80" s="51"/>
      <c r="D80" s="51">
        <v>35000</v>
      </c>
      <c r="E80" s="60" t="e">
        <f t="shared" si="1"/>
        <v>#REF!</v>
      </c>
    </row>
    <row r="81" spans="1:5" ht="30" customHeight="1" x14ac:dyDescent="0.25">
      <c r="A81" s="57"/>
      <c r="B81" s="50" t="s">
        <v>59</v>
      </c>
      <c r="C81" s="51"/>
      <c r="D81" s="51">
        <v>1160</v>
      </c>
      <c r="E81" s="60" t="e">
        <f t="shared" si="1"/>
        <v>#REF!</v>
      </c>
    </row>
    <row r="82" spans="1:5" ht="30" customHeight="1" x14ac:dyDescent="0.25">
      <c r="A82" s="57">
        <v>44642</v>
      </c>
      <c r="B82" s="50" t="s">
        <v>60</v>
      </c>
      <c r="C82" s="51"/>
      <c r="D82" s="51">
        <v>6000</v>
      </c>
      <c r="E82" s="60" t="e">
        <f t="shared" si="1"/>
        <v>#REF!</v>
      </c>
    </row>
    <row r="83" spans="1:5" ht="30" customHeight="1" x14ac:dyDescent="0.25">
      <c r="A83" s="57"/>
      <c r="B83" s="50" t="s">
        <v>61</v>
      </c>
      <c r="C83" s="51"/>
      <c r="D83" s="51">
        <v>3000</v>
      </c>
      <c r="E83" s="60" t="e">
        <f t="shared" si="1"/>
        <v>#REF!</v>
      </c>
    </row>
    <row r="84" spans="1:5" ht="30" customHeight="1" x14ac:dyDescent="0.25">
      <c r="A84" s="57"/>
      <c r="B84" s="50" t="s">
        <v>62</v>
      </c>
      <c r="C84" s="51"/>
      <c r="D84" s="51">
        <v>7200</v>
      </c>
      <c r="E84" s="60" t="e">
        <f t="shared" si="1"/>
        <v>#REF!</v>
      </c>
    </row>
    <row r="85" spans="1:5" ht="30" customHeight="1" x14ac:dyDescent="0.25">
      <c r="A85" s="57"/>
      <c r="B85" s="50" t="s">
        <v>42</v>
      </c>
      <c r="C85" s="51"/>
      <c r="D85" s="51">
        <v>6750</v>
      </c>
      <c r="E85" s="60" t="e">
        <f t="shared" si="1"/>
        <v>#REF!</v>
      </c>
    </row>
    <row r="86" spans="1:5" ht="30" customHeight="1" x14ac:dyDescent="0.25">
      <c r="A86" s="57" t="s">
        <v>63</v>
      </c>
      <c r="B86" s="50" t="s">
        <v>8</v>
      </c>
      <c r="C86" s="51">
        <v>100000</v>
      </c>
      <c r="D86" s="51"/>
      <c r="E86" s="60" t="e">
        <f t="shared" si="1"/>
        <v>#REF!</v>
      </c>
    </row>
    <row r="87" spans="1:5" ht="30" customHeight="1" x14ac:dyDescent="0.25">
      <c r="A87" s="8"/>
      <c r="B87" s="9"/>
      <c r="C87" s="10"/>
      <c r="D87" s="12"/>
      <c r="E87" s="11"/>
    </row>
    <row r="88" spans="1:5" ht="30" customHeight="1" x14ac:dyDescent="0.25">
      <c r="A88" s="8"/>
      <c r="B88" s="9"/>
      <c r="C88" s="10"/>
      <c r="D88" s="12"/>
      <c r="E88" s="11"/>
    </row>
    <row r="89" spans="1:5" ht="30" customHeight="1" x14ac:dyDescent="0.25">
      <c r="A89" s="8"/>
      <c r="B89" s="9"/>
      <c r="C89" s="10"/>
      <c r="D89" s="12"/>
      <c r="E89" s="11"/>
    </row>
    <row r="90" spans="1:5" ht="30" customHeight="1" x14ac:dyDescent="0.25">
      <c r="A90" s="8"/>
      <c r="B90" s="9"/>
      <c r="C90" s="10"/>
      <c r="D90" s="12"/>
      <c r="E90" s="11"/>
    </row>
    <row r="91" spans="1:5" ht="30" customHeight="1" x14ac:dyDescent="0.25">
      <c r="A91" s="8"/>
      <c r="B91" s="9"/>
      <c r="C91" s="10"/>
      <c r="D91" s="12"/>
      <c r="E91" s="11"/>
    </row>
    <row r="92" spans="1:5" ht="30" customHeight="1" x14ac:dyDescent="0.25">
      <c r="A92" s="8"/>
      <c r="B92" s="9"/>
      <c r="C92" s="10"/>
      <c r="D92" s="12"/>
      <c r="E92" s="11"/>
    </row>
    <row r="93" spans="1:5" ht="30" customHeight="1" x14ac:dyDescent="0.25">
      <c r="A93" s="8"/>
      <c r="B93" s="9"/>
      <c r="C93" s="10"/>
      <c r="D93" s="12"/>
      <c r="E93" s="11"/>
    </row>
    <row r="94" spans="1:5" ht="30" customHeight="1" x14ac:dyDescent="0.25">
      <c r="A94" s="8"/>
      <c r="B94" s="9"/>
      <c r="C94" s="10"/>
      <c r="D94" s="12"/>
      <c r="E94" s="11"/>
    </row>
    <row r="95" spans="1:5" ht="30" customHeight="1" x14ac:dyDescent="0.25">
      <c r="A95" s="8"/>
      <c r="B95" s="9"/>
      <c r="C95" s="10"/>
      <c r="D95" s="12"/>
      <c r="E95" s="11"/>
    </row>
    <row r="96" spans="1:5" ht="30" customHeight="1" x14ac:dyDescent="0.25">
      <c r="A96" s="8"/>
      <c r="B96" s="9"/>
      <c r="C96" s="10"/>
      <c r="D96" s="12"/>
      <c r="E96" s="11"/>
    </row>
    <row r="97" spans="1:5" ht="30" customHeight="1" x14ac:dyDescent="0.25">
      <c r="A97" s="8"/>
      <c r="B97" s="9"/>
      <c r="C97" s="10"/>
      <c r="D97" s="12"/>
      <c r="E97" s="11"/>
    </row>
    <row r="98" spans="1:5" ht="30" customHeight="1" x14ac:dyDescent="0.25">
      <c r="A98" s="8"/>
      <c r="B98" s="9"/>
      <c r="C98" s="10"/>
      <c r="D98" s="12"/>
      <c r="E98" s="11"/>
    </row>
    <row r="99" spans="1:5" ht="30" customHeight="1" x14ac:dyDescent="0.25">
      <c r="A99" s="8"/>
      <c r="B99" s="9"/>
      <c r="C99" s="10"/>
      <c r="D99" s="12"/>
      <c r="E99" s="11"/>
    </row>
    <row r="100" spans="1:5" ht="30" customHeight="1" x14ac:dyDescent="0.25">
      <c r="A100" s="8"/>
      <c r="B100" s="9"/>
      <c r="C100" s="10"/>
      <c r="D100" s="12"/>
      <c r="E100" s="11"/>
    </row>
    <row r="101" spans="1:5" ht="30" customHeight="1" x14ac:dyDescent="0.25">
      <c r="A101" s="8"/>
      <c r="B101" s="9"/>
      <c r="C101" s="10"/>
      <c r="D101" s="12"/>
      <c r="E101" s="11"/>
    </row>
    <row r="102" spans="1:5" ht="30" customHeight="1" x14ac:dyDescent="0.25">
      <c r="A102" s="8"/>
      <c r="B102" s="9"/>
      <c r="C102" s="10"/>
      <c r="D102" s="12"/>
      <c r="E102" s="11"/>
    </row>
    <row r="103" spans="1:5" ht="30" customHeight="1" x14ac:dyDescent="0.25">
      <c r="A103" s="8"/>
      <c r="B103" s="9"/>
      <c r="C103" s="10"/>
      <c r="D103" s="12"/>
      <c r="E103" s="11"/>
    </row>
    <row r="104" spans="1:5" ht="30" customHeight="1" x14ac:dyDescent="0.25">
      <c r="A104" s="8"/>
      <c r="B104" s="9"/>
      <c r="C104" s="10"/>
      <c r="D104" s="12"/>
      <c r="E104" s="11"/>
    </row>
    <row r="105" spans="1:5" ht="30" customHeight="1" x14ac:dyDescent="0.25">
      <c r="A105" s="8"/>
      <c r="B105" s="9"/>
      <c r="C105" s="10"/>
      <c r="D105" s="12"/>
      <c r="E105" s="11"/>
    </row>
    <row r="106" spans="1:5" ht="30" customHeight="1" x14ac:dyDescent="0.25">
      <c r="A106" s="8"/>
      <c r="B106" s="9"/>
      <c r="C106" s="10"/>
      <c r="D106" s="12"/>
      <c r="E106" s="11"/>
    </row>
    <row r="107" spans="1:5" ht="30" customHeight="1" x14ac:dyDescent="0.25">
      <c r="A107" s="8"/>
      <c r="B107" s="9"/>
      <c r="C107" s="10"/>
      <c r="D107" s="12"/>
      <c r="E107" s="11"/>
    </row>
    <row r="108" spans="1:5" ht="30" customHeight="1" x14ac:dyDescent="0.25">
      <c r="A108" s="8"/>
      <c r="B108" s="9"/>
      <c r="C108" s="10"/>
      <c r="D108" s="12"/>
      <c r="E108" s="11"/>
    </row>
    <row r="109" spans="1:5" ht="30" customHeight="1" x14ac:dyDescent="0.25">
      <c r="A109" s="8"/>
      <c r="B109" s="9"/>
      <c r="C109" s="10"/>
      <c r="D109" s="12"/>
      <c r="E109" s="11"/>
    </row>
    <row r="110" spans="1:5" ht="30" customHeight="1" x14ac:dyDescent="0.25">
      <c r="A110" s="8"/>
      <c r="B110" s="9"/>
      <c r="C110" s="10"/>
      <c r="D110" s="12"/>
      <c r="E110" s="11"/>
    </row>
    <row r="111" spans="1:5" ht="30" customHeight="1" x14ac:dyDescent="0.25">
      <c r="A111" s="8"/>
      <c r="B111" s="9"/>
      <c r="C111" s="10"/>
      <c r="D111" s="12"/>
      <c r="E111" s="11"/>
    </row>
    <row r="112" spans="1:5" ht="30" customHeight="1" x14ac:dyDescent="0.25">
      <c r="A112" s="8"/>
      <c r="B112" s="9"/>
      <c r="C112" s="10"/>
      <c r="D112" s="12"/>
      <c r="E112" s="11"/>
    </row>
    <row r="113" spans="1:5" ht="30" customHeight="1" x14ac:dyDescent="0.25">
      <c r="A113" s="8"/>
      <c r="B113" s="9"/>
      <c r="C113" s="10"/>
      <c r="D113" s="12"/>
      <c r="E113" s="11"/>
    </row>
    <row r="114" spans="1:5" ht="30" customHeight="1" x14ac:dyDescent="0.25">
      <c r="A114" s="8"/>
      <c r="B114" s="9"/>
      <c r="C114" s="10"/>
      <c r="D114" s="12"/>
      <c r="E114" s="11"/>
    </row>
    <row r="115" spans="1:5" ht="30" customHeight="1" x14ac:dyDescent="0.25">
      <c r="A115" s="8"/>
      <c r="B115" s="9"/>
      <c r="C115" s="10"/>
      <c r="D115" s="12"/>
      <c r="E115" s="11"/>
    </row>
    <row r="116" spans="1:5" ht="30" customHeight="1" x14ac:dyDescent="0.25">
      <c r="A116" s="8"/>
      <c r="B116" s="9"/>
      <c r="C116" s="10"/>
      <c r="D116" s="12"/>
      <c r="E116" s="11"/>
    </row>
    <row r="117" spans="1:5" ht="30" customHeight="1" x14ac:dyDescent="0.25">
      <c r="A117" s="8"/>
      <c r="B117" s="9"/>
      <c r="C117" s="10"/>
      <c r="D117" s="12"/>
      <c r="E117" s="11"/>
    </row>
    <row r="118" spans="1:5" ht="30" customHeight="1" x14ac:dyDescent="0.25">
      <c r="A118" s="8"/>
      <c r="B118" s="9"/>
      <c r="C118" s="10"/>
      <c r="D118" s="12"/>
      <c r="E118" s="11"/>
    </row>
    <row r="119" spans="1:5" ht="30" customHeight="1" x14ac:dyDescent="0.25">
      <c r="A119" s="8"/>
      <c r="B119" s="9"/>
      <c r="C119" s="10"/>
      <c r="D119" s="12"/>
      <c r="E119" s="11"/>
    </row>
    <row r="120" spans="1:5" ht="30" customHeight="1" x14ac:dyDescent="0.25">
      <c r="A120" s="8"/>
      <c r="B120" s="9"/>
      <c r="C120" s="10"/>
      <c r="D120" s="12"/>
      <c r="E120" s="11"/>
    </row>
    <row r="121" spans="1:5" ht="30" customHeight="1" x14ac:dyDescent="0.25">
      <c r="A121" s="8"/>
      <c r="B121" s="9"/>
      <c r="C121" s="10"/>
      <c r="D121" s="12"/>
      <c r="E121" s="11"/>
    </row>
    <row r="122" spans="1:5" ht="30" customHeight="1" x14ac:dyDescent="0.25">
      <c r="A122" s="8"/>
      <c r="B122" s="9"/>
      <c r="C122" s="10"/>
      <c r="D122" s="12"/>
      <c r="E122" s="11"/>
    </row>
    <row r="123" spans="1:5" ht="30" customHeight="1" x14ac:dyDescent="0.25">
      <c r="A123" s="8"/>
      <c r="B123" s="9"/>
      <c r="C123" s="10"/>
      <c r="D123" s="12"/>
      <c r="E123" s="11"/>
    </row>
    <row r="124" spans="1:5" ht="30" customHeight="1" x14ac:dyDescent="0.25">
      <c r="A124" s="8"/>
      <c r="B124" s="9"/>
      <c r="C124" s="10"/>
      <c r="D124" s="12"/>
      <c r="E124" s="11"/>
    </row>
    <row r="125" spans="1:5" ht="30" customHeight="1" x14ac:dyDescent="0.25">
      <c r="A125" s="8"/>
      <c r="B125" s="9"/>
      <c r="C125" s="10"/>
      <c r="D125" s="12"/>
      <c r="E125" s="11"/>
    </row>
    <row r="126" spans="1:5" ht="30" customHeight="1" x14ac:dyDescent="0.25">
      <c r="A126" s="8"/>
      <c r="B126" s="9"/>
      <c r="C126" s="10"/>
      <c r="D126" s="12"/>
      <c r="E126" s="11"/>
    </row>
    <row r="127" spans="1:5" ht="30" customHeight="1" x14ac:dyDescent="0.25">
      <c r="A127" s="8"/>
      <c r="B127" s="9"/>
      <c r="C127" s="10"/>
      <c r="D127" s="12"/>
      <c r="E127" s="11"/>
    </row>
    <row r="128" spans="1:5" ht="30" customHeight="1" x14ac:dyDescent="0.25">
      <c r="A128" s="8"/>
      <c r="B128" s="9"/>
      <c r="C128" s="10"/>
      <c r="D128" s="12"/>
      <c r="E128" s="11"/>
    </row>
    <row r="129" spans="1:5" ht="30" customHeight="1" x14ac:dyDescent="0.25">
      <c r="A129" s="8"/>
      <c r="B129" s="9"/>
      <c r="C129" s="10"/>
      <c r="D129" s="12"/>
      <c r="E129" s="11"/>
    </row>
    <row r="130" spans="1:5" ht="30" customHeight="1" x14ac:dyDescent="0.25">
      <c r="A130" s="8"/>
      <c r="B130" s="9"/>
      <c r="C130" s="10"/>
      <c r="D130" s="12"/>
      <c r="E130" s="11"/>
    </row>
    <row r="131" spans="1:5" ht="30" customHeight="1" x14ac:dyDescent="0.25">
      <c r="A131" s="8"/>
      <c r="B131" s="9"/>
      <c r="C131" s="10"/>
      <c r="D131" s="12"/>
      <c r="E131" s="11"/>
    </row>
    <row r="132" spans="1:5" ht="30" customHeight="1" x14ac:dyDescent="0.25">
      <c r="A132" s="8"/>
      <c r="B132" s="9"/>
      <c r="C132" s="10"/>
      <c r="D132" s="12"/>
      <c r="E132" s="11"/>
    </row>
    <row r="133" spans="1:5" ht="30" customHeight="1" x14ac:dyDescent="0.25">
      <c r="A133" s="8"/>
      <c r="B133" s="9"/>
      <c r="C133" s="10"/>
      <c r="D133" s="12"/>
      <c r="E133" s="11"/>
    </row>
    <row r="134" spans="1:5" ht="30" customHeight="1" x14ac:dyDescent="0.25">
      <c r="A134" s="8"/>
      <c r="B134" s="9"/>
      <c r="C134" s="10"/>
      <c r="D134" s="12"/>
      <c r="E134" s="11"/>
    </row>
    <row r="135" spans="1:5" ht="30" customHeight="1" x14ac:dyDescent="0.25">
      <c r="A135" s="8"/>
      <c r="B135" s="9"/>
      <c r="C135" s="10"/>
      <c r="D135" s="12"/>
      <c r="E135" s="11"/>
    </row>
    <row r="136" spans="1:5" ht="30" customHeight="1" x14ac:dyDescent="0.25">
      <c r="A136" s="8"/>
      <c r="B136" s="9"/>
      <c r="C136" s="10"/>
      <c r="D136" s="12"/>
      <c r="E136" s="11"/>
    </row>
    <row r="137" spans="1:5" ht="30" customHeight="1" x14ac:dyDescent="0.25">
      <c r="A137" s="8"/>
      <c r="B137" s="9"/>
      <c r="C137" s="10"/>
      <c r="D137" s="12"/>
      <c r="E137" s="11"/>
    </row>
    <row r="138" spans="1:5" ht="30" customHeight="1" x14ac:dyDescent="0.25">
      <c r="A138" s="8"/>
      <c r="B138" s="9"/>
      <c r="C138" s="10"/>
      <c r="D138" s="12"/>
      <c r="E138" s="11"/>
    </row>
    <row r="139" spans="1:5" ht="30" customHeight="1" x14ac:dyDescent="0.25">
      <c r="A139" s="8"/>
      <c r="B139" s="9"/>
      <c r="C139" s="10"/>
      <c r="D139" s="12"/>
      <c r="E139" s="11"/>
    </row>
    <row r="140" spans="1:5" ht="30" customHeight="1" x14ac:dyDescent="0.25">
      <c r="A140" s="8"/>
      <c r="B140" s="9"/>
      <c r="C140" s="10"/>
      <c r="D140" s="12"/>
      <c r="E140" s="11"/>
    </row>
    <row r="141" spans="1:5" ht="30" customHeight="1" x14ac:dyDescent="0.25">
      <c r="A141" s="8"/>
      <c r="B141" s="9"/>
      <c r="C141" s="10"/>
      <c r="D141" s="12"/>
      <c r="E141" s="11"/>
    </row>
    <row r="142" spans="1:5" ht="30" customHeight="1" x14ac:dyDescent="0.25">
      <c r="A142" s="8"/>
      <c r="B142" s="9"/>
      <c r="C142" s="10"/>
      <c r="D142" s="12"/>
      <c r="E142" s="11"/>
    </row>
    <row r="143" spans="1:5" ht="30" customHeight="1" x14ac:dyDescent="0.25">
      <c r="A143" s="8"/>
      <c r="B143" s="9"/>
      <c r="C143" s="10"/>
      <c r="D143" s="12"/>
      <c r="E143" s="11"/>
    </row>
    <row r="144" spans="1:5" ht="30" customHeight="1" x14ac:dyDescent="0.25">
      <c r="A144" s="8"/>
      <c r="B144" s="9"/>
      <c r="C144" s="10"/>
      <c r="D144" s="12"/>
      <c r="E144" s="11"/>
    </row>
    <row r="145" spans="1:5" ht="30" customHeight="1" x14ac:dyDescent="0.25">
      <c r="A145" s="8"/>
      <c r="B145" s="9"/>
      <c r="C145" s="10"/>
      <c r="D145" s="12"/>
      <c r="E145" s="11"/>
    </row>
    <row r="146" spans="1:5" ht="30" customHeight="1" x14ac:dyDescent="0.25">
      <c r="A146" s="8"/>
      <c r="B146" s="9"/>
      <c r="C146" s="10"/>
      <c r="D146" s="12"/>
      <c r="E146" s="11"/>
    </row>
    <row r="147" spans="1:5" ht="30" customHeight="1" x14ac:dyDescent="0.25">
      <c r="A147" s="8"/>
      <c r="B147" s="9"/>
      <c r="C147" s="10"/>
      <c r="D147" s="12"/>
      <c r="E147" s="11"/>
    </row>
    <row r="148" spans="1:5" ht="30" customHeight="1" x14ac:dyDescent="0.25">
      <c r="A148" s="8"/>
      <c r="B148" s="9"/>
      <c r="C148" s="10"/>
      <c r="D148" s="12"/>
      <c r="E148" s="11"/>
    </row>
    <row r="149" spans="1:5" ht="30" customHeight="1" x14ac:dyDescent="0.25">
      <c r="A149" s="8"/>
      <c r="B149" s="9"/>
      <c r="C149" s="10"/>
      <c r="D149" s="12"/>
      <c r="E149" s="11"/>
    </row>
    <row r="150" spans="1:5" ht="30" customHeight="1" x14ac:dyDescent="0.25">
      <c r="A150" s="8"/>
      <c r="B150" s="9"/>
      <c r="C150" s="10"/>
      <c r="D150" s="12"/>
      <c r="E150" s="11"/>
    </row>
    <row r="151" spans="1:5" ht="30" customHeight="1" x14ac:dyDescent="0.25">
      <c r="A151" s="8"/>
      <c r="B151" s="9"/>
      <c r="C151" s="10"/>
      <c r="D151" s="12"/>
      <c r="E151" s="11"/>
    </row>
    <row r="152" spans="1:5" ht="30" customHeight="1" x14ac:dyDescent="0.25">
      <c r="A152" s="8"/>
      <c r="B152" s="9"/>
      <c r="C152" s="10"/>
      <c r="D152" s="12"/>
      <c r="E152" s="11"/>
    </row>
    <row r="153" spans="1:5" ht="30" customHeight="1" x14ac:dyDescent="0.25">
      <c r="A153" s="8"/>
      <c r="B153" s="9"/>
      <c r="C153" s="10"/>
      <c r="D153" s="12"/>
      <c r="E153" s="11"/>
    </row>
    <row r="154" spans="1:5" ht="30" customHeight="1" x14ac:dyDescent="0.25">
      <c r="A154" s="8"/>
      <c r="B154" s="9"/>
      <c r="C154" s="10"/>
      <c r="D154" s="12"/>
      <c r="E154" s="11"/>
    </row>
    <row r="155" spans="1:5" ht="30" customHeight="1" x14ac:dyDescent="0.25">
      <c r="A155" s="8"/>
      <c r="B155" s="9"/>
      <c r="C155" s="10"/>
      <c r="D155" s="12"/>
      <c r="E155" s="11"/>
    </row>
    <row r="156" spans="1:5" ht="30" customHeight="1" x14ac:dyDescent="0.25">
      <c r="A156" s="8"/>
      <c r="B156" s="9"/>
      <c r="C156" s="10"/>
      <c r="D156" s="12"/>
      <c r="E156" s="11"/>
    </row>
    <row r="157" spans="1:5" ht="30" customHeight="1" x14ac:dyDescent="0.25">
      <c r="A157" s="8"/>
      <c r="B157" s="9"/>
      <c r="C157" s="10"/>
      <c r="D157" s="12"/>
      <c r="E157" s="11"/>
    </row>
    <row r="158" spans="1:5" ht="30" customHeight="1" x14ac:dyDescent="0.25">
      <c r="A158" s="8"/>
      <c r="B158" s="9"/>
      <c r="C158" s="10"/>
      <c r="D158" s="12"/>
      <c r="E158" s="11"/>
    </row>
    <row r="159" spans="1:5" ht="30" customHeight="1" x14ac:dyDescent="0.25">
      <c r="A159" s="8"/>
      <c r="B159" s="9"/>
      <c r="C159" s="10"/>
      <c r="D159" s="12"/>
      <c r="E159" s="11"/>
    </row>
    <row r="160" spans="1:5" ht="30" customHeight="1" x14ac:dyDescent="0.25">
      <c r="A160" s="8"/>
      <c r="B160" s="9"/>
      <c r="C160" s="10"/>
      <c r="D160" s="12"/>
      <c r="E160" s="11"/>
    </row>
    <row r="161" spans="1:5" ht="30" customHeight="1" x14ac:dyDescent="0.25">
      <c r="A161" s="8"/>
      <c r="B161" s="9"/>
      <c r="C161" s="10"/>
      <c r="D161" s="12"/>
      <c r="E161" s="11"/>
    </row>
    <row r="162" spans="1:5" ht="30" customHeight="1" x14ac:dyDescent="0.25">
      <c r="A162" s="8"/>
      <c r="B162" s="9"/>
      <c r="C162" s="10"/>
      <c r="D162" s="12"/>
      <c r="E162" s="11"/>
    </row>
    <row r="163" spans="1:5" ht="30" customHeight="1" x14ac:dyDescent="0.25">
      <c r="A163" s="8"/>
      <c r="B163" s="9"/>
      <c r="C163" s="10"/>
      <c r="D163" s="12"/>
      <c r="E163" s="11"/>
    </row>
    <row r="164" spans="1:5" ht="30" customHeight="1" x14ac:dyDescent="0.25">
      <c r="A164" s="8"/>
      <c r="B164" s="9"/>
      <c r="C164" s="10"/>
      <c r="D164" s="12"/>
      <c r="E164" s="11"/>
    </row>
    <row r="165" spans="1:5" ht="30" customHeight="1" x14ac:dyDescent="0.25">
      <c r="A165" s="8"/>
      <c r="B165" s="9"/>
      <c r="C165" s="10"/>
      <c r="D165" s="12"/>
      <c r="E165" s="11"/>
    </row>
    <row r="166" spans="1:5" ht="30" customHeight="1" x14ac:dyDescent="0.25">
      <c r="A166" s="8"/>
      <c r="B166" s="9"/>
      <c r="C166" s="10"/>
      <c r="D166" s="12"/>
      <c r="E166" s="11"/>
    </row>
    <row r="167" spans="1:5" ht="30" customHeight="1" x14ac:dyDescent="0.25">
      <c r="A167" s="8"/>
      <c r="B167" s="9"/>
      <c r="C167" s="10"/>
      <c r="D167" s="12"/>
      <c r="E167" s="11"/>
    </row>
    <row r="168" spans="1:5" ht="30" customHeight="1" x14ac:dyDescent="0.25">
      <c r="A168" s="8"/>
      <c r="B168" s="9"/>
      <c r="C168" s="10"/>
      <c r="D168" s="12"/>
      <c r="E168" s="11"/>
    </row>
    <row r="169" spans="1:5" ht="30" customHeight="1" x14ac:dyDescent="0.25">
      <c r="A169" s="8"/>
      <c r="B169" s="9"/>
      <c r="C169" s="10"/>
      <c r="D169" s="12"/>
      <c r="E169" s="11"/>
    </row>
    <row r="170" spans="1:5" ht="30" customHeight="1" x14ac:dyDescent="0.25">
      <c r="A170" s="8"/>
      <c r="B170" s="9"/>
      <c r="C170" s="10"/>
      <c r="D170" s="12"/>
      <c r="E170" s="11"/>
    </row>
    <row r="171" spans="1:5" ht="30" customHeight="1" x14ac:dyDescent="0.25">
      <c r="A171" s="8"/>
      <c r="B171" s="9"/>
      <c r="C171" s="10"/>
      <c r="D171" s="12"/>
      <c r="E171" s="11"/>
    </row>
    <row r="172" spans="1:5" ht="30" customHeight="1" x14ac:dyDescent="0.25">
      <c r="A172" s="8"/>
      <c r="B172" s="9"/>
      <c r="C172" s="10"/>
      <c r="D172" s="12"/>
      <c r="E172" s="11"/>
    </row>
    <row r="173" spans="1:5" ht="30" customHeight="1" x14ac:dyDescent="0.25">
      <c r="A173" s="8"/>
      <c r="B173" s="9"/>
      <c r="C173" s="10"/>
      <c r="D173" s="12"/>
      <c r="E173" s="11"/>
    </row>
    <row r="174" spans="1:5" ht="30" customHeight="1" x14ac:dyDescent="0.25">
      <c r="A174" s="8"/>
      <c r="B174" s="9"/>
      <c r="C174" s="10"/>
      <c r="D174" s="12"/>
      <c r="E174" s="11"/>
    </row>
    <row r="175" spans="1:5" ht="30" customHeight="1" x14ac:dyDescent="0.25">
      <c r="A175" s="8"/>
      <c r="B175" s="9"/>
      <c r="C175" s="10"/>
      <c r="D175" s="12"/>
      <c r="E175" s="11"/>
    </row>
    <row r="176" spans="1:5" ht="30" customHeight="1" x14ac:dyDescent="0.25">
      <c r="A176" s="8"/>
      <c r="B176" s="9"/>
      <c r="C176" s="10"/>
      <c r="D176" s="12"/>
      <c r="E176" s="11"/>
    </row>
    <row r="177" spans="1:5" ht="30" customHeight="1" x14ac:dyDescent="0.25">
      <c r="A177" s="8"/>
      <c r="B177" s="9"/>
      <c r="C177" s="10"/>
      <c r="D177" s="12"/>
      <c r="E177" s="11"/>
    </row>
    <row r="178" spans="1:5" ht="30" customHeight="1" x14ac:dyDescent="0.25">
      <c r="A178" s="8"/>
      <c r="B178" s="9"/>
      <c r="C178" s="10"/>
      <c r="D178" s="12"/>
      <c r="E178" s="11"/>
    </row>
    <row r="179" spans="1:5" ht="30" customHeight="1" x14ac:dyDescent="0.25">
      <c r="A179" s="8"/>
      <c r="B179" s="9"/>
      <c r="C179" s="10"/>
      <c r="D179" s="12"/>
      <c r="E179" s="11"/>
    </row>
    <row r="180" spans="1:5" ht="30" customHeight="1" x14ac:dyDescent="0.25">
      <c r="A180" s="8"/>
      <c r="B180" s="9"/>
      <c r="C180" s="10"/>
      <c r="D180" s="12"/>
      <c r="E180" s="11"/>
    </row>
    <row r="181" spans="1:5" ht="30" customHeight="1" x14ac:dyDescent="0.25">
      <c r="A181" s="8"/>
      <c r="B181" s="9"/>
      <c r="C181" s="10"/>
      <c r="D181" s="12"/>
      <c r="E181" s="11"/>
    </row>
    <row r="182" spans="1:5" ht="30" customHeight="1" x14ac:dyDescent="0.25">
      <c r="A182" s="8"/>
      <c r="B182" s="9"/>
      <c r="C182" s="10"/>
      <c r="D182" s="12"/>
      <c r="E182" s="11"/>
    </row>
    <row r="183" spans="1:5" ht="30" customHeight="1" x14ac:dyDescent="0.25">
      <c r="A183" s="8"/>
      <c r="B183" s="9"/>
      <c r="C183" s="10"/>
      <c r="D183" s="12"/>
      <c r="E183" s="11"/>
    </row>
    <row r="184" spans="1:5" ht="30" customHeight="1" x14ac:dyDescent="0.25">
      <c r="A184" s="8"/>
      <c r="B184" s="9"/>
      <c r="C184" s="10"/>
      <c r="D184" s="12"/>
      <c r="E184" s="11"/>
    </row>
    <row r="185" spans="1:5" ht="30" customHeight="1" x14ac:dyDescent="0.25">
      <c r="A185" s="8"/>
      <c r="B185" s="9"/>
      <c r="C185" s="10"/>
      <c r="D185" s="12"/>
      <c r="E185" s="11"/>
    </row>
    <row r="186" spans="1:5" ht="30" customHeight="1" x14ac:dyDescent="0.25">
      <c r="A186" s="8"/>
      <c r="B186" s="9"/>
      <c r="C186" s="10"/>
      <c r="D186" s="12"/>
      <c r="E186" s="11"/>
    </row>
    <row r="187" spans="1:5" ht="30" customHeight="1" x14ac:dyDescent="0.25">
      <c r="A187" s="8"/>
      <c r="B187" s="9"/>
      <c r="C187" s="10"/>
      <c r="D187" s="12"/>
      <c r="E187" s="11"/>
    </row>
    <row r="188" spans="1:5" ht="30" customHeight="1" x14ac:dyDescent="0.25">
      <c r="A188" s="8"/>
      <c r="B188" s="9"/>
      <c r="C188" s="10"/>
      <c r="D188" s="12"/>
      <c r="E188" s="11"/>
    </row>
    <row r="189" spans="1:5" ht="30" customHeight="1" x14ac:dyDescent="0.25">
      <c r="A189" s="8"/>
      <c r="B189" s="9"/>
      <c r="C189" s="10"/>
      <c r="D189" s="12"/>
      <c r="E189" s="11"/>
    </row>
    <row r="190" spans="1:5" ht="30" customHeight="1" x14ac:dyDescent="0.25">
      <c r="A190" s="8"/>
      <c r="B190" s="9"/>
      <c r="C190" s="10"/>
      <c r="D190" s="12"/>
      <c r="E190" s="11"/>
    </row>
    <row r="191" spans="1:5" ht="30" customHeight="1" x14ac:dyDescent="0.25">
      <c r="A191" s="8"/>
      <c r="B191" s="9"/>
      <c r="C191" s="10"/>
      <c r="D191" s="12"/>
      <c r="E191" s="11"/>
    </row>
    <row r="192" spans="1:5" ht="30" customHeight="1" x14ac:dyDescent="0.25">
      <c r="A192" s="8"/>
      <c r="B192" s="9"/>
      <c r="C192" s="10"/>
      <c r="D192" s="12"/>
      <c r="E192" s="11"/>
    </row>
    <row r="193" spans="1:5" ht="30" customHeight="1" x14ac:dyDescent="0.25">
      <c r="A193" s="8"/>
      <c r="B193" s="9"/>
      <c r="C193" s="10"/>
      <c r="D193" s="12"/>
      <c r="E193" s="11"/>
    </row>
    <row r="194" spans="1:5" ht="30" customHeight="1" x14ac:dyDescent="0.25">
      <c r="A194" s="8"/>
      <c r="B194" s="9"/>
      <c r="C194" s="10"/>
      <c r="D194" s="12"/>
      <c r="E194" s="11"/>
    </row>
    <row r="195" spans="1:5" ht="30" customHeight="1" x14ac:dyDescent="0.25">
      <c r="A195" s="8"/>
      <c r="B195" s="9"/>
      <c r="C195" s="10"/>
      <c r="D195" s="12"/>
      <c r="E195" s="11"/>
    </row>
    <row r="196" spans="1:5" ht="30" customHeight="1" x14ac:dyDescent="0.25">
      <c r="A196" s="8"/>
      <c r="B196" s="9"/>
      <c r="C196" s="10"/>
      <c r="D196" s="12"/>
      <c r="E196" s="11"/>
    </row>
    <row r="197" spans="1:5" ht="30" customHeight="1" x14ac:dyDescent="0.25">
      <c r="A197" s="8"/>
      <c r="B197" s="9"/>
      <c r="C197" s="10"/>
      <c r="D197" s="12"/>
      <c r="E197" s="11"/>
    </row>
    <row r="198" spans="1:5" ht="30" customHeight="1" x14ac:dyDescent="0.25">
      <c r="A198" s="8"/>
      <c r="B198" s="9"/>
      <c r="C198" s="10"/>
      <c r="D198" s="12"/>
      <c r="E198" s="11"/>
    </row>
    <row r="199" spans="1:5" ht="30" customHeight="1" x14ac:dyDescent="0.25">
      <c r="A199" s="8"/>
      <c r="B199" s="9"/>
      <c r="C199" s="10"/>
      <c r="D199" s="12"/>
      <c r="E199" s="11"/>
    </row>
    <row r="200" spans="1:5" ht="30" customHeight="1" x14ac:dyDescent="0.25">
      <c r="A200" s="8"/>
      <c r="B200" s="9"/>
      <c r="C200" s="10"/>
      <c r="D200" s="12"/>
      <c r="E200" s="11"/>
    </row>
    <row r="201" spans="1:5" ht="30" customHeight="1" x14ac:dyDescent="0.25">
      <c r="A201" s="8"/>
      <c r="B201" s="9"/>
      <c r="C201" s="10"/>
      <c r="D201" s="12"/>
      <c r="E201" s="11"/>
    </row>
    <row r="202" spans="1:5" ht="30" customHeight="1" x14ac:dyDescent="0.25">
      <c r="A202" s="8"/>
      <c r="B202" s="9"/>
      <c r="C202" s="10"/>
      <c r="D202" s="12"/>
      <c r="E202" s="11"/>
    </row>
    <row r="203" spans="1:5" ht="30" customHeight="1" x14ac:dyDescent="0.25">
      <c r="A203" s="8"/>
      <c r="B203" s="9"/>
      <c r="C203" s="10"/>
      <c r="D203" s="12"/>
      <c r="E203" s="11"/>
    </row>
    <row r="204" spans="1:5" ht="30" customHeight="1" x14ac:dyDescent="0.25">
      <c r="A204" s="8"/>
      <c r="B204" s="9"/>
      <c r="C204" s="10"/>
      <c r="D204" s="12"/>
      <c r="E204" s="11"/>
    </row>
    <row r="205" spans="1:5" ht="30" customHeight="1" x14ac:dyDescent="0.25">
      <c r="A205" s="8"/>
      <c r="B205" s="9"/>
      <c r="C205" s="10"/>
      <c r="D205" s="12"/>
      <c r="E205" s="11"/>
    </row>
    <row r="206" spans="1:5" ht="30" customHeight="1" x14ac:dyDescent="0.25">
      <c r="A206" s="8"/>
      <c r="B206" s="9"/>
      <c r="C206" s="10"/>
      <c r="D206" s="12"/>
      <c r="E206" s="11"/>
    </row>
    <row r="207" spans="1:5" ht="30" customHeight="1" x14ac:dyDescent="0.25">
      <c r="A207" s="8"/>
      <c r="B207" s="9"/>
      <c r="C207" s="10"/>
      <c r="D207" s="12"/>
      <c r="E207" s="11"/>
    </row>
    <row r="208" spans="1:5" ht="30" customHeight="1" x14ac:dyDescent="0.25">
      <c r="A208" s="8"/>
      <c r="B208" s="9"/>
      <c r="C208" s="10"/>
      <c r="D208" s="12"/>
      <c r="E208" s="11"/>
    </row>
    <row r="209" spans="1:5" ht="30" customHeight="1" x14ac:dyDescent="0.25">
      <c r="A209" s="8"/>
      <c r="B209" s="9"/>
      <c r="C209" s="10"/>
      <c r="D209" s="12"/>
      <c r="E209" s="11"/>
    </row>
    <row r="210" spans="1:5" ht="30" customHeight="1" x14ac:dyDescent="0.25">
      <c r="A210" s="8"/>
      <c r="B210" s="9"/>
      <c r="C210" s="10"/>
      <c r="D210" s="12"/>
      <c r="E210" s="11"/>
    </row>
    <row r="211" spans="1:5" ht="30" customHeight="1" x14ac:dyDescent="0.25">
      <c r="A211" s="8"/>
      <c r="B211" s="9"/>
      <c r="C211" s="10"/>
      <c r="D211" s="12"/>
      <c r="E211" s="11"/>
    </row>
    <row r="212" spans="1:5" ht="30" customHeight="1" x14ac:dyDescent="0.25">
      <c r="A212" s="8"/>
      <c r="B212" s="9"/>
      <c r="C212" s="10"/>
      <c r="D212" s="12"/>
      <c r="E212" s="11"/>
    </row>
    <row r="213" spans="1:5" ht="30" customHeight="1" x14ac:dyDescent="0.25">
      <c r="A213" s="8"/>
      <c r="B213" s="9"/>
      <c r="C213" s="10"/>
      <c r="D213" s="12"/>
      <c r="E213" s="11"/>
    </row>
    <row r="214" spans="1:5" ht="30" customHeight="1" x14ac:dyDescent="0.25">
      <c r="A214" s="8"/>
      <c r="B214" s="9"/>
      <c r="C214" s="10"/>
      <c r="D214" s="12"/>
      <c r="E214" s="11"/>
    </row>
    <row r="215" spans="1:5" ht="30" customHeight="1" x14ac:dyDescent="0.25">
      <c r="A215" s="8"/>
      <c r="B215" s="9"/>
      <c r="C215" s="10"/>
      <c r="D215" s="12"/>
      <c r="E215" s="11"/>
    </row>
    <row r="216" spans="1:5" ht="30" customHeight="1" x14ac:dyDescent="0.25">
      <c r="A216" s="8"/>
      <c r="B216" s="9"/>
      <c r="C216" s="10"/>
      <c r="D216" s="12"/>
      <c r="E216" s="11"/>
    </row>
    <row r="217" spans="1:5" ht="30" customHeight="1" x14ac:dyDescent="0.25">
      <c r="A217" s="8"/>
      <c r="B217" s="9"/>
      <c r="C217" s="10"/>
      <c r="D217" s="12"/>
      <c r="E217" s="11"/>
    </row>
    <row r="218" spans="1:5" ht="30" customHeight="1" x14ac:dyDescent="0.25">
      <c r="A218" s="8"/>
      <c r="B218" s="9"/>
      <c r="C218" s="10"/>
      <c r="D218" s="12"/>
      <c r="E218" s="11"/>
    </row>
    <row r="219" spans="1:5" ht="30" customHeight="1" x14ac:dyDescent="0.25">
      <c r="A219" s="8"/>
      <c r="B219" s="9"/>
      <c r="C219" s="10"/>
      <c r="D219" s="12"/>
      <c r="E219" s="11"/>
    </row>
    <row r="220" spans="1:5" ht="30" customHeight="1" x14ac:dyDescent="0.25">
      <c r="A220" s="8"/>
      <c r="B220" s="9"/>
      <c r="C220" s="10"/>
      <c r="D220" s="12"/>
      <c r="E220" s="11"/>
    </row>
    <row r="221" spans="1:5" ht="30" customHeight="1" x14ac:dyDescent="0.25">
      <c r="A221" s="8"/>
      <c r="B221" s="9"/>
      <c r="C221" s="10"/>
      <c r="D221" s="12"/>
      <c r="E221" s="11"/>
    </row>
    <row r="222" spans="1:5" ht="30" customHeight="1" x14ac:dyDescent="0.25">
      <c r="A222" s="8"/>
      <c r="B222" s="9"/>
      <c r="C222" s="10"/>
      <c r="D222" s="12"/>
      <c r="E222" s="11"/>
    </row>
    <row r="223" spans="1:5" ht="30" customHeight="1" x14ac:dyDescent="0.25">
      <c r="A223" s="8"/>
      <c r="B223" s="9"/>
      <c r="C223" s="10"/>
      <c r="D223" s="12"/>
      <c r="E223" s="11"/>
    </row>
    <row r="224" spans="1:5" ht="30" customHeight="1" x14ac:dyDescent="0.25">
      <c r="A224" s="8"/>
      <c r="B224" s="9"/>
      <c r="C224" s="10"/>
      <c r="D224" s="12"/>
      <c r="E224" s="11"/>
    </row>
    <row r="225" spans="1:5" ht="30" customHeight="1" x14ac:dyDescent="0.25">
      <c r="A225" s="8"/>
      <c r="B225" s="9"/>
      <c r="C225" s="10"/>
      <c r="D225" s="12"/>
      <c r="E225" s="11"/>
    </row>
    <row r="226" spans="1:5" ht="30" customHeight="1" x14ac:dyDescent="0.25">
      <c r="A226" s="8"/>
      <c r="B226" s="9"/>
      <c r="C226" s="10"/>
      <c r="D226" s="12"/>
      <c r="E226" s="11"/>
    </row>
    <row r="227" spans="1:5" ht="30" customHeight="1" x14ac:dyDescent="0.25">
      <c r="A227" s="8"/>
      <c r="B227" s="9"/>
      <c r="C227" s="10"/>
      <c r="D227" s="12"/>
      <c r="E227" s="11"/>
    </row>
    <row r="228" spans="1:5" ht="30" customHeight="1" x14ac:dyDescent="0.25">
      <c r="A228" s="8"/>
      <c r="B228" s="9"/>
      <c r="C228" s="10"/>
      <c r="D228" s="12"/>
      <c r="E228" s="11"/>
    </row>
    <row r="229" spans="1:5" ht="30" customHeight="1" x14ac:dyDescent="0.25">
      <c r="A229" s="8"/>
      <c r="B229" s="9"/>
      <c r="C229" s="10"/>
      <c r="D229" s="12"/>
      <c r="E229" s="11"/>
    </row>
    <row r="230" spans="1:5" ht="30" customHeight="1" x14ac:dyDescent="0.25">
      <c r="A230" s="8"/>
      <c r="B230" s="9"/>
      <c r="C230" s="10"/>
      <c r="D230" s="12"/>
      <c r="E230" s="11"/>
    </row>
    <row r="231" spans="1:5" ht="30" customHeight="1" x14ac:dyDescent="0.25">
      <c r="A231" s="8"/>
      <c r="B231" s="9"/>
      <c r="C231" s="10"/>
      <c r="D231" s="12"/>
      <c r="E231" s="11"/>
    </row>
    <row r="232" spans="1:5" ht="30" customHeight="1" x14ac:dyDescent="0.25">
      <c r="A232" s="8"/>
      <c r="B232" s="9"/>
      <c r="C232" s="10"/>
      <c r="D232" s="12"/>
      <c r="E232" s="11"/>
    </row>
    <row r="233" spans="1:5" ht="30" customHeight="1" x14ac:dyDescent="0.25">
      <c r="A233" s="8"/>
      <c r="B233" s="9"/>
      <c r="C233" s="10"/>
      <c r="D233" s="12"/>
      <c r="E233" s="11"/>
    </row>
    <row r="234" spans="1:5" ht="30" customHeight="1" x14ac:dyDescent="0.25">
      <c r="A234" s="8"/>
      <c r="B234" s="9"/>
      <c r="C234" s="10"/>
      <c r="D234" s="12"/>
      <c r="E234" s="11"/>
    </row>
    <row r="235" spans="1:5" ht="30" customHeight="1" x14ac:dyDescent="0.25">
      <c r="A235" s="8"/>
      <c r="B235" s="9"/>
      <c r="C235" s="10"/>
      <c r="D235" s="12"/>
      <c r="E235" s="11"/>
    </row>
    <row r="236" spans="1:5" ht="30" customHeight="1" x14ac:dyDescent="0.25">
      <c r="A236" s="8"/>
      <c r="B236" s="9"/>
      <c r="C236" s="10"/>
      <c r="D236" s="12"/>
      <c r="E236" s="11"/>
    </row>
    <row r="237" spans="1:5" ht="30" customHeight="1" x14ac:dyDescent="0.25">
      <c r="A237" s="8"/>
      <c r="B237" s="9"/>
      <c r="C237" s="10"/>
      <c r="D237" s="12"/>
      <c r="E237" s="11"/>
    </row>
    <row r="238" spans="1:5" ht="30" customHeight="1" x14ac:dyDescent="0.25">
      <c r="A238" s="8"/>
      <c r="B238" s="9"/>
      <c r="C238" s="10"/>
      <c r="D238" s="12"/>
      <c r="E238" s="11"/>
    </row>
    <row r="239" spans="1:5" ht="30" customHeight="1" x14ac:dyDescent="0.25">
      <c r="A239" s="8"/>
      <c r="B239" s="9"/>
      <c r="C239" s="10"/>
      <c r="D239" s="12"/>
      <c r="E239" s="11"/>
    </row>
    <row r="240" spans="1:5" ht="30" customHeight="1" x14ac:dyDescent="0.25">
      <c r="A240" s="8"/>
      <c r="B240" s="9"/>
      <c r="C240" s="10"/>
      <c r="D240" s="12"/>
      <c r="E240" s="11"/>
    </row>
    <row r="241" spans="1:5" ht="30" customHeight="1" x14ac:dyDescent="0.25">
      <c r="A241" s="8"/>
      <c r="B241" s="9"/>
      <c r="C241" s="10"/>
      <c r="D241" s="12"/>
      <c r="E241" s="11"/>
    </row>
    <row r="242" spans="1:5" ht="30" customHeight="1" x14ac:dyDescent="0.25">
      <c r="A242" s="8"/>
      <c r="B242" s="9"/>
      <c r="C242" s="10"/>
      <c r="D242" s="12"/>
      <c r="E242" s="11"/>
    </row>
    <row r="243" spans="1:5" ht="30" customHeight="1" x14ac:dyDescent="0.25">
      <c r="A243" s="8"/>
      <c r="B243" s="9"/>
      <c r="C243" s="10"/>
      <c r="D243" s="12"/>
      <c r="E243" s="11"/>
    </row>
    <row r="244" spans="1:5" ht="12.75" customHeight="1" x14ac:dyDescent="0.25">
      <c r="B244" s="18"/>
      <c r="C244" s="19"/>
      <c r="D244" s="19"/>
      <c r="E244" s="13"/>
    </row>
    <row r="245" spans="1:5" ht="12.75" customHeight="1" x14ac:dyDescent="0.25">
      <c r="B245" s="14"/>
      <c r="C245" s="15"/>
      <c r="D245" s="15"/>
      <c r="E245" s="3"/>
    </row>
    <row r="246" spans="1:5" ht="12.75" customHeight="1" x14ac:dyDescent="0.25">
      <c r="B246" s="14"/>
      <c r="C246" s="15"/>
      <c r="D246" s="15"/>
      <c r="E246" s="3"/>
    </row>
    <row r="247" spans="1:5" ht="12.75" customHeight="1" x14ac:dyDescent="0.25">
      <c r="B247" s="14"/>
      <c r="C247" s="15"/>
      <c r="D247" s="15"/>
      <c r="E247" s="3"/>
    </row>
    <row r="248" spans="1:5" ht="12.75" customHeight="1" x14ac:dyDescent="0.25">
      <c r="B248" s="14"/>
      <c r="C248" s="15"/>
      <c r="D248" s="15"/>
      <c r="E248" s="3"/>
    </row>
    <row r="249" spans="1:5" ht="12.75" customHeight="1" x14ac:dyDescent="0.25">
      <c r="B249" s="14"/>
      <c r="C249" s="15"/>
      <c r="D249" s="15"/>
      <c r="E249" s="3"/>
    </row>
    <row r="250" spans="1:5" ht="12.75" customHeight="1" x14ac:dyDescent="0.25">
      <c r="B250" s="14"/>
      <c r="C250" s="15"/>
      <c r="D250" s="15"/>
      <c r="E250" s="3"/>
    </row>
    <row r="251" spans="1:5" ht="12.75" customHeight="1" x14ac:dyDescent="0.25">
      <c r="B251" s="14"/>
      <c r="C251" s="15"/>
      <c r="D251" s="15"/>
      <c r="E251" s="3"/>
    </row>
    <row r="252" spans="1:5" ht="12.75" customHeight="1" x14ac:dyDescent="0.25">
      <c r="B252" s="14"/>
      <c r="C252" s="15"/>
      <c r="D252" s="15"/>
      <c r="E252" s="3"/>
    </row>
    <row r="253" spans="1:5" ht="12.75" customHeight="1" x14ac:dyDescent="0.25">
      <c r="B253" s="14"/>
      <c r="C253" s="15"/>
      <c r="D253" s="15"/>
      <c r="E253" s="3"/>
    </row>
    <row r="254" spans="1:5" ht="12.75" customHeight="1" x14ac:dyDescent="0.25">
      <c r="B254" s="14"/>
      <c r="C254" s="15"/>
      <c r="D254" s="15"/>
      <c r="E254" s="3"/>
    </row>
    <row r="255" spans="1:5" ht="12.75" customHeight="1" x14ac:dyDescent="0.25">
      <c r="B255" s="14"/>
      <c r="C255" s="15"/>
      <c r="D255" s="15"/>
      <c r="E255" s="3"/>
    </row>
    <row r="256" spans="1:5" ht="12.75" customHeight="1" x14ac:dyDescent="0.25">
      <c r="B256" s="14"/>
      <c r="C256" s="15"/>
      <c r="D256" s="15"/>
      <c r="E256" s="3"/>
    </row>
    <row r="257" spans="2:5" ht="12.75" customHeight="1" x14ac:dyDescent="0.25">
      <c r="B257" s="14"/>
      <c r="C257" s="15"/>
      <c r="D257" s="15"/>
      <c r="E257" s="3"/>
    </row>
    <row r="258" spans="2:5" ht="12.75" customHeight="1" x14ac:dyDescent="0.25">
      <c r="B258" s="14"/>
      <c r="C258" s="15"/>
      <c r="D258" s="15"/>
      <c r="E258" s="3"/>
    </row>
    <row r="259" spans="2:5" ht="12.75" customHeight="1" x14ac:dyDescent="0.25">
      <c r="B259" s="14"/>
      <c r="C259" s="15"/>
      <c r="D259" s="15"/>
      <c r="E259" s="3"/>
    </row>
    <row r="260" spans="2:5" ht="12.75" customHeight="1" x14ac:dyDescent="0.25">
      <c r="B260" s="14"/>
      <c r="C260" s="15"/>
      <c r="D260" s="15"/>
      <c r="E260" s="3"/>
    </row>
    <row r="261" spans="2:5" ht="12.75" customHeight="1" x14ac:dyDescent="0.25">
      <c r="B261" s="14"/>
      <c r="C261" s="15"/>
      <c r="D261" s="15"/>
      <c r="E261" s="3"/>
    </row>
    <row r="262" spans="2:5" ht="12.75" customHeight="1" x14ac:dyDescent="0.25">
      <c r="B262" s="14"/>
      <c r="C262" s="15"/>
      <c r="D262" s="15"/>
      <c r="E262" s="3"/>
    </row>
    <row r="263" spans="2:5" ht="12.75" customHeight="1" x14ac:dyDescent="0.25">
      <c r="B263" s="14"/>
      <c r="C263" s="15"/>
      <c r="D263" s="15"/>
      <c r="E263" s="3"/>
    </row>
    <row r="264" spans="2:5" ht="12.75" customHeight="1" x14ac:dyDescent="0.25">
      <c r="B264" s="14"/>
      <c r="C264" s="15"/>
      <c r="D264" s="15"/>
      <c r="E264" s="3"/>
    </row>
    <row r="265" spans="2:5" ht="12.75" customHeight="1" x14ac:dyDescent="0.25">
      <c r="B265" s="14"/>
      <c r="C265" s="15"/>
      <c r="D265" s="15"/>
      <c r="E265" s="3"/>
    </row>
    <row r="266" spans="2:5" ht="12.75" customHeight="1" x14ac:dyDescent="0.25">
      <c r="B266" s="14"/>
      <c r="C266" s="15"/>
      <c r="D266" s="15"/>
      <c r="E266" s="3"/>
    </row>
    <row r="267" spans="2:5" ht="12.75" customHeight="1" x14ac:dyDescent="0.25">
      <c r="B267" s="14"/>
      <c r="C267" s="15"/>
      <c r="D267" s="15"/>
      <c r="E267" s="3"/>
    </row>
    <row r="268" spans="2:5" ht="12.75" customHeight="1" x14ac:dyDescent="0.25">
      <c r="B268" s="14"/>
      <c r="C268" s="15"/>
      <c r="D268" s="15"/>
      <c r="E268" s="3"/>
    </row>
    <row r="269" spans="2:5" ht="12.75" customHeight="1" x14ac:dyDescent="0.25">
      <c r="B269" s="14"/>
      <c r="C269" s="15"/>
      <c r="D269" s="15"/>
      <c r="E269" s="3"/>
    </row>
    <row r="270" spans="2:5" ht="12.75" customHeight="1" x14ac:dyDescent="0.25">
      <c r="B270" s="14"/>
      <c r="C270" s="15"/>
      <c r="D270" s="15"/>
      <c r="E270" s="3"/>
    </row>
    <row r="271" spans="2:5" ht="12.75" customHeight="1" x14ac:dyDescent="0.25">
      <c r="B271" s="14"/>
      <c r="C271" s="15"/>
      <c r="D271" s="15"/>
      <c r="E271" s="3"/>
    </row>
    <row r="272" spans="2:5" ht="12.75" customHeight="1" x14ac:dyDescent="0.25">
      <c r="B272" s="14"/>
      <c r="C272" s="15"/>
      <c r="D272" s="15"/>
      <c r="E272" s="3"/>
    </row>
    <row r="273" spans="2:5" ht="12.75" customHeight="1" x14ac:dyDescent="0.25">
      <c r="B273" s="14"/>
      <c r="C273" s="15"/>
      <c r="D273" s="15"/>
      <c r="E273" s="3"/>
    </row>
    <row r="274" spans="2:5" ht="12.75" customHeight="1" x14ac:dyDescent="0.25">
      <c r="B274" s="14"/>
      <c r="C274" s="15"/>
      <c r="D274" s="15"/>
      <c r="E274" s="3"/>
    </row>
    <row r="275" spans="2:5" ht="12.75" customHeight="1" x14ac:dyDescent="0.25">
      <c r="B275" s="14"/>
      <c r="C275" s="15"/>
      <c r="D275" s="15"/>
      <c r="E275" s="3"/>
    </row>
    <row r="276" spans="2:5" ht="12.75" customHeight="1" x14ac:dyDescent="0.25">
      <c r="B276" s="14"/>
      <c r="C276" s="15"/>
      <c r="D276" s="15"/>
      <c r="E276" s="3"/>
    </row>
    <row r="277" spans="2:5" ht="12.75" customHeight="1" x14ac:dyDescent="0.25">
      <c r="B277" s="14"/>
      <c r="C277" s="15"/>
      <c r="D277" s="15"/>
      <c r="E277" s="3"/>
    </row>
    <row r="278" spans="2:5" ht="12.75" customHeight="1" x14ac:dyDescent="0.25">
      <c r="B278" s="14"/>
      <c r="C278" s="15"/>
      <c r="D278" s="15"/>
      <c r="E278" s="3"/>
    </row>
    <row r="279" spans="2:5" ht="12.75" customHeight="1" x14ac:dyDescent="0.25">
      <c r="B279" s="14"/>
      <c r="C279" s="15"/>
      <c r="D279" s="15"/>
      <c r="E279" s="3"/>
    </row>
    <row r="280" spans="2:5" ht="12.75" customHeight="1" x14ac:dyDescent="0.25">
      <c r="B280" s="14"/>
      <c r="C280" s="15"/>
      <c r="D280" s="15"/>
      <c r="E280" s="3"/>
    </row>
    <row r="281" spans="2:5" ht="12.75" customHeight="1" x14ac:dyDescent="0.25">
      <c r="B281" s="14"/>
      <c r="C281" s="15"/>
      <c r="D281" s="15"/>
      <c r="E281" s="3"/>
    </row>
    <row r="282" spans="2:5" ht="12.75" customHeight="1" x14ac:dyDescent="0.25">
      <c r="B282" s="14"/>
      <c r="C282" s="15"/>
      <c r="D282" s="15"/>
      <c r="E282" s="3"/>
    </row>
    <row r="283" spans="2:5" ht="12.75" customHeight="1" x14ac:dyDescent="0.25">
      <c r="B283" s="14"/>
      <c r="C283" s="15"/>
      <c r="D283" s="15"/>
      <c r="E283" s="3"/>
    </row>
    <row r="284" spans="2:5" ht="12.75" customHeight="1" x14ac:dyDescent="0.25">
      <c r="B284" s="14"/>
      <c r="C284" s="15"/>
      <c r="D284" s="15"/>
      <c r="E284" s="3"/>
    </row>
    <row r="285" spans="2:5" ht="12.75" customHeight="1" x14ac:dyDescent="0.25">
      <c r="B285" s="14"/>
      <c r="C285" s="15"/>
      <c r="D285" s="15"/>
      <c r="E285" s="3"/>
    </row>
    <row r="286" spans="2:5" ht="12.75" customHeight="1" x14ac:dyDescent="0.25">
      <c r="B286" s="14"/>
      <c r="C286" s="15"/>
      <c r="D286" s="15"/>
      <c r="E286" s="3"/>
    </row>
    <row r="287" spans="2:5" ht="12.75" customHeight="1" x14ac:dyDescent="0.25">
      <c r="B287" s="14"/>
      <c r="C287" s="15"/>
      <c r="D287" s="15"/>
      <c r="E287" s="3"/>
    </row>
    <row r="288" spans="2:5" ht="12.75" customHeight="1" x14ac:dyDescent="0.25">
      <c r="B288" s="14"/>
      <c r="C288" s="15"/>
      <c r="D288" s="15"/>
      <c r="E288" s="3"/>
    </row>
    <row r="289" spans="2:5" ht="12.75" customHeight="1" x14ac:dyDescent="0.25">
      <c r="B289" s="14"/>
      <c r="C289" s="15"/>
      <c r="D289" s="15"/>
      <c r="E289" s="3"/>
    </row>
    <row r="290" spans="2:5" ht="12.75" customHeight="1" x14ac:dyDescent="0.25">
      <c r="B290" s="14"/>
      <c r="C290" s="15"/>
      <c r="D290" s="15"/>
      <c r="E290" s="3"/>
    </row>
    <row r="291" spans="2:5" ht="12.75" customHeight="1" x14ac:dyDescent="0.25">
      <c r="B291" s="14"/>
      <c r="C291" s="15"/>
      <c r="D291" s="15"/>
      <c r="E291" s="3"/>
    </row>
    <row r="292" spans="2:5" ht="12.75" customHeight="1" x14ac:dyDescent="0.25">
      <c r="B292" s="14"/>
      <c r="C292" s="15"/>
      <c r="D292" s="15"/>
      <c r="E292" s="3"/>
    </row>
    <row r="293" spans="2:5" ht="12.75" customHeight="1" x14ac:dyDescent="0.25">
      <c r="B293" s="14"/>
      <c r="C293" s="15"/>
      <c r="D293" s="15"/>
      <c r="E293" s="3"/>
    </row>
    <row r="294" spans="2:5" ht="12.75" customHeight="1" x14ac:dyDescent="0.25">
      <c r="B294" s="14"/>
      <c r="C294" s="15"/>
      <c r="D294" s="15"/>
      <c r="E294" s="3"/>
    </row>
    <row r="295" spans="2:5" ht="12.75" customHeight="1" x14ac:dyDescent="0.25">
      <c r="B295" s="14"/>
      <c r="C295" s="15"/>
      <c r="D295" s="15"/>
      <c r="E295" s="3"/>
    </row>
    <row r="296" spans="2:5" ht="12.75" customHeight="1" x14ac:dyDescent="0.25">
      <c r="B296" s="14"/>
      <c r="C296" s="15"/>
      <c r="D296" s="15"/>
      <c r="E296" s="3"/>
    </row>
    <row r="297" spans="2:5" ht="12.75" customHeight="1" x14ac:dyDescent="0.25">
      <c r="B297" s="14"/>
      <c r="C297" s="15"/>
      <c r="D297" s="15"/>
      <c r="E297" s="3"/>
    </row>
    <row r="298" spans="2:5" ht="12.75" customHeight="1" x14ac:dyDescent="0.25">
      <c r="B298" s="14"/>
      <c r="C298" s="15"/>
      <c r="D298" s="15"/>
      <c r="E298" s="3"/>
    </row>
    <row r="299" spans="2:5" ht="12.75" customHeight="1" x14ac:dyDescent="0.25">
      <c r="B299" s="14"/>
      <c r="C299" s="15"/>
      <c r="D299" s="15"/>
      <c r="E299" s="3"/>
    </row>
    <row r="300" spans="2:5" ht="12.75" customHeight="1" x14ac:dyDescent="0.25">
      <c r="B300" s="14"/>
      <c r="C300" s="15"/>
      <c r="D300" s="15"/>
      <c r="E300" s="3"/>
    </row>
    <row r="301" spans="2:5" ht="12.75" customHeight="1" x14ac:dyDescent="0.25">
      <c r="B301" s="14"/>
      <c r="C301" s="15"/>
      <c r="D301" s="15"/>
      <c r="E301" s="3"/>
    </row>
    <row r="302" spans="2:5" ht="12.75" customHeight="1" x14ac:dyDescent="0.25">
      <c r="B302" s="14"/>
      <c r="C302" s="15"/>
      <c r="D302" s="15"/>
      <c r="E302" s="3"/>
    </row>
    <row r="303" spans="2:5" ht="12.75" customHeight="1" x14ac:dyDescent="0.25">
      <c r="B303" s="14"/>
      <c r="C303" s="15"/>
      <c r="D303" s="15"/>
      <c r="E303" s="3"/>
    </row>
    <row r="304" spans="2:5" ht="12.75" customHeight="1" x14ac:dyDescent="0.25">
      <c r="B304" s="14"/>
      <c r="C304" s="15"/>
      <c r="D304" s="15"/>
      <c r="E304" s="3"/>
    </row>
    <row r="305" spans="2:5" ht="12.75" customHeight="1" x14ac:dyDescent="0.25">
      <c r="B305" s="14"/>
      <c r="C305" s="15"/>
      <c r="D305" s="15"/>
      <c r="E305" s="3"/>
    </row>
    <row r="306" spans="2:5" ht="12.75" customHeight="1" x14ac:dyDescent="0.25">
      <c r="B306" s="14"/>
      <c r="C306" s="15"/>
      <c r="D306" s="15"/>
      <c r="E306" s="3"/>
    </row>
    <row r="307" spans="2:5" ht="12.75" customHeight="1" x14ac:dyDescent="0.25">
      <c r="B307" s="14"/>
      <c r="C307" s="15"/>
      <c r="D307" s="15"/>
      <c r="E307" s="3"/>
    </row>
    <row r="308" spans="2:5" ht="12.75" customHeight="1" x14ac:dyDescent="0.25">
      <c r="B308" s="14"/>
      <c r="C308" s="15"/>
      <c r="D308" s="15"/>
      <c r="E308" s="3"/>
    </row>
    <row r="309" spans="2:5" ht="12.75" customHeight="1" x14ac:dyDescent="0.25">
      <c r="B309" s="14"/>
      <c r="C309" s="15"/>
      <c r="D309" s="15"/>
      <c r="E309" s="3"/>
    </row>
    <row r="310" spans="2:5" ht="12.75" customHeight="1" x14ac:dyDescent="0.25">
      <c r="B310" s="14"/>
      <c r="C310" s="15"/>
      <c r="D310" s="15"/>
      <c r="E310" s="3"/>
    </row>
    <row r="311" spans="2:5" ht="12.75" customHeight="1" x14ac:dyDescent="0.25">
      <c r="B311" s="14"/>
      <c r="C311" s="15"/>
      <c r="D311" s="15"/>
      <c r="E311" s="3"/>
    </row>
    <row r="312" spans="2:5" ht="12.75" customHeight="1" x14ac:dyDescent="0.25">
      <c r="B312" s="14"/>
      <c r="C312" s="15"/>
      <c r="D312" s="15"/>
      <c r="E312" s="3"/>
    </row>
    <row r="313" spans="2:5" ht="12.75" customHeight="1" x14ac:dyDescent="0.25">
      <c r="B313" s="14"/>
      <c r="C313" s="15"/>
      <c r="D313" s="15"/>
      <c r="E313" s="3"/>
    </row>
    <row r="314" spans="2:5" ht="12.75" customHeight="1" x14ac:dyDescent="0.25">
      <c r="B314" s="14"/>
      <c r="C314" s="15"/>
      <c r="D314" s="15"/>
      <c r="E314" s="3"/>
    </row>
    <row r="315" spans="2:5" ht="12.75" customHeight="1" x14ac:dyDescent="0.25">
      <c r="B315" s="14"/>
      <c r="C315" s="15"/>
      <c r="D315" s="15"/>
      <c r="E315" s="3"/>
    </row>
    <row r="316" spans="2:5" ht="12.75" customHeight="1" x14ac:dyDescent="0.25">
      <c r="B316" s="14"/>
      <c r="C316" s="15"/>
      <c r="D316" s="15"/>
      <c r="E316" s="3"/>
    </row>
    <row r="317" spans="2:5" ht="12.75" customHeight="1" x14ac:dyDescent="0.25">
      <c r="B317" s="14"/>
      <c r="C317" s="15"/>
      <c r="D317" s="15"/>
      <c r="E317" s="3"/>
    </row>
    <row r="318" spans="2:5" ht="12.75" customHeight="1" x14ac:dyDescent="0.25">
      <c r="B318" s="14"/>
      <c r="C318" s="15"/>
      <c r="D318" s="15"/>
      <c r="E318" s="3"/>
    </row>
    <row r="319" spans="2:5" ht="12.75" customHeight="1" x14ac:dyDescent="0.25">
      <c r="B319" s="14"/>
      <c r="C319" s="15"/>
      <c r="D319" s="15"/>
      <c r="E319" s="3"/>
    </row>
    <row r="320" spans="2:5" ht="12.75" customHeight="1" x14ac:dyDescent="0.25">
      <c r="B320" s="14"/>
      <c r="C320" s="15"/>
      <c r="D320" s="15"/>
      <c r="E320" s="3"/>
    </row>
    <row r="321" spans="2:5" ht="12.75" customHeight="1" x14ac:dyDescent="0.25">
      <c r="B321" s="14"/>
      <c r="C321" s="15"/>
      <c r="D321" s="15"/>
      <c r="E321" s="3"/>
    </row>
    <row r="322" spans="2:5" ht="12.75" customHeight="1" x14ac:dyDescent="0.25">
      <c r="B322" s="14"/>
      <c r="C322" s="15"/>
      <c r="D322" s="15"/>
      <c r="E322" s="3"/>
    </row>
    <row r="323" spans="2:5" ht="12.75" customHeight="1" x14ac:dyDescent="0.25">
      <c r="B323" s="14"/>
      <c r="C323" s="15"/>
      <c r="D323" s="15"/>
      <c r="E323" s="3"/>
    </row>
    <row r="324" spans="2:5" ht="12.75" customHeight="1" x14ac:dyDescent="0.25">
      <c r="B324" s="14"/>
      <c r="C324" s="15"/>
      <c r="D324" s="15"/>
      <c r="E324" s="3"/>
    </row>
    <row r="325" spans="2:5" ht="12.75" customHeight="1" x14ac:dyDescent="0.25">
      <c r="B325" s="14"/>
      <c r="C325" s="15"/>
      <c r="D325" s="15"/>
      <c r="E325" s="3"/>
    </row>
    <row r="326" spans="2:5" ht="12.75" customHeight="1" x14ac:dyDescent="0.25">
      <c r="B326" s="14"/>
      <c r="C326" s="15"/>
      <c r="D326" s="15"/>
      <c r="E326" s="3"/>
    </row>
    <row r="327" spans="2:5" ht="12.75" customHeight="1" x14ac:dyDescent="0.25">
      <c r="B327" s="14"/>
      <c r="C327" s="15"/>
      <c r="D327" s="15"/>
      <c r="E327" s="3"/>
    </row>
    <row r="328" spans="2:5" ht="12.75" customHeight="1" x14ac:dyDescent="0.25">
      <c r="B328" s="14"/>
      <c r="C328" s="15"/>
      <c r="D328" s="15"/>
      <c r="E328" s="3"/>
    </row>
    <row r="329" spans="2:5" ht="12.75" customHeight="1" x14ac:dyDescent="0.25">
      <c r="B329" s="14"/>
      <c r="C329" s="15"/>
      <c r="D329" s="15"/>
      <c r="E329" s="3"/>
    </row>
    <row r="330" spans="2:5" ht="12.75" customHeight="1" x14ac:dyDescent="0.25">
      <c r="B330" s="14"/>
      <c r="C330" s="15"/>
      <c r="D330" s="15"/>
      <c r="E330" s="3"/>
    </row>
    <row r="331" spans="2:5" ht="12.75" customHeight="1" x14ac:dyDescent="0.25">
      <c r="B331" s="14"/>
      <c r="C331" s="15"/>
      <c r="D331" s="15"/>
      <c r="E331" s="3"/>
    </row>
    <row r="332" spans="2:5" ht="12.75" customHeight="1" x14ac:dyDescent="0.25">
      <c r="B332" s="14"/>
      <c r="C332" s="15"/>
      <c r="D332" s="15"/>
      <c r="E332" s="3"/>
    </row>
    <row r="333" spans="2:5" ht="12.75" customHeight="1" x14ac:dyDescent="0.25">
      <c r="B333" s="14"/>
      <c r="C333" s="15"/>
      <c r="D333" s="15"/>
      <c r="E333" s="3"/>
    </row>
    <row r="334" spans="2:5" ht="12.75" customHeight="1" x14ac:dyDescent="0.25">
      <c r="B334" s="14"/>
      <c r="C334" s="15"/>
      <c r="D334" s="15"/>
      <c r="E334" s="3"/>
    </row>
    <row r="335" spans="2:5" ht="12.75" customHeight="1" x14ac:dyDescent="0.25">
      <c r="B335" s="14"/>
      <c r="C335" s="15"/>
      <c r="D335" s="15"/>
      <c r="E335" s="3"/>
    </row>
    <row r="336" spans="2:5" ht="12.75" customHeight="1" x14ac:dyDescent="0.25">
      <c r="B336" s="14"/>
      <c r="C336" s="15"/>
      <c r="D336" s="15"/>
      <c r="E336" s="3"/>
    </row>
    <row r="337" spans="2:5" ht="12.75" customHeight="1" x14ac:dyDescent="0.25">
      <c r="B337" s="14"/>
      <c r="C337" s="15"/>
      <c r="D337" s="15"/>
      <c r="E337" s="3"/>
    </row>
    <row r="338" spans="2:5" ht="12.75" customHeight="1" x14ac:dyDescent="0.25">
      <c r="B338" s="14"/>
      <c r="C338" s="15"/>
      <c r="D338" s="15"/>
      <c r="E338" s="3"/>
    </row>
    <row r="339" spans="2:5" ht="12.75" customHeight="1" x14ac:dyDescent="0.25">
      <c r="B339" s="14"/>
      <c r="C339" s="15"/>
      <c r="D339" s="15"/>
      <c r="E339" s="3"/>
    </row>
    <row r="340" spans="2:5" ht="12.75" customHeight="1" x14ac:dyDescent="0.25">
      <c r="B340" s="14"/>
      <c r="C340" s="15"/>
      <c r="D340" s="15"/>
      <c r="E340" s="3"/>
    </row>
    <row r="341" spans="2:5" ht="12.75" customHeight="1" x14ac:dyDescent="0.25">
      <c r="B341" s="14"/>
      <c r="C341" s="15"/>
      <c r="D341" s="15"/>
      <c r="E341" s="3"/>
    </row>
    <row r="342" spans="2:5" ht="12.75" customHeight="1" x14ac:dyDescent="0.25">
      <c r="B342" s="14"/>
      <c r="C342" s="15"/>
      <c r="D342" s="15"/>
      <c r="E342" s="3"/>
    </row>
    <row r="343" spans="2:5" ht="12.75" customHeight="1" x14ac:dyDescent="0.25">
      <c r="B343" s="14"/>
      <c r="C343" s="15"/>
      <c r="D343" s="15"/>
      <c r="E343" s="3"/>
    </row>
    <row r="344" spans="2:5" ht="12.75" customHeight="1" x14ac:dyDescent="0.25">
      <c r="B344" s="14"/>
      <c r="C344" s="15"/>
      <c r="D344" s="15"/>
      <c r="E344" s="3"/>
    </row>
    <row r="345" spans="2:5" ht="12.75" customHeight="1" x14ac:dyDescent="0.25">
      <c r="B345" s="14"/>
      <c r="C345" s="15"/>
      <c r="D345" s="15"/>
      <c r="E345" s="3"/>
    </row>
    <row r="346" spans="2:5" ht="12.75" customHeight="1" x14ac:dyDescent="0.25">
      <c r="B346" s="14"/>
      <c r="C346" s="15"/>
      <c r="D346" s="15"/>
      <c r="E346" s="3"/>
    </row>
    <row r="347" spans="2:5" ht="12.75" customHeight="1" x14ac:dyDescent="0.25">
      <c r="B347" s="14"/>
      <c r="C347" s="15"/>
      <c r="D347" s="15"/>
      <c r="E347" s="3"/>
    </row>
    <row r="348" spans="2:5" ht="12.75" customHeight="1" x14ac:dyDescent="0.25">
      <c r="B348" s="14"/>
      <c r="C348" s="15"/>
      <c r="D348" s="15"/>
      <c r="E348" s="3"/>
    </row>
    <row r="349" spans="2:5" ht="12.75" customHeight="1" x14ac:dyDescent="0.25">
      <c r="B349" s="14"/>
      <c r="C349" s="15"/>
      <c r="D349" s="15"/>
      <c r="E349" s="3"/>
    </row>
    <row r="350" spans="2:5" ht="12.75" customHeight="1" x14ac:dyDescent="0.25">
      <c r="B350" s="14"/>
      <c r="C350" s="15"/>
      <c r="D350" s="15"/>
      <c r="E350" s="3"/>
    </row>
    <row r="351" spans="2:5" ht="12.75" customHeight="1" x14ac:dyDescent="0.25">
      <c r="B351" s="14"/>
      <c r="C351" s="15"/>
      <c r="D351" s="15"/>
      <c r="E351" s="3"/>
    </row>
    <row r="352" spans="2:5" ht="12.75" customHeight="1" x14ac:dyDescent="0.25">
      <c r="B352" s="14"/>
      <c r="C352" s="15"/>
      <c r="D352" s="15"/>
      <c r="E352" s="3"/>
    </row>
    <row r="353" spans="2:5" ht="12.75" customHeight="1" x14ac:dyDescent="0.25">
      <c r="B353" s="14"/>
      <c r="C353" s="15"/>
      <c r="D353" s="15"/>
      <c r="E353" s="3"/>
    </row>
    <row r="354" spans="2:5" ht="12.75" customHeight="1" x14ac:dyDescent="0.25">
      <c r="B354" s="14"/>
      <c r="C354" s="15"/>
      <c r="D354" s="15"/>
      <c r="E354" s="3"/>
    </row>
    <row r="355" spans="2:5" ht="12.75" customHeight="1" x14ac:dyDescent="0.25">
      <c r="B355" s="14"/>
      <c r="C355" s="15"/>
      <c r="D355" s="15"/>
      <c r="E355" s="3"/>
    </row>
    <row r="356" spans="2:5" ht="12.75" customHeight="1" x14ac:dyDescent="0.25">
      <c r="B356" s="14"/>
      <c r="C356" s="15"/>
      <c r="D356" s="15"/>
      <c r="E356" s="3"/>
    </row>
    <row r="357" spans="2:5" ht="12.75" customHeight="1" x14ac:dyDescent="0.25">
      <c r="B357" s="14"/>
      <c r="C357" s="15"/>
      <c r="D357" s="15"/>
      <c r="E357" s="3"/>
    </row>
    <row r="358" spans="2:5" ht="12.75" customHeight="1" x14ac:dyDescent="0.25">
      <c r="B358" s="14"/>
      <c r="C358" s="15"/>
      <c r="D358" s="15"/>
      <c r="E358" s="3"/>
    </row>
    <row r="359" spans="2:5" ht="12.75" customHeight="1" x14ac:dyDescent="0.25">
      <c r="B359" s="14"/>
      <c r="C359" s="15"/>
      <c r="D359" s="15"/>
      <c r="E359" s="3"/>
    </row>
    <row r="360" spans="2:5" ht="12.75" customHeight="1" x14ac:dyDescent="0.25">
      <c r="B360" s="14"/>
      <c r="C360" s="15"/>
      <c r="D360" s="15"/>
      <c r="E360" s="3"/>
    </row>
    <row r="361" spans="2:5" ht="12.75" customHeight="1" x14ac:dyDescent="0.25">
      <c r="B361" s="14"/>
      <c r="C361" s="15"/>
      <c r="D361" s="15"/>
      <c r="E361" s="3"/>
    </row>
    <row r="362" spans="2:5" ht="12.75" customHeight="1" x14ac:dyDescent="0.25">
      <c r="B362" s="14"/>
      <c r="C362" s="15"/>
      <c r="D362" s="15"/>
      <c r="E362" s="3"/>
    </row>
    <row r="363" spans="2:5" ht="12.75" customHeight="1" x14ac:dyDescent="0.25">
      <c r="B363" s="14"/>
      <c r="C363" s="15"/>
      <c r="D363" s="15"/>
      <c r="E363" s="3"/>
    </row>
    <row r="364" spans="2:5" ht="12.75" customHeight="1" x14ac:dyDescent="0.25">
      <c r="B364" s="14"/>
      <c r="C364" s="15"/>
      <c r="D364" s="15"/>
      <c r="E364" s="3"/>
    </row>
    <row r="365" spans="2:5" ht="12.75" customHeight="1" x14ac:dyDescent="0.25">
      <c r="B365" s="14"/>
      <c r="C365" s="15"/>
      <c r="D365" s="15"/>
      <c r="E365" s="3"/>
    </row>
    <row r="366" spans="2:5" ht="12.75" customHeight="1" x14ac:dyDescent="0.25">
      <c r="B366" s="14"/>
      <c r="C366" s="15"/>
      <c r="D366" s="15"/>
      <c r="E366" s="3"/>
    </row>
    <row r="367" spans="2:5" ht="12.75" customHeight="1" x14ac:dyDescent="0.25">
      <c r="B367" s="14"/>
      <c r="C367" s="15"/>
      <c r="D367" s="15"/>
      <c r="E367" s="3"/>
    </row>
    <row r="368" spans="2:5" ht="12.75" customHeight="1" x14ac:dyDescent="0.25">
      <c r="B368" s="14"/>
      <c r="C368" s="15"/>
      <c r="D368" s="15"/>
      <c r="E368" s="3"/>
    </row>
    <row r="369" spans="2:5" ht="12.75" customHeight="1" x14ac:dyDescent="0.25">
      <c r="B369" s="14"/>
      <c r="C369" s="15"/>
      <c r="D369" s="15"/>
      <c r="E369" s="3"/>
    </row>
    <row r="370" spans="2:5" ht="12.75" customHeight="1" x14ac:dyDescent="0.25">
      <c r="B370" s="14"/>
      <c r="C370" s="15"/>
      <c r="D370" s="15"/>
      <c r="E370" s="3"/>
    </row>
    <row r="371" spans="2:5" ht="12.75" customHeight="1" x14ac:dyDescent="0.25">
      <c r="B371" s="14"/>
      <c r="C371" s="15"/>
      <c r="D371" s="15"/>
      <c r="E371" s="3"/>
    </row>
    <row r="372" spans="2:5" ht="12.75" customHeight="1" x14ac:dyDescent="0.25">
      <c r="B372" s="14"/>
      <c r="C372" s="15"/>
      <c r="D372" s="15"/>
      <c r="E372" s="3"/>
    </row>
    <row r="373" spans="2:5" ht="12.75" customHeight="1" x14ac:dyDescent="0.25">
      <c r="B373" s="14"/>
      <c r="C373" s="15"/>
      <c r="D373" s="15"/>
      <c r="E373" s="3"/>
    </row>
    <row r="374" spans="2:5" ht="12.75" customHeight="1" x14ac:dyDescent="0.25">
      <c r="B374" s="14"/>
      <c r="C374" s="15"/>
      <c r="D374" s="15"/>
      <c r="E374" s="3"/>
    </row>
    <row r="375" spans="2:5" ht="12.75" customHeight="1" x14ac:dyDescent="0.25">
      <c r="B375" s="14"/>
      <c r="C375" s="15"/>
      <c r="D375" s="15"/>
      <c r="E375" s="3"/>
    </row>
    <row r="376" spans="2:5" ht="12.75" customHeight="1" x14ac:dyDescent="0.25">
      <c r="B376" s="14"/>
      <c r="C376" s="15"/>
      <c r="D376" s="15"/>
      <c r="E376" s="3"/>
    </row>
    <row r="377" spans="2:5" ht="12.75" customHeight="1" x14ac:dyDescent="0.25">
      <c r="B377" s="14"/>
      <c r="C377" s="15"/>
      <c r="D377" s="15"/>
      <c r="E377" s="3"/>
    </row>
    <row r="378" spans="2:5" ht="12.75" customHeight="1" x14ac:dyDescent="0.25">
      <c r="B378" s="14"/>
      <c r="C378" s="15"/>
      <c r="D378" s="15"/>
      <c r="E378" s="3"/>
    </row>
    <row r="379" spans="2:5" ht="12.75" customHeight="1" x14ac:dyDescent="0.25">
      <c r="B379" s="14"/>
      <c r="C379" s="15"/>
      <c r="D379" s="15"/>
      <c r="E379" s="3"/>
    </row>
    <row r="380" spans="2:5" ht="12.75" customHeight="1" x14ac:dyDescent="0.25">
      <c r="B380" s="14"/>
      <c r="C380" s="15"/>
      <c r="D380" s="15"/>
      <c r="E380" s="3"/>
    </row>
    <row r="381" spans="2:5" ht="12.75" customHeight="1" x14ac:dyDescent="0.25">
      <c r="B381" s="14"/>
      <c r="C381" s="15"/>
      <c r="D381" s="15"/>
      <c r="E381" s="3"/>
    </row>
    <row r="382" spans="2:5" ht="12.75" customHeight="1" x14ac:dyDescent="0.25">
      <c r="B382" s="14"/>
      <c r="C382" s="15"/>
      <c r="D382" s="15"/>
      <c r="E382" s="3"/>
    </row>
    <row r="383" spans="2:5" ht="12.75" customHeight="1" x14ac:dyDescent="0.25">
      <c r="B383" s="14"/>
      <c r="C383" s="15"/>
      <c r="D383" s="15"/>
      <c r="E383" s="3"/>
    </row>
    <row r="384" spans="2:5" ht="12.75" customHeight="1" x14ac:dyDescent="0.25">
      <c r="B384" s="14"/>
      <c r="C384" s="15"/>
      <c r="D384" s="15"/>
      <c r="E384" s="3"/>
    </row>
    <row r="385" spans="2:5" ht="12.75" customHeight="1" x14ac:dyDescent="0.25">
      <c r="B385" s="14"/>
      <c r="C385" s="15"/>
      <c r="D385" s="15"/>
      <c r="E385" s="3"/>
    </row>
    <row r="386" spans="2:5" ht="12.75" customHeight="1" x14ac:dyDescent="0.25">
      <c r="B386" s="14"/>
      <c r="C386" s="15"/>
      <c r="D386" s="15"/>
      <c r="E386" s="3"/>
    </row>
    <row r="387" spans="2:5" ht="12.75" customHeight="1" x14ac:dyDescent="0.25">
      <c r="B387" s="14"/>
      <c r="C387" s="15"/>
      <c r="D387" s="15"/>
      <c r="E387" s="3"/>
    </row>
    <row r="388" spans="2:5" ht="12.75" customHeight="1" x14ac:dyDescent="0.25">
      <c r="B388" s="14"/>
      <c r="C388" s="15"/>
      <c r="D388" s="15"/>
      <c r="E388" s="3"/>
    </row>
    <row r="389" spans="2:5" ht="12.75" customHeight="1" x14ac:dyDescent="0.25">
      <c r="B389" s="14"/>
      <c r="C389" s="15"/>
      <c r="D389" s="15"/>
      <c r="E389" s="3"/>
    </row>
    <row r="390" spans="2:5" ht="12.75" customHeight="1" x14ac:dyDescent="0.25">
      <c r="B390" s="14"/>
      <c r="C390" s="15"/>
      <c r="D390" s="15"/>
      <c r="E390" s="3"/>
    </row>
    <row r="391" spans="2:5" ht="12.75" customHeight="1" x14ac:dyDescent="0.25">
      <c r="B391" s="14"/>
      <c r="C391" s="15"/>
      <c r="D391" s="15"/>
      <c r="E391" s="3"/>
    </row>
    <row r="392" spans="2:5" ht="12.75" customHeight="1" x14ac:dyDescent="0.25">
      <c r="B392" s="14"/>
      <c r="C392" s="15"/>
      <c r="D392" s="15"/>
      <c r="E392" s="3"/>
    </row>
    <row r="393" spans="2:5" ht="12.75" customHeight="1" x14ac:dyDescent="0.25">
      <c r="B393" s="14"/>
      <c r="C393" s="15"/>
      <c r="D393" s="15"/>
      <c r="E393" s="3"/>
    </row>
    <row r="394" spans="2:5" ht="12.75" customHeight="1" x14ac:dyDescent="0.25">
      <c r="B394" s="14"/>
      <c r="C394" s="15"/>
      <c r="D394" s="15"/>
      <c r="E394" s="3"/>
    </row>
    <row r="395" spans="2:5" ht="12.75" customHeight="1" x14ac:dyDescent="0.25">
      <c r="B395" s="14"/>
      <c r="C395" s="15"/>
      <c r="D395" s="15"/>
      <c r="E395" s="3"/>
    </row>
    <row r="396" spans="2:5" ht="12.75" customHeight="1" x14ac:dyDescent="0.25">
      <c r="B396" s="14"/>
      <c r="C396" s="15"/>
      <c r="D396" s="15"/>
      <c r="E396" s="3"/>
    </row>
    <row r="397" spans="2:5" ht="12.75" customHeight="1" x14ac:dyDescent="0.25">
      <c r="B397" s="14"/>
      <c r="C397" s="15"/>
      <c r="D397" s="15"/>
      <c r="E397" s="3"/>
    </row>
    <row r="398" spans="2:5" ht="12.75" customHeight="1" x14ac:dyDescent="0.25">
      <c r="B398" s="14"/>
      <c r="C398" s="15"/>
      <c r="D398" s="15"/>
      <c r="E398" s="3"/>
    </row>
    <row r="399" spans="2:5" ht="12.75" customHeight="1" x14ac:dyDescent="0.25">
      <c r="B399" s="14"/>
      <c r="C399" s="15"/>
      <c r="D399" s="15"/>
      <c r="E399" s="3"/>
    </row>
    <row r="400" spans="2:5" ht="12.75" customHeight="1" x14ac:dyDescent="0.25">
      <c r="B400" s="14"/>
      <c r="C400" s="15"/>
      <c r="D400" s="15"/>
      <c r="E400" s="3"/>
    </row>
    <row r="401" spans="2:5" ht="12.75" customHeight="1" x14ac:dyDescent="0.25">
      <c r="B401" s="14"/>
      <c r="C401" s="15"/>
      <c r="D401" s="15"/>
      <c r="E401" s="3"/>
    </row>
    <row r="402" spans="2:5" ht="12.75" customHeight="1" x14ac:dyDescent="0.25">
      <c r="B402" s="14"/>
      <c r="C402" s="15"/>
      <c r="D402" s="15"/>
      <c r="E402" s="3"/>
    </row>
    <row r="403" spans="2:5" ht="12.75" customHeight="1" x14ac:dyDescent="0.25">
      <c r="B403" s="14"/>
      <c r="C403" s="15"/>
      <c r="D403" s="15"/>
      <c r="E403" s="3"/>
    </row>
    <row r="404" spans="2:5" ht="12.75" customHeight="1" x14ac:dyDescent="0.25">
      <c r="B404" s="14"/>
      <c r="C404" s="15"/>
      <c r="D404" s="15"/>
      <c r="E404" s="3"/>
    </row>
    <row r="405" spans="2:5" ht="12.75" customHeight="1" x14ac:dyDescent="0.25">
      <c r="B405" s="14"/>
      <c r="C405" s="15"/>
      <c r="D405" s="15"/>
      <c r="E405" s="3"/>
    </row>
    <row r="406" spans="2:5" ht="12.75" customHeight="1" x14ac:dyDescent="0.25">
      <c r="B406" s="14"/>
      <c r="C406" s="15"/>
      <c r="D406" s="15"/>
      <c r="E406" s="3"/>
    </row>
    <row r="407" spans="2:5" ht="12.75" customHeight="1" x14ac:dyDescent="0.25">
      <c r="B407" s="14"/>
      <c r="C407" s="15"/>
      <c r="D407" s="15"/>
      <c r="E407" s="3"/>
    </row>
    <row r="408" spans="2:5" ht="12.75" customHeight="1" x14ac:dyDescent="0.25">
      <c r="B408" s="14"/>
      <c r="C408" s="15"/>
      <c r="D408" s="15"/>
      <c r="E408" s="3"/>
    </row>
    <row r="409" spans="2:5" ht="12.75" customHeight="1" x14ac:dyDescent="0.25">
      <c r="B409" s="14"/>
      <c r="C409" s="15"/>
      <c r="D409" s="15"/>
      <c r="E409" s="3"/>
    </row>
    <row r="410" spans="2:5" ht="12.75" customHeight="1" x14ac:dyDescent="0.25">
      <c r="B410" s="14"/>
      <c r="C410" s="15"/>
      <c r="D410" s="15"/>
      <c r="E410" s="3"/>
    </row>
    <row r="411" spans="2:5" ht="12.75" customHeight="1" x14ac:dyDescent="0.25">
      <c r="B411" s="14"/>
      <c r="C411" s="15"/>
      <c r="D411" s="15"/>
      <c r="E411" s="3"/>
    </row>
    <row r="412" spans="2:5" ht="12.75" customHeight="1" x14ac:dyDescent="0.25">
      <c r="B412" s="14"/>
      <c r="C412" s="15"/>
      <c r="D412" s="15"/>
      <c r="E412" s="3"/>
    </row>
    <row r="413" spans="2:5" ht="12.75" customHeight="1" x14ac:dyDescent="0.25">
      <c r="B413" s="14"/>
      <c r="C413" s="15"/>
      <c r="D413" s="15"/>
      <c r="E413" s="3"/>
    </row>
    <row r="414" spans="2:5" ht="12.75" customHeight="1" x14ac:dyDescent="0.25">
      <c r="B414" s="14"/>
      <c r="C414" s="15"/>
      <c r="D414" s="15"/>
      <c r="E414" s="3"/>
    </row>
    <row r="415" spans="2:5" ht="12.75" customHeight="1" x14ac:dyDescent="0.25">
      <c r="B415" s="14"/>
      <c r="C415" s="15"/>
      <c r="D415" s="15"/>
      <c r="E415" s="3"/>
    </row>
    <row r="416" spans="2:5" ht="12.75" customHeight="1" x14ac:dyDescent="0.25">
      <c r="B416" s="14"/>
      <c r="C416" s="15"/>
      <c r="D416" s="15"/>
      <c r="E416" s="3"/>
    </row>
    <row r="417" spans="2:5" ht="12.75" customHeight="1" x14ac:dyDescent="0.25">
      <c r="B417" s="14"/>
      <c r="C417" s="15"/>
      <c r="D417" s="15"/>
      <c r="E417" s="3"/>
    </row>
    <row r="418" spans="2:5" ht="12.75" customHeight="1" x14ac:dyDescent="0.25">
      <c r="B418" s="14"/>
      <c r="C418" s="15"/>
      <c r="D418" s="15"/>
      <c r="E418" s="3"/>
    </row>
    <row r="419" spans="2:5" ht="12.75" customHeight="1" x14ac:dyDescent="0.25">
      <c r="B419" s="14"/>
      <c r="C419" s="15"/>
      <c r="D419" s="15"/>
      <c r="E419" s="3"/>
    </row>
    <row r="420" spans="2:5" ht="12.75" customHeight="1" x14ac:dyDescent="0.25">
      <c r="B420" s="14"/>
      <c r="C420" s="15"/>
      <c r="D420" s="15"/>
      <c r="E420" s="3"/>
    </row>
    <row r="421" spans="2:5" ht="12.75" customHeight="1" x14ac:dyDescent="0.25">
      <c r="B421" s="14"/>
      <c r="C421" s="15"/>
      <c r="D421" s="15"/>
      <c r="E421" s="3"/>
    </row>
    <row r="422" spans="2:5" ht="12.75" customHeight="1" x14ac:dyDescent="0.25">
      <c r="B422" s="14"/>
      <c r="C422" s="15"/>
      <c r="D422" s="15"/>
      <c r="E422" s="3"/>
    </row>
    <row r="423" spans="2:5" ht="12.75" customHeight="1" x14ac:dyDescent="0.25">
      <c r="B423" s="14"/>
      <c r="C423" s="15"/>
      <c r="D423" s="15"/>
      <c r="E423" s="3"/>
    </row>
    <row r="424" spans="2:5" ht="12.75" customHeight="1" x14ac:dyDescent="0.25">
      <c r="B424" s="14"/>
      <c r="C424" s="15"/>
      <c r="D424" s="15"/>
      <c r="E424" s="3"/>
    </row>
    <row r="425" spans="2:5" ht="12.75" customHeight="1" x14ac:dyDescent="0.25">
      <c r="B425" s="14"/>
      <c r="C425" s="15"/>
      <c r="D425" s="15"/>
      <c r="E425" s="3"/>
    </row>
    <row r="426" spans="2:5" ht="12.75" customHeight="1" x14ac:dyDescent="0.25">
      <c r="B426" s="14"/>
      <c r="C426" s="15"/>
      <c r="D426" s="15"/>
      <c r="E426" s="3"/>
    </row>
    <row r="427" spans="2:5" ht="12.75" customHeight="1" x14ac:dyDescent="0.25">
      <c r="B427" s="14"/>
      <c r="C427" s="15"/>
      <c r="D427" s="15"/>
      <c r="E427" s="3"/>
    </row>
    <row r="428" spans="2:5" ht="12.75" customHeight="1" x14ac:dyDescent="0.25">
      <c r="B428" s="14"/>
      <c r="C428" s="15"/>
      <c r="D428" s="15"/>
      <c r="E428" s="3"/>
    </row>
    <row r="429" spans="2:5" ht="12.75" customHeight="1" x14ac:dyDescent="0.25">
      <c r="B429" s="14"/>
      <c r="C429" s="15"/>
      <c r="D429" s="15"/>
      <c r="E429" s="3"/>
    </row>
    <row r="430" spans="2:5" ht="12.75" customHeight="1" x14ac:dyDescent="0.25">
      <c r="B430" s="14"/>
      <c r="C430" s="15"/>
      <c r="D430" s="15"/>
      <c r="E430" s="3"/>
    </row>
    <row r="431" spans="2:5" ht="12.75" customHeight="1" x14ac:dyDescent="0.25">
      <c r="B431" s="14"/>
      <c r="C431" s="15"/>
      <c r="D431" s="15"/>
      <c r="E431" s="3"/>
    </row>
    <row r="432" spans="2:5" ht="12.75" customHeight="1" x14ac:dyDescent="0.25">
      <c r="B432" s="14"/>
      <c r="C432" s="15"/>
      <c r="D432" s="15"/>
      <c r="E432" s="3"/>
    </row>
    <row r="433" spans="2:5" ht="12.75" customHeight="1" x14ac:dyDescent="0.25">
      <c r="B433" s="14"/>
      <c r="C433" s="15"/>
      <c r="D433" s="15"/>
      <c r="E433" s="3"/>
    </row>
    <row r="434" spans="2:5" ht="12.75" customHeight="1" x14ac:dyDescent="0.25">
      <c r="B434" s="14"/>
      <c r="C434" s="15"/>
      <c r="D434" s="15"/>
      <c r="E434" s="3"/>
    </row>
    <row r="435" spans="2:5" ht="12.75" customHeight="1" x14ac:dyDescent="0.25">
      <c r="B435" s="14"/>
      <c r="C435" s="15"/>
      <c r="D435" s="15"/>
      <c r="E435" s="3"/>
    </row>
    <row r="436" spans="2:5" ht="12.75" customHeight="1" x14ac:dyDescent="0.25">
      <c r="B436" s="14"/>
      <c r="C436" s="15"/>
      <c r="D436" s="15"/>
      <c r="E436" s="3"/>
    </row>
    <row r="437" spans="2:5" ht="12.75" customHeight="1" x14ac:dyDescent="0.25">
      <c r="B437" s="14"/>
      <c r="C437" s="15"/>
      <c r="D437" s="15"/>
      <c r="E437" s="3"/>
    </row>
    <row r="438" spans="2:5" ht="12.75" customHeight="1" x14ac:dyDescent="0.25">
      <c r="B438" s="14"/>
      <c r="C438" s="15"/>
      <c r="D438" s="15"/>
      <c r="E438" s="3"/>
    </row>
    <row r="439" spans="2:5" ht="12.75" customHeight="1" x14ac:dyDescent="0.25">
      <c r="B439" s="14"/>
      <c r="C439" s="15"/>
      <c r="D439" s="15"/>
      <c r="E439" s="3"/>
    </row>
    <row r="440" spans="2:5" ht="12.75" customHeight="1" x14ac:dyDescent="0.25">
      <c r="B440" s="14"/>
      <c r="C440" s="15"/>
      <c r="D440" s="15"/>
      <c r="E440" s="3"/>
    </row>
    <row r="441" spans="2:5" ht="12.75" customHeight="1" x14ac:dyDescent="0.25">
      <c r="B441" s="14"/>
      <c r="C441" s="15"/>
      <c r="D441" s="15"/>
      <c r="E441" s="3"/>
    </row>
    <row r="442" spans="2:5" ht="12.75" customHeight="1" x14ac:dyDescent="0.25">
      <c r="B442" s="14"/>
      <c r="C442" s="15"/>
      <c r="D442" s="15"/>
      <c r="E442" s="3"/>
    </row>
    <row r="443" spans="2:5" ht="12.75" customHeight="1" x14ac:dyDescent="0.25">
      <c r="B443" s="14"/>
      <c r="C443" s="15"/>
      <c r="D443" s="15"/>
      <c r="E443" s="3"/>
    </row>
    <row r="444" spans="2:5" ht="12.75" customHeight="1" x14ac:dyDescent="0.25">
      <c r="B444" s="14"/>
      <c r="C444" s="15"/>
      <c r="D444" s="15"/>
      <c r="E444" s="3"/>
    </row>
    <row r="445" spans="2:5" ht="12.75" customHeight="1" x14ac:dyDescent="0.25">
      <c r="B445" s="14"/>
      <c r="C445" s="15"/>
      <c r="D445" s="15"/>
      <c r="E445" s="3"/>
    </row>
    <row r="446" spans="2:5" ht="12.75" customHeight="1" x14ac:dyDescent="0.25">
      <c r="B446" s="14"/>
      <c r="C446" s="15"/>
      <c r="D446" s="15"/>
      <c r="E446" s="3"/>
    </row>
    <row r="447" spans="2:5" ht="12.75" customHeight="1" x14ac:dyDescent="0.25">
      <c r="B447" s="14"/>
      <c r="C447" s="15"/>
      <c r="D447" s="15"/>
      <c r="E447" s="3"/>
    </row>
    <row r="448" spans="2:5" ht="12.75" customHeight="1" x14ac:dyDescent="0.25">
      <c r="B448" s="14"/>
      <c r="C448" s="15"/>
      <c r="D448" s="15"/>
      <c r="E448" s="3"/>
    </row>
    <row r="449" spans="2:5" ht="12.75" customHeight="1" x14ac:dyDescent="0.25">
      <c r="B449" s="14"/>
      <c r="C449" s="15"/>
      <c r="D449" s="15"/>
      <c r="E449" s="3"/>
    </row>
    <row r="450" spans="2:5" ht="12.75" customHeight="1" x14ac:dyDescent="0.25">
      <c r="B450" s="14"/>
      <c r="C450" s="15"/>
      <c r="D450" s="15"/>
      <c r="E450" s="3"/>
    </row>
    <row r="451" spans="2:5" ht="12.75" customHeight="1" x14ac:dyDescent="0.25">
      <c r="B451" s="14"/>
      <c r="C451" s="15"/>
      <c r="D451" s="15"/>
      <c r="E451" s="3"/>
    </row>
    <row r="452" spans="2:5" ht="12.75" customHeight="1" x14ac:dyDescent="0.25">
      <c r="B452" s="14"/>
      <c r="C452" s="15"/>
      <c r="D452" s="15"/>
      <c r="E452" s="3"/>
    </row>
    <row r="453" spans="2:5" ht="12.75" customHeight="1" x14ac:dyDescent="0.25">
      <c r="B453" s="14"/>
      <c r="C453" s="15"/>
      <c r="D453" s="15"/>
      <c r="E453" s="3"/>
    </row>
    <row r="454" spans="2:5" ht="12.75" customHeight="1" x14ac:dyDescent="0.25">
      <c r="B454" s="14"/>
      <c r="C454" s="15"/>
      <c r="D454" s="15"/>
      <c r="E454" s="3"/>
    </row>
    <row r="455" spans="2:5" ht="12.75" customHeight="1" x14ac:dyDescent="0.25">
      <c r="B455" s="14"/>
      <c r="C455" s="15"/>
      <c r="D455" s="15"/>
      <c r="E455" s="3"/>
    </row>
    <row r="456" spans="2:5" ht="12.75" customHeight="1" x14ac:dyDescent="0.25">
      <c r="B456" s="14"/>
      <c r="C456" s="15"/>
      <c r="D456" s="15"/>
      <c r="E456" s="3"/>
    </row>
    <row r="457" spans="2:5" ht="12.75" customHeight="1" x14ac:dyDescent="0.25">
      <c r="B457" s="14"/>
      <c r="C457" s="15"/>
      <c r="D457" s="15"/>
      <c r="E457" s="3"/>
    </row>
    <row r="458" spans="2:5" ht="12.75" customHeight="1" x14ac:dyDescent="0.25">
      <c r="B458" s="14"/>
      <c r="C458" s="15"/>
      <c r="D458" s="15"/>
      <c r="E458" s="3"/>
    </row>
    <row r="459" spans="2:5" ht="12.75" customHeight="1" x14ac:dyDescent="0.25">
      <c r="B459" s="14"/>
      <c r="C459" s="15"/>
      <c r="D459" s="15"/>
      <c r="E459" s="3"/>
    </row>
    <row r="460" spans="2:5" ht="12.75" customHeight="1" x14ac:dyDescent="0.25">
      <c r="B460" s="14"/>
      <c r="C460" s="15"/>
      <c r="D460" s="15"/>
      <c r="E460" s="3"/>
    </row>
    <row r="461" spans="2:5" ht="12.75" customHeight="1" x14ac:dyDescent="0.25">
      <c r="B461" s="14"/>
      <c r="C461" s="15"/>
      <c r="D461" s="15"/>
      <c r="E461" s="3"/>
    </row>
    <row r="462" spans="2:5" ht="12.75" customHeight="1" x14ac:dyDescent="0.25">
      <c r="B462" s="14"/>
      <c r="C462" s="15"/>
      <c r="D462" s="15"/>
      <c r="E462" s="3"/>
    </row>
    <row r="463" spans="2:5" ht="12.75" customHeight="1" x14ac:dyDescent="0.25">
      <c r="B463" s="14"/>
      <c r="C463" s="15"/>
      <c r="D463" s="15"/>
      <c r="E463" s="3"/>
    </row>
    <row r="464" spans="2:5" ht="12.75" customHeight="1" x14ac:dyDescent="0.25">
      <c r="B464" s="14"/>
      <c r="C464" s="15"/>
      <c r="D464" s="15"/>
      <c r="E464" s="3"/>
    </row>
    <row r="465" spans="2:5" ht="12.75" customHeight="1" x14ac:dyDescent="0.25">
      <c r="B465" s="14"/>
      <c r="C465" s="15"/>
      <c r="D465" s="15"/>
      <c r="E465" s="3"/>
    </row>
    <row r="466" spans="2:5" ht="12.75" customHeight="1" x14ac:dyDescent="0.25">
      <c r="B466" s="14"/>
      <c r="C466" s="15"/>
      <c r="D466" s="15"/>
      <c r="E466" s="3"/>
    </row>
    <row r="467" spans="2:5" ht="12.75" customHeight="1" x14ac:dyDescent="0.25">
      <c r="B467" s="14"/>
      <c r="C467" s="15"/>
      <c r="D467" s="15"/>
      <c r="E467" s="3"/>
    </row>
    <row r="468" spans="2:5" ht="12.75" customHeight="1" x14ac:dyDescent="0.25">
      <c r="B468" s="14"/>
      <c r="C468" s="15"/>
      <c r="D468" s="15"/>
      <c r="E468" s="3"/>
    </row>
    <row r="469" spans="2:5" ht="12.75" customHeight="1" x14ac:dyDescent="0.25">
      <c r="B469" s="14"/>
      <c r="C469" s="15"/>
      <c r="D469" s="15"/>
      <c r="E469" s="3"/>
    </row>
    <row r="470" spans="2:5" ht="12.75" customHeight="1" x14ac:dyDescent="0.25">
      <c r="B470" s="14"/>
      <c r="C470" s="15"/>
      <c r="D470" s="15"/>
      <c r="E470" s="3"/>
    </row>
    <row r="471" spans="2:5" ht="12.75" customHeight="1" x14ac:dyDescent="0.25">
      <c r="B471" s="14"/>
      <c r="C471" s="15"/>
      <c r="D471" s="15"/>
      <c r="E471" s="3"/>
    </row>
    <row r="472" spans="2:5" ht="12.75" customHeight="1" x14ac:dyDescent="0.25">
      <c r="B472" s="14"/>
      <c r="C472" s="15"/>
      <c r="D472" s="15"/>
      <c r="E472" s="3"/>
    </row>
    <row r="473" spans="2:5" ht="12.75" customHeight="1" x14ac:dyDescent="0.25">
      <c r="B473" s="14"/>
      <c r="C473" s="15"/>
      <c r="D473" s="15"/>
      <c r="E473" s="3"/>
    </row>
    <row r="474" spans="2:5" ht="12.75" customHeight="1" x14ac:dyDescent="0.25">
      <c r="B474" s="14"/>
      <c r="C474" s="15"/>
      <c r="D474" s="15"/>
      <c r="E474" s="3"/>
    </row>
    <row r="475" spans="2:5" ht="12.75" customHeight="1" x14ac:dyDescent="0.25">
      <c r="B475" s="14"/>
      <c r="C475" s="15"/>
      <c r="D475" s="15"/>
      <c r="E475" s="3"/>
    </row>
    <row r="476" spans="2:5" ht="12.75" customHeight="1" x14ac:dyDescent="0.25">
      <c r="B476" s="14"/>
      <c r="C476" s="15"/>
      <c r="D476" s="15"/>
      <c r="E476" s="3"/>
    </row>
    <row r="477" spans="2:5" ht="12.75" customHeight="1" x14ac:dyDescent="0.25">
      <c r="B477" s="14"/>
      <c r="C477" s="15"/>
      <c r="D477" s="15"/>
      <c r="E477" s="3"/>
    </row>
    <row r="478" spans="2:5" ht="12.75" customHeight="1" x14ac:dyDescent="0.25">
      <c r="B478" s="14"/>
      <c r="C478" s="15"/>
      <c r="D478" s="15"/>
      <c r="E478" s="3"/>
    </row>
    <row r="479" spans="2:5" ht="12.75" customHeight="1" x14ac:dyDescent="0.25">
      <c r="B479" s="14"/>
      <c r="C479" s="15"/>
      <c r="D479" s="15"/>
      <c r="E479" s="3"/>
    </row>
    <row r="480" spans="2:5" ht="12.75" customHeight="1" x14ac:dyDescent="0.25">
      <c r="B480" s="14"/>
      <c r="C480" s="15"/>
      <c r="D480" s="15"/>
      <c r="E480" s="3"/>
    </row>
    <row r="481" spans="2:5" ht="12.75" customHeight="1" x14ac:dyDescent="0.25">
      <c r="B481" s="14"/>
      <c r="C481" s="15"/>
      <c r="D481" s="15"/>
      <c r="E481" s="3"/>
    </row>
    <row r="482" spans="2:5" ht="12.75" customHeight="1" x14ac:dyDescent="0.25">
      <c r="B482" s="14"/>
      <c r="C482" s="15"/>
      <c r="D482" s="15"/>
      <c r="E482" s="3"/>
    </row>
    <row r="483" spans="2:5" ht="12.75" customHeight="1" x14ac:dyDescent="0.25">
      <c r="B483" s="14"/>
      <c r="C483" s="15"/>
      <c r="D483" s="15"/>
      <c r="E483" s="3"/>
    </row>
    <row r="484" spans="2:5" ht="12.75" customHeight="1" x14ac:dyDescent="0.25">
      <c r="B484" s="14"/>
      <c r="C484" s="15"/>
      <c r="D484" s="15"/>
      <c r="E484" s="3"/>
    </row>
    <row r="485" spans="2:5" ht="12.75" customHeight="1" x14ac:dyDescent="0.25">
      <c r="B485" s="14"/>
      <c r="C485" s="15"/>
      <c r="D485" s="15"/>
      <c r="E485" s="3"/>
    </row>
    <row r="486" spans="2:5" ht="12.75" customHeight="1" x14ac:dyDescent="0.25">
      <c r="B486" s="14"/>
      <c r="C486" s="15"/>
      <c r="D486" s="15"/>
      <c r="E486" s="3"/>
    </row>
    <row r="487" spans="2:5" ht="12.75" customHeight="1" x14ac:dyDescent="0.25">
      <c r="B487" s="14"/>
      <c r="C487" s="15"/>
      <c r="D487" s="15"/>
      <c r="E487" s="3"/>
    </row>
    <row r="488" spans="2:5" ht="12.75" customHeight="1" x14ac:dyDescent="0.25">
      <c r="B488" s="14"/>
      <c r="C488" s="15"/>
      <c r="D488" s="15"/>
      <c r="E488" s="3"/>
    </row>
    <row r="489" spans="2:5" ht="12.75" customHeight="1" x14ac:dyDescent="0.25">
      <c r="B489" s="14"/>
      <c r="C489" s="15"/>
      <c r="D489" s="15"/>
      <c r="E489" s="3"/>
    </row>
    <row r="490" spans="2:5" ht="12.75" customHeight="1" x14ac:dyDescent="0.25">
      <c r="B490" s="14"/>
      <c r="C490" s="15"/>
      <c r="D490" s="15"/>
      <c r="E490" s="3"/>
    </row>
    <row r="491" spans="2:5" ht="12.75" customHeight="1" x14ac:dyDescent="0.25">
      <c r="B491" s="14"/>
      <c r="C491" s="15"/>
      <c r="D491" s="15"/>
      <c r="E491" s="3"/>
    </row>
    <row r="492" spans="2:5" ht="12.75" customHeight="1" x14ac:dyDescent="0.25">
      <c r="B492" s="14"/>
      <c r="C492" s="15"/>
      <c r="D492" s="15"/>
      <c r="E492" s="3"/>
    </row>
    <row r="493" spans="2:5" ht="12.75" customHeight="1" x14ac:dyDescent="0.25">
      <c r="B493" s="14"/>
      <c r="C493" s="15"/>
      <c r="D493" s="15"/>
      <c r="E493" s="3"/>
    </row>
    <row r="494" spans="2:5" ht="12.75" customHeight="1" x14ac:dyDescent="0.25">
      <c r="B494" s="14"/>
      <c r="C494" s="15"/>
      <c r="D494" s="15"/>
      <c r="E494" s="3"/>
    </row>
    <row r="495" spans="2:5" ht="12.75" customHeight="1" x14ac:dyDescent="0.25">
      <c r="B495" s="14"/>
      <c r="C495" s="15"/>
      <c r="D495" s="15"/>
      <c r="E495" s="3"/>
    </row>
    <row r="496" spans="2:5" ht="12.75" customHeight="1" x14ac:dyDescent="0.25">
      <c r="B496" s="14"/>
      <c r="C496" s="15"/>
      <c r="D496" s="15"/>
      <c r="E496" s="3"/>
    </row>
    <row r="497" spans="2:5" ht="12.75" customHeight="1" x14ac:dyDescent="0.25">
      <c r="B497" s="14"/>
      <c r="C497" s="15"/>
      <c r="D497" s="15"/>
      <c r="E497" s="3"/>
    </row>
    <row r="498" spans="2:5" ht="12.75" customHeight="1" x14ac:dyDescent="0.25">
      <c r="B498" s="14"/>
      <c r="C498" s="15"/>
      <c r="D498" s="15"/>
      <c r="E498" s="3"/>
    </row>
    <row r="499" spans="2:5" ht="12.75" customHeight="1" x14ac:dyDescent="0.25">
      <c r="B499" s="14"/>
      <c r="C499" s="15"/>
      <c r="D499" s="15"/>
      <c r="E499" s="3"/>
    </row>
    <row r="500" spans="2:5" ht="12.75" customHeight="1" x14ac:dyDescent="0.25">
      <c r="B500" s="14"/>
      <c r="C500" s="15"/>
      <c r="D500" s="15"/>
      <c r="E500" s="3"/>
    </row>
    <row r="501" spans="2:5" ht="12.75" customHeight="1" x14ac:dyDescent="0.25">
      <c r="B501" s="14"/>
      <c r="C501" s="15"/>
      <c r="D501" s="15"/>
      <c r="E501" s="3"/>
    </row>
    <row r="502" spans="2:5" ht="12.75" customHeight="1" x14ac:dyDescent="0.25">
      <c r="B502" s="14"/>
      <c r="C502" s="15"/>
      <c r="D502" s="15"/>
      <c r="E502" s="3"/>
    </row>
    <row r="503" spans="2:5" ht="12.75" customHeight="1" x14ac:dyDescent="0.25">
      <c r="B503" s="14"/>
      <c r="C503" s="15"/>
      <c r="D503" s="15"/>
      <c r="E503" s="3"/>
    </row>
    <row r="504" spans="2:5" ht="12.75" customHeight="1" x14ac:dyDescent="0.25">
      <c r="B504" s="14"/>
      <c r="C504" s="15"/>
      <c r="D504" s="15"/>
      <c r="E504" s="3"/>
    </row>
    <row r="505" spans="2:5" ht="12.75" customHeight="1" x14ac:dyDescent="0.25">
      <c r="B505" s="14"/>
      <c r="C505" s="15"/>
      <c r="D505" s="15"/>
      <c r="E505" s="3"/>
    </row>
    <row r="506" spans="2:5" ht="12.75" customHeight="1" x14ac:dyDescent="0.25">
      <c r="B506" s="14"/>
      <c r="C506" s="15"/>
      <c r="D506" s="15"/>
      <c r="E506" s="3"/>
    </row>
    <row r="507" spans="2:5" ht="12.75" customHeight="1" x14ac:dyDescent="0.25">
      <c r="B507" s="14"/>
      <c r="C507" s="15"/>
      <c r="D507" s="15"/>
      <c r="E507" s="3"/>
    </row>
    <row r="508" spans="2:5" ht="12.75" customHeight="1" x14ac:dyDescent="0.25">
      <c r="B508" s="14"/>
      <c r="C508" s="15"/>
      <c r="D508" s="15"/>
      <c r="E508" s="3"/>
    </row>
    <row r="509" spans="2:5" ht="12.75" customHeight="1" x14ac:dyDescent="0.25">
      <c r="B509" s="14"/>
      <c r="C509" s="15"/>
      <c r="D509" s="15"/>
      <c r="E509" s="3"/>
    </row>
    <row r="510" spans="2:5" ht="12.75" customHeight="1" x14ac:dyDescent="0.25">
      <c r="B510" s="14"/>
      <c r="C510" s="15"/>
      <c r="D510" s="15"/>
      <c r="E510" s="3"/>
    </row>
    <row r="511" spans="2:5" ht="12.75" customHeight="1" x14ac:dyDescent="0.25">
      <c r="B511" s="14"/>
      <c r="C511" s="15"/>
      <c r="D511" s="15"/>
      <c r="E511" s="3"/>
    </row>
    <row r="512" spans="2:5" ht="12.75" customHeight="1" x14ac:dyDescent="0.25">
      <c r="B512" s="14"/>
      <c r="C512" s="15"/>
      <c r="D512" s="15"/>
      <c r="E512" s="3"/>
    </row>
    <row r="513" spans="2:5" ht="12.75" customHeight="1" x14ac:dyDescent="0.25">
      <c r="B513" s="14"/>
      <c r="C513" s="15"/>
      <c r="D513" s="15"/>
      <c r="E513" s="3"/>
    </row>
    <row r="514" spans="2:5" ht="12.75" customHeight="1" x14ac:dyDescent="0.25">
      <c r="B514" s="14"/>
      <c r="C514" s="15"/>
      <c r="D514" s="15"/>
      <c r="E514" s="3"/>
    </row>
    <row r="515" spans="2:5" ht="12.75" customHeight="1" x14ac:dyDescent="0.25">
      <c r="B515" s="14"/>
      <c r="C515" s="15"/>
      <c r="D515" s="15"/>
      <c r="E515" s="3"/>
    </row>
    <row r="516" spans="2:5" ht="12.75" customHeight="1" x14ac:dyDescent="0.25">
      <c r="B516" s="14"/>
      <c r="C516" s="15"/>
      <c r="D516" s="15"/>
      <c r="E516" s="3"/>
    </row>
    <row r="517" spans="2:5" ht="12.75" customHeight="1" x14ac:dyDescent="0.25">
      <c r="B517" s="14"/>
      <c r="C517" s="15"/>
      <c r="D517" s="15"/>
      <c r="E517" s="3"/>
    </row>
    <row r="518" spans="2:5" ht="12.75" customHeight="1" x14ac:dyDescent="0.25">
      <c r="B518" s="14"/>
      <c r="C518" s="15"/>
      <c r="D518" s="15"/>
      <c r="E518" s="3"/>
    </row>
    <row r="519" spans="2:5" ht="12.75" customHeight="1" x14ac:dyDescent="0.25">
      <c r="B519" s="14"/>
      <c r="C519" s="15"/>
      <c r="D519" s="15"/>
      <c r="E519" s="3"/>
    </row>
    <row r="520" spans="2:5" ht="12.75" customHeight="1" x14ac:dyDescent="0.25">
      <c r="B520" s="14"/>
      <c r="C520" s="15"/>
      <c r="D520" s="15"/>
      <c r="E520" s="3"/>
    </row>
    <row r="521" spans="2:5" ht="12.75" customHeight="1" x14ac:dyDescent="0.25">
      <c r="B521" s="14"/>
      <c r="C521" s="15"/>
      <c r="D521" s="15"/>
      <c r="E521" s="3"/>
    </row>
    <row r="522" spans="2:5" ht="12.75" customHeight="1" x14ac:dyDescent="0.25">
      <c r="B522" s="14"/>
      <c r="C522" s="15"/>
      <c r="D522" s="15"/>
      <c r="E522" s="3"/>
    </row>
    <row r="523" spans="2:5" ht="12.75" customHeight="1" x14ac:dyDescent="0.25">
      <c r="B523" s="14"/>
      <c r="C523" s="15"/>
      <c r="D523" s="15"/>
      <c r="E523" s="3"/>
    </row>
    <row r="524" spans="2:5" ht="12.75" customHeight="1" x14ac:dyDescent="0.25">
      <c r="B524" s="14"/>
      <c r="C524" s="15"/>
      <c r="D524" s="15"/>
      <c r="E524" s="3"/>
    </row>
    <row r="525" spans="2:5" ht="12.75" customHeight="1" x14ac:dyDescent="0.25">
      <c r="B525" s="14"/>
      <c r="C525" s="15"/>
      <c r="D525" s="15"/>
      <c r="E525" s="3"/>
    </row>
    <row r="526" spans="2:5" ht="12.75" customHeight="1" x14ac:dyDescent="0.25">
      <c r="B526" s="14"/>
      <c r="C526" s="15"/>
      <c r="D526" s="15"/>
      <c r="E526" s="3"/>
    </row>
    <row r="527" spans="2:5" ht="12.75" customHeight="1" x14ac:dyDescent="0.25">
      <c r="B527" s="14"/>
      <c r="C527" s="15"/>
      <c r="D527" s="15"/>
      <c r="E527" s="3"/>
    </row>
    <row r="528" spans="2:5" ht="12.75" customHeight="1" x14ac:dyDescent="0.25">
      <c r="B528" s="14"/>
      <c r="C528" s="15"/>
      <c r="D528" s="15"/>
      <c r="E528" s="3"/>
    </row>
    <row r="529" spans="2:5" ht="12.75" customHeight="1" x14ac:dyDescent="0.25">
      <c r="B529" s="14"/>
      <c r="C529" s="15"/>
      <c r="D529" s="15"/>
      <c r="E529" s="3"/>
    </row>
    <row r="530" spans="2:5" ht="12.75" customHeight="1" x14ac:dyDescent="0.25">
      <c r="B530" s="14"/>
      <c r="C530" s="15"/>
      <c r="D530" s="15"/>
      <c r="E530" s="3"/>
    </row>
    <row r="531" spans="2:5" ht="12.75" customHeight="1" x14ac:dyDescent="0.25">
      <c r="B531" s="14"/>
      <c r="C531" s="15"/>
      <c r="D531" s="15"/>
      <c r="E531" s="3"/>
    </row>
    <row r="532" spans="2:5" ht="12.75" customHeight="1" x14ac:dyDescent="0.25">
      <c r="B532" s="14"/>
      <c r="C532" s="15"/>
      <c r="D532" s="15"/>
      <c r="E532" s="3"/>
    </row>
    <row r="533" spans="2:5" ht="12.75" customHeight="1" x14ac:dyDescent="0.25">
      <c r="B533" s="14"/>
      <c r="C533" s="15"/>
      <c r="D533" s="15"/>
      <c r="E533" s="3"/>
    </row>
    <row r="534" spans="2:5" ht="12.75" customHeight="1" x14ac:dyDescent="0.25">
      <c r="B534" s="14"/>
      <c r="C534" s="15"/>
      <c r="D534" s="15"/>
      <c r="E534" s="3"/>
    </row>
    <row r="535" spans="2:5" ht="12.75" customHeight="1" x14ac:dyDescent="0.25">
      <c r="B535" s="14"/>
      <c r="C535" s="15"/>
      <c r="D535" s="15"/>
      <c r="E535" s="3"/>
    </row>
    <row r="536" spans="2:5" ht="12.75" customHeight="1" x14ac:dyDescent="0.25">
      <c r="B536" s="14"/>
      <c r="C536" s="15"/>
      <c r="D536" s="15"/>
      <c r="E536" s="3"/>
    </row>
    <row r="537" spans="2:5" ht="12.75" customHeight="1" x14ac:dyDescent="0.25">
      <c r="B537" s="14"/>
      <c r="C537" s="15"/>
      <c r="D537" s="15"/>
      <c r="E537" s="3"/>
    </row>
    <row r="538" spans="2:5" ht="12.75" customHeight="1" x14ac:dyDescent="0.25">
      <c r="B538" s="14"/>
      <c r="C538" s="15"/>
      <c r="D538" s="15"/>
      <c r="E538" s="3"/>
    </row>
    <row r="539" spans="2:5" ht="12.75" customHeight="1" x14ac:dyDescent="0.25">
      <c r="B539" s="14"/>
      <c r="C539" s="15"/>
      <c r="D539" s="15"/>
      <c r="E539" s="3"/>
    </row>
    <row r="540" spans="2:5" ht="12.75" customHeight="1" x14ac:dyDescent="0.25">
      <c r="B540" s="14"/>
      <c r="C540" s="15"/>
      <c r="D540" s="15"/>
      <c r="E540" s="3"/>
    </row>
    <row r="541" spans="2:5" ht="12.75" customHeight="1" x14ac:dyDescent="0.25">
      <c r="B541" s="14"/>
      <c r="C541" s="15"/>
      <c r="D541" s="15"/>
      <c r="E541" s="3"/>
    </row>
    <row r="542" spans="2:5" ht="12.75" customHeight="1" x14ac:dyDescent="0.25">
      <c r="B542" s="14"/>
      <c r="C542" s="15"/>
      <c r="D542" s="15"/>
      <c r="E542" s="3"/>
    </row>
    <row r="543" spans="2:5" ht="12.75" customHeight="1" x14ac:dyDescent="0.25">
      <c r="B543" s="14"/>
      <c r="C543" s="15"/>
      <c r="D543" s="15"/>
      <c r="E543" s="3"/>
    </row>
    <row r="544" spans="2:5" ht="12.75" customHeight="1" x14ac:dyDescent="0.25">
      <c r="B544" s="14"/>
      <c r="C544" s="15"/>
      <c r="D544" s="15"/>
      <c r="E544" s="3"/>
    </row>
    <row r="545" spans="2:5" ht="12.75" customHeight="1" x14ac:dyDescent="0.25">
      <c r="B545" s="14"/>
      <c r="C545" s="15"/>
      <c r="D545" s="15"/>
      <c r="E545" s="3"/>
    </row>
    <row r="546" spans="2:5" ht="12.75" customHeight="1" x14ac:dyDescent="0.25">
      <c r="B546" s="14"/>
      <c r="C546" s="15"/>
      <c r="D546" s="15"/>
      <c r="E546" s="3"/>
    </row>
    <row r="547" spans="2:5" ht="12.75" customHeight="1" x14ac:dyDescent="0.25">
      <c r="B547" s="14"/>
      <c r="C547" s="15"/>
      <c r="D547" s="15"/>
      <c r="E547" s="3"/>
    </row>
    <row r="548" spans="2:5" ht="12.75" customHeight="1" x14ac:dyDescent="0.25">
      <c r="B548" s="14"/>
      <c r="C548" s="15"/>
      <c r="D548" s="15"/>
      <c r="E548" s="3"/>
    </row>
    <row r="549" spans="2:5" ht="12.75" customHeight="1" x14ac:dyDescent="0.25">
      <c r="B549" s="14"/>
      <c r="C549" s="15"/>
      <c r="D549" s="15"/>
      <c r="E549" s="3"/>
    </row>
    <row r="550" spans="2:5" ht="12.75" customHeight="1" x14ac:dyDescent="0.25">
      <c r="B550" s="14"/>
      <c r="C550" s="15"/>
      <c r="D550" s="15"/>
      <c r="E550" s="3"/>
    </row>
    <row r="551" spans="2:5" ht="12.75" customHeight="1" x14ac:dyDescent="0.25">
      <c r="B551" s="14"/>
      <c r="C551" s="15"/>
      <c r="D551" s="15"/>
      <c r="E551" s="3"/>
    </row>
    <row r="552" spans="2:5" ht="12.75" customHeight="1" x14ac:dyDescent="0.25">
      <c r="B552" s="14"/>
      <c r="C552" s="15"/>
      <c r="D552" s="15"/>
      <c r="E552" s="3"/>
    </row>
    <row r="553" spans="2:5" ht="12.75" customHeight="1" x14ac:dyDescent="0.25">
      <c r="B553" s="14"/>
      <c r="C553" s="15"/>
      <c r="D553" s="15"/>
      <c r="E553" s="3"/>
    </row>
    <row r="554" spans="2:5" ht="12.75" customHeight="1" x14ac:dyDescent="0.25">
      <c r="B554" s="14"/>
      <c r="C554" s="15"/>
      <c r="D554" s="15"/>
      <c r="E554" s="3"/>
    </row>
    <row r="555" spans="2:5" ht="12.75" customHeight="1" x14ac:dyDescent="0.25">
      <c r="B555" s="14"/>
      <c r="C555" s="15"/>
      <c r="D555" s="15"/>
      <c r="E555" s="3"/>
    </row>
    <row r="556" spans="2:5" ht="12.75" customHeight="1" x14ac:dyDescent="0.25">
      <c r="B556" s="14"/>
      <c r="C556" s="15"/>
      <c r="D556" s="15"/>
      <c r="E556" s="3"/>
    </row>
    <row r="557" spans="2:5" ht="12.75" customHeight="1" x14ac:dyDescent="0.25">
      <c r="B557" s="14"/>
      <c r="C557" s="15"/>
      <c r="D557" s="15"/>
      <c r="E557" s="3"/>
    </row>
    <row r="558" spans="2:5" ht="12.75" customHeight="1" x14ac:dyDescent="0.25">
      <c r="B558" s="14"/>
      <c r="C558" s="15"/>
      <c r="D558" s="15"/>
      <c r="E558" s="3"/>
    </row>
    <row r="559" spans="2:5" ht="12.75" customHeight="1" x14ac:dyDescent="0.25">
      <c r="B559" s="14"/>
      <c r="C559" s="15"/>
      <c r="D559" s="15"/>
      <c r="E559" s="3"/>
    </row>
    <row r="560" spans="2:5" ht="12.75" customHeight="1" x14ac:dyDescent="0.25">
      <c r="B560" s="14"/>
      <c r="C560" s="15"/>
      <c r="D560" s="15"/>
      <c r="E560" s="3"/>
    </row>
    <row r="561" spans="2:5" ht="12.75" customHeight="1" x14ac:dyDescent="0.25">
      <c r="B561" s="14"/>
      <c r="C561" s="15"/>
      <c r="D561" s="15"/>
      <c r="E561" s="3"/>
    </row>
    <row r="562" spans="2:5" ht="12.75" customHeight="1" x14ac:dyDescent="0.25">
      <c r="B562" s="14"/>
      <c r="C562" s="15"/>
      <c r="D562" s="15"/>
      <c r="E562" s="3"/>
    </row>
    <row r="563" spans="2:5" ht="12.75" customHeight="1" x14ac:dyDescent="0.25">
      <c r="B563" s="14"/>
      <c r="C563" s="15"/>
      <c r="D563" s="15"/>
      <c r="E563" s="3"/>
    </row>
    <row r="564" spans="2:5" ht="12.75" customHeight="1" x14ac:dyDescent="0.25">
      <c r="B564" s="14"/>
      <c r="C564" s="15"/>
      <c r="D564" s="15"/>
      <c r="E564" s="3"/>
    </row>
    <row r="565" spans="2:5" ht="12.75" customHeight="1" x14ac:dyDescent="0.25">
      <c r="B565" s="14"/>
      <c r="C565" s="15"/>
      <c r="D565" s="15"/>
      <c r="E565" s="3"/>
    </row>
    <row r="566" spans="2:5" ht="12.75" customHeight="1" x14ac:dyDescent="0.25">
      <c r="B566" s="14"/>
      <c r="C566" s="15"/>
      <c r="D566" s="15"/>
      <c r="E566" s="3"/>
    </row>
    <row r="567" spans="2:5" ht="12.75" customHeight="1" x14ac:dyDescent="0.25">
      <c r="B567" s="14"/>
      <c r="C567" s="15"/>
      <c r="D567" s="15"/>
      <c r="E567" s="3"/>
    </row>
    <row r="568" spans="2:5" ht="12.75" customHeight="1" x14ac:dyDescent="0.25">
      <c r="B568" s="14"/>
      <c r="C568" s="15"/>
      <c r="D568" s="15"/>
      <c r="E568" s="3"/>
    </row>
    <row r="569" spans="2:5" ht="12.75" customHeight="1" x14ac:dyDescent="0.25">
      <c r="B569" s="14"/>
      <c r="C569" s="15"/>
      <c r="D569" s="15"/>
      <c r="E569" s="3"/>
    </row>
    <row r="570" spans="2:5" ht="12.75" customHeight="1" x14ac:dyDescent="0.25">
      <c r="B570" s="14"/>
      <c r="C570" s="15"/>
      <c r="D570" s="15"/>
      <c r="E570" s="3"/>
    </row>
    <row r="571" spans="2:5" ht="12.75" customHeight="1" x14ac:dyDescent="0.25">
      <c r="B571" s="14"/>
      <c r="C571" s="15"/>
      <c r="D571" s="15"/>
      <c r="E571" s="3"/>
    </row>
    <row r="572" spans="2:5" ht="12.75" customHeight="1" x14ac:dyDescent="0.25">
      <c r="B572" s="14"/>
      <c r="C572" s="15"/>
      <c r="D572" s="15"/>
      <c r="E572" s="3"/>
    </row>
    <row r="573" spans="2:5" ht="12.75" customHeight="1" x14ac:dyDescent="0.25">
      <c r="B573" s="14"/>
      <c r="C573" s="15"/>
      <c r="D573" s="15"/>
      <c r="E573" s="3"/>
    </row>
    <row r="574" spans="2:5" ht="12.75" customHeight="1" x14ac:dyDescent="0.25">
      <c r="B574" s="14"/>
      <c r="C574" s="15"/>
      <c r="D574" s="15"/>
      <c r="E574" s="3"/>
    </row>
    <row r="575" spans="2:5" ht="12.75" customHeight="1" x14ac:dyDescent="0.25">
      <c r="B575" s="14"/>
      <c r="C575" s="15"/>
      <c r="D575" s="15"/>
      <c r="E575" s="3"/>
    </row>
    <row r="576" spans="2:5" ht="12.75" customHeight="1" x14ac:dyDescent="0.25">
      <c r="B576" s="14"/>
      <c r="C576" s="15"/>
      <c r="D576" s="15"/>
      <c r="E576" s="3"/>
    </row>
    <row r="577" spans="2:5" ht="12.75" customHeight="1" x14ac:dyDescent="0.25">
      <c r="B577" s="14"/>
      <c r="C577" s="15"/>
      <c r="D577" s="15"/>
      <c r="E577" s="3"/>
    </row>
    <row r="578" spans="2:5" ht="12.75" customHeight="1" x14ac:dyDescent="0.25">
      <c r="B578" s="14"/>
      <c r="C578" s="15"/>
      <c r="D578" s="15"/>
      <c r="E578" s="3"/>
    </row>
    <row r="579" spans="2:5" ht="12.75" customHeight="1" x14ac:dyDescent="0.25">
      <c r="B579" s="14"/>
      <c r="C579" s="15"/>
      <c r="D579" s="15"/>
      <c r="E579" s="3"/>
    </row>
    <row r="580" spans="2:5" ht="12.75" customHeight="1" x14ac:dyDescent="0.25">
      <c r="B580" s="14"/>
      <c r="C580" s="15"/>
      <c r="D580" s="15"/>
      <c r="E580" s="3"/>
    </row>
    <row r="581" spans="2:5" ht="12.75" customHeight="1" x14ac:dyDescent="0.25">
      <c r="B581" s="14"/>
      <c r="C581" s="15"/>
      <c r="D581" s="15"/>
      <c r="E581" s="3"/>
    </row>
    <row r="582" spans="2:5" ht="12.75" customHeight="1" x14ac:dyDescent="0.25">
      <c r="B582" s="14"/>
      <c r="C582" s="15"/>
      <c r="D582" s="15"/>
      <c r="E582" s="3"/>
    </row>
    <row r="583" spans="2:5" ht="12.75" customHeight="1" x14ac:dyDescent="0.25">
      <c r="B583" s="14"/>
      <c r="C583" s="15"/>
      <c r="D583" s="15"/>
      <c r="E583" s="3"/>
    </row>
    <row r="584" spans="2:5" ht="12.75" customHeight="1" x14ac:dyDescent="0.25">
      <c r="B584" s="14"/>
      <c r="C584" s="15"/>
      <c r="D584" s="15"/>
      <c r="E584" s="3"/>
    </row>
    <row r="585" spans="2:5" ht="12.75" customHeight="1" x14ac:dyDescent="0.25">
      <c r="B585" s="14"/>
      <c r="C585" s="15"/>
      <c r="D585" s="15"/>
      <c r="E585" s="3"/>
    </row>
    <row r="586" spans="2:5" ht="12.75" customHeight="1" x14ac:dyDescent="0.25">
      <c r="B586" s="14"/>
      <c r="C586" s="15"/>
      <c r="D586" s="15"/>
      <c r="E586" s="3"/>
    </row>
    <row r="587" spans="2:5" ht="12.75" customHeight="1" x14ac:dyDescent="0.25">
      <c r="B587" s="14"/>
      <c r="C587" s="15"/>
      <c r="D587" s="15"/>
      <c r="E587" s="3"/>
    </row>
    <row r="588" spans="2:5" ht="12.75" customHeight="1" x14ac:dyDescent="0.25">
      <c r="B588" s="14"/>
      <c r="C588" s="15"/>
      <c r="D588" s="15"/>
      <c r="E588" s="3"/>
    </row>
    <row r="589" spans="2:5" ht="12.75" customHeight="1" x14ac:dyDescent="0.25">
      <c r="B589" s="14"/>
      <c r="C589" s="15"/>
      <c r="D589" s="15"/>
      <c r="E589" s="3"/>
    </row>
    <row r="590" spans="2:5" ht="12.75" customHeight="1" x14ac:dyDescent="0.25">
      <c r="B590" s="14"/>
      <c r="C590" s="15"/>
      <c r="D590" s="15"/>
      <c r="E590" s="3"/>
    </row>
    <row r="591" spans="2:5" ht="12.75" customHeight="1" x14ac:dyDescent="0.25">
      <c r="B591" s="14"/>
      <c r="C591" s="15"/>
      <c r="D591" s="15"/>
      <c r="E591" s="3"/>
    </row>
    <row r="592" spans="2:5" ht="12.75" customHeight="1" x14ac:dyDescent="0.25">
      <c r="B592" s="14"/>
      <c r="C592" s="15"/>
      <c r="D592" s="15"/>
      <c r="E592" s="3"/>
    </row>
    <row r="593" spans="2:5" ht="12.75" customHeight="1" x14ac:dyDescent="0.25">
      <c r="B593" s="14"/>
      <c r="C593" s="15"/>
      <c r="D593" s="15"/>
      <c r="E593" s="3"/>
    </row>
    <row r="594" spans="2:5" ht="12.75" customHeight="1" x14ac:dyDescent="0.25">
      <c r="B594" s="14"/>
      <c r="C594" s="15"/>
      <c r="D594" s="15"/>
      <c r="E594" s="3"/>
    </row>
    <row r="595" spans="2:5" ht="12.75" customHeight="1" x14ac:dyDescent="0.25">
      <c r="B595" s="14"/>
      <c r="C595" s="15"/>
      <c r="D595" s="15"/>
      <c r="E595" s="3"/>
    </row>
    <row r="596" spans="2:5" ht="12.75" customHeight="1" x14ac:dyDescent="0.25">
      <c r="B596" s="14"/>
      <c r="C596" s="15"/>
      <c r="D596" s="15"/>
      <c r="E596" s="3"/>
    </row>
    <row r="597" spans="2:5" ht="12.75" customHeight="1" x14ac:dyDescent="0.25">
      <c r="B597" s="14"/>
      <c r="C597" s="15"/>
      <c r="D597" s="15"/>
      <c r="E597" s="3"/>
    </row>
    <row r="598" spans="2:5" ht="12.75" customHeight="1" x14ac:dyDescent="0.25">
      <c r="B598" s="14"/>
      <c r="C598" s="15"/>
      <c r="D598" s="15"/>
      <c r="E598" s="3"/>
    </row>
    <row r="599" spans="2:5" ht="12.75" customHeight="1" x14ac:dyDescent="0.25">
      <c r="B599" s="14"/>
      <c r="C599" s="15"/>
      <c r="D599" s="15"/>
      <c r="E599" s="3"/>
    </row>
    <row r="600" spans="2:5" ht="12.75" customHeight="1" x14ac:dyDescent="0.25">
      <c r="B600" s="14"/>
      <c r="C600" s="15"/>
      <c r="D600" s="15"/>
      <c r="E600" s="3"/>
    </row>
    <row r="601" spans="2:5" ht="12.75" customHeight="1" x14ac:dyDescent="0.25">
      <c r="B601" s="14"/>
      <c r="C601" s="15"/>
      <c r="D601" s="15"/>
      <c r="E601" s="3"/>
    </row>
    <row r="602" spans="2:5" ht="12.75" customHeight="1" x14ac:dyDescent="0.25">
      <c r="B602" s="14"/>
      <c r="C602" s="15"/>
      <c r="D602" s="15"/>
      <c r="E602" s="3"/>
    </row>
    <row r="603" spans="2:5" ht="12.75" customHeight="1" x14ac:dyDescent="0.25">
      <c r="B603" s="14"/>
      <c r="C603" s="15"/>
      <c r="D603" s="15"/>
      <c r="E603" s="3"/>
    </row>
    <row r="604" spans="2:5" ht="12.75" customHeight="1" x14ac:dyDescent="0.25">
      <c r="B604" s="14"/>
      <c r="C604" s="15"/>
      <c r="D604" s="15"/>
      <c r="E604" s="3"/>
    </row>
    <row r="605" spans="2:5" ht="12.75" customHeight="1" x14ac:dyDescent="0.25">
      <c r="B605" s="14"/>
      <c r="C605" s="15"/>
      <c r="D605" s="15"/>
      <c r="E605" s="3"/>
    </row>
    <row r="606" spans="2:5" ht="12.75" customHeight="1" x14ac:dyDescent="0.25">
      <c r="B606" s="14"/>
      <c r="C606" s="15"/>
      <c r="D606" s="15"/>
      <c r="E606" s="3"/>
    </row>
    <row r="607" spans="2:5" ht="12.75" customHeight="1" x14ac:dyDescent="0.25">
      <c r="B607" s="14"/>
      <c r="C607" s="15"/>
      <c r="D607" s="15"/>
      <c r="E607" s="3"/>
    </row>
    <row r="608" spans="2:5" ht="12.75" customHeight="1" x14ac:dyDescent="0.25">
      <c r="B608" s="14"/>
      <c r="C608" s="15"/>
      <c r="D608" s="15"/>
      <c r="E608" s="3"/>
    </row>
    <row r="609" spans="2:5" ht="12.75" customHeight="1" x14ac:dyDescent="0.25">
      <c r="B609" s="14"/>
      <c r="C609" s="15"/>
      <c r="D609" s="15"/>
      <c r="E609" s="3"/>
    </row>
    <row r="610" spans="2:5" ht="12.75" customHeight="1" x14ac:dyDescent="0.25">
      <c r="B610" s="14"/>
      <c r="C610" s="15"/>
      <c r="D610" s="15"/>
      <c r="E610" s="3"/>
    </row>
    <row r="611" spans="2:5" ht="12.75" customHeight="1" x14ac:dyDescent="0.25">
      <c r="B611" s="14"/>
      <c r="C611" s="15"/>
      <c r="D611" s="15"/>
      <c r="E611" s="3"/>
    </row>
    <row r="612" spans="2:5" ht="12.75" customHeight="1" x14ac:dyDescent="0.25">
      <c r="B612" s="14"/>
      <c r="C612" s="15"/>
      <c r="D612" s="15"/>
      <c r="E612" s="3"/>
    </row>
    <row r="613" spans="2:5" ht="12.75" customHeight="1" x14ac:dyDescent="0.25">
      <c r="B613" s="14"/>
      <c r="C613" s="15"/>
      <c r="D613" s="15"/>
      <c r="E613" s="3"/>
    </row>
    <row r="614" spans="2:5" ht="12.75" customHeight="1" x14ac:dyDescent="0.25">
      <c r="B614" s="14"/>
      <c r="C614" s="15"/>
      <c r="D614" s="15"/>
      <c r="E614" s="3"/>
    </row>
    <row r="615" spans="2:5" ht="12.75" customHeight="1" x14ac:dyDescent="0.25">
      <c r="B615" s="14"/>
      <c r="C615" s="15"/>
      <c r="D615" s="15"/>
      <c r="E615" s="3"/>
    </row>
    <row r="616" spans="2:5" ht="12.75" customHeight="1" x14ac:dyDescent="0.25">
      <c r="B616" s="14"/>
      <c r="C616" s="15"/>
      <c r="D616" s="15"/>
      <c r="E616" s="3"/>
    </row>
    <row r="617" spans="2:5" ht="12.75" customHeight="1" x14ac:dyDescent="0.25">
      <c r="B617" s="14"/>
      <c r="C617" s="15"/>
      <c r="D617" s="15"/>
      <c r="E617" s="3"/>
    </row>
    <row r="618" spans="2:5" ht="12.75" customHeight="1" x14ac:dyDescent="0.25">
      <c r="B618" s="14"/>
      <c r="C618" s="15"/>
      <c r="D618" s="15"/>
      <c r="E618" s="3"/>
    </row>
    <row r="619" spans="2:5" ht="12.75" customHeight="1" x14ac:dyDescent="0.25">
      <c r="B619" s="14"/>
      <c r="C619" s="15"/>
      <c r="D619" s="15"/>
      <c r="E619" s="3"/>
    </row>
    <row r="620" spans="2:5" ht="12.75" customHeight="1" x14ac:dyDescent="0.25">
      <c r="B620" s="14"/>
      <c r="C620" s="15"/>
      <c r="D620" s="15"/>
      <c r="E620" s="3"/>
    </row>
    <row r="621" spans="2:5" ht="12.75" customHeight="1" x14ac:dyDescent="0.25">
      <c r="B621" s="14"/>
      <c r="C621" s="15"/>
      <c r="D621" s="15"/>
      <c r="E621" s="3"/>
    </row>
    <row r="622" spans="2:5" ht="12.75" customHeight="1" x14ac:dyDescent="0.25">
      <c r="B622" s="14"/>
      <c r="C622" s="15"/>
      <c r="D622" s="15"/>
      <c r="E622" s="3"/>
    </row>
    <row r="623" spans="2:5" ht="12.75" customHeight="1" x14ac:dyDescent="0.25">
      <c r="B623" s="14"/>
      <c r="C623" s="15"/>
      <c r="D623" s="15"/>
      <c r="E623" s="3"/>
    </row>
    <row r="624" spans="2:5" ht="12.75" customHeight="1" x14ac:dyDescent="0.25">
      <c r="B624" s="14"/>
      <c r="C624" s="15"/>
      <c r="D624" s="15"/>
      <c r="E624" s="3"/>
    </row>
    <row r="625" spans="2:5" ht="12.75" customHeight="1" x14ac:dyDescent="0.25">
      <c r="B625" s="14"/>
      <c r="C625" s="15"/>
      <c r="D625" s="15"/>
      <c r="E625" s="3"/>
    </row>
    <row r="626" spans="2:5" ht="12.75" customHeight="1" x14ac:dyDescent="0.25">
      <c r="B626" s="14"/>
      <c r="C626" s="15"/>
      <c r="D626" s="15"/>
      <c r="E626" s="3"/>
    </row>
    <row r="627" spans="2:5" ht="12.75" customHeight="1" x14ac:dyDescent="0.25">
      <c r="B627" s="14"/>
      <c r="C627" s="15"/>
      <c r="D627" s="15"/>
      <c r="E627" s="3"/>
    </row>
    <row r="628" spans="2:5" ht="12.75" customHeight="1" x14ac:dyDescent="0.25">
      <c r="B628" s="14"/>
      <c r="C628" s="15"/>
      <c r="D628" s="15"/>
      <c r="E628" s="3"/>
    </row>
    <row r="629" spans="2:5" ht="12.75" customHeight="1" x14ac:dyDescent="0.25">
      <c r="B629" s="14"/>
      <c r="C629" s="15"/>
      <c r="D629" s="15"/>
      <c r="E629" s="3"/>
    </row>
    <row r="630" spans="2:5" ht="12.75" customHeight="1" x14ac:dyDescent="0.25">
      <c r="B630" s="14"/>
      <c r="C630" s="15"/>
      <c r="D630" s="15"/>
      <c r="E630" s="3"/>
    </row>
    <row r="631" spans="2:5" ht="12.75" customHeight="1" x14ac:dyDescent="0.25">
      <c r="B631" s="14"/>
      <c r="C631" s="15"/>
      <c r="D631" s="15"/>
      <c r="E631" s="3"/>
    </row>
    <row r="632" spans="2:5" ht="12.75" customHeight="1" x14ac:dyDescent="0.25">
      <c r="B632" s="14"/>
      <c r="C632" s="15"/>
      <c r="D632" s="15"/>
      <c r="E632" s="3"/>
    </row>
    <row r="633" spans="2:5" ht="12.75" customHeight="1" x14ac:dyDescent="0.25">
      <c r="B633" s="14"/>
      <c r="C633" s="15"/>
      <c r="D633" s="15"/>
      <c r="E633" s="3"/>
    </row>
    <row r="634" spans="2:5" ht="12.75" customHeight="1" x14ac:dyDescent="0.25">
      <c r="B634" s="14"/>
      <c r="C634" s="15"/>
      <c r="D634" s="15"/>
      <c r="E634" s="3"/>
    </row>
    <row r="635" spans="2:5" ht="12.75" customHeight="1" x14ac:dyDescent="0.25">
      <c r="B635" s="14"/>
      <c r="C635" s="15"/>
      <c r="D635" s="15"/>
      <c r="E635" s="3"/>
    </row>
    <row r="636" spans="2:5" ht="12.75" customHeight="1" x14ac:dyDescent="0.25">
      <c r="B636" s="14"/>
      <c r="C636" s="15"/>
      <c r="D636" s="15"/>
      <c r="E636" s="3"/>
    </row>
    <row r="637" spans="2:5" ht="12.75" customHeight="1" x14ac:dyDescent="0.25">
      <c r="B637" s="14"/>
      <c r="C637" s="15"/>
      <c r="D637" s="15"/>
      <c r="E637" s="3"/>
    </row>
    <row r="638" spans="2:5" ht="12.75" customHeight="1" x14ac:dyDescent="0.25">
      <c r="B638" s="14"/>
      <c r="C638" s="15"/>
      <c r="D638" s="15"/>
      <c r="E638" s="3"/>
    </row>
    <row r="639" spans="2:5" ht="12.75" customHeight="1" x14ac:dyDescent="0.25">
      <c r="B639" s="14"/>
      <c r="C639" s="15"/>
      <c r="D639" s="15"/>
      <c r="E639" s="3"/>
    </row>
    <row r="640" spans="2:5" ht="12.75" customHeight="1" x14ac:dyDescent="0.25">
      <c r="B640" s="14"/>
      <c r="C640" s="15"/>
      <c r="D640" s="15"/>
      <c r="E640" s="3"/>
    </row>
    <row r="641" spans="2:5" ht="12.75" customHeight="1" x14ac:dyDescent="0.25">
      <c r="B641" s="14"/>
      <c r="C641" s="15"/>
      <c r="D641" s="15"/>
      <c r="E641" s="3"/>
    </row>
    <row r="642" spans="2:5" ht="12.75" customHeight="1" x14ac:dyDescent="0.25">
      <c r="B642" s="14"/>
      <c r="C642" s="15"/>
      <c r="D642" s="15"/>
      <c r="E642" s="3"/>
    </row>
    <row r="643" spans="2:5" ht="12.75" customHeight="1" x14ac:dyDescent="0.25">
      <c r="B643" s="14"/>
      <c r="C643" s="15"/>
      <c r="D643" s="15"/>
      <c r="E643" s="3"/>
    </row>
    <row r="644" spans="2:5" ht="12.75" customHeight="1" x14ac:dyDescent="0.25">
      <c r="B644" s="14"/>
      <c r="C644" s="15"/>
      <c r="D644" s="15"/>
      <c r="E644" s="3"/>
    </row>
    <row r="645" spans="2:5" ht="12.75" customHeight="1" x14ac:dyDescent="0.25">
      <c r="B645" s="14"/>
      <c r="C645" s="15"/>
      <c r="D645" s="15"/>
      <c r="E645" s="3"/>
    </row>
    <row r="646" spans="2:5" ht="12.75" customHeight="1" x14ac:dyDescent="0.25">
      <c r="B646" s="14"/>
      <c r="C646" s="15"/>
      <c r="D646" s="15"/>
      <c r="E646" s="3"/>
    </row>
    <row r="647" spans="2:5" ht="12.75" customHeight="1" x14ac:dyDescent="0.25">
      <c r="B647" s="14"/>
      <c r="C647" s="15"/>
      <c r="D647" s="15"/>
      <c r="E647" s="3"/>
    </row>
    <row r="648" spans="2:5" ht="12.75" customHeight="1" x14ac:dyDescent="0.25">
      <c r="B648" s="14"/>
      <c r="C648" s="15"/>
      <c r="D648" s="15"/>
      <c r="E648" s="3"/>
    </row>
    <row r="649" spans="2:5" ht="12.75" customHeight="1" x14ac:dyDescent="0.25">
      <c r="B649" s="14"/>
      <c r="C649" s="15"/>
      <c r="D649" s="15"/>
      <c r="E649" s="3"/>
    </row>
    <row r="650" spans="2:5" ht="12.75" customHeight="1" x14ac:dyDescent="0.25">
      <c r="B650" s="14"/>
      <c r="C650" s="15"/>
      <c r="D650" s="15"/>
      <c r="E650" s="3"/>
    </row>
    <row r="651" spans="2:5" ht="12.75" customHeight="1" x14ac:dyDescent="0.25">
      <c r="B651" s="14"/>
      <c r="C651" s="15"/>
      <c r="D651" s="15"/>
      <c r="E651" s="3"/>
    </row>
    <row r="652" spans="2:5" ht="12.75" customHeight="1" x14ac:dyDescent="0.25">
      <c r="B652" s="14"/>
      <c r="C652" s="15"/>
      <c r="D652" s="15"/>
      <c r="E652" s="3"/>
    </row>
    <row r="653" spans="2:5" ht="12.75" customHeight="1" x14ac:dyDescent="0.25">
      <c r="B653" s="14"/>
      <c r="C653" s="15"/>
      <c r="D653" s="15"/>
      <c r="E653" s="3"/>
    </row>
    <row r="654" spans="2:5" ht="12.75" customHeight="1" x14ac:dyDescent="0.25">
      <c r="B654" s="14"/>
      <c r="C654" s="15"/>
      <c r="D654" s="15"/>
      <c r="E654" s="3"/>
    </row>
    <row r="655" spans="2:5" ht="12.75" customHeight="1" x14ac:dyDescent="0.25">
      <c r="B655" s="14"/>
      <c r="C655" s="15"/>
      <c r="D655" s="15"/>
      <c r="E655" s="3"/>
    </row>
    <row r="656" spans="2:5" ht="12.75" customHeight="1" x14ac:dyDescent="0.25">
      <c r="B656" s="14"/>
      <c r="C656" s="15"/>
      <c r="D656" s="15"/>
      <c r="E656" s="3"/>
    </row>
    <row r="657" spans="2:5" ht="12.75" customHeight="1" x14ac:dyDescent="0.25">
      <c r="B657" s="14"/>
      <c r="C657" s="15"/>
      <c r="D657" s="15"/>
      <c r="E657" s="3"/>
    </row>
    <row r="658" spans="2:5" ht="12.75" customHeight="1" x14ac:dyDescent="0.25">
      <c r="B658" s="14"/>
      <c r="C658" s="15"/>
      <c r="D658" s="15"/>
      <c r="E658" s="3"/>
    </row>
    <row r="659" spans="2:5" ht="12.75" customHeight="1" x14ac:dyDescent="0.25">
      <c r="B659" s="14"/>
      <c r="C659" s="15"/>
      <c r="D659" s="15"/>
      <c r="E659" s="3"/>
    </row>
    <row r="660" spans="2:5" ht="12.75" customHeight="1" x14ac:dyDescent="0.25">
      <c r="B660" s="14"/>
      <c r="C660" s="15"/>
      <c r="D660" s="15"/>
      <c r="E660" s="3"/>
    </row>
    <row r="661" spans="2:5" ht="12.75" customHeight="1" x14ac:dyDescent="0.25">
      <c r="B661" s="14"/>
      <c r="C661" s="15"/>
      <c r="D661" s="15"/>
      <c r="E661" s="3"/>
    </row>
    <row r="662" spans="2:5" ht="12.75" customHeight="1" x14ac:dyDescent="0.25">
      <c r="B662" s="14"/>
      <c r="C662" s="15"/>
      <c r="D662" s="15"/>
      <c r="E662" s="3"/>
    </row>
    <row r="663" spans="2:5" ht="12.75" customHeight="1" x14ac:dyDescent="0.25">
      <c r="B663" s="14"/>
      <c r="C663" s="15"/>
      <c r="D663" s="15"/>
      <c r="E663" s="3"/>
    </row>
    <row r="664" spans="2:5" ht="12.75" customHeight="1" x14ac:dyDescent="0.25">
      <c r="B664" s="14"/>
      <c r="C664" s="15"/>
      <c r="D664" s="15"/>
      <c r="E664" s="3"/>
    </row>
    <row r="665" spans="2:5" ht="12.75" customHeight="1" x14ac:dyDescent="0.25">
      <c r="B665" s="14"/>
      <c r="C665" s="15"/>
      <c r="D665" s="15"/>
      <c r="E665" s="3"/>
    </row>
    <row r="666" spans="2:5" ht="12.75" customHeight="1" x14ac:dyDescent="0.25">
      <c r="B666" s="14"/>
      <c r="C666" s="15"/>
      <c r="D666" s="15"/>
      <c r="E666" s="3"/>
    </row>
    <row r="667" spans="2:5" ht="12.75" customHeight="1" x14ac:dyDescent="0.25">
      <c r="B667" s="14"/>
      <c r="C667" s="15"/>
      <c r="D667" s="15"/>
      <c r="E667" s="3"/>
    </row>
    <row r="668" spans="2:5" ht="12.75" customHeight="1" x14ac:dyDescent="0.25">
      <c r="B668" s="14"/>
      <c r="C668" s="15"/>
      <c r="D668" s="15"/>
      <c r="E668" s="3"/>
    </row>
    <row r="669" spans="2:5" ht="12.75" customHeight="1" x14ac:dyDescent="0.25">
      <c r="B669" s="14"/>
      <c r="C669" s="15"/>
      <c r="D669" s="15"/>
      <c r="E669" s="3"/>
    </row>
    <row r="670" spans="2:5" ht="12.75" customHeight="1" x14ac:dyDescent="0.25">
      <c r="B670" s="14"/>
      <c r="C670" s="15"/>
      <c r="D670" s="15"/>
      <c r="E670" s="3"/>
    </row>
    <row r="671" spans="2:5" ht="12.75" customHeight="1" x14ac:dyDescent="0.25">
      <c r="B671" s="14"/>
      <c r="C671" s="15"/>
      <c r="D671" s="15"/>
      <c r="E671" s="3"/>
    </row>
    <row r="672" spans="2:5" ht="12.75" customHeight="1" x14ac:dyDescent="0.25">
      <c r="B672" s="14"/>
      <c r="C672" s="15"/>
      <c r="D672" s="15"/>
      <c r="E672" s="3"/>
    </row>
    <row r="673" spans="2:5" ht="12.75" customHeight="1" x14ac:dyDescent="0.25">
      <c r="B673" s="14"/>
      <c r="C673" s="15"/>
      <c r="D673" s="15"/>
      <c r="E673" s="3"/>
    </row>
    <row r="674" spans="2:5" ht="12.75" customHeight="1" x14ac:dyDescent="0.25">
      <c r="B674" s="14"/>
      <c r="C674" s="15"/>
      <c r="D674" s="15"/>
      <c r="E674" s="3"/>
    </row>
    <row r="675" spans="2:5" ht="12.75" customHeight="1" x14ac:dyDescent="0.25">
      <c r="B675" s="14"/>
      <c r="C675" s="15"/>
      <c r="D675" s="15"/>
      <c r="E675" s="3"/>
    </row>
    <row r="676" spans="2:5" ht="12.75" customHeight="1" x14ac:dyDescent="0.25">
      <c r="B676" s="14"/>
      <c r="C676" s="15"/>
      <c r="D676" s="15"/>
      <c r="E676" s="3"/>
    </row>
    <row r="677" spans="2:5" ht="12.75" customHeight="1" x14ac:dyDescent="0.25">
      <c r="B677" s="14"/>
      <c r="C677" s="15"/>
      <c r="D677" s="15"/>
      <c r="E677" s="3"/>
    </row>
    <row r="678" spans="2:5" ht="12.75" customHeight="1" x14ac:dyDescent="0.25">
      <c r="B678" s="14"/>
      <c r="C678" s="15"/>
      <c r="D678" s="15"/>
      <c r="E678" s="3"/>
    </row>
    <row r="679" spans="2:5" ht="12.75" customHeight="1" x14ac:dyDescent="0.25">
      <c r="B679" s="14"/>
      <c r="C679" s="15"/>
      <c r="D679" s="15"/>
      <c r="E679" s="3"/>
    </row>
    <row r="680" spans="2:5" ht="12.75" customHeight="1" x14ac:dyDescent="0.25">
      <c r="B680" s="14"/>
      <c r="C680" s="15"/>
      <c r="D680" s="15"/>
      <c r="E680" s="3"/>
    </row>
    <row r="681" spans="2:5" ht="12.75" customHeight="1" x14ac:dyDescent="0.25">
      <c r="B681" s="14"/>
      <c r="C681" s="15"/>
      <c r="D681" s="15"/>
      <c r="E681" s="3"/>
    </row>
    <row r="682" spans="2:5" ht="12.75" customHeight="1" x14ac:dyDescent="0.25">
      <c r="B682" s="14"/>
      <c r="C682" s="15"/>
      <c r="D682" s="15"/>
      <c r="E682" s="3"/>
    </row>
    <row r="683" spans="2:5" ht="12.75" customHeight="1" x14ac:dyDescent="0.25">
      <c r="B683" s="14"/>
      <c r="C683" s="15"/>
      <c r="D683" s="15"/>
      <c r="E683" s="3"/>
    </row>
    <row r="684" spans="2:5" ht="12.75" customHeight="1" x14ac:dyDescent="0.25">
      <c r="B684" s="14"/>
      <c r="C684" s="15"/>
      <c r="D684" s="15"/>
      <c r="E684" s="3"/>
    </row>
    <row r="685" spans="2:5" ht="12.75" customHeight="1" x14ac:dyDescent="0.25">
      <c r="B685" s="14"/>
      <c r="C685" s="15"/>
      <c r="D685" s="15"/>
      <c r="E685" s="3"/>
    </row>
    <row r="686" spans="2:5" ht="12.75" customHeight="1" x14ac:dyDescent="0.25">
      <c r="B686" s="14"/>
      <c r="C686" s="15"/>
      <c r="D686" s="15"/>
      <c r="E686" s="3"/>
    </row>
    <row r="687" spans="2:5" ht="12.75" customHeight="1" x14ac:dyDescent="0.25">
      <c r="B687" s="14"/>
      <c r="C687" s="15"/>
      <c r="D687" s="15"/>
      <c r="E687" s="3"/>
    </row>
    <row r="688" spans="2:5" ht="12.75" customHeight="1" x14ac:dyDescent="0.25">
      <c r="B688" s="14"/>
      <c r="C688" s="15"/>
      <c r="D688" s="15"/>
      <c r="E688" s="3"/>
    </row>
    <row r="689" spans="2:5" ht="12.75" customHeight="1" x14ac:dyDescent="0.25">
      <c r="B689" s="14"/>
      <c r="C689" s="15"/>
      <c r="D689" s="15"/>
      <c r="E689" s="3"/>
    </row>
    <row r="690" spans="2:5" ht="12.75" customHeight="1" x14ac:dyDescent="0.25">
      <c r="B690" s="14"/>
      <c r="C690" s="15"/>
      <c r="D690" s="15"/>
      <c r="E690" s="3"/>
    </row>
    <row r="691" spans="2:5" ht="12.75" customHeight="1" x14ac:dyDescent="0.25">
      <c r="B691" s="14"/>
      <c r="C691" s="15"/>
      <c r="D691" s="15"/>
      <c r="E691" s="3"/>
    </row>
    <row r="692" spans="2:5" ht="12.75" customHeight="1" x14ac:dyDescent="0.25">
      <c r="B692" s="14"/>
      <c r="C692" s="15"/>
      <c r="D692" s="15"/>
      <c r="E692" s="3"/>
    </row>
    <row r="693" spans="2:5" ht="12.75" customHeight="1" x14ac:dyDescent="0.25">
      <c r="B693" s="14"/>
      <c r="C693" s="15"/>
      <c r="D693" s="15"/>
      <c r="E693" s="3"/>
    </row>
    <row r="694" spans="2:5" ht="12.75" customHeight="1" x14ac:dyDescent="0.25">
      <c r="B694" s="14"/>
      <c r="C694" s="15"/>
      <c r="D694" s="15"/>
      <c r="E694" s="3"/>
    </row>
    <row r="695" spans="2:5" ht="12.75" customHeight="1" x14ac:dyDescent="0.25">
      <c r="B695" s="14"/>
      <c r="C695" s="15"/>
      <c r="D695" s="15"/>
      <c r="E695" s="3"/>
    </row>
    <row r="696" spans="2:5" ht="12.75" customHeight="1" x14ac:dyDescent="0.25">
      <c r="B696" s="14"/>
      <c r="C696" s="15"/>
      <c r="D696" s="15"/>
      <c r="E696" s="3"/>
    </row>
    <row r="697" spans="2:5" ht="12.75" customHeight="1" x14ac:dyDescent="0.25">
      <c r="B697" s="14"/>
      <c r="C697" s="15"/>
      <c r="D697" s="15"/>
      <c r="E697" s="3"/>
    </row>
    <row r="698" spans="2:5" ht="12.75" customHeight="1" x14ac:dyDescent="0.25">
      <c r="B698" s="14"/>
      <c r="C698" s="15"/>
      <c r="D698" s="15"/>
      <c r="E698" s="3"/>
    </row>
    <row r="699" spans="2:5" ht="12.75" customHeight="1" x14ac:dyDescent="0.25">
      <c r="B699" s="14"/>
      <c r="C699" s="15"/>
      <c r="D699" s="15"/>
      <c r="E699" s="3"/>
    </row>
    <row r="700" spans="2:5" ht="12.75" customHeight="1" x14ac:dyDescent="0.25">
      <c r="B700" s="14"/>
      <c r="C700" s="15"/>
      <c r="D700" s="15"/>
      <c r="E700" s="3"/>
    </row>
    <row r="701" spans="2:5" ht="12.75" customHeight="1" x14ac:dyDescent="0.25">
      <c r="B701" s="14"/>
      <c r="C701" s="15"/>
      <c r="D701" s="15"/>
      <c r="E701" s="3"/>
    </row>
    <row r="702" spans="2:5" ht="12.75" customHeight="1" x14ac:dyDescent="0.25">
      <c r="B702" s="14"/>
      <c r="C702" s="15"/>
      <c r="D702" s="15"/>
      <c r="E702" s="3"/>
    </row>
    <row r="703" spans="2:5" ht="12.75" customHeight="1" x14ac:dyDescent="0.25">
      <c r="B703" s="14"/>
      <c r="C703" s="15"/>
      <c r="D703" s="15"/>
      <c r="E703" s="3"/>
    </row>
    <row r="704" spans="2:5" ht="12.75" customHeight="1" x14ac:dyDescent="0.25">
      <c r="B704" s="14"/>
      <c r="C704" s="15"/>
      <c r="D704" s="15"/>
      <c r="E704" s="3"/>
    </row>
    <row r="705" spans="2:5" ht="12.75" customHeight="1" x14ac:dyDescent="0.25">
      <c r="B705" s="14"/>
      <c r="C705" s="15"/>
      <c r="D705" s="15"/>
      <c r="E705" s="3"/>
    </row>
    <row r="706" spans="2:5" ht="12.75" customHeight="1" x14ac:dyDescent="0.25">
      <c r="B706" s="14"/>
      <c r="C706" s="15"/>
      <c r="D706" s="15"/>
      <c r="E706" s="3"/>
    </row>
    <row r="707" spans="2:5" ht="12.75" customHeight="1" x14ac:dyDescent="0.25">
      <c r="B707" s="14"/>
      <c r="C707" s="15"/>
      <c r="D707" s="15"/>
      <c r="E707" s="3"/>
    </row>
    <row r="708" spans="2:5" ht="12.75" customHeight="1" x14ac:dyDescent="0.25">
      <c r="B708" s="14"/>
      <c r="C708" s="15"/>
      <c r="D708" s="15"/>
      <c r="E708" s="3"/>
    </row>
    <row r="709" spans="2:5" ht="12.75" customHeight="1" x14ac:dyDescent="0.25">
      <c r="B709" s="14"/>
      <c r="C709" s="15"/>
      <c r="D709" s="15"/>
      <c r="E709" s="3"/>
    </row>
    <row r="710" spans="2:5" ht="12.75" customHeight="1" x14ac:dyDescent="0.25">
      <c r="B710" s="14"/>
      <c r="C710" s="15"/>
      <c r="D710" s="15"/>
      <c r="E710" s="3"/>
    </row>
    <row r="711" spans="2:5" ht="12.75" customHeight="1" x14ac:dyDescent="0.25">
      <c r="B711" s="14"/>
      <c r="C711" s="15"/>
      <c r="D711" s="15"/>
      <c r="E711" s="3"/>
    </row>
    <row r="712" spans="2:5" ht="12.75" customHeight="1" x14ac:dyDescent="0.25">
      <c r="B712" s="14"/>
      <c r="C712" s="15"/>
      <c r="D712" s="15"/>
      <c r="E712" s="3"/>
    </row>
    <row r="713" spans="2:5" ht="12.75" customHeight="1" x14ac:dyDescent="0.25">
      <c r="B713" s="14"/>
      <c r="C713" s="15"/>
      <c r="D713" s="15"/>
      <c r="E713" s="3"/>
    </row>
    <row r="714" spans="2:5" ht="12.75" customHeight="1" x14ac:dyDescent="0.25">
      <c r="B714" s="14"/>
      <c r="C714" s="15"/>
      <c r="D714" s="15"/>
      <c r="E714" s="3"/>
    </row>
    <row r="715" spans="2:5" ht="12.75" customHeight="1" x14ac:dyDescent="0.25">
      <c r="B715" s="14"/>
      <c r="C715" s="15"/>
      <c r="D715" s="15"/>
      <c r="E715" s="3"/>
    </row>
    <row r="716" spans="2:5" ht="12.75" customHeight="1" x14ac:dyDescent="0.25">
      <c r="B716" s="14"/>
      <c r="C716" s="15"/>
      <c r="D716" s="15"/>
      <c r="E716" s="3"/>
    </row>
    <row r="717" spans="2:5" ht="12.75" customHeight="1" x14ac:dyDescent="0.25">
      <c r="B717" s="14"/>
      <c r="C717" s="15"/>
      <c r="D717" s="15"/>
      <c r="E717" s="3"/>
    </row>
    <row r="718" spans="2:5" ht="12.75" customHeight="1" x14ac:dyDescent="0.25">
      <c r="B718" s="14"/>
      <c r="C718" s="15"/>
      <c r="D718" s="15"/>
      <c r="E718" s="3"/>
    </row>
    <row r="719" spans="2:5" ht="12.75" customHeight="1" x14ac:dyDescent="0.25">
      <c r="B719" s="14"/>
      <c r="C719" s="15"/>
      <c r="D719" s="15"/>
      <c r="E719" s="3"/>
    </row>
    <row r="720" spans="2:5" ht="12.75" customHeight="1" x14ac:dyDescent="0.25">
      <c r="B720" s="14"/>
      <c r="C720" s="15"/>
      <c r="D720" s="15"/>
      <c r="E720" s="3"/>
    </row>
    <row r="721" spans="2:5" ht="12.75" customHeight="1" x14ac:dyDescent="0.25">
      <c r="B721" s="14"/>
      <c r="C721" s="15"/>
      <c r="D721" s="15"/>
      <c r="E721" s="3"/>
    </row>
    <row r="722" spans="2:5" ht="12.75" customHeight="1" x14ac:dyDescent="0.25">
      <c r="B722" s="14"/>
      <c r="C722" s="15"/>
      <c r="D722" s="15"/>
      <c r="E722" s="3"/>
    </row>
    <row r="723" spans="2:5" ht="12.75" customHeight="1" x14ac:dyDescent="0.25">
      <c r="B723" s="14"/>
      <c r="C723" s="15"/>
      <c r="D723" s="15"/>
      <c r="E723" s="3"/>
    </row>
    <row r="724" spans="2:5" ht="12.75" customHeight="1" x14ac:dyDescent="0.25">
      <c r="B724" s="14"/>
      <c r="C724" s="15"/>
      <c r="D724" s="15"/>
      <c r="E724" s="3"/>
    </row>
    <row r="725" spans="2:5" ht="12.75" customHeight="1" x14ac:dyDescent="0.25">
      <c r="B725" s="14"/>
      <c r="C725" s="15"/>
      <c r="D725" s="15"/>
      <c r="E725" s="3"/>
    </row>
    <row r="726" spans="2:5" ht="12.75" customHeight="1" x14ac:dyDescent="0.25">
      <c r="B726" s="14"/>
      <c r="C726" s="15"/>
      <c r="D726" s="15"/>
      <c r="E726" s="3"/>
    </row>
    <row r="727" spans="2:5" ht="12.75" customHeight="1" x14ac:dyDescent="0.25">
      <c r="B727" s="14"/>
      <c r="C727" s="15"/>
      <c r="D727" s="15"/>
      <c r="E727" s="3"/>
    </row>
    <row r="728" spans="2:5" ht="12.75" customHeight="1" x14ac:dyDescent="0.25">
      <c r="B728" s="14"/>
      <c r="C728" s="15"/>
      <c r="D728" s="15"/>
      <c r="E728" s="3"/>
    </row>
    <row r="729" spans="2:5" ht="12.75" customHeight="1" x14ac:dyDescent="0.25">
      <c r="B729" s="14"/>
      <c r="C729" s="15"/>
      <c r="D729" s="15"/>
      <c r="E729" s="3"/>
    </row>
    <row r="730" spans="2:5" ht="12.75" customHeight="1" x14ac:dyDescent="0.25">
      <c r="B730" s="14"/>
      <c r="C730" s="15"/>
      <c r="D730" s="15"/>
      <c r="E730" s="3"/>
    </row>
    <row r="731" spans="2:5" ht="12.75" customHeight="1" x14ac:dyDescent="0.25">
      <c r="B731" s="14"/>
      <c r="C731" s="15"/>
      <c r="D731" s="15"/>
      <c r="E731" s="3"/>
    </row>
    <row r="732" spans="2:5" ht="12.75" customHeight="1" x14ac:dyDescent="0.25">
      <c r="B732" s="14"/>
      <c r="C732" s="15"/>
      <c r="D732" s="15"/>
      <c r="E732" s="3"/>
    </row>
    <row r="733" spans="2:5" ht="12.75" customHeight="1" x14ac:dyDescent="0.25">
      <c r="B733" s="14"/>
      <c r="C733" s="15"/>
      <c r="D733" s="15"/>
      <c r="E733" s="3"/>
    </row>
    <row r="734" spans="2:5" ht="12.75" customHeight="1" x14ac:dyDescent="0.25">
      <c r="B734" s="14"/>
      <c r="C734" s="15"/>
      <c r="D734" s="15"/>
      <c r="E734" s="3"/>
    </row>
    <row r="735" spans="2:5" ht="12.75" customHeight="1" x14ac:dyDescent="0.25">
      <c r="B735" s="14"/>
      <c r="C735" s="15"/>
      <c r="D735" s="15"/>
      <c r="E735" s="3"/>
    </row>
    <row r="736" spans="2:5" ht="12.75" customHeight="1" x14ac:dyDescent="0.25">
      <c r="B736" s="14"/>
      <c r="C736" s="15"/>
      <c r="D736" s="15"/>
      <c r="E736" s="3"/>
    </row>
    <row r="737" spans="2:5" ht="12.75" customHeight="1" x14ac:dyDescent="0.25">
      <c r="B737" s="14"/>
      <c r="C737" s="15"/>
      <c r="D737" s="15"/>
      <c r="E737" s="3"/>
    </row>
    <row r="738" spans="2:5" ht="12.75" customHeight="1" x14ac:dyDescent="0.25">
      <c r="B738" s="14"/>
      <c r="C738" s="15"/>
      <c r="D738" s="15"/>
      <c r="E738" s="3"/>
    </row>
    <row r="739" spans="2:5" ht="12.75" customHeight="1" x14ac:dyDescent="0.25">
      <c r="B739" s="14"/>
      <c r="C739" s="15"/>
      <c r="D739" s="15"/>
      <c r="E739" s="3"/>
    </row>
    <row r="740" spans="2:5" ht="12.75" customHeight="1" x14ac:dyDescent="0.25">
      <c r="B740" s="14"/>
      <c r="C740" s="15"/>
      <c r="D740" s="15"/>
      <c r="E740" s="3"/>
    </row>
    <row r="741" spans="2:5" ht="12.75" customHeight="1" x14ac:dyDescent="0.25">
      <c r="B741" s="14"/>
      <c r="C741" s="15"/>
      <c r="D741" s="15"/>
      <c r="E741" s="3"/>
    </row>
    <row r="742" spans="2:5" ht="12.75" customHeight="1" x14ac:dyDescent="0.25">
      <c r="B742" s="14"/>
      <c r="C742" s="15"/>
      <c r="D742" s="15"/>
      <c r="E742" s="3"/>
    </row>
    <row r="743" spans="2:5" ht="12.75" customHeight="1" x14ac:dyDescent="0.25">
      <c r="B743" s="14"/>
      <c r="C743" s="15"/>
      <c r="D743" s="15"/>
      <c r="E743" s="3"/>
    </row>
    <row r="744" spans="2:5" ht="12.75" customHeight="1" x14ac:dyDescent="0.25">
      <c r="B744" s="14"/>
      <c r="C744" s="15"/>
      <c r="D744" s="15"/>
      <c r="E744" s="3"/>
    </row>
    <row r="745" spans="2:5" ht="12.75" customHeight="1" x14ac:dyDescent="0.25">
      <c r="B745" s="14"/>
      <c r="C745" s="15"/>
      <c r="D745" s="15"/>
      <c r="E745" s="3"/>
    </row>
    <row r="746" spans="2:5" ht="12.75" customHeight="1" x14ac:dyDescent="0.25">
      <c r="B746" s="14"/>
      <c r="C746" s="15"/>
      <c r="D746" s="15"/>
      <c r="E746" s="3"/>
    </row>
    <row r="747" spans="2:5" ht="12.75" customHeight="1" x14ac:dyDescent="0.25">
      <c r="B747" s="14"/>
      <c r="C747" s="15"/>
      <c r="D747" s="15"/>
      <c r="E747" s="3"/>
    </row>
    <row r="748" spans="2:5" ht="12.75" customHeight="1" x14ac:dyDescent="0.25">
      <c r="B748" s="14"/>
      <c r="C748" s="15"/>
      <c r="D748" s="15"/>
      <c r="E748" s="3"/>
    </row>
    <row r="749" spans="2:5" ht="12.75" customHeight="1" x14ac:dyDescent="0.25">
      <c r="B749" s="14"/>
      <c r="C749" s="15"/>
      <c r="D749" s="15"/>
      <c r="E749" s="3"/>
    </row>
    <row r="750" spans="2:5" ht="12.75" customHeight="1" x14ac:dyDescent="0.25">
      <c r="B750" s="14"/>
      <c r="C750" s="15"/>
      <c r="D750" s="15"/>
      <c r="E750" s="3"/>
    </row>
    <row r="751" spans="2:5" ht="12.75" customHeight="1" x14ac:dyDescent="0.25">
      <c r="B751" s="14"/>
      <c r="C751" s="15"/>
      <c r="D751" s="15"/>
      <c r="E751" s="3"/>
    </row>
    <row r="752" spans="2:5" ht="12.75" customHeight="1" x14ac:dyDescent="0.25">
      <c r="B752" s="14"/>
      <c r="C752" s="15"/>
      <c r="D752" s="15"/>
      <c r="E752" s="3"/>
    </row>
    <row r="753" spans="2:5" ht="12.75" customHeight="1" x14ac:dyDescent="0.25">
      <c r="B753" s="14"/>
      <c r="C753" s="15"/>
      <c r="D753" s="15"/>
      <c r="E753" s="3"/>
    </row>
    <row r="754" spans="2:5" ht="12.75" customHeight="1" x14ac:dyDescent="0.25">
      <c r="B754" s="14"/>
      <c r="C754" s="15"/>
      <c r="D754" s="15"/>
      <c r="E754" s="3"/>
    </row>
    <row r="755" spans="2:5" ht="12.75" customHeight="1" x14ac:dyDescent="0.25">
      <c r="B755" s="14"/>
      <c r="C755" s="15"/>
      <c r="D755" s="15"/>
      <c r="E755" s="3"/>
    </row>
    <row r="756" spans="2:5" ht="12.75" customHeight="1" x14ac:dyDescent="0.25">
      <c r="B756" s="14"/>
      <c r="C756" s="15"/>
      <c r="D756" s="15"/>
      <c r="E756" s="3"/>
    </row>
    <row r="757" spans="2:5" ht="12.75" customHeight="1" x14ac:dyDescent="0.25">
      <c r="B757" s="14"/>
      <c r="C757" s="15"/>
      <c r="D757" s="15"/>
      <c r="E757" s="3"/>
    </row>
    <row r="758" spans="2:5" ht="12.75" customHeight="1" x14ac:dyDescent="0.25">
      <c r="B758" s="14"/>
      <c r="C758" s="15"/>
      <c r="D758" s="15"/>
      <c r="E758" s="3"/>
    </row>
    <row r="759" spans="2:5" ht="12.75" customHeight="1" x14ac:dyDescent="0.25">
      <c r="B759" s="14"/>
      <c r="C759" s="15"/>
      <c r="D759" s="15"/>
      <c r="E759" s="3"/>
    </row>
    <row r="760" spans="2:5" ht="12.75" customHeight="1" x14ac:dyDescent="0.25">
      <c r="B760" s="14"/>
      <c r="C760" s="15"/>
      <c r="D760" s="15"/>
      <c r="E760" s="3"/>
    </row>
    <row r="761" spans="2:5" ht="12.75" customHeight="1" x14ac:dyDescent="0.25">
      <c r="B761" s="14"/>
      <c r="C761" s="15"/>
      <c r="D761" s="15"/>
      <c r="E761" s="3"/>
    </row>
    <row r="762" spans="2:5" ht="12.75" customHeight="1" x14ac:dyDescent="0.25">
      <c r="B762" s="14"/>
      <c r="C762" s="15"/>
      <c r="D762" s="15"/>
      <c r="E762" s="3"/>
    </row>
    <row r="763" spans="2:5" ht="12.75" customHeight="1" x14ac:dyDescent="0.25">
      <c r="B763" s="14"/>
      <c r="C763" s="15"/>
      <c r="D763" s="15"/>
      <c r="E763" s="3"/>
    </row>
    <row r="764" spans="2:5" ht="12.75" customHeight="1" x14ac:dyDescent="0.25">
      <c r="B764" s="14"/>
      <c r="C764" s="15"/>
      <c r="D764" s="15"/>
      <c r="E764" s="3"/>
    </row>
    <row r="765" spans="2:5" ht="12.75" customHeight="1" x14ac:dyDescent="0.25">
      <c r="B765" s="14"/>
      <c r="C765" s="15"/>
      <c r="D765" s="15"/>
      <c r="E765" s="3"/>
    </row>
    <row r="766" spans="2:5" ht="12.75" customHeight="1" x14ac:dyDescent="0.25">
      <c r="B766" s="14"/>
      <c r="C766" s="15"/>
      <c r="D766" s="15"/>
      <c r="E766" s="3"/>
    </row>
    <row r="767" spans="2:5" ht="12.75" customHeight="1" x14ac:dyDescent="0.25">
      <c r="B767" s="14"/>
      <c r="C767" s="15"/>
      <c r="D767" s="15"/>
      <c r="E767" s="3"/>
    </row>
    <row r="768" spans="2:5" ht="12.75" customHeight="1" x14ac:dyDescent="0.25">
      <c r="B768" s="14"/>
      <c r="C768" s="15"/>
      <c r="D768" s="15"/>
      <c r="E768" s="3"/>
    </row>
    <row r="769" spans="2:5" ht="12.75" customHeight="1" x14ac:dyDescent="0.25">
      <c r="B769" s="14"/>
      <c r="C769" s="15"/>
      <c r="D769" s="15"/>
      <c r="E769" s="3"/>
    </row>
    <row r="770" spans="2:5" ht="12.75" customHeight="1" x14ac:dyDescent="0.25">
      <c r="B770" s="14"/>
      <c r="C770" s="15"/>
      <c r="D770" s="15"/>
      <c r="E770" s="3"/>
    </row>
    <row r="771" spans="2:5" ht="12.75" customHeight="1" x14ac:dyDescent="0.25">
      <c r="B771" s="14"/>
      <c r="C771" s="15"/>
      <c r="D771" s="15"/>
      <c r="E771" s="3"/>
    </row>
    <row r="772" spans="2:5" ht="12.75" customHeight="1" x14ac:dyDescent="0.25">
      <c r="B772" s="14"/>
      <c r="C772" s="15"/>
      <c r="D772" s="15"/>
      <c r="E772" s="3"/>
    </row>
    <row r="773" spans="2:5" ht="12.75" customHeight="1" x14ac:dyDescent="0.25">
      <c r="B773" s="14"/>
      <c r="C773" s="15"/>
      <c r="D773" s="15"/>
      <c r="E773" s="3"/>
    </row>
    <row r="774" spans="2:5" ht="12.75" customHeight="1" x14ac:dyDescent="0.25">
      <c r="B774" s="14"/>
      <c r="C774" s="15"/>
      <c r="D774" s="15"/>
      <c r="E774" s="3"/>
    </row>
    <row r="775" spans="2:5" ht="12.75" customHeight="1" x14ac:dyDescent="0.25">
      <c r="B775" s="14"/>
      <c r="C775" s="15"/>
      <c r="D775" s="15"/>
      <c r="E775" s="3"/>
    </row>
    <row r="776" spans="2:5" ht="12.75" customHeight="1" x14ac:dyDescent="0.25">
      <c r="B776" s="14"/>
      <c r="C776" s="15"/>
      <c r="D776" s="15"/>
      <c r="E776" s="3"/>
    </row>
    <row r="777" spans="2:5" ht="12.75" customHeight="1" x14ac:dyDescent="0.25">
      <c r="B777" s="14"/>
      <c r="C777" s="15"/>
      <c r="D777" s="15"/>
      <c r="E777" s="3"/>
    </row>
    <row r="778" spans="2:5" ht="12.75" customHeight="1" x14ac:dyDescent="0.25">
      <c r="B778" s="14"/>
      <c r="C778" s="15"/>
      <c r="D778" s="15"/>
      <c r="E778" s="3"/>
    </row>
    <row r="779" spans="2:5" ht="12.75" customHeight="1" x14ac:dyDescent="0.25">
      <c r="B779" s="14"/>
      <c r="C779" s="15"/>
      <c r="D779" s="15"/>
      <c r="E779" s="3"/>
    </row>
    <row r="780" spans="2:5" ht="12.75" customHeight="1" x14ac:dyDescent="0.25">
      <c r="B780" s="14"/>
      <c r="C780" s="15"/>
      <c r="D780" s="15"/>
      <c r="E780" s="3"/>
    </row>
    <row r="781" spans="2:5" ht="12.75" customHeight="1" x14ac:dyDescent="0.25">
      <c r="B781" s="14"/>
      <c r="C781" s="15"/>
      <c r="D781" s="15"/>
      <c r="E781" s="3"/>
    </row>
    <row r="782" spans="2:5" ht="12.75" customHeight="1" x14ac:dyDescent="0.25">
      <c r="B782" s="14"/>
      <c r="C782" s="15"/>
      <c r="D782" s="15"/>
      <c r="E782" s="3"/>
    </row>
    <row r="783" spans="2:5" ht="12.75" customHeight="1" x14ac:dyDescent="0.25">
      <c r="B783" s="14"/>
      <c r="C783" s="15"/>
      <c r="D783" s="15"/>
      <c r="E783" s="3"/>
    </row>
    <row r="784" spans="2:5" ht="12.75" customHeight="1" x14ac:dyDescent="0.25">
      <c r="B784" s="14"/>
      <c r="C784" s="15"/>
      <c r="D784" s="15"/>
      <c r="E784" s="3"/>
    </row>
    <row r="785" spans="2:5" ht="12.75" customHeight="1" x14ac:dyDescent="0.25">
      <c r="B785" s="14"/>
      <c r="C785" s="15"/>
      <c r="D785" s="15"/>
      <c r="E785" s="3"/>
    </row>
    <row r="786" spans="2:5" ht="12.75" customHeight="1" x14ac:dyDescent="0.25">
      <c r="B786" s="14"/>
      <c r="C786" s="15"/>
      <c r="D786" s="15"/>
      <c r="E786" s="3"/>
    </row>
    <row r="787" spans="2:5" ht="12.75" customHeight="1" x14ac:dyDescent="0.25">
      <c r="B787" s="14"/>
      <c r="C787" s="15"/>
      <c r="D787" s="15"/>
      <c r="E787" s="3"/>
    </row>
    <row r="788" spans="2:5" ht="12.75" customHeight="1" x14ac:dyDescent="0.25">
      <c r="B788" s="14"/>
      <c r="C788" s="15"/>
      <c r="D788" s="15"/>
      <c r="E788" s="3"/>
    </row>
    <row r="789" spans="2:5" ht="12.75" customHeight="1" x14ac:dyDescent="0.25">
      <c r="B789" s="14"/>
      <c r="C789" s="15"/>
      <c r="D789" s="15"/>
      <c r="E789" s="3"/>
    </row>
    <row r="790" spans="2:5" ht="12.75" customHeight="1" x14ac:dyDescent="0.25">
      <c r="B790" s="14"/>
      <c r="C790" s="15"/>
      <c r="D790" s="15"/>
      <c r="E790" s="3"/>
    </row>
    <row r="791" spans="2:5" ht="12.75" customHeight="1" x14ac:dyDescent="0.25">
      <c r="B791" s="14"/>
      <c r="C791" s="15"/>
      <c r="D791" s="15"/>
      <c r="E791" s="3"/>
    </row>
    <row r="792" spans="2:5" ht="12.75" customHeight="1" x14ac:dyDescent="0.25">
      <c r="B792" s="14"/>
      <c r="C792" s="15"/>
      <c r="D792" s="15"/>
      <c r="E792" s="3"/>
    </row>
    <row r="793" spans="2:5" ht="12.75" customHeight="1" x14ac:dyDescent="0.25">
      <c r="B793" s="14"/>
      <c r="C793" s="15"/>
      <c r="D793" s="15"/>
      <c r="E793" s="3"/>
    </row>
    <row r="794" spans="2:5" ht="12.75" customHeight="1" x14ac:dyDescent="0.25">
      <c r="B794" s="14"/>
      <c r="C794" s="15"/>
      <c r="D794" s="15"/>
      <c r="E794" s="3"/>
    </row>
    <row r="795" spans="2:5" ht="12.75" customHeight="1" x14ac:dyDescent="0.25">
      <c r="B795" s="14"/>
      <c r="C795" s="15"/>
      <c r="D795" s="15"/>
      <c r="E795" s="3"/>
    </row>
    <row r="796" spans="2:5" ht="12.75" customHeight="1" x14ac:dyDescent="0.25">
      <c r="B796" s="14"/>
      <c r="C796" s="15"/>
      <c r="D796" s="15"/>
      <c r="E796" s="3"/>
    </row>
    <row r="797" spans="2:5" ht="12.75" customHeight="1" x14ac:dyDescent="0.25">
      <c r="B797" s="14"/>
      <c r="C797" s="15"/>
      <c r="D797" s="15"/>
      <c r="E797" s="3"/>
    </row>
    <row r="798" spans="2:5" ht="12.75" customHeight="1" x14ac:dyDescent="0.25">
      <c r="B798" s="14"/>
      <c r="C798" s="15"/>
      <c r="D798" s="15"/>
      <c r="E798" s="3"/>
    </row>
    <row r="799" spans="2:5" ht="12.75" customHeight="1" x14ac:dyDescent="0.25">
      <c r="B799" s="14"/>
      <c r="C799" s="15"/>
      <c r="D799" s="15"/>
      <c r="E799" s="3"/>
    </row>
    <row r="800" spans="2:5" ht="12.75" customHeight="1" x14ac:dyDescent="0.25">
      <c r="B800" s="14"/>
      <c r="C800" s="15"/>
      <c r="D800" s="15"/>
      <c r="E800" s="3"/>
    </row>
    <row r="801" spans="2:5" ht="12.75" customHeight="1" x14ac:dyDescent="0.25">
      <c r="B801" s="14"/>
      <c r="C801" s="15"/>
      <c r="D801" s="15"/>
      <c r="E801" s="3"/>
    </row>
    <row r="802" spans="2:5" ht="12.75" customHeight="1" x14ac:dyDescent="0.25">
      <c r="B802" s="14"/>
      <c r="C802" s="15"/>
      <c r="D802" s="15"/>
      <c r="E802" s="3"/>
    </row>
    <row r="803" spans="2:5" ht="12.75" customHeight="1" x14ac:dyDescent="0.25">
      <c r="B803" s="14"/>
      <c r="C803" s="15"/>
      <c r="D803" s="15"/>
      <c r="E803" s="3"/>
    </row>
    <row r="804" spans="2:5" ht="12.75" customHeight="1" x14ac:dyDescent="0.25">
      <c r="B804" s="14"/>
      <c r="C804" s="15"/>
      <c r="D804" s="15"/>
      <c r="E804" s="3"/>
    </row>
    <row r="805" spans="2:5" ht="12.75" customHeight="1" x14ac:dyDescent="0.25">
      <c r="B805" s="14"/>
      <c r="C805" s="15"/>
      <c r="D805" s="15"/>
      <c r="E805" s="3"/>
    </row>
    <row r="806" spans="2:5" ht="12.75" customHeight="1" x14ac:dyDescent="0.25">
      <c r="B806" s="14"/>
      <c r="C806" s="15"/>
      <c r="D806" s="15"/>
      <c r="E806" s="3"/>
    </row>
    <row r="807" spans="2:5" ht="12.75" customHeight="1" x14ac:dyDescent="0.25">
      <c r="B807" s="14"/>
      <c r="C807" s="15"/>
      <c r="D807" s="15"/>
      <c r="E807" s="3"/>
    </row>
    <row r="808" spans="2:5" ht="12.75" customHeight="1" x14ac:dyDescent="0.25">
      <c r="B808" s="14"/>
      <c r="C808" s="15"/>
      <c r="D808" s="15"/>
      <c r="E808" s="3"/>
    </row>
    <row r="809" spans="2:5" ht="12.75" customHeight="1" x14ac:dyDescent="0.25">
      <c r="B809" s="14"/>
      <c r="C809" s="15"/>
      <c r="D809" s="15"/>
      <c r="E809" s="3"/>
    </row>
    <row r="810" spans="2:5" ht="12.75" customHeight="1" x14ac:dyDescent="0.25">
      <c r="B810" s="14"/>
      <c r="C810" s="15"/>
      <c r="D810" s="15"/>
      <c r="E810" s="3"/>
    </row>
    <row r="811" spans="2:5" ht="12.75" customHeight="1" x14ac:dyDescent="0.25">
      <c r="B811" s="14"/>
      <c r="C811" s="15"/>
      <c r="D811" s="15"/>
      <c r="E811" s="3"/>
    </row>
    <row r="812" spans="2:5" ht="12.75" customHeight="1" x14ac:dyDescent="0.25">
      <c r="B812" s="14"/>
      <c r="C812" s="15"/>
      <c r="D812" s="15"/>
      <c r="E812" s="3"/>
    </row>
    <row r="813" spans="2:5" ht="12.75" customHeight="1" x14ac:dyDescent="0.25">
      <c r="B813" s="14"/>
      <c r="C813" s="15"/>
      <c r="D813" s="15"/>
      <c r="E813" s="3"/>
    </row>
    <row r="814" spans="2:5" ht="12.75" customHeight="1" x14ac:dyDescent="0.25">
      <c r="B814" s="14"/>
      <c r="C814" s="15"/>
      <c r="D814" s="15"/>
      <c r="E814" s="3"/>
    </row>
    <row r="815" spans="2:5" ht="12.75" customHeight="1" x14ac:dyDescent="0.25">
      <c r="B815" s="14"/>
      <c r="C815" s="15"/>
      <c r="D815" s="15"/>
      <c r="E815" s="3"/>
    </row>
    <row r="816" spans="2:5" ht="12.75" customHeight="1" x14ac:dyDescent="0.25">
      <c r="B816" s="14"/>
      <c r="C816" s="15"/>
      <c r="D816" s="15"/>
      <c r="E816" s="3"/>
    </row>
    <row r="817" spans="2:5" ht="12.75" customHeight="1" x14ac:dyDescent="0.25">
      <c r="B817" s="14"/>
      <c r="C817" s="15"/>
      <c r="D817" s="15"/>
      <c r="E817" s="3"/>
    </row>
    <row r="818" spans="2:5" ht="12.75" customHeight="1" x14ac:dyDescent="0.25">
      <c r="B818" s="14"/>
      <c r="C818" s="15"/>
      <c r="D818" s="15"/>
      <c r="E818" s="3"/>
    </row>
    <row r="819" spans="2:5" ht="12.75" customHeight="1" x14ac:dyDescent="0.25">
      <c r="B819" s="14"/>
      <c r="C819" s="15"/>
      <c r="D819" s="15"/>
      <c r="E819" s="3"/>
    </row>
    <row r="820" spans="2:5" ht="12.75" customHeight="1" x14ac:dyDescent="0.25">
      <c r="B820" s="14"/>
      <c r="C820" s="15"/>
      <c r="D820" s="15"/>
      <c r="E820" s="3"/>
    </row>
    <row r="821" spans="2:5" ht="12.75" customHeight="1" x14ac:dyDescent="0.25">
      <c r="B821" s="14"/>
      <c r="C821" s="15"/>
      <c r="D821" s="15"/>
      <c r="E821" s="3"/>
    </row>
    <row r="822" spans="2:5" ht="12.75" customHeight="1" x14ac:dyDescent="0.25">
      <c r="B822" s="14"/>
      <c r="C822" s="15"/>
      <c r="D822" s="15"/>
      <c r="E822" s="3"/>
    </row>
    <row r="823" spans="2:5" ht="12.75" customHeight="1" x14ac:dyDescent="0.25">
      <c r="B823" s="14"/>
      <c r="C823" s="15"/>
      <c r="D823" s="15"/>
      <c r="E823" s="3"/>
    </row>
    <row r="824" spans="2:5" ht="12.75" customHeight="1" x14ac:dyDescent="0.25">
      <c r="B824" s="14"/>
      <c r="C824" s="15"/>
      <c r="D824" s="15"/>
      <c r="E824" s="3"/>
    </row>
    <row r="825" spans="2:5" ht="12.75" customHeight="1" x14ac:dyDescent="0.25">
      <c r="B825" s="14"/>
      <c r="C825" s="15"/>
      <c r="D825" s="15"/>
      <c r="E825" s="3"/>
    </row>
    <row r="826" spans="2:5" ht="12.75" customHeight="1" x14ac:dyDescent="0.25">
      <c r="B826" s="14"/>
      <c r="C826" s="15"/>
      <c r="D826" s="15"/>
      <c r="E826" s="3"/>
    </row>
    <row r="827" spans="2:5" ht="12.75" customHeight="1" x14ac:dyDescent="0.25">
      <c r="B827" s="14"/>
      <c r="C827" s="15"/>
      <c r="D827" s="15"/>
      <c r="E827" s="3"/>
    </row>
    <row r="828" spans="2:5" ht="12.75" customHeight="1" x14ac:dyDescent="0.25">
      <c r="B828" s="14"/>
      <c r="C828" s="15"/>
      <c r="D828" s="15"/>
      <c r="E828" s="3"/>
    </row>
    <row r="829" spans="2:5" ht="12.75" customHeight="1" x14ac:dyDescent="0.25">
      <c r="B829" s="14"/>
      <c r="C829" s="15"/>
      <c r="D829" s="15"/>
      <c r="E829" s="3"/>
    </row>
    <row r="830" spans="2:5" ht="12.75" customHeight="1" x14ac:dyDescent="0.25">
      <c r="B830" s="14"/>
      <c r="C830" s="15"/>
      <c r="D830" s="15"/>
      <c r="E830" s="3"/>
    </row>
    <row r="831" spans="2:5" ht="12.75" customHeight="1" x14ac:dyDescent="0.25">
      <c r="B831" s="14"/>
      <c r="C831" s="15"/>
      <c r="D831" s="15"/>
      <c r="E831" s="3"/>
    </row>
    <row r="832" spans="2:5" ht="12.75" customHeight="1" x14ac:dyDescent="0.25">
      <c r="B832" s="14"/>
      <c r="C832" s="15"/>
      <c r="D832" s="15"/>
      <c r="E832" s="3"/>
    </row>
    <row r="833" spans="2:5" ht="12.75" customHeight="1" x14ac:dyDescent="0.25">
      <c r="B833" s="14"/>
      <c r="C833" s="15"/>
      <c r="D833" s="15"/>
      <c r="E833" s="3"/>
    </row>
    <row r="834" spans="2:5" ht="12.75" customHeight="1" x14ac:dyDescent="0.25">
      <c r="B834" s="14"/>
      <c r="C834" s="15"/>
      <c r="D834" s="15"/>
      <c r="E834" s="3"/>
    </row>
    <row r="835" spans="2:5" ht="12.75" customHeight="1" x14ac:dyDescent="0.25">
      <c r="B835" s="14"/>
      <c r="C835" s="15"/>
      <c r="D835" s="15"/>
      <c r="E835" s="3"/>
    </row>
    <row r="836" spans="2:5" ht="12.75" customHeight="1" x14ac:dyDescent="0.25">
      <c r="B836" s="14"/>
      <c r="C836" s="15"/>
      <c r="D836" s="15"/>
      <c r="E836" s="3"/>
    </row>
    <row r="837" spans="2:5" ht="12.75" customHeight="1" x14ac:dyDescent="0.25">
      <c r="B837" s="14"/>
      <c r="C837" s="15"/>
      <c r="D837" s="15"/>
      <c r="E837" s="3"/>
    </row>
    <row r="838" spans="2:5" ht="12.75" customHeight="1" x14ac:dyDescent="0.25">
      <c r="B838" s="14"/>
      <c r="C838" s="15"/>
      <c r="D838" s="15"/>
      <c r="E838" s="3"/>
    </row>
    <row r="839" spans="2:5" ht="12.75" customHeight="1" x14ac:dyDescent="0.25">
      <c r="B839" s="14"/>
      <c r="C839" s="15"/>
      <c r="D839" s="15"/>
      <c r="E839" s="3"/>
    </row>
    <row r="840" spans="2:5" ht="12.75" customHeight="1" x14ac:dyDescent="0.25">
      <c r="B840" s="14"/>
      <c r="C840" s="15"/>
      <c r="D840" s="15"/>
      <c r="E840" s="3"/>
    </row>
    <row r="841" spans="2:5" ht="12.75" customHeight="1" x14ac:dyDescent="0.25">
      <c r="B841" s="14"/>
      <c r="C841" s="15"/>
      <c r="D841" s="15"/>
      <c r="E841" s="3"/>
    </row>
    <row r="842" spans="2:5" ht="12.75" customHeight="1" x14ac:dyDescent="0.25">
      <c r="B842" s="14"/>
      <c r="C842" s="15"/>
      <c r="D842" s="15"/>
      <c r="E842" s="3"/>
    </row>
    <row r="843" spans="2:5" ht="12.75" customHeight="1" x14ac:dyDescent="0.25">
      <c r="B843" s="14"/>
      <c r="C843" s="15"/>
      <c r="D843" s="15"/>
      <c r="E843" s="3"/>
    </row>
    <row r="844" spans="2:5" ht="12.75" customHeight="1" x14ac:dyDescent="0.25">
      <c r="B844" s="14"/>
      <c r="C844" s="15"/>
      <c r="D844" s="15"/>
      <c r="E844" s="3"/>
    </row>
    <row r="845" spans="2:5" ht="12.75" customHeight="1" x14ac:dyDescent="0.25">
      <c r="B845" s="14"/>
      <c r="C845" s="15"/>
      <c r="D845" s="15"/>
      <c r="E845" s="3"/>
    </row>
    <row r="846" spans="2:5" ht="12.75" customHeight="1" x14ac:dyDescent="0.25">
      <c r="B846" s="14"/>
      <c r="C846" s="15"/>
      <c r="D846" s="15"/>
      <c r="E846" s="3"/>
    </row>
    <row r="847" spans="2:5" ht="12.75" customHeight="1" x14ac:dyDescent="0.25">
      <c r="B847" s="14"/>
      <c r="C847" s="15"/>
      <c r="D847" s="15"/>
      <c r="E847" s="3"/>
    </row>
    <row r="848" spans="2:5" ht="12.75" customHeight="1" x14ac:dyDescent="0.25">
      <c r="B848" s="14"/>
      <c r="C848" s="15"/>
      <c r="D848" s="15"/>
      <c r="E848" s="3"/>
    </row>
    <row r="849" spans="2:5" ht="12.75" customHeight="1" x14ac:dyDescent="0.25">
      <c r="B849" s="14"/>
      <c r="C849" s="15"/>
      <c r="D849" s="15"/>
      <c r="E849" s="3"/>
    </row>
    <row r="850" spans="2:5" ht="12.75" customHeight="1" x14ac:dyDescent="0.25">
      <c r="B850" s="14"/>
      <c r="C850" s="15"/>
      <c r="D850" s="15"/>
      <c r="E850" s="3"/>
    </row>
    <row r="851" spans="2:5" ht="12.75" customHeight="1" x14ac:dyDescent="0.25">
      <c r="B851" s="14"/>
      <c r="C851" s="15"/>
      <c r="D851" s="15"/>
      <c r="E851" s="3"/>
    </row>
    <row r="852" spans="2:5" ht="12.75" customHeight="1" x14ac:dyDescent="0.25">
      <c r="B852" s="14"/>
      <c r="C852" s="15"/>
      <c r="D852" s="15"/>
      <c r="E852" s="3"/>
    </row>
    <row r="853" spans="2:5" ht="12.75" customHeight="1" x14ac:dyDescent="0.25">
      <c r="B853" s="14"/>
      <c r="C853" s="15"/>
      <c r="D853" s="15"/>
      <c r="E853" s="3"/>
    </row>
    <row r="854" spans="2:5" ht="12.75" customHeight="1" x14ac:dyDescent="0.25">
      <c r="B854" s="14"/>
      <c r="C854" s="15"/>
      <c r="D854" s="15"/>
      <c r="E854" s="3"/>
    </row>
    <row r="855" spans="2:5" ht="12.75" customHeight="1" x14ac:dyDescent="0.25">
      <c r="B855" s="14"/>
      <c r="C855" s="15"/>
      <c r="D855" s="15"/>
      <c r="E855" s="3"/>
    </row>
    <row r="856" spans="2:5" ht="12.75" customHeight="1" x14ac:dyDescent="0.25">
      <c r="B856" s="14"/>
      <c r="C856" s="15"/>
      <c r="D856" s="15"/>
      <c r="E856" s="3"/>
    </row>
    <row r="857" spans="2:5" ht="12.75" customHeight="1" x14ac:dyDescent="0.25">
      <c r="B857" s="14"/>
      <c r="C857" s="15"/>
      <c r="D857" s="15"/>
      <c r="E857" s="3"/>
    </row>
    <row r="858" spans="2:5" ht="12.75" customHeight="1" x14ac:dyDescent="0.25">
      <c r="B858" s="14"/>
      <c r="C858" s="15"/>
      <c r="D858" s="15"/>
      <c r="E858" s="3"/>
    </row>
    <row r="859" spans="2:5" ht="12.75" customHeight="1" x14ac:dyDescent="0.25">
      <c r="B859" s="14"/>
      <c r="C859" s="15"/>
      <c r="D859" s="15"/>
      <c r="E859" s="3"/>
    </row>
    <row r="860" spans="2:5" ht="12.75" customHeight="1" x14ac:dyDescent="0.25">
      <c r="B860" s="14"/>
      <c r="C860" s="15"/>
      <c r="D860" s="15"/>
      <c r="E860" s="3"/>
    </row>
    <row r="861" spans="2:5" ht="12.75" customHeight="1" x14ac:dyDescent="0.25">
      <c r="B861" s="14"/>
      <c r="C861" s="15"/>
      <c r="D861" s="15"/>
      <c r="E861" s="3"/>
    </row>
    <row r="862" spans="2:5" ht="12.75" customHeight="1" x14ac:dyDescent="0.25">
      <c r="B862" s="14"/>
      <c r="C862" s="15"/>
      <c r="D862" s="15"/>
      <c r="E862" s="3"/>
    </row>
    <row r="863" spans="2:5" ht="12.75" customHeight="1" x14ac:dyDescent="0.25">
      <c r="B863" s="14"/>
      <c r="C863" s="15"/>
      <c r="D863" s="15"/>
      <c r="E863" s="3"/>
    </row>
    <row r="864" spans="2:5" ht="12.75" customHeight="1" x14ac:dyDescent="0.25">
      <c r="B864" s="14"/>
      <c r="C864" s="15"/>
      <c r="D864" s="15"/>
      <c r="E864" s="3"/>
    </row>
    <row r="865" spans="2:5" ht="12.75" customHeight="1" x14ac:dyDescent="0.25">
      <c r="B865" s="14"/>
      <c r="C865" s="15"/>
      <c r="D865" s="15"/>
      <c r="E865" s="3"/>
    </row>
    <row r="866" spans="2:5" ht="12.75" customHeight="1" x14ac:dyDescent="0.25">
      <c r="B866" s="14"/>
      <c r="C866" s="15"/>
      <c r="D866" s="15"/>
      <c r="E866" s="3"/>
    </row>
    <row r="867" spans="2:5" ht="12.75" customHeight="1" x14ac:dyDescent="0.25">
      <c r="B867" s="14"/>
      <c r="C867" s="15"/>
      <c r="D867" s="15"/>
      <c r="E867" s="3"/>
    </row>
    <row r="868" spans="2:5" ht="12.75" customHeight="1" x14ac:dyDescent="0.25">
      <c r="B868" s="14"/>
      <c r="C868" s="15"/>
      <c r="D868" s="15"/>
      <c r="E868" s="3"/>
    </row>
    <row r="869" spans="2:5" ht="12.75" customHeight="1" x14ac:dyDescent="0.25">
      <c r="B869" s="14"/>
      <c r="C869" s="15"/>
      <c r="D869" s="15"/>
      <c r="E869" s="3"/>
    </row>
    <row r="870" spans="2:5" ht="12.75" customHeight="1" x14ac:dyDescent="0.25">
      <c r="B870" s="14"/>
      <c r="C870" s="15"/>
      <c r="D870" s="15"/>
      <c r="E870" s="3"/>
    </row>
    <row r="871" spans="2:5" ht="12.75" customHeight="1" x14ac:dyDescent="0.25">
      <c r="B871" s="14"/>
      <c r="C871" s="15"/>
      <c r="D871" s="15"/>
      <c r="E871" s="3"/>
    </row>
    <row r="872" spans="2:5" ht="12.75" customHeight="1" x14ac:dyDescent="0.25">
      <c r="B872" s="14"/>
      <c r="C872" s="15"/>
      <c r="D872" s="15"/>
      <c r="E872" s="3"/>
    </row>
    <row r="873" spans="2:5" ht="12.75" customHeight="1" x14ac:dyDescent="0.25">
      <c r="B873" s="14"/>
      <c r="C873" s="15"/>
      <c r="D873" s="15"/>
      <c r="E873" s="3"/>
    </row>
    <row r="874" spans="2:5" ht="12.75" customHeight="1" x14ac:dyDescent="0.25">
      <c r="B874" s="14"/>
      <c r="C874" s="15"/>
      <c r="D874" s="15"/>
      <c r="E874" s="3"/>
    </row>
    <row r="875" spans="2:5" ht="12.75" customHeight="1" x14ac:dyDescent="0.25">
      <c r="B875" s="14"/>
      <c r="C875" s="15"/>
      <c r="D875" s="15"/>
      <c r="E875" s="3"/>
    </row>
    <row r="876" spans="2:5" ht="12.75" customHeight="1" x14ac:dyDescent="0.25">
      <c r="B876" s="14"/>
      <c r="C876" s="15"/>
      <c r="D876" s="15"/>
      <c r="E876" s="3"/>
    </row>
    <row r="877" spans="2:5" ht="12.75" customHeight="1" x14ac:dyDescent="0.25">
      <c r="B877" s="14"/>
      <c r="C877" s="15"/>
      <c r="D877" s="15"/>
      <c r="E877" s="3"/>
    </row>
    <row r="878" spans="2:5" ht="12.75" customHeight="1" x14ac:dyDescent="0.25">
      <c r="B878" s="14"/>
      <c r="C878" s="15"/>
      <c r="D878" s="15"/>
      <c r="E878" s="3"/>
    </row>
    <row r="879" spans="2:5" ht="12.75" customHeight="1" x14ac:dyDescent="0.25">
      <c r="B879" s="14"/>
      <c r="C879" s="15"/>
      <c r="D879" s="15"/>
      <c r="E879" s="3"/>
    </row>
    <row r="880" spans="2:5" ht="12.75" customHeight="1" x14ac:dyDescent="0.25">
      <c r="B880" s="14"/>
      <c r="C880" s="15"/>
      <c r="D880" s="15"/>
      <c r="E880" s="3"/>
    </row>
    <row r="881" spans="2:5" ht="12.75" customHeight="1" x14ac:dyDescent="0.25">
      <c r="B881" s="14"/>
      <c r="C881" s="15"/>
      <c r="D881" s="15"/>
      <c r="E881" s="3"/>
    </row>
    <row r="882" spans="2:5" ht="12.75" customHeight="1" x14ac:dyDescent="0.25">
      <c r="B882" s="14"/>
      <c r="C882" s="15"/>
      <c r="D882" s="15"/>
      <c r="E882" s="3"/>
    </row>
    <row r="883" spans="2:5" ht="12.75" customHeight="1" x14ac:dyDescent="0.25">
      <c r="B883" s="14"/>
      <c r="C883" s="15"/>
      <c r="D883" s="15"/>
      <c r="E883" s="3"/>
    </row>
    <row r="884" spans="2:5" ht="12.75" customHeight="1" x14ac:dyDescent="0.25">
      <c r="B884" s="14"/>
      <c r="C884" s="15"/>
      <c r="D884" s="15"/>
      <c r="E884" s="3"/>
    </row>
    <row r="885" spans="2:5" ht="12.75" customHeight="1" x14ac:dyDescent="0.25">
      <c r="B885" s="14"/>
      <c r="C885" s="15"/>
      <c r="D885" s="15"/>
      <c r="E885" s="3"/>
    </row>
    <row r="886" spans="2:5" ht="12.75" customHeight="1" x14ac:dyDescent="0.25">
      <c r="B886" s="14"/>
      <c r="C886" s="15"/>
      <c r="D886" s="15"/>
      <c r="E886" s="3"/>
    </row>
    <row r="887" spans="2:5" ht="12.75" customHeight="1" x14ac:dyDescent="0.25">
      <c r="B887" s="14"/>
      <c r="C887" s="15"/>
      <c r="D887" s="15"/>
      <c r="E887" s="3"/>
    </row>
    <row r="888" spans="2:5" ht="12.75" customHeight="1" x14ac:dyDescent="0.25">
      <c r="B888" s="14"/>
      <c r="C888" s="15"/>
      <c r="D888" s="15"/>
      <c r="E888" s="3"/>
    </row>
    <row r="889" spans="2:5" ht="12.75" customHeight="1" x14ac:dyDescent="0.25">
      <c r="B889" s="14"/>
      <c r="C889" s="15"/>
      <c r="D889" s="15"/>
      <c r="E889" s="3"/>
    </row>
    <row r="890" spans="2:5" ht="12.75" customHeight="1" x14ac:dyDescent="0.25">
      <c r="B890" s="14"/>
      <c r="C890" s="15"/>
      <c r="D890" s="15"/>
      <c r="E890" s="3"/>
    </row>
    <row r="891" spans="2:5" ht="12.75" customHeight="1" x14ac:dyDescent="0.25">
      <c r="B891" s="14"/>
      <c r="C891" s="15"/>
      <c r="D891" s="15"/>
      <c r="E891" s="3"/>
    </row>
    <row r="892" spans="2:5" ht="12.75" customHeight="1" x14ac:dyDescent="0.25">
      <c r="B892" s="14"/>
      <c r="C892" s="15"/>
      <c r="D892" s="15"/>
      <c r="E892" s="3"/>
    </row>
    <row r="893" spans="2:5" ht="12.75" customHeight="1" x14ac:dyDescent="0.25">
      <c r="B893" s="14"/>
      <c r="C893" s="15"/>
      <c r="D893" s="15"/>
      <c r="E893" s="3"/>
    </row>
    <row r="894" spans="2:5" ht="12.75" customHeight="1" x14ac:dyDescent="0.25">
      <c r="B894" s="14"/>
      <c r="C894" s="15"/>
      <c r="D894" s="15"/>
      <c r="E894" s="3"/>
    </row>
    <row r="895" spans="2:5" ht="12.75" customHeight="1" x14ac:dyDescent="0.25">
      <c r="B895" s="14"/>
      <c r="C895" s="15"/>
      <c r="D895" s="15"/>
      <c r="E895" s="3"/>
    </row>
    <row r="896" spans="2:5" ht="12.75" customHeight="1" x14ac:dyDescent="0.25">
      <c r="B896" s="14"/>
      <c r="C896" s="15"/>
      <c r="D896" s="15"/>
      <c r="E896" s="3"/>
    </row>
    <row r="897" spans="2:5" ht="12.75" customHeight="1" x14ac:dyDescent="0.25">
      <c r="B897" s="14"/>
      <c r="C897" s="15"/>
      <c r="D897" s="15"/>
      <c r="E897" s="3"/>
    </row>
    <row r="898" spans="2:5" ht="12.75" customHeight="1" x14ac:dyDescent="0.25">
      <c r="B898" s="14"/>
      <c r="C898" s="15"/>
      <c r="D898" s="15"/>
      <c r="E898" s="3"/>
    </row>
    <row r="899" spans="2:5" ht="12.75" customHeight="1" x14ac:dyDescent="0.25">
      <c r="B899" s="14"/>
      <c r="C899" s="15"/>
      <c r="D899" s="15"/>
      <c r="E899" s="3"/>
    </row>
    <row r="900" spans="2:5" ht="12.75" customHeight="1" x14ac:dyDescent="0.25">
      <c r="B900" s="14"/>
      <c r="C900" s="15"/>
      <c r="D900" s="15"/>
      <c r="E900" s="3"/>
    </row>
    <row r="901" spans="2:5" ht="12.75" customHeight="1" x14ac:dyDescent="0.25">
      <c r="B901" s="14"/>
      <c r="C901" s="15"/>
      <c r="D901" s="15"/>
      <c r="E901" s="3"/>
    </row>
    <row r="902" spans="2:5" ht="12.75" customHeight="1" x14ac:dyDescent="0.25">
      <c r="B902" s="14"/>
      <c r="C902" s="15"/>
      <c r="D902" s="15"/>
      <c r="E902" s="3"/>
    </row>
    <row r="903" spans="2:5" ht="12.75" customHeight="1" x14ac:dyDescent="0.25">
      <c r="B903" s="14"/>
      <c r="C903" s="15"/>
      <c r="D903" s="15"/>
      <c r="E903" s="3"/>
    </row>
    <row r="904" spans="2:5" ht="12.75" customHeight="1" x14ac:dyDescent="0.25">
      <c r="B904" s="14"/>
      <c r="C904" s="15"/>
      <c r="D904" s="15"/>
      <c r="E904" s="3"/>
    </row>
    <row r="905" spans="2:5" ht="12.75" customHeight="1" x14ac:dyDescent="0.25">
      <c r="B905" s="14"/>
      <c r="C905" s="15"/>
      <c r="D905" s="15"/>
      <c r="E905" s="3"/>
    </row>
    <row r="906" spans="2:5" ht="12.75" customHeight="1" x14ac:dyDescent="0.25">
      <c r="B906" s="14"/>
      <c r="C906" s="15"/>
      <c r="D906" s="15"/>
      <c r="E906" s="3"/>
    </row>
    <row r="907" spans="2:5" ht="12.75" customHeight="1" x14ac:dyDescent="0.25">
      <c r="B907" s="14"/>
      <c r="C907" s="15"/>
      <c r="D907" s="15"/>
      <c r="E907" s="3"/>
    </row>
    <row r="908" spans="2:5" ht="12.75" customHeight="1" x14ac:dyDescent="0.25">
      <c r="B908" s="14"/>
      <c r="C908" s="15"/>
      <c r="D908" s="15"/>
      <c r="E908" s="3"/>
    </row>
    <row r="909" spans="2:5" ht="12.75" customHeight="1" x14ac:dyDescent="0.25">
      <c r="B909" s="14"/>
      <c r="C909" s="15"/>
      <c r="D909" s="15"/>
      <c r="E909" s="3"/>
    </row>
    <row r="910" spans="2:5" ht="12.75" customHeight="1" x14ac:dyDescent="0.25">
      <c r="B910" s="14"/>
      <c r="C910" s="15"/>
      <c r="D910" s="15"/>
      <c r="E910" s="3"/>
    </row>
    <row r="911" spans="2:5" ht="12.75" customHeight="1" x14ac:dyDescent="0.25">
      <c r="B911" s="14"/>
      <c r="C911" s="15"/>
      <c r="D911" s="15"/>
      <c r="E911" s="3"/>
    </row>
    <row r="912" spans="2:5" ht="12.75" customHeight="1" x14ac:dyDescent="0.25">
      <c r="B912" s="14"/>
      <c r="C912" s="15"/>
      <c r="D912" s="15"/>
      <c r="E912" s="3"/>
    </row>
    <row r="913" spans="2:5" ht="12.75" customHeight="1" x14ac:dyDescent="0.25">
      <c r="B913" s="14"/>
      <c r="C913" s="15"/>
      <c r="D913" s="15"/>
      <c r="E913" s="3"/>
    </row>
    <row r="914" spans="2:5" ht="12.75" customHeight="1" x14ac:dyDescent="0.25">
      <c r="B914" s="14"/>
      <c r="C914" s="15"/>
      <c r="D914" s="15"/>
      <c r="E914" s="3"/>
    </row>
    <row r="915" spans="2:5" ht="12.75" customHeight="1" x14ac:dyDescent="0.25">
      <c r="B915" s="14"/>
      <c r="C915" s="15"/>
      <c r="D915" s="15"/>
      <c r="E915" s="3"/>
    </row>
    <row r="916" spans="2:5" ht="12.75" customHeight="1" x14ac:dyDescent="0.25">
      <c r="B916" s="14"/>
      <c r="C916" s="15"/>
      <c r="D916" s="15"/>
      <c r="E916" s="3"/>
    </row>
    <row r="917" spans="2:5" ht="12.75" customHeight="1" x14ac:dyDescent="0.25">
      <c r="B917" s="14"/>
      <c r="C917" s="15"/>
      <c r="D917" s="15"/>
      <c r="E917" s="3"/>
    </row>
    <row r="918" spans="2:5" ht="12.75" customHeight="1" x14ac:dyDescent="0.25">
      <c r="B918" s="14"/>
      <c r="C918" s="15"/>
      <c r="D918" s="15"/>
      <c r="E918" s="3"/>
    </row>
    <row r="919" spans="2:5" ht="12.75" customHeight="1" x14ac:dyDescent="0.25">
      <c r="B919" s="14"/>
      <c r="C919" s="15"/>
      <c r="D919" s="15"/>
      <c r="E919" s="3"/>
    </row>
    <row r="920" spans="2:5" ht="12.75" customHeight="1" x14ac:dyDescent="0.25">
      <c r="B920" s="14"/>
      <c r="C920" s="15"/>
      <c r="D920" s="15"/>
      <c r="E920" s="3"/>
    </row>
    <row r="921" spans="2:5" ht="12.75" customHeight="1" x14ac:dyDescent="0.25">
      <c r="B921" s="14"/>
      <c r="C921" s="15"/>
      <c r="D921" s="15"/>
      <c r="E921" s="3"/>
    </row>
    <row r="922" spans="2:5" ht="12.75" customHeight="1" x14ac:dyDescent="0.25">
      <c r="B922" s="14"/>
      <c r="C922" s="15"/>
      <c r="D922" s="15"/>
      <c r="E922" s="3"/>
    </row>
    <row r="923" spans="2:5" ht="12.75" customHeight="1" x14ac:dyDescent="0.25">
      <c r="B923" s="14"/>
      <c r="C923" s="15"/>
      <c r="D923" s="15"/>
      <c r="E923" s="3"/>
    </row>
    <row r="924" spans="2:5" ht="12.75" customHeight="1" x14ac:dyDescent="0.25">
      <c r="B924" s="14"/>
      <c r="C924" s="15"/>
      <c r="D924" s="15"/>
      <c r="E924" s="3"/>
    </row>
    <row r="925" spans="2:5" ht="12.75" customHeight="1" x14ac:dyDescent="0.25">
      <c r="B925" s="14"/>
      <c r="C925" s="15"/>
      <c r="D925" s="15"/>
      <c r="E925" s="3"/>
    </row>
    <row r="926" spans="2:5" ht="12.75" customHeight="1" x14ac:dyDescent="0.25">
      <c r="B926" s="14"/>
      <c r="C926" s="15"/>
      <c r="D926" s="15"/>
      <c r="E926" s="3"/>
    </row>
    <row r="927" spans="2:5" ht="12.75" customHeight="1" x14ac:dyDescent="0.25">
      <c r="B927" s="14"/>
      <c r="C927" s="15"/>
      <c r="D927" s="15"/>
      <c r="E927" s="3"/>
    </row>
    <row r="928" spans="2:5" ht="12.75" customHeight="1" x14ac:dyDescent="0.25">
      <c r="B928" s="14"/>
      <c r="C928" s="15"/>
      <c r="D928" s="15"/>
      <c r="E928" s="3"/>
    </row>
    <row r="929" spans="2:5" ht="12.75" customHeight="1" x14ac:dyDescent="0.25">
      <c r="B929" s="14"/>
      <c r="C929" s="15"/>
      <c r="D929" s="15"/>
      <c r="E929" s="3"/>
    </row>
    <row r="930" spans="2:5" ht="12.75" customHeight="1" x14ac:dyDescent="0.25">
      <c r="B930" s="14"/>
      <c r="C930" s="15"/>
      <c r="D930" s="15"/>
      <c r="E930" s="3"/>
    </row>
    <row r="931" spans="2:5" ht="12.75" customHeight="1" x14ac:dyDescent="0.25">
      <c r="B931" s="14"/>
      <c r="C931" s="15"/>
      <c r="D931" s="15"/>
      <c r="E931" s="3"/>
    </row>
    <row r="932" spans="2:5" ht="12.75" customHeight="1" x14ac:dyDescent="0.25">
      <c r="B932" s="14"/>
      <c r="C932" s="15"/>
      <c r="D932" s="15"/>
      <c r="E932" s="3"/>
    </row>
    <row r="933" spans="2:5" ht="12.75" customHeight="1" x14ac:dyDescent="0.25">
      <c r="B933" s="14"/>
      <c r="C933" s="15"/>
      <c r="D933" s="15"/>
      <c r="E933" s="3"/>
    </row>
    <row r="934" spans="2:5" ht="12.75" customHeight="1" x14ac:dyDescent="0.25">
      <c r="B934" s="14"/>
      <c r="C934" s="15"/>
      <c r="D934" s="15"/>
      <c r="E934" s="3"/>
    </row>
    <row r="935" spans="2:5" ht="12.75" customHeight="1" x14ac:dyDescent="0.25">
      <c r="B935" s="14"/>
      <c r="C935" s="15"/>
      <c r="D935" s="15"/>
      <c r="E935" s="3"/>
    </row>
    <row r="936" spans="2:5" ht="12.75" customHeight="1" x14ac:dyDescent="0.25">
      <c r="B936" s="14"/>
      <c r="C936" s="15"/>
      <c r="D936" s="15"/>
      <c r="E936" s="3"/>
    </row>
    <row r="937" spans="2:5" ht="12.75" customHeight="1" x14ac:dyDescent="0.25">
      <c r="B937" s="14"/>
      <c r="C937" s="15"/>
      <c r="D937" s="15"/>
      <c r="E937" s="3"/>
    </row>
    <row r="938" spans="2:5" ht="12.75" customHeight="1" x14ac:dyDescent="0.25">
      <c r="B938" s="14"/>
      <c r="C938" s="15"/>
      <c r="D938" s="15"/>
      <c r="E938" s="3"/>
    </row>
    <row r="939" spans="2:5" ht="12.75" customHeight="1" x14ac:dyDescent="0.25">
      <c r="B939" s="14"/>
      <c r="C939" s="15"/>
      <c r="D939" s="15"/>
      <c r="E939" s="3"/>
    </row>
    <row r="940" spans="2:5" ht="12.75" customHeight="1" x14ac:dyDescent="0.25">
      <c r="B940" s="14"/>
      <c r="C940" s="15"/>
      <c r="D940" s="15"/>
      <c r="E940" s="3"/>
    </row>
    <row r="941" spans="2:5" ht="12.75" customHeight="1" x14ac:dyDescent="0.25">
      <c r="B941" s="14"/>
      <c r="C941" s="15"/>
      <c r="D941" s="15"/>
      <c r="E941" s="3"/>
    </row>
    <row r="942" spans="2:5" ht="12.75" customHeight="1" x14ac:dyDescent="0.25">
      <c r="B942" s="14"/>
      <c r="C942" s="15"/>
      <c r="D942" s="15"/>
      <c r="E942" s="3"/>
    </row>
    <row r="943" spans="2:5" ht="12.75" customHeight="1" x14ac:dyDescent="0.25">
      <c r="B943" s="14"/>
      <c r="C943" s="15"/>
      <c r="D943" s="15"/>
      <c r="E943" s="3"/>
    </row>
    <row r="944" spans="2:5" ht="12.75" customHeight="1" x14ac:dyDescent="0.25">
      <c r="B944" s="14"/>
      <c r="C944" s="15"/>
      <c r="D944" s="15"/>
      <c r="E944" s="3"/>
    </row>
    <row r="945" spans="2:5" ht="12.75" customHeight="1" x14ac:dyDescent="0.25">
      <c r="B945" s="14"/>
      <c r="C945" s="15"/>
      <c r="D945" s="15"/>
      <c r="E945" s="3"/>
    </row>
    <row r="946" spans="2:5" ht="12.75" customHeight="1" x14ac:dyDescent="0.25">
      <c r="B946" s="14"/>
      <c r="C946" s="15"/>
      <c r="D946" s="15"/>
      <c r="E946" s="3"/>
    </row>
    <row r="947" spans="2:5" ht="12.75" customHeight="1" x14ac:dyDescent="0.25">
      <c r="B947" s="14"/>
      <c r="C947" s="15"/>
      <c r="D947" s="15"/>
      <c r="E947" s="3"/>
    </row>
    <row r="948" spans="2:5" ht="12.75" customHeight="1" x14ac:dyDescent="0.25">
      <c r="B948" s="14"/>
      <c r="C948" s="15"/>
      <c r="D948" s="15"/>
      <c r="E948" s="3"/>
    </row>
    <row r="949" spans="2:5" ht="12.75" customHeight="1" x14ac:dyDescent="0.25">
      <c r="B949" s="14"/>
      <c r="C949" s="15"/>
      <c r="D949" s="15"/>
      <c r="E949" s="3"/>
    </row>
    <row r="950" spans="2:5" ht="12.75" customHeight="1" x14ac:dyDescent="0.25">
      <c r="B950" s="14"/>
      <c r="C950" s="15"/>
      <c r="D950" s="15"/>
      <c r="E950" s="3"/>
    </row>
    <row r="951" spans="2:5" ht="12.75" customHeight="1" x14ac:dyDescent="0.25">
      <c r="B951" s="14"/>
      <c r="C951" s="15"/>
      <c r="D951" s="15"/>
      <c r="E951" s="3"/>
    </row>
    <row r="952" spans="2:5" ht="12.75" customHeight="1" x14ac:dyDescent="0.25">
      <c r="B952" s="14"/>
      <c r="C952" s="15"/>
      <c r="D952" s="15"/>
      <c r="E952" s="3"/>
    </row>
    <row r="953" spans="2:5" ht="12.75" customHeight="1" x14ac:dyDescent="0.25">
      <c r="B953" s="14"/>
      <c r="C953" s="15"/>
      <c r="D953" s="15"/>
      <c r="E953" s="3"/>
    </row>
    <row r="954" spans="2:5" ht="12.75" customHeight="1" x14ac:dyDescent="0.25">
      <c r="B954" s="14"/>
      <c r="C954" s="15"/>
      <c r="D954" s="15"/>
      <c r="E954" s="3"/>
    </row>
    <row r="955" spans="2:5" ht="12.75" customHeight="1" x14ac:dyDescent="0.25">
      <c r="B955" s="14"/>
      <c r="C955" s="15"/>
      <c r="D955" s="15"/>
      <c r="E955" s="3"/>
    </row>
    <row r="956" spans="2:5" ht="12.75" customHeight="1" x14ac:dyDescent="0.25">
      <c r="B956" s="14"/>
      <c r="C956" s="15"/>
      <c r="D956" s="15"/>
      <c r="E956" s="3"/>
    </row>
    <row r="957" spans="2:5" ht="12.75" customHeight="1" x14ac:dyDescent="0.25">
      <c r="B957" s="14"/>
      <c r="C957" s="15"/>
      <c r="D957" s="15"/>
      <c r="E957" s="3"/>
    </row>
    <row r="958" spans="2:5" ht="12.75" customHeight="1" x14ac:dyDescent="0.25">
      <c r="B958" s="14"/>
      <c r="C958" s="15"/>
      <c r="D958" s="15"/>
      <c r="E958" s="3"/>
    </row>
    <row r="959" spans="2:5" ht="12.75" customHeight="1" x14ac:dyDescent="0.25">
      <c r="B959" s="14"/>
      <c r="C959" s="15"/>
      <c r="D959" s="15"/>
      <c r="E959" s="3"/>
    </row>
    <row r="960" spans="2:5" ht="12.75" customHeight="1" x14ac:dyDescent="0.25">
      <c r="B960" s="14"/>
      <c r="C960" s="15"/>
      <c r="D960" s="15"/>
      <c r="E960" s="3"/>
    </row>
    <row r="961" spans="2:5" ht="12.75" customHeight="1" x14ac:dyDescent="0.25">
      <c r="B961" s="14"/>
      <c r="C961" s="15"/>
      <c r="D961" s="15"/>
      <c r="E961" s="3"/>
    </row>
    <row r="962" spans="2:5" ht="12.75" customHeight="1" x14ac:dyDescent="0.25">
      <c r="B962" s="14"/>
      <c r="C962" s="15"/>
      <c r="D962" s="15"/>
      <c r="E962" s="3"/>
    </row>
    <row r="963" spans="2:5" ht="12.75" customHeight="1" x14ac:dyDescent="0.25">
      <c r="B963" s="14"/>
      <c r="C963" s="15"/>
      <c r="D963" s="15"/>
      <c r="E963" s="3"/>
    </row>
    <row r="964" spans="2:5" ht="12.75" customHeight="1" x14ac:dyDescent="0.25">
      <c r="B964" s="14"/>
      <c r="C964" s="15"/>
      <c r="D964" s="15"/>
      <c r="E964" s="3"/>
    </row>
    <row r="965" spans="2:5" ht="12.75" customHeight="1" x14ac:dyDescent="0.25">
      <c r="B965" s="14"/>
      <c r="C965" s="15"/>
      <c r="D965" s="15"/>
      <c r="E965" s="3"/>
    </row>
    <row r="966" spans="2:5" ht="12.75" customHeight="1" x14ac:dyDescent="0.25">
      <c r="B966" s="14"/>
      <c r="C966" s="15"/>
      <c r="D966" s="15"/>
      <c r="E966" s="3"/>
    </row>
    <row r="967" spans="2:5" ht="12.75" customHeight="1" x14ac:dyDescent="0.25">
      <c r="B967" s="14"/>
      <c r="C967" s="15"/>
      <c r="D967" s="15"/>
      <c r="E967" s="3"/>
    </row>
    <row r="968" spans="2:5" ht="12.75" customHeight="1" x14ac:dyDescent="0.25">
      <c r="B968" s="14"/>
      <c r="C968" s="15"/>
      <c r="D968" s="15"/>
      <c r="E968" s="3"/>
    </row>
    <row r="969" spans="2:5" ht="12.75" customHeight="1" x14ac:dyDescent="0.25">
      <c r="B969" s="14"/>
      <c r="C969" s="15"/>
      <c r="D969" s="15"/>
      <c r="E969" s="3"/>
    </row>
    <row r="970" spans="2:5" ht="12.75" customHeight="1" x14ac:dyDescent="0.25">
      <c r="B970" s="14"/>
      <c r="C970" s="15"/>
      <c r="D970" s="15"/>
      <c r="E970" s="3"/>
    </row>
    <row r="971" spans="2:5" ht="12.75" customHeight="1" x14ac:dyDescent="0.25">
      <c r="B971" s="14"/>
      <c r="C971" s="15"/>
      <c r="D971" s="15"/>
      <c r="E971" s="3"/>
    </row>
    <row r="972" spans="2:5" ht="12.75" customHeight="1" x14ac:dyDescent="0.25">
      <c r="B972" s="14"/>
      <c r="C972" s="15"/>
      <c r="D972" s="15"/>
      <c r="E972" s="3"/>
    </row>
    <row r="973" spans="2:5" ht="12.75" customHeight="1" x14ac:dyDescent="0.25">
      <c r="B973" s="14"/>
      <c r="C973" s="15"/>
      <c r="D973" s="15"/>
      <c r="E973" s="3"/>
    </row>
    <row r="974" spans="2:5" ht="12.75" customHeight="1" x14ac:dyDescent="0.25">
      <c r="B974" s="14"/>
      <c r="C974" s="15"/>
      <c r="D974" s="15"/>
      <c r="E974" s="3"/>
    </row>
    <row r="975" spans="2:5" ht="12.75" customHeight="1" x14ac:dyDescent="0.25">
      <c r="B975" s="14"/>
      <c r="C975" s="15"/>
      <c r="D975" s="15"/>
      <c r="E975" s="3"/>
    </row>
    <row r="976" spans="2:5" ht="12.75" customHeight="1" x14ac:dyDescent="0.25">
      <c r="B976" s="14"/>
      <c r="C976" s="15"/>
      <c r="D976" s="15"/>
      <c r="E976" s="3"/>
    </row>
    <row r="977" spans="2:5" ht="12.75" customHeight="1" x14ac:dyDescent="0.25">
      <c r="B977" s="14"/>
      <c r="C977" s="15"/>
      <c r="D977" s="15"/>
      <c r="E977" s="3"/>
    </row>
    <row r="978" spans="2:5" ht="12.75" customHeight="1" x14ac:dyDescent="0.25">
      <c r="B978" s="14"/>
      <c r="C978" s="15"/>
      <c r="D978" s="15"/>
      <c r="E978" s="3"/>
    </row>
    <row r="979" spans="2:5" ht="12.75" customHeight="1" x14ac:dyDescent="0.25">
      <c r="B979" s="14"/>
      <c r="C979" s="15"/>
      <c r="D979" s="15"/>
      <c r="E979" s="3"/>
    </row>
    <row r="980" spans="2:5" ht="12.75" customHeight="1" x14ac:dyDescent="0.25">
      <c r="B980" s="14"/>
      <c r="C980" s="15"/>
      <c r="D980" s="15"/>
      <c r="E980" s="3"/>
    </row>
    <row r="981" spans="2:5" ht="12.75" customHeight="1" x14ac:dyDescent="0.25">
      <c r="B981" s="14"/>
      <c r="C981" s="15"/>
      <c r="D981" s="15"/>
      <c r="E981" s="3"/>
    </row>
    <row r="982" spans="2:5" ht="12.75" customHeight="1" x14ac:dyDescent="0.25">
      <c r="B982" s="14"/>
      <c r="C982" s="15"/>
      <c r="D982" s="15"/>
      <c r="E982" s="3"/>
    </row>
    <row r="983" spans="2:5" ht="12.75" customHeight="1" x14ac:dyDescent="0.25">
      <c r="B983" s="14"/>
      <c r="C983" s="15"/>
      <c r="D983" s="15"/>
      <c r="E983" s="3"/>
    </row>
    <row r="984" spans="2:5" ht="12.75" customHeight="1" x14ac:dyDescent="0.25">
      <c r="B984" s="14"/>
      <c r="C984" s="15"/>
      <c r="D984" s="15"/>
      <c r="E984" s="3"/>
    </row>
    <row r="985" spans="2:5" ht="12.75" customHeight="1" x14ac:dyDescent="0.25">
      <c r="B985" s="14"/>
      <c r="C985" s="15"/>
      <c r="D985" s="15"/>
      <c r="E985" s="3"/>
    </row>
    <row r="986" spans="2:5" ht="12.75" customHeight="1" x14ac:dyDescent="0.25">
      <c r="B986" s="14"/>
      <c r="C986" s="15"/>
      <c r="D986" s="15"/>
      <c r="E986" s="3"/>
    </row>
    <row r="987" spans="2:5" ht="12.75" customHeight="1" x14ac:dyDescent="0.25">
      <c r="B987" s="14"/>
      <c r="C987" s="15"/>
      <c r="D987" s="15"/>
      <c r="E987" s="3"/>
    </row>
    <row r="988" spans="2:5" ht="12.75" customHeight="1" x14ac:dyDescent="0.25">
      <c r="B988" s="14"/>
      <c r="C988" s="15"/>
      <c r="D988" s="15"/>
      <c r="E988" s="3"/>
    </row>
    <row r="989" spans="2:5" ht="12.75" customHeight="1" x14ac:dyDescent="0.25">
      <c r="B989" s="14"/>
      <c r="C989" s="15"/>
      <c r="D989" s="15"/>
      <c r="E989" s="3"/>
    </row>
    <row r="990" spans="2:5" ht="12.75" customHeight="1" x14ac:dyDescent="0.25">
      <c r="B990" s="14"/>
      <c r="C990" s="15"/>
      <c r="D990" s="15"/>
      <c r="E990" s="3"/>
    </row>
    <row r="991" spans="2:5" ht="12.75" customHeight="1" x14ac:dyDescent="0.25">
      <c r="B991" s="14"/>
      <c r="C991" s="15"/>
      <c r="D991" s="15"/>
      <c r="E991" s="3"/>
    </row>
    <row r="992" spans="2:5" ht="12.75" customHeight="1" x14ac:dyDescent="0.25">
      <c r="B992" s="14"/>
      <c r="C992" s="15"/>
      <c r="D992" s="15"/>
      <c r="E992" s="3"/>
    </row>
    <row r="993" spans="2:5" ht="12.75" customHeight="1" x14ac:dyDescent="0.25">
      <c r="B993" s="14"/>
      <c r="C993" s="15"/>
      <c r="D993" s="15"/>
      <c r="E993" s="3"/>
    </row>
    <row r="994" spans="2:5" ht="12.75" customHeight="1" x14ac:dyDescent="0.25">
      <c r="B994" s="14"/>
      <c r="C994" s="15"/>
      <c r="D994" s="15"/>
      <c r="E994" s="3"/>
    </row>
    <row r="995" spans="2:5" ht="12.75" customHeight="1" x14ac:dyDescent="0.25">
      <c r="B995" s="14"/>
      <c r="C995" s="15"/>
      <c r="D995" s="15"/>
      <c r="E995" s="3"/>
    </row>
    <row r="996" spans="2:5" ht="12.75" customHeight="1" x14ac:dyDescent="0.25">
      <c r="B996" s="14"/>
      <c r="C996" s="15"/>
      <c r="D996" s="15"/>
      <c r="E996" s="3"/>
    </row>
    <row r="997" spans="2:5" ht="12.75" customHeight="1" x14ac:dyDescent="0.25">
      <c r="B997" s="14"/>
      <c r="C997" s="15"/>
      <c r="D997" s="15"/>
      <c r="E997" s="3"/>
    </row>
    <row r="998" spans="2:5" ht="12.75" customHeight="1" x14ac:dyDescent="0.25">
      <c r="B998" s="14"/>
      <c r="C998" s="15"/>
      <c r="D998" s="15"/>
      <c r="E998" s="3"/>
    </row>
    <row r="999" spans="2:5" ht="12.75" customHeight="1" x14ac:dyDescent="0.25">
      <c r="B999" s="14"/>
      <c r="C999" s="15"/>
      <c r="D999" s="15"/>
      <c r="E999" s="3"/>
    </row>
    <row r="1000" spans="2:5" ht="12.75" customHeight="1" x14ac:dyDescent="0.25">
      <c r="B1000" s="14"/>
      <c r="C1000" s="15"/>
      <c r="D1000" s="15"/>
      <c r="E100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5"/>
  <sheetViews>
    <sheetView workbookViewId="0">
      <selection activeCell="A16" sqref="A16:XFD20"/>
    </sheetView>
  </sheetViews>
  <sheetFormatPr baseColWidth="10" defaultColWidth="12.5546875" defaultRowHeight="15" customHeight="1" x14ac:dyDescent="0.25"/>
  <cols>
    <col min="1" max="1" width="3" customWidth="1"/>
    <col min="2" max="2" width="17.88671875" customWidth="1"/>
    <col min="3" max="3" width="63.44140625" customWidth="1"/>
    <col min="4" max="5" width="17.88671875" customWidth="1"/>
    <col min="6" max="6" width="16.44140625" customWidth="1"/>
    <col min="7" max="26" width="10" customWidth="1"/>
  </cols>
  <sheetData>
    <row r="1" spans="1:26" ht="15" customHeight="1" x14ac:dyDescent="0.25">
      <c r="B1" s="105" t="s">
        <v>64</v>
      </c>
      <c r="C1" s="106"/>
      <c r="D1" s="106"/>
      <c r="E1" s="107"/>
    </row>
    <row r="2" spans="1:26" ht="13.5" customHeight="1" x14ac:dyDescent="0.25">
      <c r="B2" s="108"/>
      <c r="C2" s="109"/>
      <c r="D2" s="109"/>
      <c r="E2" s="110"/>
    </row>
    <row r="3" spans="1:26" ht="16.5" customHeight="1" x14ac:dyDescent="0.25">
      <c r="B3" s="111" t="s">
        <v>65</v>
      </c>
      <c r="C3" s="112"/>
      <c r="D3" s="112"/>
      <c r="E3" s="113"/>
    </row>
    <row r="4" spans="1:26" ht="18" customHeight="1" x14ac:dyDescent="0.25">
      <c r="A4" s="20"/>
      <c r="B4" s="21" t="s">
        <v>3</v>
      </c>
      <c r="C4" s="22" t="s">
        <v>66</v>
      </c>
      <c r="D4" s="23" t="s">
        <v>67</v>
      </c>
      <c r="E4" s="24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8" customHeight="1" x14ac:dyDescent="0.25">
      <c r="B5" s="25"/>
      <c r="C5" s="26" t="s">
        <v>68</v>
      </c>
      <c r="D5" s="27" t="e">
        <f>+#REF!</f>
        <v>#REF!</v>
      </c>
      <c r="E5" s="28"/>
    </row>
    <row r="6" spans="1:26" ht="18" customHeight="1" x14ac:dyDescent="0.25">
      <c r="B6" s="63">
        <v>44652</v>
      </c>
      <c r="C6" s="64" t="s">
        <v>8</v>
      </c>
      <c r="D6" s="65">
        <v>80000</v>
      </c>
      <c r="E6" s="66"/>
    </row>
    <row r="7" spans="1:26" ht="18" customHeight="1" x14ac:dyDescent="0.25">
      <c r="B7" s="63">
        <v>44655</v>
      </c>
      <c r="C7" s="64" t="s">
        <v>8</v>
      </c>
      <c r="D7" s="65">
        <v>100000</v>
      </c>
      <c r="E7" s="66"/>
    </row>
    <row r="8" spans="1:26" ht="18" customHeight="1" x14ac:dyDescent="0.25">
      <c r="B8" s="63">
        <v>44656</v>
      </c>
      <c r="C8" s="64" t="s">
        <v>8</v>
      </c>
      <c r="D8" s="65">
        <v>30000</v>
      </c>
      <c r="E8" s="67"/>
    </row>
    <row r="9" spans="1:26" ht="18" customHeight="1" x14ac:dyDescent="0.25">
      <c r="B9" s="63">
        <v>44656</v>
      </c>
      <c r="C9" s="64" t="s">
        <v>8</v>
      </c>
      <c r="D9" s="65">
        <v>11000</v>
      </c>
      <c r="E9" s="68" t="s">
        <v>69</v>
      </c>
    </row>
    <row r="10" spans="1:26" ht="18" customHeight="1" x14ac:dyDescent="0.25">
      <c r="B10" s="63">
        <v>44657</v>
      </c>
      <c r="C10" s="64" t="s">
        <v>8</v>
      </c>
      <c r="D10" s="65">
        <v>300000</v>
      </c>
      <c r="E10" s="67"/>
    </row>
    <row r="11" spans="1:26" ht="18" customHeight="1" x14ac:dyDescent="0.25">
      <c r="B11" s="63">
        <v>44658</v>
      </c>
      <c r="C11" s="64" t="s">
        <v>8</v>
      </c>
      <c r="D11" s="65">
        <v>200000</v>
      </c>
      <c r="E11" s="68" t="s">
        <v>70</v>
      </c>
    </row>
    <row r="12" spans="1:26" ht="18" customHeight="1" x14ac:dyDescent="0.25">
      <c r="B12" s="63">
        <v>44659</v>
      </c>
      <c r="C12" s="64" t="s">
        <v>8</v>
      </c>
      <c r="D12" s="65">
        <v>80000</v>
      </c>
      <c r="E12" s="66"/>
    </row>
    <row r="13" spans="1:26" ht="18" customHeight="1" x14ac:dyDescent="0.25">
      <c r="B13" s="63">
        <v>44659</v>
      </c>
      <c r="C13" s="64" t="s">
        <v>8</v>
      </c>
      <c r="D13" s="65">
        <v>100000</v>
      </c>
      <c r="E13" s="66"/>
    </row>
    <row r="14" spans="1:26" ht="18" customHeight="1" x14ac:dyDescent="0.25">
      <c r="B14" s="63">
        <v>44662</v>
      </c>
      <c r="C14" s="64" t="s">
        <v>8</v>
      </c>
      <c r="D14" s="65">
        <v>59000</v>
      </c>
      <c r="E14" s="68" t="s">
        <v>70</v>
      </c>
    </row>
    <row r="15" spans="1:26" ht="18" customHeight="1" x14ac:dyDescent="0.25">
      <c r="B15" s="63">
        <v>44662</v>
      </c>
      <c r="C15" s="64" t="s">
        <v>70</v>
      </c>
      <c r="D15" s="65">
        <v>20000</v>
      </c>
      <c r="E15" s="69"/>
    </row>
    <row r="16" spans="1:26" ht="18" customHeight="1" x14ac:dyDescent="0.25">
      <c r="B16" s="114" t="s">
        <v>71</v>
      </c>
      <c r="C16" s="115"/>
      <c r="D16" s="30" t="e">
        <f>SUM(D5:D15)</f>
        <v>#REF!</v>
      </c>
      <c r="E16" s="31"/>
    </row>
    <row r="17" spans="1:26" ht="17.25" customHeight="1" x14ac:dyDescent="0.25">
      <c r="B17" s="116" t="s">
        <v>72</v>
      </c>
      <c r="C17" s="117"/>
      <c r="D17" s="117"/>
      <c r="E17" s="118"/>
    </row>
    <row r="18" spans="1:26" ht="18" customHeight="1" x14ac:dyDescent="0.35">
      <c r="A18" s="32"/>
      <c r="B18" s="33" t="s">
        <v>3</v>
      </c>
      <c r="C18" s="34" t="s">
        <v>66</v>
      </c>
      <c r="D18" s="35"/>
      <c r="E18" s="35" t="s">
        <v>73</v>
      </c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8" customHeight="1" x14ac:dyDescent="0.25">
      <c r="B19" s="25">
        <v>44652</v>
      </c>
      <c r="C19" s="26" t="s">
        <v>74</v>
      </c>
      <c r="D19" s="27"/>
      <c r="E19" s="36">
        <v>15000</v>
      </c>
    </row>
    <row r="20" spans="1:26" ht="18" customHeight="1" x14ac:dyDescent="0.25">
      <c r="B20" s="25">
        <v>44652</v>
      </c>
      <c r="C20" s="26" t="s">
        <v>18</v>
      </c>
      <c r="D20" s="27"/>
      <c r="E20" s="36">
        <f>5950+1000</f>
        <v>6950</v>
      </c>
    </row>
    <row r="21" spans="1:26" ht="18" customHeight="1" x14ac:dyDescent="0.25">
      <c r="B21" s="25">
        <v>44652</v>
      </c>
      <c r="C21" s="26" t="s">
        <v>75</v>
      </c>
      <c r="D21" s="27" t="s">
        <v>76</v>
      </c>
      <c r="E21" s="36">
        <v>1500</v>
      </c>
    </row>
    <row r="22" spans="1:26" ht="18" customHeight="1" x14ac:dyDescent="0.25">
      <c r="B22" s="25"/>
      <c r="C22" s="26" t="s">
        <v>77</v>
      </c>
      <c r="D22" s="27"/>
      <c r="E22" s="36">
        <v>11000</v>
      </c>
    </row>
    <row r="23" spans="1:26" ht="18" customHeight="1" x14ac:dyDescent="0.25">
      <c r="B23" s="25">
        <v>44657</v>
      </c>
      <c r="C23" s="26" t="s">
        <v>18</v>
      </c>
      <c r="D23" s="37" t="s">
        <v>78</v>
      </c>
      <c r="E23" s="38"/>
    </row>
    <row r="24" spans="1:26" ht="18" customHeight="1" x14ac:dyDescent="0.25">
      <c r="B24" s="25">
        <v>44657</v>
      </c>
      <c r="C24" s="26" t="s">
        <v>42</v>
      </c>
      <c r="D24" s="27"/>
      <c r="E24" s="36">
        <v>22950</v>
      </c>
    </row>
    <row r="25" spans="1:26" ht="18" customHeight="1" x14ac:dyDescent="0.25">
      <c r="B25" s="25">
        <v>44657</v>
      </c>
      <c r="C25" s="26" t="s">
        <v>79</v>
      </c>
      <c r="D25" s="27"/>
      <c r="E25" s="36">
        <v>28000</v>
      </c>
    </row>
    <row r="26" spans="1:26" ht="18" customHeight="1" x14ac:dyDescent="0.25">
      <c r="B26" s="25">
        <v>44658</v>
      </c>
      <c r="C26" s="26" t="s">
        <v>80</v>
      </c>
      <c r="D26" s="27"/>
      <c r="E26" s="36">
        <v>200000</v>
      </c>
    </row>
    <row r="27" spans="1:26" ht="18" customHeight="1" x14ac:dyDescent="0.25">
      <c r="B27" s="25">
        <v>44662</v>
      </c>
      <c r="C27" s="26" t="s">
        <v>80</v>
      </c>
      <c r="D27" s="27"/>
      <c r="E27" s="36">
        <v>59000</v>
      </c>
    </row>
    <row r="28" spans="1:26" ht="18" customHeight="1" x14ac:dyDescent="0.25">
      <c r="B28" s="25">
        <v>44662</v>
      </c>
      <c r="C28" s="26" t="s">
        <v>81</v>
      </c>
      <c r="D28" s="37" t="s">
        <v>82</v>
      </c>
      <c r="E28" s="36">
        <v>5000</v>
      </c>
    </row>
    <row r="29" spans="1:26" ht="18" customHeight="1" x14ac:dyDescent="0.25">
      <c r="B29" s="25"/>
      <c r="C29" s="26" t="s">
        <v>24</v>
      </c>
      <c r="D29" s="27"/>
      <c r="E29" s="36">
        <v>2000</v>
      </c>
    </row>
    <row r="30" spans="1:26" ht="18" customHeight="1" x14ac:dyDescent="0.25">
      <c r="B30" s="25"/>
      <c r="C30" s="26" t="s">
        <v>83</v>
      </c>
      <c r="D30" s="27"/>
      <c r="E30" s="36">
        <v>1281.82</v>
      </c>
    </row>
    <row r="31" spans="1:26" ht="18" customHeight="1" x14ac:dyDescent="0.25">
      <c r="B31" s="25"/>
      <c r="C31" s="26" t="s">
        <v>84</v>
      </c>
      <c r="D31" s="27"/>
      <c r="E31" s="36">
        <v>6000</v>
      </c>
    </row>
    <row r="32" spans="1:26" ht="18" customHeight="1" x14ac:dyDescent="0.25">
      <c r="B32" s="25"/>
      <c r="C32" s="26" t="s">
        <v>17</v>
      </c>
      <c r="D32" s="27"/>
      <c r="E32" s="36">
        <v>5300</v>
      </c>
    </row>
    <row r="33" spans="2:6" ht="18" customHeight="1" x14ac:dyDescent="0.25">
      <c r="B33" s="25"/>
      <c r="C33" s="26" t="s">
        <v>85</v>
      </c>
      <c r="D33" s="27"/>
      <c r="E33" s="36">
        <v>45600</v>
      </c>
    </row>
    <row r="34" spans="2:6" ht="18" customHeight="1" x14ac:dyDescent="0.25">
      <c r="B34" s="25"/>
      <c r="C34" s="26" t="s">
        <v>18</v>
      </c>
      <c r="D34" s="27"/>
      <c r="E34" s="36">
        <v>11000</v>
      </c>
    </row>
    <row r="35" spans="2:6" ht="18" customHeight="1" x14ac:dyDescent="0.25">
      <c r="B35" s="25"/>
      <c r="C35" s="26" t="s">
        <v>86</v>
      </c>
      <c r="D35" s="27"/>
      <c r="E35" s="36">
        <v>6700</v>
      </c>
    </row>
    <row r="36" spans="2:6" ht="18" customHeight="1" x14ac:dyDescent="0.25">
      <c r="B36" s="25"/>
      <c r="C36" s="26" t="s">
        <v>41</v>
      </c>
      <c r="D36" s="27"/>
      <c r="E36" s="36">
        <v>133600</v>
      </c>
    </row>
    <row r="37" spans="2:6" ht="18" customHeight="1" x14ac:dyDescent="0.25">
      <c r="B37" s="25"/>
      <c r="C37" s="26" t="s">
        <v>31</v>
      </c>
      <c r="D37" s="27"/>
      <c r="E37" s="36">
        <v>4980</v>
      </c>
    </row>
    <row r="38" spans="2:6" ht="18" customHeight="1" x14ac:dyDescent="0.25">
      <c r="B38" s="25"/>
      <c r="C38" s="26" t="s">
        <v>9</v>
      </c>
      <c r="D38" s="27"/>
      <c r="E38" s="36">
        <v>8100</v>
      </c>
    </row>
    <row r="39" spans="2:6" ht="18" customHeight="1" x14ac:dyDescent="0.25">
      <c r="B39" s="25"/>
      <c r="C39" s="26" t="s">
        <v>84</v>
      </c>
      <c r="D39" s="27"/>
      <c r="E39" s="36">
        <v>3750</v>
      </c>
    </row>
    <row r="40" spans="2:6" ht="18" customHeight="1" x14ac:dyDescent="0.25">
      <c r="B40" s="25"/>
      <c r="C40" s="26" t="s">
        <v>87</v>
      </c>
      <c r="D40" s="27"/>
      <c r="E40" s="36">
        <v>27903.48</v>
      </c>
    </row>
    <row r="41" spans="2:6" ht="18" customHeight="1" x14ac:dyDescent="0.25">
      <c r="B41" s="25">
        <v>44671</v>
      </c>
      <c r="C41" s="26" t="s">
        <v>75</v>
      </c>
      <c r="D41" s="27" t="s">
        <v>88</v>
      </c>
      <c r="E41" s="36">
        <v>9400</v>
      </c>
    </row>
    <row r="42" spans="2:6" ht="18" customHeight="1" x14ac:dyDescent="0.25">
      <c r="B42" s="25"/>
      <c r="C42" s="26"/>
      <c r="D42" s="27"/>
      <c r="E42" s="36"/>
    </row>
    <row r="43" spans="2:6" ht="18" customHeight="1" x14ac:dyDescent="0.25">
      <c r="B43" s="25"/>
      <c r="C43" s="29"/>
      <c r="D43" s="39"/>
      <c r="E43" s="40"/>
    </row>
    <row r="44" spans="2:6" ht="18" customHeight="1" x14ac:dyDescent="0.25">
      <c r="B44" s="25"/>
      <c r="C44" s="29"/>
      <c r="D44" s="39"/>
      <c r="E44" s="40"/>
      <c r="F44" s="16"/>
    </row>
    <row r="45" spans="2:6" ht="18" customHeight="1" x14ac:dyDescent="0.25">
      <c r="B45" s="25"/>
      <c r="C45" s="29"/>
      <c r="D45" s="27"/>
      <c r="E45" s="40"/>
      <c r="F45" s="16"/>
    </row>
    <row r="46" spans="2:6" ht="18" customHeight="1" x14ac:dyDescent="0.25">
      <c r="B46" s="114" t="s">
        <v>89</v>
      </c>
      <c r="C46" s="115"/>
      <c r="D46" s="41"/>
      <c r="E46" s="30">
        <f>SUM(E19:E45)</f>
        <v>615015.30000000005</v>
      </c>
    </row>
    <row r="47" spans="2:6" ht="18" customHeight="1" x14ac:dyDescent="0.25">
      <c r="B47" s="125" t="s">
        <v>90</v>
      </c>
      <c r="C47" s="126"/>
      <c r="D47" s="126"/>
      <c r="E47" s="127"/>
      <c r="F47" s="16"/>
    </row>
    <row r="48" spans="2:6" ht="18" customHeight="1" x14ac:dyDescent="0.25">
      <c r="B48" s="33" t="s">
        <v>3</v>
      </c>
      <c r="C48" s="34" t="s">
        <v>66</v>
      </c>
      <c r="D48" s="35"/>
      <c r="E48" s="35" t="s">
        <v>73</v>
      </c>
      <c r="F48" s="16"/>
    </row>
    <row r="49" spans="1:26" ht="18" customHeight="1" x14ac:dyDescent="0.25">
      <c r="B49" s="63">
        <v>44652</v>
      </c>
      <c r="C49" s="64" t="s">
        <v>91</v>
      </c>
      <c r="D49" s="65"/>
      <c r="E49" s="71">
        <v>5000</v>
      </c>
      <c r="F49" s="16"/>
    </row>
    <row r="50" spans="1:26" ht="18" customHeight="1" x14ac:dyDescent="0.25">
      <c r="B50" s="63">
        <v>44652</v>
      </c>
      <c r="C50" s="64" t="s">
        <v>92</v>
      </c>
      <c r="D50" s="65"/>
      <c r="E50" s="71">
        <v>20000</v>
      </c>
      <c r="F50" s="16"/>
    </row>
    <row r="51" spans="1:26" ht="18" customHeight="1" x14ac:dyDescent="0.25">
      <c r="B51" s="63">
        <v>44652</v>
      </c>
      <c r="C51" s="64" t="s">
        <v>93</v>
      </c>
      <c r="D51" s="65"/>
      <c r="E51" s="71">
        <v>15000</v>
      </c>
      <c r="F51" s="16"/>
    </row>
    <row r="52" spans="1:26" ht="18" customHeight="1" x14ac:dyDescent="0.25">
      <c r="B52" s="63"/>
      <c r="C52" s="64" t="s">
        <v>70</v>
      </c>
      <c r="D52" s="65"/>
      <c r="E52" s="71">
        <v>10000</v>
      </c>
      <c r="F52" s="16"/>
    </row>
    <row r="53" spans="1:26" ht="18" customHeight="1" x14ac:dyDescent="0.25">
      <c r="B53" s="63">
        <v>44659</v>
      </c>
      <c r="C53" s="64" t="s">
        <v>92</v>
      </c>
      <c r="D53" s="65"/>
      <c r="E53" s="71">
        <v>15000</v>
      </c>
      <c r="F53" s="16"/>
    </row>
    <row r="54" spans="1:26" ht="18" customHeight="1" x14ac:dyDescent="0.25">
      <c r="B54" s="72">
        <v>44673</v>
      </c>
      <c r="C54" s="73" t="s">
        <v>12</v>
      </c>
      <c r="D54" s="74"/>
      <c r="E54" s="71">
        <v>5000</v>
      </c>
      <c r="F54" s="16"/>
    </row>
    <row r="55" spans="1:26" ht="18" customHeight="1" x14ac:dyDescent="0.25">
      <c r="B55" s="72">
        <v>44675</v>
      </c>
      <c r="C55" s="73" t="s">
        <v>12</v>
      </c>
      <c r="D55" s="74"/>
      <c r="E55" s="71">
        <v>3000</v>
      </c>
      <c r="F55" s="16"/>
    </row>
    <row r="56" spans="1:26" ht="18" customHeight="1" x14ac:dyDescent="0.25">
      <c r="B56" s="25"/>
      <c r="C56" s="29"/>
      <c r="D56" s="39"/>
      <c r="E56" s="40"/>
    </row>
    <row r="57" spans="1:26" ht="18" customHeight="1" x14ac:dyDescent="0.25">
      <c r="B57" s="114" t="s">
        <v>89</v>
      </c>
      <c r="C57" s="115"/>
      <c r="D57" s="41"/>
      <c r="E57" s="30">
        <f>SUM(E49:E56)</f>
        <v>73000</v>
      </c>
    </row>
    <row r="58" spans="1:26" ht="18" customHeight="1" x14ac:dyDescent="0.25">
      <c r="A58" s="42"/>
      <c r="B58" s="128" t="s">
        <v>94</v>
      </c>
      <c r="C58" s="117"/>
      <c r="D58" s="117"/>
      <c r="E58" s="118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spans="1:26" ht="18" customHeight="1" x14ac:dyDescent="0.25">
      <c r="A59" s="42"/>
      <c r="B59" s="33" t="s">
        <v>3</v>
      </c>
      <c r="C59" s="34" t="s">
        <v>66</v>
      </c>
      <c r="D59" s="35"/>
      <c r="E59" s="35" t="s">
        <v>73</v>
      </c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spans="1:26" ht="18" customHeight="1" x14ac:dyDescent="0.25">
      <c r="A60" s="42"/>
      <c r="B60" s="63">
        <v>44655</v>
      </c>
      <c r="C60" s="64" t="s">
        <v>21</v>
      </c>
      <c r="D60" s="65"/>
      <c r="E60" s="71">
        <v>2000</v>
      </c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spans="1:26" ht="18" customHeight="1" x14ac:dyDescent="0.25">
      <c r="A61" s="42"/>
      <c r="B61" s="63">
        <v>44657</v>
      </c>
      <c r="C61" s="64" t="s">
        <v>95</v>
      </c>
      <c r="D61" s="65"/>
      <c r="E61" s="71">
        <v>140300</v>
      </c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spans="1:26" ht="18" customHeight="1" x14ac:dyDescent="0.25">
      <c r="A62" s="42"/>
      <c r="B62" s="63">
        <v>44657</v>
      </c>
      <c r="C62" s="64" t="s">
        <v>96</v>
      </c>
      <c r="D62" s="65"/>
      <c r="E62" s="71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spans="1:26" ht="18" customHeight="1" x14ac:dyDescent="0.25">
      <c r="B63" s="63"/>
      <c r="C63" s="64" t="s">
        <v>97</v>
      </c>
      <c r="D63" s="65"/>
      <c r="E63" s="71">
        <v>40000</v>
      </c>
    </row>
    <row r="64" spans="1:26" ht="18" customHeight="1" x14ac:dyDescent="0.25">
      <c r="B64" s="72"/>
      <c r="C64" s="73" t="s">
        <v>98</v>
      </c>
      <c r="D64" s="74"/>
      <c r="E64" s="71">
        <v>51000</v>
      </c>
    </row>
    <row r="65" spans="1:26" ht="18" customHeight="1" x14ac:dyDescent="0.25">
      <c r="B65" s="25"/>
      <c r="C65" s="26"/>
      <c r="D65" s="39"/>
      <c r="E65" s="40"/>
    </row>
    <row r="66" spans="1:26" ht="18" customHeight="1" x14ac:dyDescent="0.25">
      <c r="A66" s="42"/>
      <c r="B66" s="25"/>
      <c r="C66" s="29"/>
      <c r="D66" s="39"/>
      <c r="E66" s="40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spans="1:26" ht="18" customHeight="1" x14ac:dyDescent="0.25">
      <c r="A67" s="42"/>
      <c r="B67" s="25"/>
      <c r="C67" s="29"/>
      <c r="D67" s="39"/>
      <c r="E67" s="40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spans="1:26" ht="18" customHeight="1" x14ac:dyDescent="0.25">
      <c r="A68" s="42"/>
      <c r="B68" s="25"/>
      <c r="C68" s="26"/>
      <c r="D68" s="27"/>
      <c r="E68" s="36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spans="1:26" ht="18" customHeight="1" x14ac:dyDescent="0.25">
      <c r="B69" s="114" t="s">
        <v>99</v>
      </c>
      <c r="C69" s="115"/>
      <c r="D69" s="41"/>
      <c r="E69" s="30">
        <f>SUM(E60:E68)</f>
        <v>233300</v>
      </c>
    </row>
    <row r="70" spans="1:26" ht="18" customHeight="1" x14ac:dyDescent="0.25">
      <c r="B70" s="119" t="s">
        <v>100</v>
      </c>
      <c r="C70" s="112"/>
      <c r="D70" s="120"/>
      <c r="E70" s="43" t="e">
        <f>+D16</f>
        <v>#REF!</v>
      </c>
    </row>
    <row r="71" spans="1:26" ht="18" customHeight="1" x14ac:dyDescent="0.25">
      <c r="B71" s="121" t="s">
        <v>101</v>
      </c>
      <c r="C71" s="122"/>
      <c r="D71" s="123"/>
      <c r="E71" s="44">
        <f>+E57+E69+E46</f>
        <v>921315.3</v>
      </c>
    </row>
    <row r="72" spans="1:26" ht="19.5" customHeight="1" x14ac:dyDescent="0.25">
      <c r="B72" s="124" t="s">
        <v>102</v>
      </c>
      <c r="C72" s="122"/>
      <c r="D72" s="115"/>
      <c r="E72" s="70" t="e">
        <f>+E70-E71</f>
        <v>#REF!</v>
      </c>
    </row>
    <row r="73" spans="1:26" ht="18" customHeight="1" x14ac:dyDescent="0.25">
      <c r="B73" s="45"/>
      <c r="D73" s="46"/>
      <c r="E73" s="47"/>
    </row>
    <row r="74" spans="1:26" ht="18" customHeight="1" x14ac:dyDescent="0.25">
      <c r="E74" s="47"/>
    </row>
    <row r="75" spans="1:26" ht="18" customHeight="1" x14ac:dyDescent="0.25">
      <c r="E75" s="48"/>
    </row>
    <row r="76" spans="1:26" ht="18" customHeight="1" x14ac:dyDescent="0.25">
      <c r="E76" s="47"/>
    </row>
    <row r="77" spans="1:26" ht="18" customHeight="1" x14ac:dyDescent="0.25">
      <c r="E77" s="47"/>
    </row>
    <row r="78" spans="1:26" ht="18" customHeight="1" x14ac:dyDescent="0.25">
      <c r="E78" s="47"/>
    </row>
    <row r="79" spans="1:26" ht="18" customHeight="1" x14ac:dyDescent="0.25">
      <c r="E79" s="47"/>
    </row>
    <row r="80" spans="1:26" ht="18" customHeight="1" x14ac:dyDescent="0.25">
      <c r="E80" s="47"/>
    </row>
    <row r="81" spans="2:6" ht="18" customHeight="1" x14ac:dyDescent="0.25">
      <c r="E81" s="47"/>
    </row>
    <row r="82" spans="2:6" ht="18" customHeight="1" x14ac:dyDescent="0.25">
      <c r="E82" s="47"/>
    </row>
    <row r="83" spans="2:6" ht="18" customHeight="1" x14ac:dyDescent="0.25">
      <c r="E83" s="47"/>
    </row>
    <row r="84" spans="2:6" ht="18" customHeight="1" x14ac:dyDescent="0.25">
      <c r="E84" s="47"/>
    </row>
    <row r="85" spans="2:6" ht="18" customHeight="1" x14ac:dyDescent="0.25">
      <c r="E85" s="47"/>
    </row>
    <row r="86" spans="2:6" ht="18" customHeight="1" x14ac:dyDescent="0.25">
      <c r="E86" s="47"/>
    </row>
    <row r="87" spans="2:6" ht="18" customHeight="1" x14ac:dyDescent="0.25">
      <c r="E87" s="47"/>
    </row>
    <row r="88" spans="2:6" ht="18" customHeight="1" x14ac:dyDescent="0.25">
      <c r="E88" s="47"/>
    </row>
    <row r="89" spans="2:6" ht="18" customHeight="1" x14ac:dyDescent="0.25">
      <c r="E89" s="47"/>
    </row>
    <row r="90" spans="2:6" ht="18" customHeight="1" x14ac:dyDescent="0.25">
      <c r="B90" s="45"/>
      <c r="D90" s="46"/>
      <c r="E90" s="47"/>
    </row>
    <row r="91" spans="2:6" ht="18" customHeight="1" x14ac:dyDescent="0.25">
      <c r="F91" s="47"/>
    </row>
    <row r="92" spans="2:6" ht="18" customHeight="1" x14ac:dyDescent="0.25">
      <c r="B92" s="45"/>
      <c r="D92" s="46"/>
      <c r="E92" s="47"/>
    </row>
    <row r="93" spans="2:6" ht="18" customHeight="1" x14ac:dyDescent="0.25">
      <c r="B93" s="45"/>
      <c r="D93" s="46"/>
      <c r="E93" s="47"/>
    </row>
    <row r="94" spans="2:6" ht="18" customHeight="1" x14ac:dyDescent="0.25">
      <c r="B94" s="45"/>
      <c r="D94" s="46"/>
      <c r="E94" s="47"/>
    </row>
    <row r="95" spans="2:6" ht="18" customHeight="1" x14ac:dyDescent="0.25">
      <c r="B95" s="45"/>
      <c r="D95" s="46"/>
      <c r="E95" s="47"/>
    </row>
    <row r="96" spans="2:6" ht="18" customHeight="1" x14ac:dyDescent="0.25">
      <c r="F96" s="47"/>
    </row>
    <row r="97" spans="2:7" ht="18" customHeight="1" x14ac:dyDescent="0.25">
      <c r="B97" s="45"/>
      <c r="D97" s="46"/>
      <c r="E97" s="47"/>
    </row>
    <row r="98" spans="2:7" ht="18" customHeight="1" x14ac:dyDescent="0.25">
      <c r="B98" s="45"/>
      <c r="D98" s="46"/>
      <c r="E98" s="47"/>
    </row>
    <row r="99" spans="2:7" ht="18" customHeight="1" x14ac:dyDescent="0.25">
      <c r="B99" s="45"/>
      <c r="D99" s="46"/>
      <c r="E99" s="47"/>
    </row>
    <row r="100" spans="2:7" ht="18" customHeight="1" x14ac:dyDescent="0.25">
      <c r="B100" s="45"/>
      <c r="D100" s="46"/>
      <c r="E100" s="47"/>
    </row>
    <row r="101" spans="2:7" ht="18" customHeight="1" x14ac:dyDescent="0.25">
      <c r="B101" s="45"/>
      <c r="D101" s="46"/>
      <c r="E101" s="47"/>
    </row>
    <row r="102" spans="2:7" ht="18" customHeight="1" x14ac:dyDescent="0.25">
      <c r="B102" s="45"/>
      <c r="D102" s="46"/>
      <c r="E102" s="47"/>
    </row>
    <row r="103" spans="2:7" ht="18" customHeight="1" x14ac:dyDescent="0.25">
      <c r="B103" s="45"/>
      <c r="D103" s="46"/>
      <c r="E103" s="47"/>
    </row>
    <row r="104" spans="2:7" ht="18" customHeight="1" x14ac:dyDescent="0.25">
      <c r="B104" s="45"/>
      <c r="D104" s="46"/>
      <c r="E104" s="47"/>
    </row>
    <row r="105" spans="2:7" ht="18" customHeight="1" x14ac:dyDescent="0.25">
      <c r="B105" s="45"/>
      <c r="D105" s="46"/>
      <c r="E105" s="47"/>
    </row>
    <row r="106" spans="2:7" ht="18" customHeight="1" x14ac:dyDescent="0.25">
      <c r="B106" s="45"/>
      <c r="D106" s="46"/>
      <c r="E106" s="47"/>
    </row>
    <row r="107" spans="2:7" ht="18" customHeight="1" x14ac:dyDescent="0.25">
      <c r="B107" s="45"/>
      <c r="D107" s="46"/>
      <c r="E107" s="47"/>
    </row>
    <row r="108" spans="2:7" ht="18" customHeight="1" x14ac:dyDescent="0.25">
      <c r="B108" s="45"/>
      <c r="D108" s="46"/>
      <c r="E108" s="47"/>
    </row>
    <row r="109" spans="2:7" ht="18" customHeight="1" x14ac:dyDescent="0.25">
      <c r="B109" s="45"/>
      <c r="D109" s="46"/>
      <c r="E109" s="47"/>
    </row>
    <row r="110" spans="2:7" ht="18" customHeight="1" x14ac:dyDescent="0.25">
      <c r="G110" s="47"/>
    </row>
    <row r="111" spans="2:7" ht="18" customHeight="1" x14ac:dyDescent="0.25">
      <c r="B111" s="45"/>
      <c r="D111" s="46"/>
      <c r="E111" s="47"/>
    </row>
    <row r="112" spans="2:7" ht="18" customHeight="1" x14ac:dyDescent="0.25">
      <c r="B112" s="45"/>
      <c r="D112" s="46"/>
      <c r="E112" s="47"/>
    </row>
    <row r="113" spans="2:5" ht="18" customHeight="1" x14ac:dyDescent="0.25">
      <c r="B113" s="45"/>
      <c r="D113" s="46"/>
      <c r="E113" s="47"/>
    </row>
    <row r="114" spans="2:5" ht="18" customHeight="1" x14ac:dyDescent="0.25">
      <c r="B114" s="45"/>
      <c r="D114" s="46"/>
      <c r="E114" s="47"/>
    </row>
    <row r="115" spans="2:5" ht="18" customHeight="1" x14ac:dyDescent="0.25">
      <c r="B115" s="45"/>
      <c r="D115" s="46"/>
      <c r="E115" s="47"/>
    </row>
    <row r="116" spans="2:5" ht="18" customHeight="1" x14ac:dyDescent="0.25">
      <c r="B116" s="45"/>
      <c r="D116" s="46"/>
      <c r="E116" s="47"/>
    </row>
    <row r="117" spans="2:5" ht="18" customHeight="1" x14ac:dyDescent="0.25">
      <c r="B117" s="45"/>
      <c r="D117" s="46"/>
      <c r="E117" s="47"/>
    </row>
    <row r="118" spans="2:5" ht="18" customHeight="1" x14ac:dyDescent="0.25">
      <c r="B118" s="45"/>
      <c r="D118" s="46"/>
      <c r="E118" s="47"/>
    </row>
    <row r="119" spans="2:5" ht="18" customHeight="1" x14ac:dyDescent="0.25">
      <c r="B119" s="45"/>
      <c r="D119" s="46"/>
      <c r="E119" s="47"/>
    </row>
    <row r="120" spans="2:5" ht="18" customHeight="1" x14ac:dyDescent="0.25">
      <c r="B120" s="45"/>
      <c r="D120" s="46"/>
      <c r="E120" s="47"/>
    </row>
    <row r="121" spans="2:5" ht="18" customHeight="1" x14ac:dyDescent="0.25">
      <c r="B121" s="45"/>
      <c r="D121" s="46"/>
      <c r="E121" s="47"/>
    </row>
    <row r="122" spans="2:5" ht="18" customHeight="1" x14ac:dyDescent="0.25"/>
    <row r="123" spans="2:5" ht="12.75" customHeight="1" x14ac:dyDescent="0.25">
      <c r="B123" s="45"/>
      <c r="D123" s="46"/>
      <c r="E123" s="47"/>
    </row>
    <row r="124" spans="2:5" ht="12.75" customHeight="1" x14ac:dyDescent="0.25">
      <c r="B124" s="45"/>
      <c r="D124" s="46"/>
      <c r="E124" s="47"/>
    </row>
    <row r="125" spans="2:5" ht="12.75" customHeight="1" x14ac:dyDescent="0.25">
      <c r="B125" s="45"/>
      <c r="D125" s="46"/>
      <c r="E125" s="47"/>
    </row>
    <row r="126" spans="2:5" ht="12.75" customHeight="1" x14ac:dyDescent="0.25">
      <c r="B126" s="45"/>
      <c r="D126" s="46"/>
      <c r="E126" s="47"/>
    </row>
    <row r="127" spans="2:5" ht="12.75" customHeight="1" x14ac:dyDescent="0.25">
      <c r="B127" s="45"/>
      <c r="D127" s="46"/>
      <c r="E127" s="47"/>
    </row>
    <row r="128" spans="2:5" ht="12.75" customHeight="1" x14ac:dyDescent="0.25">
      <c r="B128" s="45"/>
      <c r="D128" s="46"/>
      <c r="E128" s="47"/>
    </row>
    <row r="129" spans="2:5" ht="12.75" customHeight="1" x14ac:dyDescent="0.25">
      <c r="B129" s="45"/>
      <c r="D129" s="46"/>
      <c r="E129" s="47"/>
    </row>
    <row r="130" spans="2:5" ht="12.75" customHeight="1" x14ac:dyDescent="0.25">
      <c r="B130" s="45"/>
      <c r="D130" s="46"/>
      <c r="E130" s="47"/>
    </row>
    <row r="131" spans="2:5" ht="12.75" customHeight="1" x14ac:dyDescent="0.25">
      <c r="B131" s="45"/>
      <c r="D131" s="46"/>
      <c r="E131" s="47"/>
    </row>
    <row r="132" spans="2:5" ht="12.75" customHeight="1" x14ac:dyDescent="0.25">
      <c r="B132" s="45"/>
      <c r="D132" s="46"/>
      <c r="E132" s="47"/>
    </row>
    <row r="133" spans="2:5" ht="12.75" customHeight="1" x14ac:dyDescent="0.25">
      <c r="B133" s="45"/>
      <c r="D133" s="46"/>
      <c r="E133" s="47"/>
    </row>
    <row r="134" spans="2:5" ht="12.75" customHeight="1" x14ac:dyDescent="0.25">
      <c r="B134" s="45"/>
      <c r="D134" s="46"/>
      <c r="E134" s="47"/>
    </row>
    <row r="135" spans="2:5" ht="12.75" customHeight="1" x14ac:dyDescent="0.25">
      <c r="B135" s="45"/>
      <c r="D135" s="46"/>
      <c r="E135" s="47"/>
    </row>
    <row r="136" spans="2:5" ht="12.75" customHeight="1" x14ac:dyDescent="0.25">
      <c r="B136" s="45"/>
      <c r="D136" s="46"/>
      <c r="E136" s="47"/>
    </row>
    <row r="137" spans="2:5" ht="12.75" customHeight="1" x14ac:dyDescent="0.25">
      <c r="B137" s="45"/>
      <c r="D137" s="46"/>
      <c r="E137" s="47"/>
    </row>
    <row r="138" spans="2:5" ht="12.75" customHeight="1" x14ac:dyDescent="0.25">
      <c r="B138" s="45"/>
      <c r="D138" s="46"/>
      <c r="E138" s="47"/>
    </row>
    <row r="139" spans="2:5" ht="12.75" customHeight="1" x14ac:dyDescent="0.25">
      <c r="B139" s="45"/>
      <c r="D139" s="46"/>
      <c r="E139" s="47"/>
    </row>
    <row r="140" spans="2:5" ht="12.75" customHeight="1" x14ac:dyDescent="0.25">
      <c r="B140" s="45"/>
      <c r="D140" s="46"/>
      <c r="E140" s="47"/>
    </row>
    <row r="141" spans="2:5" ht="12.75" customHeight="1" x14ac:dyDescent="0.25">
      <c r="B141" s="45"/>
      <c r="D141" s="46"/>
      <c r="E141" s="47"/>
    </row>
    <row r="142" spans="2:5" ht="12.75" customHeight="1" x14ac:dyDescent="0.25">
      <c r="B142" s="45"/>
      <c r="D142" s="46"/>
      <c r="E142" s="47"/>
    </row>
    <row r="143" spans="2:5" ht="12.75" customHeight="1" x14ac:dyDescent="0.25">
      <c r="B143" s="45"/>
      <c r="D143" s="46"/>
      <c r="E143" s="47"/>
    </row>
    <row r="144" spans="2:5" ht="12.75" customHeight="1" x14ac:dyDescent="0.25">
      <c r="B144" s="45"/>
      <c r="D144" s="46"/>
      <c r="E144" s="47"/>
    </row>
    <row r="145" spans="2:5" ht="12.75" customHeight="1" x14ac:dyDescent="0.25">
      <c r="B145" s="45"/>
      <c r="D145" s="46"/>
      <c r="E145" s="47"/>
    </row>
    <row r="146" spans="2:5" ht="12.75" customHeight="1" x14ac:dyDescent="0.25">
      <c r="B146" s="45"/>
      <c r="D146" s="46"/>
      <c r="E146" s="47"/>
    </row>
    <row r="147" spans="2:5" ht="12.75" customHeight="1" x14ac:dyDescent="0.25">
      <c r="B147" s="45"/>
      <c r="D147" s="46"/>
      <c r="E147" s="47"/>
    </row>
    <row r="148" spans="2:5" ht="12.75" customHeight="1" x14ac:dyDescent="0.25">
      <c r="B148" s="45"/>
      <c r="D148" s="46"/>
      <c r="E148" s="47"/>
    </row>
    <row r="149" spans="2:5" ht="12.75" customHeight="1" x14ac:dyDescent="0.25">
      <c r="B149" s="45"/>
      <c r="D149" s="46"/>
      <c r="E149" s="47"/>
    </row>
    <row r="150" spans="2:5" ht="12.75" customHeight="1" x14ac:dyDescent="0.25">
      <c r="B150" s="45"/>
      <c r="D150" s="46"/>
      <c r="E150" s="47"/>
    </row>
    <row r="151" spans="2:5" ht="12.75" customHeight="1" x14ac:dyDescent="0.25">
      <c r="B151" s="45"/>
      <c r="D151" s="46"/>
      <c r="E151" s="47"/>
    </row>
    <row r="152" spans="2:5" ht="12.75" customHeight="1" x14ac:dyDescent="0.25">
      <c r="B152" s="45"/>
      <c r="D152" s="46"/>
      <c r="E152" s="47"/>
    </row>
    <row r="153" spans="2:5" ht="12.75" customHeight="1" x14ac:dyDescent="0.25">
      <c r="B153" s="45"/>
      <c r="D153" s="46"/>
      <c r="E153" s="47"/>
    </row>
    <row r="154" spans="2:5" ht="12.75" customHeight="1" x14ac:dyDescent="0.25">
      <c r="B154" s="45"/>
      <c r="D154" s="46"/>
      <c r="E154" s="47"/>
    </row>
    <row r="155" spans="2:5" ht="12.75" customHeight="1" x14ac:dyDescent="0.25">
      <c r="B155" s="45"/>
      <c r="D155" s="46"/>
      <c r="E155" s="47"/>
    </row>
    <row r="156" spans="2:5" ht="12.75" customHeight="1" x14ac:dyDescent="0.25">
      <c r="B156" s="45"/>
      <c r="D156" s="46"/>
      <c r="E156" s="47"/>
    </row>
    <row r="157" spans="2:5" ht="12.75" customHeight="1" x14ac:dyDescent="0.25">
      <c r="B157" s="45"/>
      <c r="D157" s="46"/>
      <c r="E157" s="47"/>
    </row>
    <row r="158" spans="2:5" ht="12.75" customHeight="1" x14ac:dyDescent="0.25">
      <c r="B158" s="45"/>
      <c r="D158" s="46"/>
      <c r="E158" s="47"/>
    </row>
    <row r="159" spans="2:5" ht="12.75" customHeight="1" x14ac:dyDescent="0.25">
      <c r="B159" s="45"/>
      <c r="D159" s="46"/>
      <c r="E159" s="47"/>
    </row>
    <row r="160" spans="2:5" ht="12.75" customHeight="1" x14ac:dyDescent="0.25">
      <c r="B160" s="45"/>
      <c r="D160" s="46"/>
      <c r="E160" s="47"/>
    </row>
    <row r="161" spans="2:5" ht="12.75" customHeight="1" x14ac:dyDescent="0.25">
      <c r="B161" s="45"/>
      <c r="D161" s="46"/>
      <c r="E161" s="47"/>
    </row>
    <row r="162" spans="2:5" ht="12.75" customHeight="1" x14ac:dyDescent="0.25">
      <c r="B162" s="45"/>
      <c r="D162" s="46"/>
      <c r="E162" s="47"/>
    </row>
    <row r="163" spans="2:5" ht="12.75" customHeight="1" x14ac:dyDescent="0.25">
      <c r="B163" s="45"/>
      <c r="D163" s="46"/>
      <c r="E163" s="47"/>
    </row>
    <row r="164" spans="2:5" ht="12.75" customHeight="1" x14ac:dyDescent="0.25">
      <c r="B164" s="45"/>
      <c r="D164" s="46"/>
      <c r="E164" s="47"/>
    </row>
    <row r="165" spans="2:5" ht="12.75" customHeight="1" x14ac:dyDescent="0.25">
      <c r="B165" s="45"/>
      <c r="D165" s="46"/>
      <c r="E165" s="47"/>
    </row>
    <row r="166" spans="2:5" ht="12.75" customHeight="1" x14ac:dyDescent="0.25">
      <c r="B166" s="45"/>
      <c r="D166" s="46"/>
      <c r="E166" s="47"/>
    </row>
    <row r="167" spans="2:5" ht="12.75" customHeight="1" x14ac:dyDescent="0.25">
      <c r="B167" s="45"/>
      <c r="D167" s="46"/>
      <c r="E167" s="47"/>
    </row>
    <row r="168" spans="2:5" ht="12.75" customHeight="1" x14ac:dyDescent="0.25">
      <c r="B168" s="45"/>
      <c r="D168" s="46"/>
      <c r="E168" s="47"/>
    </row>
    <row r="169" spans="2:5" ht="12.75" customHeight="1" x14ac:dyDescent="0.25">
      <c r="B169" s="45"/>
      <c r="D169" s="46"/>
      <c r="E169" s="47"/>
    </row>
    <row r="170" spans="2:5" ht="12.75" customHeight="1" x14ac:dyDescent="0.25">
      <c r="B170" s="45"/>
      <c r="D170" s="46"/>
      <c r="E170" s="47"/>
    </row>
    <row r="171" spans="2:5" ht="12.75" customHeight="1" x14ac:dyDescent="0.25">
      <c r="B171" s="45"/>
      <c r="D171" s="46"/>
      <c r="E171" s="47"/>
    </row>
    <row r="172" spans="2:5" ht="12.75" customHeight="1" x14ac:dyDescent="0.25">
      <c r="B172" s="45"/>
      <c r="D172" s="46"/>
      <c r="E172" s="47"/>
    </row>
    <row r="173" spans="2:5" ht="12.75" customHeight="1" x14ac:dyDescent="0.25">
      <c r="B173" s="45"/>
      <c r="D173" s="46"/>
      <c r="E173" s="47"/>
    </row>
    <row r="174" spans="2:5" ht="12.75" customHeight="1" x14ac:dyDescent="0.25">
      <c r="B174" s="45"/>
      <c r="D174" s="46"/>
      <c r="E174" s="47"/>
    </row>
    <row r="175" spans="2:5" ht="12.75" customHeight="1" x14ac:dyDescent="0.25">
      <c r="B175" s="45"/>
      <c r="D175" s="46"/>
      <c r="E175" s="47"/>
    </row>
    <row r="176" spans="2:5" ht="12.75" customHeight="1" x14ac:dyDescent="0.25">
      <c r="B176" s="45"/>
      <c r="D176" s="46"/>
      <c r="E176" s="47"/>
    </row>
    <row r="177" spans="2:5" ht="12.75" customHeight="1" x14ac:dyDescent="0.25">
      <c r="B177" s="45"/>
      <c r="D177" s="46"/>
      <c r="E177" s="47"/>
    </row>
    <row r="178" spans="2:5" ht="12.75" customHeight="1" x14ac:dyDescent="0.25">
      <c r="B178" s="45"/>
      <c r="D178" s="46"/>
      <c r="E178" s="47"/>
    </row>
    <row r="179" spans="2:5" ht="12.75" customHeight="1" x14ac:dyDescent="0.25">
      <c r="B179" s="45"/>
      <c r="D179" s="46"/>
      <c r="E179" s="47"/>
    </row>
    <row r="180" spans="2:5" ht="12.75" customHeight="1" x14ac:dyDescent="0.25">
      <c r="B180" s="45"/>
      <c r="D180" s="46"/>
      <c r="E180" s="47"/>
    </row>
    <row r="181" spans="2:5" ht="12.75" customHeight="1" x14ac:dyDescent="0.25">
      <c r="B181" s="45"/>
      <c r="D181" s="46"/>
      <c r="E181" s="47"/>
    </row>
    <row r="182" spans="2:5" ht="12.75" customHeight="1" x14ac:dyDescent="0.25">
      <c r="B182" s="45"/>
      <c r="D182" s="46"/>
      <c r="E182" s="47"/>
    </row>
    <row r="183" spans="2:5" ht="12.75" customHeight="1" x14ac:dyDescent="0.25">
      <c r="B183" s="45"/>
      <c r="D183" s="46"/>
      <c r="E183" s="47"/>
    </row>
    <row r="184" spans="2:5" ht="12.75" customHeight="1" x14ac:dyDescent="0.25">
      <c r="B184" s="45"/>
      <c r="D184" s="46"/>
      <c r="E184" s="47"/>
    </row>
    <row r="185" spans="2:5" ht="12.75" customHeight="1" x14ac:dyDescent="0.25">
      <c r="B185" s="45"/>
      <c r="D185" s="46"/>
      <c r="E185" s="47"/>
    </row>
    <row r="186" spans="2:5" ht="12.75" customHeight="1" x14ac:dyDescent="0.25">
      <c r="B186" s="45"/>
      <c r="D186" s="46"/>
      <c r="E186" s="47"/>
    </row>
    <row r="187" spans="2:5" ht="12.75" customHeight="1" x14ac:dyDescent="0.25">
      <c r="B187" s="45"/>
      <c r="D187" s="46"/>
      <c r="E187" s="47"/>
    </row>
    <row r="188" spans="2:5" ht="12.75" customHeight="1" x14ac:dyDescent="0.25">
      <c r="B188" s="45"/>
      <c r="D188" s="46"/>
      <c r="E188" s="47"/>
    </row>
    <row r="189" spans="2:5" ht="12.75" customHeight="1" x14ac:dyDescent="0.25">
      <c r="B189" s="45"/>
      <c r="D189" s="46"/>
      <c r="E189" s="47"/>
    </row>
    <row r="190" spans="2:5" ht="12.75" customHeight="1" x14ac:dyDescent="0.25">
      <c r="B190" s="45"/>
      <c r="D190" s="46"/>
      <c r="E190" s="47"/>
    </row>
    <row r="191" spans="2:5" ht="12.75" customHeight="1" x14ac:dyDescent="0.25">
      <c r="B191" s="45"/>
      <c r="D191" s="46"/>
      <c r="E191" s="47"/>
    </row>
    <row r="192" spans="2:5" ht="12.75" customHeight="1" x14ac:dyDescent="0.25">
      <c r="B192" s="45"/>
      <c r="D192" s="46"/>
      <c r="E192" s="47"/>
    </row>
    <row r="193" spans="2:5" ht="12.75" customHeight="1" x14ac:dyDescent="0.25">
      <c r="B193" s="45"/>
      <c r="D193" s="46"/>
      <c r="E193" s="47"/>
    </row>
    <row r="194" spans="2:5" ht="12.75" customHeight="1" x14ac:dyDescent="0.25">
      <c r="B194" s="45"/>
      <c r="D194" s="46"/>
      <c r="E194" s="47"/>
    </row>
    <row r="195" spans="2:5" ht="12.75" customHeight="1" x14ac:dyDescent="0.25">
      <c r="B195" s="45"/>
      <c r="D195" s="46"/>
      <c r="E195" s="47"/>
    </row>
    <row r="196" spans="2:5" ht="12.75" customHeight="1" x14ac:dyDescent="0.25">
      <c r="B196" s="45"/>
      <c r="D196" s="46"/>
      <c r="E196" s="47"/>
    </row>
    <row r="197" spans="2:5" ht="12.75" customHeight="1" x14ac:dyDescent="0.25">
      <c r="B197" s="45"/>
      <c r="D197" s="46"/>
      <c r="E197" s="47"/>
    </row>
    <row r="198" spans="2:5" ht="12.75" customHeight="1" x14ac:dyDescent="0.25">
      <c r="B198" s="45"/>
      <c r="D198" s="46"/>
      <c r="E198" s="47"/>
    </row>
    <row r="199" spans="2:5" ht="12.75" customHeight="1" x14ac:dyDescent="0.25">
      <c r="B199" s="45"/>
      <c r="D199" s="46"/>
      <c r="E199" s="47"/>
    </row>
    <row r="200" spans="2:5" ht="12.75" customHeight="1" x14ac:dyDescent="0.25">
      <c r="B200" s="45"/>
      <c r="D200" s="46"/>
      <c r="E200" s="47"/>
    </row>
    <row r="201" spans="2:5" ht="12.75" customHeight="1" x14ac:dyDescent="0.25">
      <c r="B201" s="45"/>
      <c r="D201" s="46"/>
      <c r="E201" s="47"/>
    </row>
    <row r="202" spans="2:5" ht="12.75" customHeight="1" x14ac:dyDescent="0.25">
      <c r="B202" s="45"/>
      <c r="D202" s="46"/>
      <c r="E202" s="47"/>
    </row>
    <row r="203" spans="2:5" ht="12.75" customHeight="1" x14ac:dyDescent="0.25">
      <c r="B203" s="45"/>
      <c r="D203" s="46"/>
      <c r="E203" s="47"/>
    </row>
    <row r="204" spans="2:5" ht="12.75" customHeight="1" x14ac:dyDescent="0.25">
      <c r="B204" s="45"/>
      <c r="D204" s="46"/>
      <c r="E204" s="47"/>
    </row>
    <row r="205" spans="2:5" ht="12.75" customHeight="1" x14ac:dyDescent="0.25">
      <c r="B205" s="45"/>
      <c r="D205" s="46"/>
      <c r="E205" s="47"/>
    </row>
    <row r="206" spans="2:5" ht="12.75" customHeight="1" x14ac:dyDescent="0.25">
      <c r="B206" s="45"/>
      <c r="D206" s="46"/>
      <c r="E206" s="47"/>
    </row>
    <row r="207" spans="2:5" ht="12.75" customHeight="1" x14ac:dyDescent="0.25">
      <c r="B207" s="45"/>
      <c r="D207" s="46"/>
      <c r="E207" s="47"/>
    </row>
    <row r="208" spans="2:5" ht="12.75" customHeight="1" x14ac:dyDescent="0.25">
      <c r="B208" s="45"/>
      <c r="D208" s="46"/>
      <c r="E208" s="47"/>
    </row>
    <row r="209" spans="2:5" ht="12.75" customHeight="1" x14ac:dyDescent="0.25">
      <c r="B209" s="45"/>
      <c r="D209" s="46"/>
      <c r="E209" s="47"/>
    </row>
    <row r="210" spans="2:5" ht="12.75" customHeight="1" x14ac:dyDescent="0.25">
      <c r="B210" s="45"/>
      <c r="D210" s="46"/>
      <c r="E210" s="47"/>
    </row>
    <row r="211" spans="2:5" ht="12.75" customHeight="1" x14ac:dyDescent="0.25">
      <c r="B211" s="45"/>
      <c r="D211" s="46"/>
      <c r="E211" s="47"/>
    </row>
    <row r="212" spans="2:5" ht="12.75" customHeight="1" x14ac:dyDescent="0.25">
      <c r="B212" s="45"/>
      <c r="D212" s="46"/>
      <c r="E212" s="47"/>
    </row>
    <row r="213" spans="2:5" ht="12.75" customHeight="1" x14ac:dyDescent="0.25">
      <c r="B213" s="45"/>
      <c r="D213" s="46"/>
      <c r="E213" s="47"/>
    </row>
    <row r="214" spans="2:5" ht="12.75" customHeight="1" x14ac:dyDescent="0.25">
      <c r="B214" s="45"/>
      <c r="D214" s="46"/>
      <c r="E214" s="47"/>
    </row>
    <row r="215" spans="2:5" ht="12.75" customHeight="1" x14ac:dyDescent="0.25">
      <c r="B215" s="45"/>
      <c r="D215" s="46"/>
      <c r="E215" s="47"/>
    </row>
    <row r="216" spans="2:5" ht="12.75" customHeight="1" x14ac:dyDescent="0.25">
      <c r="B216" s="45"/>
      <c r="D216" s="46"/>
      <c r="E216" s="47"/>
    </row>
    <row r="217" spans="2:5" ht="12.75" customHeight="1" x14ac:dyDescent="0.25">
      <c r="B217" s="45"/>
      <c r="D217" s="46"/>
      <c r="E217" s="47"/>
    </row>
    <row r="218" spans="2:5" ht="12.75" customHeight="1" x14ac:dyDescent="0.25">
      <c r="B218" s="45"/>
      <c r="D218" s="46"/>
      <c r="E218" s="47"/>
    </row>
    <row r="219" spans="2:5" ht="12.75" customHeight="1" x14ac:dyDescent="0.25">
      <c r="B219" s="45"/>
      <c r="D219" s="46"/>
      <c r="E219" s="47"/>
    </row>
    <row r="220" spans="2:5" ht="12.75" customHeight="1" x14ac:dyDescent="0.25">
      <c r="B220" s="45"/>
      <c r="D220" s="46"/>
      <c r="E220" s="47"/>
    </row>
    <row r="221" spans="2:5" ht="12.75" customHeight="1" x14ac:dyDescent="0.25">
      <c r="B221" s="45"/>
      <c r="D221" s="46"/>
      <c r="E221" s="47"/>
    </row>
    <row r="222" spans="2:5" ht="12.75" customHeight="1" x14ac:dyDescent="0.25">
      <c r="B222" s="45"/>
      <c r="D222" s="46"/>
      <c r="E222" s="47"/>
    </row>
    <row r="223" spans="2:5" ht="12.75" customHeight="1" x14ac:dyDescent="0.25">
      <c r="B223" s="45"/>
      <c r="D223" s="46"/>
      <c r="E223" s="47"/>
    </row>
    <row r="224" spans="2:5" ht="12.75" customHeight="1" x14ac:dyDescent="0.25">
      <c r="B224" s="45"/>
      <c r="D224" s="46"/>
      <c r="E224" s="47"/>
    </row>
    <row r="225" spans="2:5" ht="12.75" customHeight="1" x14ac:dyDescent="0.25">
      <c r="B225" s="45"/>
      <c r="D225" s="46"/>
      <c r="E225" s="47"/>
    </row>
    <row r="226" spans="2:5" ht="12.75" customHeight="1" x14ac:dyDescent="0.25">
      <c r="B226" s="45"/>
      <c r="D226" s="46"/>
      <c r="E226" s="47"/>
    </row>
    <row r="227" spans="2:5" ht="12.75" customHeight="1" x14ac:dyDescent="0.25">
      <c r="B227" s="45"/>
      <c r="D227" s="46"/>
      <c r="E227" s="47"/>
    </row>
    <row r="228" spans="2:5" ht="12.75" customHeight="1" x14ac:dyDescent="0.25">
      <c r="B228" s="45"/>
      <c r="D228" s="46"/>
      <c r="E228" s="47"/>
    </row>
    <row r="229" spans="2:5" ht="12.75" customHeight="1" x14ac:dyDescent="0.25">
      <c r="B229" s="45"/>
      <c r="D229" s="46"/>
      <c r="E229" s="47"/>
    </row>
    <row r="230" spans="2:5" ht="12.75" customHeight="1" x14ac:dyDescent="0.25">
      <c r="B230" s="45"/>
      <c r="D230" s="46"/>
      <c r="E230" s="47"/>
    </row>
    <row r="231" spans="2:5" ht="12.75" customHeight="1" x14ac:dyDescent="0.25">
      <c r="B231" s="45"/>
      <c r="D231" s="46"/>
      <c r="E231" s="47"/>
    </row>
    <row r="232" spans="2:5" ht="12.75" customHeight="1" x14ac:dyDescent="0.25">
      <c r="B232" s="45"/>
      <c r="D232" s="46"/>
      <c r="E232" s="47"/>
    </row>
    <row r="233" spans="2:5" ht="12.75" customHeight="1" x14ac:dyDescent="0.25">
      <c r="B233" s="45"/>
      <c r="D233" s="46"/>
      <c r="E233" s="47"/>
    </row>
    <row r="234" spans="2:5" ht="12.75" customHeight="1" x14ac:dyDescent="0.25">
      <c r="B234" s="45"/>
      <c r="D234" s="46"/>
      <c r="E234" s="47"/>
    </row>
    <row r="235" spans="2:5" ht="12.75" customHeight="1" x14ac:dyDescent="0.25">
      <c r="B235" s="45"/>
      <c r="D235" s="46"/>
      <c r="E235" s="47"/>
    </row>
    <row r="236" spans="2:5" ht="12.75" customHeight="1" x14ac:dyDescent="0.25">
      <c r="B236" s="45"/>
      <c r="D236" s="46"/>
      <c r="E236" s="47"/>
    </row>
    <row r="237" spans="2:5" ht="12.75" customHeight="1" x14ac:dyDescent="0.25">
      <c r="B237" s="45"/>
      <c r="D237" s="46"/>
      <c r="E237" s="47"/>
    </row>
    <row r="238" spans="2:5" ht="12.75" customHeight="1" x14ac:dyDescent="0.25">
      <c r="B238" s="45"/>
      <c r="D238" s="46"/>
      <c r="E238" s="47"/>
    </row>
    <row r="239" spans="2:5" ht="12.75" customHeight="1" x14ac:dyDescent="0.25">
      <c r="B239" s="45"/>
      <c r="D239" s="46"/>
      <c r="E239" s="47"/>
    </row>
    <row r="240" spans="2:5" ht="12.75" customHeight="1" x14ac:dyDescent="0.25">
      <c r="B240" s="45"/>
      <c r="D240" s="46"/>
      <c r="E240" s="47"/>
    </row>
    <row r="241" spans="2:5" ht="12.75" customHeight="1" x14ac:dyDescent="0.25">
      <c r="B241" s="45"/>
      <c r="D241" s="46"/>
      <c r="E241" s="47"/>
    </row>
    <row r="242" spans="2:5" ht="12.75" customHeight="1" x14ac:dyDescent="0.25">
      <c r="B242" s="45"/>
      <c r="D242" s="46"/>
      <c r="E242" s="47"/>
    </row>
    <row r="243" spans="2:5" ht="12.75" customHeight="1" x14ac:dyDescent="0.25">
      <c r="B243" s="45"/>
      <c r="D243" s="46"/>
      <c r="E243" s="47"/>
    </row>
    <row r="244" spans="2:5" ht="12.75" customHeight="1" x14ac:dyDescent="0.25">
      <c r="B244" s="45"/>
      <c r="D244" s="46"/>
      <c r="E244" s="47"/>
    </row>
    <row r="245" spans="2:5" ht="12.75" customHeight="1" x14ac:dyDescent="0.25">
      <c r="B245" s="45"/>
      <c r="D245" s="46"/>
      <c r="E245" s="47"/>
    </row>
    <row r="246" spans="2:5" ht="12.75" customHeight="1" x14ac:dyDescent="0.25">
      <c r="B246" s="45"/>
      <c r="D246" s="46"/>
      <c r="E246" s="47"/>
    </row>
    <row r="247" spans="2:5" ht="12.75" customHeight="1" x14ac:dyDescent="0.25">
      <c r="B247" s="45"/>
      <c r="D247" s="46"/>
      <c r="E247" s="47"/>
    </row>
    <row r="248" spans="2:5" ht="12.75" customHeight="1" x14ac:dyDescent="0.25">
      <c r="B248" s="45"/>
      <c r="D248" s="46"/>
      <c r="E248" s="47"/>
    </row>
    <row r="249" spans="2:5" ht="12.75" customHeight="1" x14ac:dyDescent="0.25">
      <c r="B249" s="45"/>
      <c r="D249" s="46"/>
      <c r="E249" s="47"/>
    </row>
    <row r="250" spans="2:5" ht="12.75" customHeight="1" x14ac:dyDescent="0.25">
      <c r="B250" s="45"/>
      <c r="D250" s="46"/>
      <c r="E250" s="47"/>
    </row>
    <row r="251" spans="2:5" ht="12.75" customHeight="1" x14ac:dyDescent="0.25">
      <c r="B251" s="45"/>
      <c r="D251" s="46"/>
      <c r="E251" s="47"/>
    </row>
    <row r="252" spans="2:5" ht="12.75" customHeight="1" x14ac:dyDescent="0.25">
      <c r="B252" s="45"/>
      <c r="D252" s="46"/>
      <c r="E252" s="47"/>
    </row>
    <row r="253" spans="2:5" ht="12.75" customHeight="1" x14ac:dyDescent="0.25">
      <c r="B253" s="45"/>
      <c r="D253" s="46"/>
      <c r="E253" s="47"/>
    </row>
    <row r="254" spans="2:5" ht="12.75" customHeight="1" x14ac:dyDescent="0.25">
      <c r="B254" s="45"/>
      <c r="D254" s="46"/>
      <c r="E254" s="47"/>
    </row>
    <row r="255" spans="2:5" ht="12.75" customHeight="1" x14ac:dyDescent="0.25">
      <c r="B255" s="45"/>
      <c r="D255" s="46"/>
      <c r="E255" s="47"/>
    </row>
    <row r="256" spans="2:5" ht="12.75" customHeight="1" x14ac:dyDescent="0.25">
      <c r="B256" s="45"/>
      <c r="D256" s="46"/>
      <c r="E256" s="47"/>
    </row>
    <row r="257" spans="2:5" ht="12.75" customHeight="1" x14ac:dyDescent="0.25">
      <c r="B257" s="45"/>
      <c r="D257" s="46"/>
      <c r="E257" s="47"/>
    </row>
    <row r="258" spans="2:5" ht="12.75" customHeight="1" x14ac:dyDescent="0.25">
      <c r="B258" s="45"/>
      <c r="D258" s="46"/>
      <c r="E258" s="47"/>
    </row>
    <row r="259" spans="2:5" ht="12.75" customHeight="1" x14ac:dyDescent="0.25">
      <c r="B259" s="45"/>
      <c r="D259" s="46"/>
      <c r="E259" s="47"/>
    </row>
    <row r="260" spans="2:5" ht="12.75" customHeight="1" x14ac:dyDescent="0.25">
      <c r="B260" s="45"/>
      <c r="D260" s="46"/>
      <c r="E260" s="47"/>
    </row>
    <row r="261" spans="2:5" ht="12.75" customHeight="1" x14ac:dyDescent="0.25">
      <c r="B261" s="45"/>
      <c r="D261" s="46"/>
      <c r="E261" s="47"/>
    </row>
    <row r="262" spans="2:5" ht="12.75" customHeight="1" x14ac:dyDescent="0.25">
      <c r="B262" s="45"/>
      <c r="D262" s="46"/>
      <c r="E262" s="47"/>
    </row>
    <row r="263" spans="2:5" ht="12.75" customHeight="1" x14ac:dyDescent="0.25">
      <c r="B263" s="45"/>
      <c r="D263" s="46"/>
      <c r="E263" s="47"/>
    </row>
    <row r="264" spans="2:5" ht="12.75" customHeight="1" x14ac:dyDescent="0.25">
      <c r="B264" s="45"/>
      <c r="D264" s="46"/>
      <c r="E264" s="47"/>
    </row>
    <row r="265" spans="2:5" ht="12.75" customHeight="1" x14ac:dyDescent="0.25">
      <c r="B265" s="45"/>
      <c r="D265" s="46"/>
      <c r="E265" s="47"/>
    </row>
    <row r="266" spans="2:5" ht="12.75" customHeight="1" x14ac:dyDescent="0.25">
      <c r="B266" s="45"/>
      <c r="D266" s="46"/>
      <c r="E266" s="47"/>
    </row>
    <row r="267" spans="2:5" ht="12.75" customHeight="1" x14ac:dyDescent="0.25">
      <c r="B267" s="45"/>
      <c r="D267" s="46"/>
      <c r="E267" s="47"/>
    </row>
    <row r="268" spans="2:5" ht="12.75" customHeight="1" x14ac:dyDescent="0.25">
      <c r="B268" s="45"/>
      <c r="D268" s="46"/>
      <c r="E268" s="47"/>
    </row>
    <row r="269" spans="2:5" ht="12.75" customHeight="1" x14ac:dyDescent="0.25">
      <c r="B269" s="45"/>
      <c r="D269" s="46"/>
      <c r="E269" s="47"/>
    </row>
    <row r="270" spans="2:5" ht="12.75" customHeight="1" x14ac:dyDescent="0.25">
      <c r="B270" s="45"/>
      <c r="D270" s="46"/>
      <c r="E270" s="47"/>
    </row>
    <row r="271" spans="2:5" ht="12.75" customHeight="1" x14ac:dyDescent="0.25">
      <c r="B271" s="45"/>
      <c r="D271" s="46"/>
      <c r="E271" s="47"/>
    </row>
    <row r="272" spans="2:5" ht="12.75" customHeight="1" x14ac:dyDescent="0.25">
      <c r="B272" s="45"/>
      <c r="D272" s="46"/>
      <c r="E272" s="47"/>
    </row>
    <row r="273" spans="2:5" ht="12.75" customHeight="1" x14ac:dyDescent="0.25">
      <c r="B273" s="45"/>
      <c r="D273" s="46"/>
      <c r="E273" s="47"/>
    </row>
    <row r="274" spans="2:5" ht="12.75" customHeight="1" x14ac:dyDescent="0.25">
      <c r="B274" s="45"/>
      <c r="D274" s="46"/>
      <c r="E274" s="47"/>
    </row>
    <row r="275" spans="2:5" ht="12.75" customHeight="1" x14ac:dyDescent="0.25">
      <c r="B275" s="45"/>
      <c r="D275" s="46"/>
      <c r="E275" s="47"/>
    </row>
    <row r="276" spans="2:5" ht="12.75" customHeight="1" x14ac:dyDescent="0.25">
      <c r="B276" s="45"/>
      <c r="D276" s="46"/>
      <c r="E276" s="47"/>
    </row>
    <row r="277" spans="2:5" ht="12.75" customHeight="1" x14ac:dyDescent="0.25">
      <c r="B277" s="45"/>
      <c r="D277" s="46"/>
      <c r="E277" s="47"/>
    </row>
    <row r="278" spans="2:5" ht="12.75" customHeight="1" x14ac:dyDescent="0.25">
      <c r="B278" s="45"/>
      <c r="D278" s="46"/>
      <c r="E278" s="47"/>
    </row>
    <row r="279" spans="2:5" ht="12.75" customHeight="1" x14ac:dyDescent="0.25">
      <c r="B279" s="45"/>
      <c r="D279" s="46"/>
      <c r="E279" s="47"/>
    </row>
    <row r="280" spans="2:5" ht="12.75" customHeight="1" x14ac:dyDescent="0.25">
      <c r="B280" s="45"/>
      <c r="D280" s="46"/>
      <c r="E280" s="47"/>
    </row>
    <row r="281" spans="2:5" ht="12.75" customHeight="1" x14ac:dyDescent="0.25">
      <c r="B281" s="45"/>
      <c r="D281" s="46"/>
      <c r="E281" s="47"/>
    </row>
    <row r="282" spans="2:5" ht="12.75" customHeight="1" x14ac:dyDescent="0.25">
      <c r="B282" s="45"/>
      <c r="D282" s="46"/>
      <c r="E282" s="47"/>
    </row>
    <row r="283" spans="2:5" ht="12.75" customHeight="1" x14ac:dyDescent="0.25">
      <c r="B283" s="45"/>
      <c r="D283" s="46"/>
      <c r="E283" s="47"/>
    </row>
    <row r="284" spans="2:5" ht="12.75" customHeight="1" x14ac:dyDescent="0.25">
      <c r="B284" s="45"/>
      <c r="D284" s="46"/>
      <c r="E284" s="47"/>
    </row>
    <row r="285" spans="2:5" ht="12.75" customHeight="1" x14ac:dyDescent="0.25">
      <c r="B285" s="45"/>
      <c r="D285" s="46"/>
      <c r="E285" s="47"/>
    </row>
    <row r="286" spans="2:5" ht="12.75" customHeight="1" x14ac:dyDescent="0.25">
      <c r="B286" s="45"/>
      <c r="D286" s="46"/>
      <c r="E286" s="47"/>
    </row>
    <row r="287" spans="2:5" ht="12.75" customHeight="1" x14ac:dyDescent="0.25">
      <c r="B287" s="45"/>
      <c r="D287" s="46"/>
      <c r="E287" s="47"/>
    </row>
    <row r="288" spans="2:5" ht="12.75" customHeight="1" x14ac:dyDescent="0.25">
      <c r="B288" s="45"/>
      <c r="D288" s="46"/>
      <c r="E288" s="47"/>
    </row>
    <row r="289" spans="2:5" ht="12.75" customHeight="1" x14ac:dyDescent="0.25">
      <c r="B289" s="45"/>
      <c r="D289" s="46"/>
      <c r="E289" s="47"/>
    </row>
    <row r="290" spans="2:5" ht="12.75" customHeight="1" x14ac:dyDescent="0.25">
      <c r="B290" s="45"/>
      <c r="D290" s="46"/>
      <c r="E290" s="47"/>
    </row>
    <row r="291" spans="2:5" ht="12.75" customHeight="1" x14ac:dyDescent="0.25">
      <c r="B291" s="45"/>
      <c r="D291" s="46"/>
      <c r="E291" s="47"/>
    </row>
    <row r="292" spans="2:5" ht="12.75" customHeight="1" x14ac:dyDescent="0.25">
      <c r="B292" s="45"/>
      <c r="D292" s="46"/>
      <c r="E292" s="47"/>
    </row>
    <row r="293" spans="2:5" ht="12.75" customHeight="1" x14ac:dyDescent="0.25">
      <c r="B293" s="45"/>
      <c r="D293" s="46"/>
      <c r="E293" s="47"/>
    </row>
    <row r="294" spans="2:5" ht="12.75" customHeight="1" x14ac:dyDescent="0.25">
      <c r="B294" s="45"/>
      <c r="D294" s="46"/>
      <c r="E294" s="47"/>
    </row>
    <row r="295" spans="2:5" ht="12.75" customHeight="1" x14ac:dyDescent="0.25">
      <c r="B295" s="45"/>
      <c r="D295" s="46"/>
      <c r="E295" s="47"/>
    </row>
    <row r="296" spans="2:5" ht="12.75" customHeight="1" x14ac:dyDescent="0.25">
      <c r="B296" s="45"/>
      <c r="D296" s="46"/>
      <c r="E296" s="47"/>
    </row>
    <row r="297" spans="2:5" ht="12.75" customHeight="1" x14ac:dyDescent="0.25">
      <c r="B297" s="45"/>
      <c r="D297" s="46"/>
      <c r="E297" s="47"/>
    </row>
    <row r="298" spans="2:5" ht="12.75" customHeight="1" x14ac:dyDescent="0.25">
      <c r="B298" s="45"/>
      <c r="D298" s="46"/>
      <c r="E298" s="47"/>
    </row>
    <row r="299" spans="2:5" ht="12.75" customHeight="1" x14ac:dyDescent="0.25">
      <c r="B299" s="45"/>
      <c r="D299" s="46"/>
      <c r="E299" s="47"/>
    </row>
    <row r="300" spans="2:5" ht="12.75" customHeight="1" x14ac:dyDescent="0.25">
      <c r="B300" s="45"/>
      <c r="D300" s="46"/>
      <c r="E300" s="47"/>
    </row>
    <row r="301" spans="2:5" ht="12.75" customHeight="1" x14ac:dyDescent="0.25">
      <c r="B301" s="45"/>
      <c r="D301" s="46"/>
      <c r="E301" s="47"/>
    </row>
    <row r="302" spans="2:5" ht="12.75" customHeight="1" x14ac:dyDescent="0.25">
      <c r="B302" s="45"/>
      <c r="D302" s="46"/>
      <c r="E302" s="47"/>
    </row>
    <row r="303" spans="2:5" ht="12.75" customHeight="1" x14ac:dyDescent="0.25">
      <c r="B303" s="45"/>
      <c r="D303" s="46"/>
      <c r="E303" s="47"/>
    </row>
    <row r="304" spans="2:5" ht="12.75" customHeight="1" x14ac:dyDescent="0.25">
      <c r="B304" s="45"/>
      <c r="D304" s="46"/>
      <c r="E304" s="47"/>
    </row>
    <row r="305" spans="2:5" ht="12.75" customHeight="1" x14ac:dyDescent="0.25">
      <c r="B305" s="45"/>
      <c r="D305" s="46"/>
      <c r="E305" s="47"/>
    </row>
    <row r="306" spans="2:5" ht="12.75" customHeight="1" x14ac:dyDescent="0.25">
      <c r="B306" s="45"/>
      <c r="D306" s="46"/>
      <c r="E306" s="47"/>
    </row>
    <row r="307" spans="2:5" ht="12.75" customHeight="1" x14ac:dyDescent="0.25">
      <c r="B307" s="45"/>
      <c r="D307" s="46"/>
      <c r="E307" s="47"/>
    </row>
    <row r="308" spans="2:5" ht="12.75" customHeight="1" x14ac:dyDescent="0.25">
      <c r="B308" s="45"/>
      <c r="D308" s="46"/>
      <c r="E308" s="47"/>
    </row>
    <row r="309" spans="2:5" ht="12.75" customHeight="1" x14ac:dyDescent="0.25">
      <c r="B309" s="45"/>
      <c r="D309" s="46"/>
      <c r="E309" s="47"/>
    </row>
    <row r="310" spans="2:5" ht="12.75" customHeight="1" x14ac:dyDescent="0.25">
      <c r="B310" s="45"/>
      <c r="D310" s="46"/>
      <c r="E310" s="47"/>
    </row>
    <row r="311" spans="2:5" ht="12.75" customHeight="1" x14ac:dyDescent="0.25">
      <c r="B311" s="45"/>
      <c r="D311" s="46"/>
      <c r="E311" s="47"/>
    </row>
    <row r="312" spans="2:5" ht="12.75" customHeight="1" x14ac:dyDescent="0.25">
      <c r="B312" s="45"/>
      <c r="D312" s="46"/>
      <c r="E312" s="47"/>
    </row>
    <row r="313" spans="2:5" ht="12.75" customHeight="1" x14ac:dyDescent="0.25">
      <c r="B313" s="45"/>
      <c r="D313" s="46"/>
      <c r="E313" s="47"/>
    </row>
    <row r="314" spans="2:5" ht="12.75" customHeight="1" x14ac:dyDescent="0.25">
      <c r="B314" s="45"/>
      <c r="D314" s="46"/>
      <c r="E314" s="47"/>
    </row>
    <row r="315" spans="2:5" ht="12.75" customHeight="1" x14ac:dyDescent="0.25">
      <c r="B315" s="45"/>
      <c r="D315" s="46"/>
      <c r="E315" s="47"/>
    </row>
    <row r="316" spans="2:5" ht="12.75" customHeight="1" x14ac:dyDescent="0.25">
      <c r="B316" s="45"/>
      <c r="D316" s="46"/>
      <c r="E316" s="47"/>
    </row>
    <row r="317" spans="2:5" ht="12.75" customHeight="1" x14ac:dyDescent="0.25">
      <c r="B317" s="45"/>
      <c r="D317" s="46"/>
      <c r="E317" s="47"/>
    </row>
    <row r="318" spans="2:5" ht="12.75" customHeight="1" x14ac:dyDescent="0.25">
      <c r="B318" s="45"/>
      <c r="D318" s="46"/>
      <c r="E318" s="47"/>
    </row>
    <row r="319" spans="2:5" ht="12.75" customHeight="1" x14ac:dyDescent="0.25">
      <c r="B319" s="45"/>
      <c r="D319" s="46"/>
      <c r="E319" s="47"/>
    </row>
    <row r="320" spans="2:5" ht="12.75" customHeight="1" x14ac:dyDescent="0.25">
      <c r="B320" s="45"/>
      <c r="D320" s="46"/>
      <c r="E320" s="47"/>
    </row>
    <row r="321" spans="2:5" ht="12.75" customHeight="1" x14ac:dyDescent="0.25">
      <c r="B321" s="45"/>
      <c r="D321" s="46"/>
      <c r="E321" s="47"/>
    </row>
    <row r="322" spans="2:5" ht="12.75" customHeight="1" x14ac:dyDescent="0.25">
      <c r="B322" s="45"/>
      <c r="D322" s="46"/>
      <c r="E322" s="47"/>
    </row>
    <row r="323" spans="2:5" ht="12.75" customHeight="1" x14ac:dyDescent="0.25">
      <c r="B323" s="45"/>
      <c r="D323" s="46"/>
      <c r="E323" s="47"/>
    </row>
    <row r="324" spans="2:5" ht="12.75" customHeight="1" x14ac:dyDescent="0.25">
      <c r="B324" s="45"/>
      <c r="D324" s="46"/>
      <c r="E324" s="47"/>
    </row>
    <row r="325" spans="2:5" ht="12.75" customHeight="1" x14ac:dyDescent="0.25">
      <c r="B325" s="45"/>
      <c r="D325" s="46"/>
      <c r="E325" s="47"/>
    </row>
    <row r="326" spans="2:5" ht="12.75" customHeight="1" x14ac:dyDescent="0.25">
      <c r="B326" s="45"/>
      <c r="D326" s="46"/>
      <c r="E326" s="47"/>
    </row>
    <row r="327" spans="2:5" ht="12.75" customHeight="1" x14ac:dyDescent="0.25">
      <c r="B327" s="45"/>
      <c r="D327" s="46"/>
      <c r="E327" s="47"/>
    </row>
    <row r="328" spans="2:5" ht="12.75" customHeight="1" x14ac:dyDescent="0.25">
      <c r="B328" s="45"/>
      <c r="D328" s="46"/>
      <c r="E328" s="47"/>
    </row>
    <row r="329" spans="2:5" ht="12.75" customHeight="1" x14ac:dyDescent="0.25">
      <c r="B329" s="45"/>
      <c r="D329" s="46"/>
      <c r="E329" s="47"/>
    </row>
    <row r="330" spans="2:5" ht="12.75" customHeight="1" x14ac:dyDescent="0.25">
      <c r="B330" s="45"/>
      <c r="D330" s="46"/>
      <c r="E330" s="47"/>
    </row>
    <row r="331" spans="2:5" ht="12.75" customHeight="1" x14ac:dyDescent="0.25">
      <c r="B331" s="45"/>
      <c r="D331" s="46"/>
      <c r="E331" s="47"/>
    </row>
    <row r="332" spans="2:5" ht="12.75" customHeight="1" x14ac:dyDescent="0.25">
      <c r="B332" s="45"/>
      <c r="D332" s="46"/>
      <c r="E332" s="47"/>
    </row>
    <row r="333" spans="2:5" ht="12.75" customHeight="1" x14ac:dyDescent="0.25">
      <c r="B333" s="45"/>
      <c r="D333" s="46"/>
      <c r="E333" s="47"/>
    </row>
    <row r="334" spans="2:5" ht="12.75" customHeight="1" x14ac:dyDescent="0.25">
      <c r="B334" s="45"/>
      <c r="D334" s="46"/>
      <c r="E334" s="47"/>
    </row>
    <row r="335" spans="2:5" ht="12.75" customHeight="1" x14ac:dyDescent="0.25">
      <c r="B335" s="45"/>
      <c r="D335" s="46"/>
      <c r="E335" s="47"/>
    </row>
    <row r="336" spans="2:5" ht="12.75" customHeight="1" x14ac:dyDescent="0.25">
      <c r="B336" s="45"/>
      <c r="D336" s="46"/>
      <c r="E336" s="47"/>
    </row>
    <row r="337" spans="2:5" ht="12.75" customHeight="1" x14ac:dyDescent="0.25">
      <c r="B337" s="45"/>
      <c r="D337" s="46"/>
      <c r="E337" s="47"/>
    </row>
    <row r="338" spans="2:5" ht="12.75" customHeight="1" x14ac:dyDescent="0.25">
      <c r="B338" s="45"/>
      <c r="D338" s="46"/>
      <c r="E338" s="47"/>
    </row>
    <row r="339" spans="2:5" ht="12.75" customHeight="1" x14ac:dyDescent="0.25">
      <c r="B339" s="45"/>
      <c r="D339" s="46"/>
      <c r="E339" s="47"/>
    </row>
    <row r="340" spans="2:5" ht="12.75" customHeight="1" x14ac:dyDescent="0.25">
      <c r="B340" s="45"/>
      <c r="D340" s="46"/>
      <c r="E340" s="47"/>
    </row>
    <row r="341" spans="2:5" ht="12.75" customHeight="1" x14ac:dyDescent="0.25">
      <c r="B341" s="45"/>
      <c r="D341" s="46"/>
      <c r="E341" s="47"/>
    </row>
    <row r="342" spans="2:5" ht="12.75" customHeight="1" x14ac:dyDescent="0.25">
      <c r="B342" s="45"/>
      <c r="D342" s="46"/>
      <c r="E342" s="47"/>
    </row>
    <row r="343" spans="2:5" ht="12.75" customHeight="1" x14ac:dyDescent="0.25">
      <c r="B343" s="45"/>
      <c r="D343" s="46"/>
      <c r="E343" s="47"/>
    </row>
    <row r="344" spans="2:5" ht="12.75" customHeight="1" x14ac:dyDescent="0.25">
      <c r="B344" s="45"/>
      <c r="D344" s="46"/>
      <c r="E344" s="47"/>
    </row>
    <row r="345" spans="2:5" ht="12.75" customHeight="1" x14ac:dyDescent="0.25">
      <c r="B345" s="45"/>
      <c r="D345" s="46"/>
      <c r="E345" s="47"/>
    </row>
    <row r="346" spans="2:5" ht="12.75" customHeight="1" x14ac:dyDescent="0.25">
      <c r="B346" s="45"/>
      <c r="D346" s="46"/>
      <c r="E346" s="47"/>
    </row>
    <row r="347" spans="2:5" ht="12.75" customHeight="1" x14ac:dyDescent="0.25">
      <c r="B347" s="45"/>
      <c r="D347" s="46"/>
      <c r="E347" s="47"/>
    </row>
    <row r="348" spans="2:5" ht="12.75" customHeight="1" x14ac:dyDescent="0.25">
      <c r="B348" s="45"/>
      <c r="D348" s="46"/>
      <c r="E348" s="47"/>
    </row>
    <row r="349" spans="2:5" ht="12.75" customHeight="1" x14ac:dyDescent="0.25">
      <c r="B349" s="45"/>
      <c r="D349" s="46"/>
      <c r="E349" s="47"/>
    </row>
    <row r="350" spans="2:5" ht="12.75" customHeight="1" x14ac:dyDescent="0.25">
      <c r="B350" s="45"/>
      <c r="D350" s="46"/>
      <c r="E350" s="47"/>
    </row>
    <row r="351" spans="2:5" ht="12.75" customHeight="1" x14ac:dyDescent="0.25">
      <c r="B351" s="45"/>
      <c r="D351" s="46"/>
      <c r="E351" s="47"/>
    </row>
    <row r="352" spans="2:5" ht="12.75" customHeight="1" x14ac:dyDescent="0.25">
      <c r="B352" s="45"/>
      <c r="D352" s="46"/>
      <c r="E352" s="47"/>
    </row>
    <row r="353" spans="2:5" ht="12.75" customHeight="1" x14ac:dyDescent="0.25">
      <c r="B353" s="45"/>
      <c r="D353" s="46"/>
      <c r="E353" s="47"/>
    </row>
    <row r="354" spans="2:5" ht="12.75" customHeight="1" x14ac:dyDescent="0.25">
      <c r="B354" s="45"/>
      <c r="D354" s="46"/>
      <c r="E354" s="47"/>
    </row>
    <row r="355" spans="2:5" ht="12.75" customHeight="1" x14ac:dyDescent="0.25">
      <c r="B355" s="45"/>
      <c r="D355" s="46"/>
      <c r="E355" s="47"/>
    </row>
    <row r="356" spans="2:5" ht="12.75" customHeight="1" x14ac:dyDescent="0.25">
      <c r="B356" s="45"/>
      <c r="D356" s="46"/>
      <c r="E356" s="47"/>
    </row>
    <row r="357" spans="2:5" ht="12.75" customHeight="1" x14ac:dyDescent="0.25">
      <c r="B357" s="45"/>
      <c r="D357" s="46"/>
      <c r="E357" s="47"/>
    </row>
    <row r="358" spans="2:5" ht="12.75" customHeight="1" x14ac:dyDescent="0.25">
      <c r="B358" s="45"/>
      <c r="D358" s="46"/>
      <c r="E358" s="47"/>
    </row>
    <row r="359" spans="2:5" ht="12.75" customHeight="1" x14ac:dyDescent="0.25">
      <c r="B359" s="45"/>
      <c r="D359" s="46"/>
      <c r="E359" s="47"/>
    </row>
    <row r="360" spans="2:5" ht="12.75" customHeight="1" x14ac:dyDescent="0.25">
      <c r="B360" s="45"/>
      <c r="D360" s="46"/>
      <c r="E360" s="47"/>
    </row>
    <row r="361" spans="2:5" ht="12.75" customHeight="1" x14ac:dyDescent="0.25">
      <c r="B361" s="45"/>
      <c r="D361" s="46"/>
      <c r="E361" s="47"/>
    </row>
    <row r="362" spans="2:5" ht="12.75" customHeight="1" x14ac:dyDescent="0.25">
      <c r="B362" s="45"/>
      <c r="D362" s="46"/>
      <c r="E362" s="47"/>
    </row>
    <row r="363" spans="2:5" ht="12.75" customHeight="1" x14ac:dyDescent="0.25">
      <c r="B363" s="45"/>
      <c r="D363" s="46"/>
      <c r="E363" s="47"/>
    </row>
    <row r="364" spans="2:5" ht="12.75" customHeight="1" x14ac:dyDescent="0.25">
      <c r="B364" s="45"/>
      <c r="D364" s="46"/>
      <c r="E364" s="47"/>
    </row>
    <row r="365" spans="2:5" ht="12.75" customHeight="1" x14ac:dyDescent="0.25">
      <c r="B365" s="45"/>
      <c r="D365" s="46"/>
      <c r="E365" s="47"/>
    </row>
    <row r="366" spans="2:5" ht="12.75" customHeight="1" x14ac:dyDescent="0.25">
      <c r="B366" s="45"/>
      <c r="D366" s="46"/>
      <c r="E366" s="47"/>
    </row>
    <row r="367" spans="2:5" ht="12.75" customHeight="1" x14ac:dyDescent="0.25">
      <c r="B367" s="45"/>
      <c r="D367" s="46"/>
      <c r="E367" s="47"/>
    </row>
    <row r="368" spans="2:5" ht="12.75" customHeight="1" x14ac:dyDescent="0.25">
      <c r="B368" s="45"/>
      <c r="D368" s="46"/>
      <c r="E368" s="47"/>
    </row>
    <row r="369" spans="2:5" ht="12.75" customHeight="1" x14ac:dyDescent="0.25">
      <c r="B369" s="45"/>
      <c r="D369" s="46"/>
      <c r="E369" s="47"/>
    </row>
    <row r="370" spans="2:5" ht="12.75" customHeight="1" x14ac:dyDescent="0.25">
      <c r="B370" s="45"/>
      <c r="D370" s="46"/>
      <c r="E370" s="47"/>
    </row>
    <row r="371" spans="2:5" ht="12.75" customHeight="1" x14ac:dyDescent="0.25">
      <c r="B371" s="45"/>
      <c r="D371" s="46"/>
      <c r="E371" s="47"/>
    </row>
    <row r="372" spans="2:5" ht="12.75" customHeight="1" x14ac:dyDescent="0.25">
      <c r="B372" s="45"/>
      <c r="D372" s="46"/>
      <c r="E372" s="47"/>
    </row>
    <row r="373" spans="2:5" ht="12.75" customHeight="1" x14ac:dyDescent="0.25">
      <c r="B373" s="45"/>
      <c r="D373" s="46"/>
      <c r="E373" s="47"/>
    </row>
    <row r="374" spans="2:5" ht="12.75" customHeight="1" x14ac:dyDescent="0.25">
      <c r="B374" s="45"/>
      <c r="D374" s="46"/>
      <c r="E374" s="47"/>
    </row>
    <row r="375" spans="2:5" ht="12.75" customHeight="1" x14ac:dyDescent="0.25">
      <c r="B375" s="45"/>
      <c r="D375" s="46"/>
      <c r="E375" s="47"/>
    </row>
    <row r="376" spans="2:5" ht="12.75" customHeight="1" x14ac:dyDescent="0.25">
      <c r="B376" s="45"/>
      <c r="D376" s="46"/>
      <c r="E376" s="47"/>
    </row>
    <row r="377" spans="2:5" ht="12.75" customHeight="1" x14ac:dyDescent="0.25">
      <c r="B377" s="45"/>
      <c r="D377" s="46"/>
      <c r="E377" s="47"/>
    </row>
    <row r="378" spans="2:5" ht="12.75" customHeight="1" x14ac:dyDescent="0.25">
      <c r="B378" s="45"/>
      <c r="D378" s="46"/>
      <c r="E378" s="47"/>
    </row>
    <row r="379" spans="2:5" ht="12.75" customHeight="1" x14ac:dyDescent="0.25">
      <c r="B379" s="45"/>
      <c r="D379" s="46"/>
      <c r="E379" s="47"/>
    </row>
    <row r="380" spans="2:5" ht="12.75" customHeight="1" x14ac:dyDescent="0.25">
      <c r="B380" s="45"/>
      <c r="D380" s="46"/>
      <c r="E380" s="47"/>
    </row>
    <row r="381" spans="2:5" ht="12.75" customHeight="1" x14ac:dyDescent="0.25">
      <c r="B381" s="45"/>
      <c r="D381" s="46"/>
      <c r="E381" s="47"/>
    </row>
    <row r="382" spans="2:5" ht="12.75" customHeight="1" x14ac:dyDescent="0.25">
      <c r="B382" s="45"/>
      <c r="D382" s="46"/>
      <c r="E382" s="47"/>
    </row>
    <row r="383" spans="2:5" ht="12.75" customHeight="1" x14ac:dyDescent="0.25">
      <c r="B383" s="45"/>
      <c r="D383" s="46"/>
      <c r="E383" s="47"/>
    </row>
    <row r="384" spans="2:5" ht="12.75" customHeight="1" x14ac:dyDescent="0.25">
      <c r="B384" s="45"/>
      <c r="D384" s="46"/>
      <c r="E384" s="47"/>
    </row>
    <row r="385" spans="2:5" ht="12.75" customHeight="1" x14ac:dyDescent="0.25">
      <c r="B385" s="45"/>
      <c r="D385" s="46"/>
      <c r="E385" s="47"/>
    </row>
    <row r="386" spans="2:5" ht="12.75" customHeight="1" x14ac:dyDescent="0.25">
      <c r="B386" s="45"/>
      <c r="D386" s="46"/>
      <c r="E386" s="47"/>
    </row>
    <row r="387" spans="2:5" ht="12.75" customHeight="1" x14ac:dyDescent="0.25">
      <c r="B387" s="45"/>
      <c r="D387" s="46"/>
      <c r="E387" s="47"/>
    </row>
    <row r="388" spans="2:5" ht="12.75" customHeight="1" x14ac:dyDescent="0.25">
      <c r="B388" s="45"/>
      <c r="D388" s="46"/>
      <c r="E388" s="47"/>
    </row>
    <row r="389" spans="2:5" ht="12.75" customHeight="1" x14ac:dyDescent="0.25">
      <c r="B389" s="45"/>
      <c r="D389" s="46"/>
      <c r="E389" s="47"/>
    </row>
    <row r="390" spans="2:5" ht="12.75" customHeight="1" x14ac:dyDescent="0.25">
      <c r="B390" s="45"/>
      <c r="D390" s="46"/>
      <c r="E390" s="47"/>
    </row>
    <row r="391" spans="2:5" ht="12.75" customHeight="1" x14ac:dyDescent="0.25">
      <c r="B391" s="45"/>
      <c r="D391" s="46"/>
      <c r="E391" s="47"/>
    </row>
    <row r="392" spans="2:5" ht="12.75" customHeight="1" x14ac:dyDescent="0.25">
      <c r="B392" s="45"/>
      <c r="D392" s="46"/>
      <c r="E392" s="47"/>
    </row>
    <row r="393" spans="2:5" ht="12.75" customHeight="1" x14ac:dyDescent="0.25">
      <c r="B393" s="45"/>
      <c r="D393" s="46"/>
      <c r="E393" s="47"/>
    </row>
    <row r="394" spans="2:5" ht="12.75" customHeight="1" x14ac:dyDescent="0.25">
      <c r="B394" s="45"/>
      <c r="D394" s="46"/>
      <c r="E394" s="47"/>
    </row>
    <row r="395" spans="2:5" ht="12.75" customHeight="1" x14ac:dyDescent="0.25">
      <c r="B395" s="45"/>
      <c r="D395" s="46"/>
      <c r="E395" s="47"/>
    </row>
    <row r="396" spans="2:5" ht="12.75" customHeight="1" x14ac:dyDescent="0.25">
      <c r="B396" s="45"/>
      <c r="D396" s="46"/>
      <c r="E396" s="47"/>
    </row>
    <row r="397" spans="2:5" ht="12.75" customHeight="1" x14ac:dyDescent="0.25">
      <c r="B397" s="45"/>
      <c r="D397" s="46"/>
      <c r="E397" s="47"/>
    </row>
    <row r="398" spans="2:5" ht="12.75" customHeight="1" x14ac:dyDescent="0.25">
      <c r="B398" s="45"/>
      <c r="D398" s="46"/>
      <c r="E398" s="47"/>
    </row>
    <row r="399" spans="2:5" ht="12.75" customHeight="1" x14ac:dyDescent="0.25">
      <c r="B399" s="45"/>
      <c r="D399" s="46"/>
      <c r="E399" s="47"/>
    </row>
    <row r="400" spans="2:5" ht="12.75" customHeight="1" x14ac:dyDescent="0.25">
      <c r="B400" s="45"/>
      <c r="D400" s="46"/>
      <c r="E400" s="47"/>
    </row>
    <row r="401" spans="2:5" ht="12.75" customHeight="1" x14ac:dyDescent="0.25">
      <c r="B401" s="45"/>
      <c r="D401" s="46"/>
      <c r="E401" s="47"/>
    </row>
    <row r="402" spans="2:5" ht="12.75" customHeight="1" x14ac:dyDescent="0.25">
      <c r="B402" s="45"/>
      <c r="D402" s="46"/>
      <c r="E402" s="47"/>
    </row>
    <row r="403" spans="2:5" ht="12.75" customHeight="1" x14ac:dyDescent="0.25">
      <c r="B403" s="45"/>
      <c r="D403" s="46"/>
      <c r="E403" s="47"/>
    </row>
    <row r="404" spans="2:5" ht="12.75" customHeight="1" x14ac:dyDescent="0.25">
      <c r="B404" s="45"/>
      <c r="D404" s="46"/>
      <c r="E404" s="47"/>
    </row>
    <row r="405" spans="2:5" ht="12.75" customHeight="1" x14ac:dyDescent="0.25">
      <c r="B405" s="45"/>
      <c r="D405" s="46"/>
      <c r="E405" s="47"/>
    </row>
    <row r="406" spans="2:5" ht="12.75" customHeight="1" x14ac:dyDescent="0.25">
      <c r="B406" s="45"/>
      <c r="D406" s="46"/>
      <c r="E406" s="47"/>
    </row>
    <row r="407" spans="2:5" ht="12.75" customHeight="1" x14ac:dyDescent="0.25">
      <c r="B407" s="45"/>
      <c r="D407" s="46"/>
      <c r="E407" s="47"/>
    </row>
    <row r="408" spans="2:5" ht="12.75" customHeight="1" x14ac:dyDescent="0.25">
      <c r="B408" s="45"/>
      <c r="D408" s="46"/>
      <c r="E408" s="47"/>
    </row>
    <row r="409" spans="2:5" ht="12.75" customHeight="1" x14ac:dyDescent="0.25">
      <c r="B409" s="45"/>
      <c r="D409" s="46"/>
      <c r="E409" s="47"/>
    </row>
    <row r="410" spans="2:5" ht="12.75" customHeight="1" x14ac:dyDescent="0.25">
      <c r="B410" s="45"/>
      <c r="D410" s="46"/>
      <c r="E410" s="47"/>
    </row>
    <row r="411" spans="2:5" ht="12.75" customHeight="1" x14ac:dyDescent="0.25">
      <c r="B411" s="45"/>
      <c r="D411" s="46"/>
      <c r="E411" s="47"/>
    </row>
    <row r="412" spans="2:5" ht="12.75" customHeight="1" x14ac:dyDescent="0.25">
      <c r="B412" s="45"/>
      <c r="D412" s="46"/>
      <c r="E412" s="47"/>
    </row>
    <row r="413" spans="2:5" ht="12.75" customHeight="1" x14ac:dyDescent="0.25">
      <c r="B413" s="45"/>
      <c r="D413" s="46"/>
      <c r="E413" s="47"/>
    </row>
    <row r="414" spans="2:5" ht="12.75" customHeight="1" x14ac:dyDescent="0.25">
      <c r="B414" s="45"/>
      <c r="D414" s="46"/>
      <c r="E414" s="47"/>
    </row>
    <row r="415" spans="2:5" ht="12.75" customHeight="1" x14ac:dyDescent="0.25">
      <c r="B415" s="45"/>
      <c r="D415" s="46"/>
      <c r="E415" s="47"/>
    </row>
    <row r="416" spans="2:5" ht="12.75" customHeight="1" x14ac:dyDescent="0.25">
      <c r="B416" s="45"/>
      <c r="D416" s="46"/>
      <c r="E416" s="47"/>
    </row>
    <row r="417" spans="2:5" ht="12.75" customHeight="1" x14ac:dyDescent="0.25">
      <c r="B417" s="45"/>
      <c r="D417" s="46"/>
      <c r="E417" s="47"/>
    </row>
    <row r="418" spans="2:5" ht="12.75" customHeight="1" x14ac:dyDescent="0.25">
      <c r="B418" s="45"/>
      <c r="D418" s="46"/>
      <c r="E418" s="47"/>
    </row>
    <row r="419" spans="2:5" ht="12.75" customHeight="1" x14ac:dyDescent="0.25">
      <c r="B419" s="45"/>
      <c r="D419" s="46"/>
      <c r="E419" s="47"/>
    </row>
    <row r="420" spans="2:5" ht="12.75" customHeight="1" x14ac:dyDescent="0.25">
      <c r="B420" s="45"/>
      <c r="D420" s="46"/>
      <c r="E420" s="47"/>
    </row>
    <row r="421" spans="2:5" ht="12.75" customHeight="1" x14ac:dyDescent="0.25">
      <c r="B421" s="45"/>
      <c r="D421" s="46"/>
      <c r="E421" s="47"/>
    </row>
    <row r="422" spans="2:5" ht="12.75" customHeight="1" x14ac:dyDescent="0.25">
      <c r="B422" s="45"/>
      <c r="D422" s="46"/>
      <c r="E422" s="47"/>
    </row>
    <row r="423" spans="2:5" ht="12.75" customHeight="1" x14ac:dyDescent="0.25">
      <c r="B423" s="45"/>
      <c r="D423" s="46"/>
      <c r="E423" s="47"/>
    </row>
    <row r="424" spans="2:5" ht="12.75" customHeight="1" x14ac:dyDescent="0.25">
      <c r="B424" s="45"/>
      <c r="D424" s="46"/>
      <c r="E424" s="47"/>
    </row>
    <row r="425" spans="2:5" ht="12.75" customHeight="1" x14ac:dyDescent="0.25">
      <c r="B425" s="45"/>
      <c r="D425" s="46"/>
      <c r="E425" s="47"/>
    </row>
    <row r="426" spans="2:5" ht="12.75" customHeight="1" x14ac:dyDescent="0.25">
      <c r="B426" s="45"/>
      <c r="D426" s="46"/>
      <c r="E426" s="47"/>
    </row>
    <row r="427" spans="2:5" ht="12.75" customHeight="1" x14ac:dyDescent="0.25">
      <c r="B427" s="45"/>
      <c r="D427" s="46"/>
      <c r="E427" s="47"/>
    </row>
    <row r="428" spans="2:5" ht="12.75" customHeight="1" x14ac:dyDescent="0.25">
      <c r="B428" s="45"/>
      <c r="D428" s="46"/>
      <c r="E428" s="47"/>
    </row>
    <row r="429" spans="2:5" ht="12.75" customHeight="1" x14ac:dyDescent="0.25">
      <c r="B429" s="45"/>
      <c r="D429" s="46"/>
      <c r="E429" s="47"/>
    </row>
    <row r="430" spans="2:5" ht="12.75" customHeight="1" x14ac:dyDescent="0.25">
      <c r="B430" s="45"/>
      <c r="D430" s="46"/>
      <c r="E430" s="47"/>
    </row>
    <row r="431" spans="2:5" ht="12.75" customHeight="1" x14ac:dyDescent="0.25">
      <c r="B431" s="45"/>
      <c r="D431" s="46"/>
      <c r="E431" s="47"/>
    </row>
    <row r="432" spans="2:5" ht="12.75" customHeight="1" x14ac:dyDescent="0.25">
      <c r="B432" s="45"/>
      <c r="D432" s="46"/>
      <c r="E432" s="47"/>
    </row>
    <row r="433" spans="2:5" ht="12.75" customHeight="1" x14ac:dyDescent="0.25">
      <c r="B433" s="45"/>
      <c r="D433" s="46"/>
      <c r="E433" s="47"/>
    </row>
    <row r="434" spans="2:5" ht="12.75" customHeight="1" x14ac:dyDescent="0.25">
      <c r="B434" s="45"/>
      <c r="D434" s="46"/>
      <c r="E434" s="47"/>
    </row>
    <row r="435" spans="2:5" ht="12.75" customHeight="1" x14ac:dyDescent="0.25">
      <c r="B435" s="45"/>
      <c r="D435" s="46"/>
      <c r="E435" s="47"/>
    </row>
    <row r="436" spans="2:5" ht="12.75" customHeight="1" x14ac:dyDescent="0.25">
      <c r="B436" s="45"/>
      <c r="D436" s="46"/>
      <c r="E436" s="47"/>
    </row>
    <row r="437" spans="2:5" ht="12.75" customHeight="1" x14ac:dyDescent="0.25">
      <c r="B437" s="45"/>
      <c r="D437" s="46"/>
      <c r="E437" s="47"/>
    </row>
    <row r="438" spans="2:5" ht="12.75" customHeight="1" x14ac:dyDescent="0.25">
      <c r="B438" s="45"/>
      <c r="D438" s="46"/>
      <c r="E438" s="47"/>
    </row>
    <row r="439" spans="2:5" ht="12.75" customHeight="1" x14ac:dyDescent="0.25">
      <c r="B439" s="45"/>
      <c r="D439" s="46"/>
      <c r="E439" s="47"/>
    </row>
    <row r="440" spans="2:5" ht="12.75" customHeight="1" x14ac:dyDescent="0.25">
      <c r="B440" s="45"/>
      <c r="D440" s="46"/>
      <c r="E440" s="47"/>
    </row>
    <row r="441" spans="2:5" ht="12.75" customHeight="1" x14ac:dyDescent="0.25">
      <c r="B441" s="45"/>
      <c r="D441" s="46"/>
      <c r="E441" s="47"/>
    </row>
    <row r="442" spans="2:5" ht="12.75" customHeight="1" x14ac:dyDescent="0.25">
      <c r="B442" s="45"/>
      <c r="D442" s="46"/>
      <c r="E442" s="47"/>
    </row>
    <row r="443" spans="2:5" ht="12.75" customHeight="1" x14ac:dyDescent="0.25">
      <c r="B443" s="45"/>
      <c r="D443" s="46"/>
      <c r="E443" s="47"/>
    </row>
    <row r="444" spans="2:5" ht="12.75" customHeight="1" x14ac:dyDescent="0.25">
      <c r="B444" s="45"/>
      <c r="D444" s="46"/>
      <c r="E444" s="47"/>
    </row>
    <row r="445" spans="2:5" ht="12.75" customHeight="1" x14ac:dyDescent="0.25">
      <c r="B445" s="45"/>
      <c r="D445" s="46"/>
      <c r="E445" s="47"/>
    </row>
    <row r="446" spans="2:5" ht="12.75" customHeight="1" x14ac:dyDescent="0.25">
      <c r="B446" s="45"/>
      <c r="D446" s="46"/>
      <c r="E446" s="47"/>
    </row>
    <row r="447" spans="2:5" ht="12.75" customHeight="1" x14ac:dyDescent="0.25">
      <c r="B447" s="45"/>
      <c r="D447" s="46"/>
      <c r="E447" s="47"/>
    </row>
    <row r="448" spans="2:5" ht="12.75" customHeight="1" x14ac:dyDescent="0.25">
      <c r="B448" s="45"/>
      <c r="D448" s="46"/>
      <c r="E448" s="47"/>
    </row>
    <row r="449" spans="2:5" ht="12.75" customHeight="1" x14ac:dyDescent="0.25">
      <c r="B449" s="45"/>
      <c r="D449" s="46"/>
      <c r="E449" s="47"/>
    </row>
    <row r="450" spans="2:5" ht="12.75" customHeight="1" x14ac:dyDescent="0.25">
      <c r="B450" s="45"/>
      <c r="D450" s="46"/>
      <c r="E450" s="47"/>
    </row>
    <row r="451" spans="2:5" ht="12.75" customHeight="1" x14ac:dyDescent="0.25">
      <c r="B451" s="45"/>
      <c r="D451" s="46"/>
      <c r="E451" s="47"/>
    </row>
    <row r="452" spans="2:5" ht="12.75" customHeight="1" x14ac:dyDescent="0.25">
      <c r="B452" s="45"/>
      <c r="D452" s="46"/>
      <c r="E452" s="47"/>
    </row>
    <row r="453" spans="2:5" ht="12.75" customHeight="1" x14ac:dyDescent="0.25">
      <c r="B453" s="45"/>
      <c r="D453" s="46"/>
      <c r="E453" s="47"/>
    </row>
    <row r="454" spans="2:5" ht="12.75" customHeight="1" x14ac:dyDescent="0.25">
      <c r="B454" s="45"/>
      <c r="D454" s="46"/>
      <c r="E454" s="47"/>
    </row>
    <row r="455" spans="2:5" ht="12.75" customHeight="1" x14ac:dyDescent="0.25">
      <c r="B455" s="45"/>
      <c r="D455" s="46"/>
      <c r="E455" s="47"/>
    </row>
    <row r="456" spans="2:5" ht="12.75" customHeight="1" x14ac:dyDescent="0.25">
      <c r="B456" s="45"/>
      <c r="D456" s="46"/>
      <c r="E456" s="47"/>
    </row>
    <row r="457" spans="2:5" ht="12.75" customHeight="1" x14ac:dyDescent="0.25">
      <c r="B457" s="45"/>
      <c r="D457" s="46"/>
      <c r="E457" s="47"/>
    </row>
    <row r="458" spans="2:5" ht="12.75" customHeight="1" x14ac:dyDescent="0.25">
      <c r="B458" s="45"/>
      <c r="D458" s="46"/>
      <c r="E458" s="47"/>
    </row>
    <row r="459" spans="2:5" ht="12.75" customHeight="1" x14ac:dyDescent="0.25">
      <c r="B459" s="45"/>
      <c r="D459" s="46"/>
      <c r="E459" s="47"/>
    </row>
    <row r="460" spans="2:5" ht="12.75" customHeight="1" x14ac:dyDescent="0.25">
      <c r="B460" s="45"/>
      <c r="D460" s="46"/>
      <c r="E460" s="47"/>
    </row>
    <row r="461" spans="2:5" ht="12.75" customHeight="1" x14ac:dyDescent="0.25">
      <c r="B461" s="45"/>
      <c r="D461" s="46"/>
      <c r="E461" s="47"/>
    </row>
    <row r="462" spans="2:5" ht="12.75" customHeight="1" x14ac:dyDescent="0.25">
      <c r="B462" s="45"/>
      <c r="D462" s="46"/>
      <c r="E462" s="47"/>
    </row>
    <row r="463" spans="2:5" ht="12.75" customHeight="1" x14ac:dyDescent="0.25">
      <c r="B463" s="45"/>
      <c r="D463" s="46"/>
      <c r="E463" s="47"/>
    </row>
    <row r="464" spans="2:5" ht="12.75" customHeight="1" x14ac:dyDescent="0.25">
      <c r="B464" s="45"/>
      <c r="D464" s="46"/>
      <c r="E464" s="47"/>
    </row>
    <row r="465" spans="2:5" ht="12.75" customHeight="1" x14ac:dyDescent="0.25">
      <c r="B465" s="45"/>
      <c r="D465" s="46"/>
      <c r="E465" s="47"/>
    </row>
    <row r="466" spans="2:5" ht="12.75" customHeight="1" x14ac:dyDescent="0.25">
      <c r="B466" s="45"/>
      <c r="D466" s="46"/>
      <c r="E466" s="47"/>
    </row>
    <row r="467" spans="2:5" ht="12.75" customHeight="1" x14ac:dyDescent="0.25">
      <c r="B467" s="45"/>
      <c r="D467" s="46"/>
      <c r="E467" s="47"/>
    </row>
    <row r="468" spans="2:5" ht="12.75" customHeight="1" x14ac:dyDescent="0.25">
      <c r="B468" s="45"/>
      <c r="D468" s="46"/>
      <c r="E468" s="47"/>
    </row>
    <row r="469" spans="2:5" ht="12.75" customHeight="1" x14ac:dyDescent="0.25">
      <c r="B469" s="45"/>
      <c r="D469" s="46"/>
      <c r="E469" s="47"/>
    </row>
    <row r="470" spans="2:5" ht="12.75" customHeight="1" x14ac:dyDescent="0.25">
      <c r="B470" s="45"/>
      <c r="D470" s="46"/>
      <c r="E470" s="47"/>
    </row>
    <row r="471" spans="2:5" ht="12.75" customHeight="1" x14ac:dyDescent="0.25">
      <c r="B471" s="45"/>
      <c r="D471" s="46"/>
      <c r="E471" s="47"/>
    </row>
    <row r="472" spans="2:5" ht="12.75" customHeight="1" x14ac:dyDescent="0.25">
      <c r="B472" s="45"/>
      <c r="D472" s="46"/>
      <c r="E472" s="47"/>
    </row>
    <row r="473" spans="2:5" ht="12.75" customHeight="1" x14ac:dyDescent="0.25">
      <c r="B473" s="45"/>
      <c r="D473" s="46"/>
      <c r="E473" s="47"/>
    </row>
    <row r="474" spans="2:5" ht="12.75" customHeight="1" x14ac:dyDescent="0.25">
      <c r="B474" s="45"/>
      <c r="D474" s="46"/>
      <c r="E474" s="47"/>
    </row>
    <row r="475" spans="2:5" ht="12.75" customHeight="1" x14ac:dyDescent="0.25">
      <c r="B475" s="45"/>
      <c r="D475" s="46"/>
      <c r="E475" s="47"/>
    </row>
    <row r="476" spans="2:5" ht="12.75" customHeight="1" x14ac:dyDescent="0.25">
      <c r="B476" s="45"/>
      <c r="D476" s="46"/>
      <c r="E476" s="47"/>
    </row>
    <row r="477" spans="2:5" ht="12.75" customHeight="1" x14ac:dyDescent="0.25">
      <c r="B477" s="45"/>
      <c r="D477" s="46"/>
      <c r="E477" s="47"/>
    </row>
    <row r="478" spans="2:5" ht="12.75" customHeight="1" x14ac:dyDescent="0.25">
      <c r="B478" s="45"/>
      <c r="D478" s="46"/>
      <c r="E478" s="47"/>
    </row>
    <row r="479" spans="2:5" ht="12.75" customHeight="1" x14ac:dyDescent="0.25">
      <c r="B479" s="45"/>
      <c r="D479" s="46"/>
      <c r="E479" s="47"/>
    </row>
    <row r="480" spans="2:5" ht="12.75" customHeight="1" x14ac:dyDescent="0.25">
      <c r="B480" s="45"/>
      <c r="D480" s="46"/>
      <c r="E480" s="47"/>
    </row>
    <row r="481" spans="2:5" ht="12.75" customHeight="1" x14ac:dyDescent="0.25">
      <c r="B481" s="45"/>
      <c r="D481" s="46"/>
      <c r="E481" s="47"/>
    </row>
    <row r="482" spans="2:5" ht="12.75" customHeight="1" x14ac:dyDescent="0.25">
      <c r="B482" s="45"/>
      <c r="D482" s="46"/>
      <c r="E482" s="47"/>
    </row>
    <row r="483" spans="2:5" ht="12.75" customHeight="1" x14ac:dyDescent="0.25">
      <c r="B483" s="45"/>
      <c r="D483" s="46"/>
      <c r="E483" s="47"/>
    </row>
    <row r="484" spans="2:5" ht="12.75" customHeight="1" x14ac:dyDescent="0.25">
      <c r="B484" s="45"/>
      <c r="D484" s="46"/>
      <c r="E484" s="47"/>
    </row>
    <row r="485" spans="2:5" ht="12.75" customHeight="1" x14ac:dyDescent="0.25">
      <c r="B485" s="45"/>
      <c r="D485" s="46"/>
      <c r="E485" s="47"/>
    </row>
    <row r="486" spans="2:5" ht="12.75" customHeight="1" x14ac:dyDescent="0.25">
      <c r="B486" s="45"/>
      <c r="D486" s="46"/>
      <c r="E486" s="47"/>
    </row>
    <row r="487" spans="2:5" ht="12.75" customHeight="1" x14ac:dyDescent="0.25">
      <c r="B487" s="45"/>
      <c r="D487" s="46"/>
      <c r="E487" s="47"/>
    </row>
    <row r="488" spans="2:5" ht="12.75" customHeight="1" x14ac:dyDescent="0.25">
      <c r="B488" s="45"/>
      <c r="D488" s="46"/>
      <c r="E488" s="47"/>
    </row>
    <row r="489" spans="2:5" ht="12.75" customHeight="1" x14ac:dyDescent="0.25">
      <c r="B489" s="45"/>
      <c r="D489" s="46"/>
      <c r="E489" s="47"/>
    </row>
    <row r="490" spans="2:5" ht="12.75" customHeight="1" x14ac:dyDescent="0.25">
      <c r="B490" s="45"/>
      <c r="D490" s="46"/>
      <c r="E490" s="47"/>
    </row>
    <row r="491" spans="2:5" ht="12.75" customHeight="1" x14ac:dyDescent="0.25">
      <c r="B491" s="45"/>
      <c r="D491" s="46"/>
      <c r="E491" s="47"/>
    </row>
    <row r="492" spans="2:5" ht="12.75" customHeight="1" x14ac:dyDescent="0.25">
      <c r="B492" s="45"/>
      <c r="D492" s="46"/>
      <c r="E492" s="47"/>
    </row>
    <row r="493" spans="2:5" ht="12.75" customHeight="1" x14ac:dyDescent="0.25">
      <c r="B493" s="45"/>
      <c r="D493" s="46"/>
      <c r="E493" s="47"/>
    </row>
    <row r="494" spans="2:5" ht="12.75" customHeight="1" x14ac:dyDescent="0.25">
      <c r="B494" s="45"/>
      <c r="D494" s="46"/>
      <c r="E494" s="47"/>
    </row>
    <row r="495" spans="2:5" ht="12.75" customHeight="1" x14ac:dyDescent="0.25">
      <c r="B495" s="45"/>
      <c r="D495" s="46"/>
      <c r="E495" s="47"/>
    </row>
    <row r="496" spans="2:5" ht="12.75" customHeight="1" x14ac:dyDescent="0.25">
      <c r="B496" s="45"/>
      <c r="D496" s="46"/>
      <c r="E496" s="47"/>
    </row>
    <row r="497" spans="2:5" ht="12.75" customHeight="1" x14ac:dyDescent="0.25">
      <c r="B497" s="45"/>
      <c r="D497" s="46"/>
      <c r="E497" s="47"/>
    </row>
    <row r="498" spans="2:5" ht="12.75" customHeight="1" x14ac:dyDescent="0.25">
      <c r="B498" s="45"/>
      <c r="D498" s="46"/>
      <c r="E498" s="47"/>
    </row>
    <row r="499" spans="2:5" ht="12.75" customHeight="1" x14ac:dyDescent="0.25">
      <c r="B499" s="45"/>
      <c r="D499" s="46"/>
      <c r="E499" s="47"/>
    </row>
    <row r="500" spans="2:5" ht="12.75" customHeight="1" x14ac:dyDescent="0.25">
      <c r="B500" s="45"/>
      <c r="D500" s="46"/>
      <c r="E500" s="47"/>
    </row>
    <row r="501" spans="2:5" ht="12.75" customHeight="1" x14ac:dyDescent="0.25">
      <c r="B501" s="45"/>
      <c r="D501" s="46"/>
      <c r="E501" s="47"/>
    </row>
    <row r="502" spans="2:5" ht="12.75" customHeight="1" x14ac:dyDescent="0.25">
      <c r="B502" s="45"/>
      <c r="D502" s="46"/>
      <c r="E502" s="47"/>
    </row>
    <row r="503" spans="2:5" ht="12.75" customHeight="1" x14ac:dyDescent="0.25">
      <c r="B503" s="45"/>
      <c r="D503" s="46"/>
      <c r="E503" s="47"/>
    </row>
    <row r="504" spans="2:5" ht="12.75" customHeight="1" x14ac:dyDescent="0.25">
      <c r="B504" s="45"/>
      <c r="D504" s="46"/>
      <c r="E504" s="47"/>
    </row>
    <row r="505" spans="2:5" ht="12.75" customHeight="1" x14ac:dyDescent="0.25">
      <c r="B505" s="45"/>
      <c r="D505" s="46"/>
      <c r="E505" s="47"/>
    </row>
    <row r="506" spans="2:5" ht="12.75" customHeight="1" x14ac:dyDescent="0.25">
      <c r="B506" s="45"/>
      <c r="D506" s="46"/>
      <c r="E506" s="47"/>
    </row>
    <row r="507" spans="2:5" ht="12.75" customHeight="1" x14ac:dyDescent="0.25">
      <c r="B507" s="45"/>
      <c r="D507" s="46"/>
      <c r="E507" s="47"/>
    </row>
    <row r="508" spans="2:5" ht="12.75" customHeight="1" x14ac:dyDescent="0.25">
      <c r="B508" s="45"/>
      <c r="D508" s="46"/>
      <c r="E508" s="47"/>
    </row>
    <row r="509" spans="2:5" ht="12.75" customHeight="1" x14ac:dyDescent="0.25">
      <c r="B509" s="45"/>
      <c r="D509" s="46"/>
      <c r="E509" s="47"/>
    </row>
    <row r="510" spans="2:5" ht="12.75" customHeight="1" x14ac:dyDescent="0.25">
      <c r="B510" s="45"/>
      <c r="D510" s="46"/>
      <c r="E510" s="47"/>
    </row>
    <row r="511" spans="2:5" ht="12.75" customHeight="1" x14ac:dyDescent="0.25">
      <c r="B511" s="45"/>
      <c r="D511" s="46"/>
      <c r="E511" s="47"/>
    </row>
    <row r="512" spans="2:5" ht="12.75" customHeight="1" x14ac:dyDescent="0.25">
      <c r="B512" s="45"/>
      <c r="D512" s="46"/>
      <c r="E512" s="47"/>
    </row>
    <row r="513" spans="2:5" ht="12.75" customHeight="1" x14ac:dyDescent="0.25">
      <c r="B513" s="45"/>
      <c r="D513" s="46"/>
      <c r="E513" s="47"/>
    </row>
    <row r="514" spans="2:5" ht="12.75" customHeight="1" x14ac:dyDescent="0.25">
      <c r="B514" s="45"/>
      <c r="D514" s="46"/>
      <c r="E514" s="47"/>
    </row>
    <row r="515" spans="2:5" ht="12.75" customHeight="1" x14ac:dyDescent="0.25">
      <c r="B515" s="45"/>
      <c r="D515" s="46"/>
      <c r="E515" s="47"/>
    </row>
    <row r="516" spans="2:5" ht="12.75" customHeight="1" x14ac:dyDescent="0.25">
      <c r="B516" s="45"/>
      <c r="D516" s="46"/>
      <c r="E516" s="47"/>
    </row>
    <row r="517" spans="2:5" ht="12.75" customHeight="1" x14ac:dyDescent="0.25">
      <c r="B517" s="45"/>
      <c r="D517" s="46"/>
      <c r="E517" s="47"/>
    </row>
    <row r="518" spans="2:5" ht="12.75" customHeight="1" x14ac:dyDescent="0.25">
      <c r="B518" s="45"/>
      <c r="D518" s="46"/>
      <c r="E518" s="47"/>
    </row>
    <row r="519" spans="2:5" ht="12.75" customHeight="1" x14ac:dyDescent="0.25">
      <c r="B519" s="45"/>
      <c r="D519" s="46"/>
      <c r="E519" s="47"/>
    </row>
    <row r="520" spans="2:5" ht="12.75" customHeight="1" x14ac:dyDescent="0.25">
      <c r="B520" s="45"/>
      <c r="D520" s="46"/>
      <c r="E520" s="47"/>
    </row>
    <row r="521" spans="2:5" ht="12.75" customHeight="1" x14ac:dyDescent="0.25">
      <c r="B521" s="45"/>
      <c r="D521" s="46"/>
      <c r="E521" s="47"/>
    </row>
    <row r="522" spans="2:5" ht="12.75" customHeight="1" x14ac:dyDescent="0.25">
      <c r="B522" s="45"/>
      <c r="D522" s="46"/>
      <c r="E522" s="47"/>
    </row>
    <row r="523" spans="2:5" ht="12.75" customHeight="1" x14ac:dyDescent="0.25">
      <c r="B523" s="45"/>
      <c r="D523" s="46"/>
      <c r="E523" s="47"/>
    </row>
    <row r="524" spans="2:5" ht="12.75" customHeight="1" x14ac:dyDescent="0.25">
      <c r="B524" s="45"/>
      <c r="D524" s="46"/>
      <c r="E524" s="47"/>
    </row>
    <row r="525" spans="2:5" ht="12.75" customHeight="1" x14ac:dyDescent="0.25">
      <c r="B525" s="45"/>
      <c r="D525" s="46"/>
      <c r="E525" s="47"/>
    </row>
    <row r="526" spans="2:5" ht="12.75" customHeight="1" x14ac:dyDescent="0.25">
      <c r="B526" s="45"/>
      <c r="D526" s="46"/>
      <c r="E526" s="47"/>
    </row>
    <row r="527" spans="2:5" ht="12.75" customHeight="1" x14ac:dyDescent="0.25">
      <c r="B527" s="45"/>
      <c r="D527" s="46"/>
      <c r="E527" s="47"/>
    </row>
    <row r="528" spans="2:5" ht="12.75" customHeight="1" x14ac:dyDescent="0.25">
      <c r="B528" s="45"/>
      <c r="D528" s="46"/>
      <c r="E528" s="47"/>
    </row>
    <row r="529" spans="2:5" ht="12.75" customHeight="1" x14ac:dyDescent="0.25">
      <c r="B529" s="45"/>
      <c r="D529" s="46"/>
      <c r="E529" s="47"/>
    </row>
    <row r="530" spans="2:5" ht="12.75" customHeight="1" x14ac:dyDescent="0.25">
      <c r="B530" s="45"/>
      <c r="D530" s="46"/>
      <c r="E530" s="47"/>
    </row>
    <row r="531" spans="2:5" ht="12.75" customHeight="1" x14ac:dyDescent="0.25">
      <c r="B531" s="45"/>
      <c r="D531" s="46"/>
      <c r="E531" s="47"/>
    </row>
    <row r="532" spans="2:5" ht="12.75" customHeight="1" x14ac:dyDescent="0.25">
      <c r="B532" s="45"/>
      <c r="D532" s="46"/>
      <c r="E532" s="47"/>
    </row>
    <row r="533" spans="2:5" ht="12.75" customHeight="1" x14ac:dyDescent="0.25">
      <c r="B533" s="45"/>
      <c r="D533" s="46"/>
      <c r="E533" s="47"/>
    </row>
    <row r="534" spans="2:5" ht="12.75" customHeight="1" x14ac:dyDescent="0.25">
      <c r="B534" s="45"/>
      <c r="D534" s="46"/>
      <c r="E534" s="47"/>
    </row>
    <row r="535" spans="2:5" ht="12.75" customHeight="1" x14ac:dyDescent="0.25">
      <c r="B535" s="45"/>
      <c r="D535" s="46"/>
      <c r="E535" s="47"/>
    </row>
    <row r="536" spans="2:5" ht="12.75" customHeight="1" x14ac:dyDescent="0.25">
      <c r="B536" s="45"/>
      <c r="D536" s="46"/>
      <c r="E536" s="47"/>
    </row>
    <row r="537" spans="2:5" ht="12.75" customHeight="1" x14ac:dyDescent="0.25">
      <c r="B537" s="45"/>
      <c r="D537" s="46"/>
      <c r="E537" s="47"/>
    </row>
    <row r="538" spans="2:5" ht="12.75" customHeight="1" x14ac:dyDescent="0.25">
      <c r="B538" s="45"/>
      <c r="D538" s="46"/>
      <c r="E538" s="47"/>
    </row>
    <row r="539" spans="2:5" ht="12.75" customHeight="1" x14ac:dyDescent="0.25">
      <c r="B539" s="45"/>
      <c r="D539" s="46"/>
      <c r="E539" s="47"/>
    </row>
    <row r="540" spans="2:5" ht="12.75" customHeight="1" x14ac:dyDescent="0.25">
      <c r="B540" s="45"/>
      <c r="D540" s="46"/>
      <c r="E540" s="47"/>
    </row>
    <row r="541" spans="2:5" ht="12.75" customHeight="1" x14ac:dyDescent="0.25">
      <c r="B541" s="45"/>
      <c r="D541" s="46"/>
      <c r="E541" s="47"/>
    </row>
    <row r="542" spans="2:5" ht="12.75" customHeight="1" x14ac:dyDescent="0.25">
      <c r="B542" s="45"/>
      <c r="D542" s="46"/>
      <c r="E542" s="47"/>
    </row>
    <row r="543" spans="2:5" ht="12.75" customHeight="1" x14ac:dyDescent="0.25">
      <c r="B543" s="45"/>
      <c r="D543" s="46"/>
      <c r="E543" s="47"/>
    </row>
    <row r="544" spans="2:5" ht="12.75" customHeight="1" x14ac:dyDescent="0.25">
      <c r="B544" s="45"/>
      <c r="D544" s="46"/>
      <c r="E544" s="47"/>
    </row>
    <row r="545" spans="2:5" ht="12.75" customHeight="1" x14ac:dyDescent="0.25">
      <c r="B545" s="45"/>
      <c r="D545" s="46"/>
      <c r="E545" s="47"/>
    </row>
    <row r="546" spans="2:5" ht="12.75" customHeight="1" x14ac:dyDescent="0.25">
      <c r="B546" s="45"/>
      <c r="D546" s="46"/>
      <c r="E546" s="47"/>
    </row>
    <row r="547" spans="2:5" ht="12.75" customHeight="1" x14ac:dyDescent="0.25">
      <c r="B547" s="45"/>
      <c r="D547" s="46"/>
      <c r="E547" s="47"/>
    </row>
    <row r="548" spans="2:5" ht="12.75" customHeight="1" x14ac:dyDescent="0.25">
      <c r="B548" s="45"/>
      <c r="D548" s="46"/>
      <c r="E548" s="47"/>
    </row>
    <row r="549" spans="2:5" ht="12.75" customHeight="1" x14ac:dyDescent="0.25">
      <c r="B549" s="45"/>
      <c r="D549" s="46"/>
      <c r="E549" s="47"/>
    </row>
    <row r="550" spans="2:5" ht="12.75" customHeight="1" x14ac:dyDescent="0.25">
      <c r="B550" s="45"/>
      <c r="D550" s="46"/>
      <c r="E550" s="47"/>
    </row>
    <row r="551" spans="2:5" ht="12.75" customHeight="1" x14ac:dyDescent="0.25">
      <c r="B551" s="45"/>
      <c r="D551" s="46"/>
      <c r="E551" s="47"/>
    </row>
    <row r="552" spans="2:5" ht="12.75" customHeight="1" x14ac:dyDescent="0.25">
      <c r="B552" s="45"/>
      <c r="D552" s="46"/>
      <c r="E552" s="47"/>
    </row>
    <row r="553" spans="2:5" ht="12.75" customHeight="1" x14ac:dyDescent="0.25">
      <c r="B553" s="45"/>
      <c r="D553" s="46"/>
      <c r="E553" s="47"/>
    </row>
    <row r="554" spans="2:5" ht="12.75" customHeight="1" x14ac:dyDescent="0.25">
      <c r="B554" s="45"/>
      <c r="D554" s="46"/>
      <c r="E554" s="47"/>
    </row>
    <row r="555" spans="2:5" ht="12.75" customHeight="1" x14ac:dyDescent="0.25">
      <c r="B555" s="45"/>
      <c r="D555" s="46"/>
      <c r="E555" s="47"/>
    </row>
    <row r="556" spans="2:5" ht="12.75" customHeight="1" x14ac:dyDescent="0.25">
      <c r="B556" s="45"/>
      <c r="D556" s="46"/>
      <c r="E556" s="47"/>
    </row>
    <row r="557" spans="2:5" ht="12.75" customHeight="1" x14ac:dyDescent="0.25">
      <c r="B557" s="45"/>
      <c r="D557" s="46"/>
      <c r="E557" s="47"/>
    </row>
    <row r="558" spans="2:5" ht="12.75" customHeight="1" x14ac:dyDescent="0.25">
      <c r="B558" s="45"/>
      <c r="D558" s="46"/>
      <c r="E558" s="47"/>
    </row>
    <row r="559" spans="2:5" ht="12.75" customHeight="1" x14ac:dyDescent="0.25">
      <c r="B559" s="45"/>
      <c r="D559" s="46"/>
      <c r="E559" s="47"/>
    </row>
    <row r="560" spans="2:5" ht="12.75" customHeight="1" x14ac:dyDescent="0.25">
      <c r="B560" s="45"/>
      <c r="D560" s="46"/>
      <c r="E560" s="47"/>
    </row>
    <row r="561" spans="2:5" ht="12.75" customHeight="1" x14ac:dyDescent="0.25">
      <c r="B561" s="45"/>
      <c r="D561" s="46"/>
      <c r="E561" s="47"/>
    </row>
    <row r="562" spans="2:5" ht="12.75" customHeight="1" x14ac:dyDescent="0.25">
      <c r="B562" s="45"/>
      <c r="D562" s="46"/>
      <c r="E562" s="47"/>
    </row>
    <row r="563" spans="2:5" ht="12.75" customHeight="1" x14ac:dyDescent="0.25">
      <c r="B563" s="45"/>
      <c r="D563" s="46"/>
      <c r="E563" s="47"/>
    </row>
    <row r="564" spans="2:5" ht="12.75" customHeight="1" x14ac:dyDescent="0.25">
      <c r="B564" s="45"/>
      <c r="D564" s="46"/>
      <c r="E564" s="47"/>
    </row>
    <row r="565" spans="2:5" ht="12.75" customHeight="1" x14ac:dyDescent="0.25">
      <c r="B565" s="45"/>
      <c r="D565" s="46"/>
      <c r="E565" s="47"/>
    </row>
    <row r="566" spans="2:5" ht="12.75" customHeight="1" x14ac:dyDescent="0.25">
      <c r="B566" s="45"/>
      <c r="D566" s="46"/>
      <c r="E566" s="47"/>
    </row>
    <row r="567" spans="2:5" ht="12.75" customHeight="1" x14ac:dyDescent="0.25">
      <c r="B567" s="45"/>
      <c r="D567" s="46"/>
      <c r="E567" s="47"/>
    </row>
    <row r="568" spans="2:5" ht="12.75" customHeight="1" x14ac:dyDescent="0.25">
      <c r="B568" s="45"/>
      <c r="D568" s="46"/>
      <c r="E568" s="47"/>
    </row>
    <row r="569" spans="2:5" ht="12.75" customHeight="1" x14ac:dyDescent="0.25">
      <c r="B569" s="45"/>
      <c r="D569" s="46"/>
      <c r="E569" s="47"/>
    </row>
    <row r="570" spans="2:5" ht="12.75" customHeight="1" x14ac:dyDescent="0.25">
      <c r="B570" s="45"/>
      <c r="D570" s="46"/>
      <c r="E570" s="47"/>
    </row>
    <row r="571" spans="2:5" ht="12.75" customHeight="1" x14ac:dyDescent="0.25">
      <c r="B571" s="45"/>
      <c r="D571" s="46"/>
      <c r="E571" s="47"/>
    </row>
    <row r="572" spans="2:5" ht="12.75" customHeight="1" x14ac:dyDescent="0.25">
      <c r="B572" s="45"/>
      <c r="D572" s="46"/>
      <c r="E572" s="47"/>
    </row>
    <row r="573" spans="2:5" ht="12.75" customHeight="1" x14ac:dyDescent="0.25">
      <c r="B573" s="45"/>
      <c r="D573" s="46"/>
      <c r="E573" s="47"/>
    </row>
    <row r="574" spans="2:5" ht="12.75" customHeight="1" x14ac:dyDescent="0.25">
      <c r="B574" s="45"/>
      <c r="D574" s="46"/>
      <c r="E574" s="47"/>
    </row>
    <row r="575" spans="2:5" ht="12.75" customHeight="1" x14ac:dyDescent="0.25">
      <c r="B575" s="45"/>
      <c r="D575" s="46"/>
      <c r="E575" s="47"/>
    </row>
    <row r="576" spans="2:5" ht="12.75" customHeight="1" x14ac:dyDescent="0.25">
      <c r="B576" s="45"/>
      <c r="D576" s="46"/>
      <c r="E576" s="47"/>
    </row>
    <row r="577" spans="2:5" ht="12.75" customHeight="1" x14ac:dyDescent="0.25">
      <c r="B577" s="45"/>
      <c r="D577" s="46"/>
      <c r="E577" s="47"/>
    </row>
    <row r="578" spans="2:5" ht="12.75" customHeight="1" x14ac:dyDescent="0.25">
      <c r="B578" s="45"/>
      <c r="D578" s="46"/>
      <c r="E578" s="47"/>
    </row>
    <row r="579" spans="2:5" ht="12.75" customHeight="1" x14ac:dyDescent="0.25">
      <c r="B579" s="45"/>
      <c r="D579" s="46"/>
      <c r="E579" s="47"/>
    </row>
    <row r="580" spans="2:5" ht="12.75" customHeight="1" x14ac:dyDescent="0.25">
      <c r="B580" s="45"/>
      <c r="D580" s="46"/>
      <c r="E580" s="47"/>
    </row>
    <row r="581" spans="2:5" ht="12.75" customHeight="1" x14ac:dyDescent="0.25">
      <c r="B581" s="45"/>
      <c r="D581" s="46"/>
      <c r="E581" s="47"/>
    </row>
    <row r="582" spans="2:5" ht="12.75" customHeight="1" x14ac:dyDescent="0.25">
      <c r="B582" s="45"/>
      <c r="D582" s="46"/>
      <c r="E582" s="47"/>
    </row>
    <row r="583" spans="2:5" ht="12.75" customHeight="1" x14ac:dyDescent="0.25">
      <c r="B583" s="45"/>
      <c r="D583" s="46"/>
      <c r="E583" s="47"/>
    </row>
    <row r="584" spans="2:5" ht="12.75" customHeight="1" x14ac:dyDescent="0.25">
      <c r="B584" s="45"/>
      <c r="D584" s="46"/>
      <c r="E584" s="47"/>
    </row>
    <row r="585" spans="2:5" ht="12.75" customHeight="1" x14ac:dyDescent="0.25">
      <c r="B585" s="45"/>
      <c r="D585" s="46"/>
      <c r="E585" s="47"/>
    </row>
    <row r="586" spans="2:5" ht="12.75" customHeight="1" x14ac:dyDescent="0.25">
      <c r="B586" s="45"/>
      <c r="D586" s="46"/>
      <c r="E586" s="47"/>
    </row>
    <row r="587" spans="2:5" ht="12.75" customHeight="1" x14ac:dyDescent="0.25">
      <c r="B587" s="45"/>
      <c r="D587" s="46"/>
      <c r="E587" s="47"/>
    </row>
    <row r="588" spans="2:5" ht="12.75" customHeight="1" x14ac:dyDescent="0.25">
      <c r="B588" s="45"/>
      <c r="D588" s="46"/>
      <c r="E588" s="47"/>
    </row>
    <row r="589" spans="2:5" ht="12.75" customHeight="1" x14ac:dyDescent="0.25">
      <c r="B589" s="45"/>
      <c r="D589" s="46"/>
      <c r="E589" s="47"/>
    </row>
    <row r="590" spans="2:5" ht="12.75" customHeight="1" x14ac:dyDescent="0.25">
      <c r="B590" s="45"/>
      <c r="D590" s="46"/>
      <c r="E590" s="47"/>
    </row>
    <row r="591" spans="2:5" ht="12.75" customHeight="1" x14ac:dyDescent="0.25">
      <c r="B591" s="45"/>
      <c r="D591" s="46"/>
      <c r="E591" s="47"/>
    </row>
    <row r="592" spans="2:5" ht="12.75" customHeight="1" x14ac:dyDescent="0.25">
      <c r="B592" s="45"/>
      <c r="D592" s="46"/>
      <c r="E592" s="47"/>
    </row>
    <row r="593" spans="2:5" ht="12.75" customHeight="1" x14ac:dyDescent="0.25">
      <c r="B593" s="45"/>
      <c r="D593" s="46"/>
      <c r="E593" s="47"/>
    </row>
    <row r="594" spans="2:5" ht="12.75" customHeight="1" x14ac:dyDescent="0.25">
      <c r="B594" s="45"/>
      <c r="D594" s="46"/>
      <c r="E594" s="47"/>
    </row>
    <row r="595" spans="2:5" ht="12.75" customHeight="1" x14ac:dyDescent="0.25">
      <c r="B595" s="45"/>
      <c r="D595" s="46"/>
      <c r="E595" s="47"/>
    </row>
    <row r="596" spans="2:5" ht="12.75" customHeight="1" x14ac:dyDescent="0.25">
      <c r="B596" s="45"/>
      <c r="D596" s="46"/>
      <c r="E596" s="47"/>
    </row>
    <row r="597" spans="2:5" ht="12.75" customHeight="1" x14ac:dyDescent="0.25">
      <c r="B597" s="45"/>
      <c r="D597" s="46"/>
      <c r="E597" s="47"/>
    </row>
    <row r="598" spans="2:5" ht="12.75" customHeight="1" x14ac:dyDescent="0.25">
      <c r="B598" s="45"/>
      <c r="D598" s="46"/>
      <c r="E598" s="47"/>
    </row>
    <row r="599" spans="2:5" ht="12.75" customHeight="1" x14ac:dyDescent="0.25">
      <c r="B599" s="45"/>
      <c r="D599" s="46"/>
      <c r="E599" s="47"/>
    </row>
    <row r="600" spans="2:5" ht="12.75" customHeight="1" x14ac:dyDescent="0.25">
      <c r="B600" s="45"/>
      <c r="D600" s="46"/>
      <c r="E600" s="47"/>
    </row>
    <row r="601" spans="2:5" ht="12.75" customHeight="1" x14ac:dyDescent="0.25">
      <c r="B601" s="45"/>
      <c r="D601" s="46"/>
      <c r="E601" s="47"/>
    </row>
    <row r="602" spans="2:5" ht="12.75" customHeight="1" x14ac:dyDescent="0.25">
      <c r="B602" s="45"/>
      <c r="D602" s="46"/>
      <c r="E602" s="47"/>
    </row>
    <row r="603" spans="2:5" ht="12.75" customHeight="1" x14ac:dyDescent="0.25">
      <c r="B603" s="45"/>
      <c r="D603" s="46"/>
      <c r="E603" s="47"/>
    </row>
    <row r="604" spans="2:5" ht="12.75" customHeight="1" x14ac:dyDescent="0.25">
      <c r="B604" s="45"/>
      <c r="D604" s="46"/>
      <c r="E604" s="47"/>
    </row>
    <row r="605" spans="2:5" ht="12.75" customHeight="1" x14ac:dyDescent="0.25">
      <c r="B605" s="45"/>
      <c r="D605" s="46"/>
      <c r="E605" s="47"/>
    </row>
    <row r="606" spans="2:5" ht="12.75" customHeight="1" x14ac:dyDescent="0.25">
      <c r="B606" s="45"/>
      <c r="D606" s="46"/>
      <c r="E606" s="47"/>
    </row>
    <row r="607" spans="2:5" ht="12.75" customHeight="1" x14ac:dyDescent="0.25">
      <c r="B607" s="45"/>
      <c r="D607" s="46"/>
      <c r="E607" s="47"/>
    </row>
    <row r="608" spans="2:5" ht="12.75" customHeight="1" x14ac:dyDescent="0.25">
      <c r="B608" s="45"/>
      <c r="D608" s="46"/>
      <c r="E608" s="47"/>
    </row>
    <row r="609" spans="2:5" ht="12.75" customHeight="1" x14ac:dyDescent="0.25">
      <c r="B609" s="45"/>
      <c r="D609" s="46"/>
      <c r="E609" s="47"/>
    </row>
    <row r="610" spans="2:5" ht="12.75" customHeight="1" x14ac:dyDescent="0.25">
      <c r="B610" s="45"/>
      <c r="D610" s="46"/>
      <c r="E610" s="47"/>
    </row>
    <row r="611" spans="2:5" ht="12.75" customHeight="1" x14ac:dyDescent="0.25">
      <c r="B611" s="45"/>
      <c r="D611" s="46"/>
      <c r="E611" s="47"/>
    </row>
    <row r="612" spans="2:5" ht="12.75" customHeight="1" x14ac:dyDescent="0.25">
      <c r="B612" s="45"/>
      <c r="D612" s="46"/>
      <c r="E612" s="47"/>
    </row>
    <row r="613" spans="2:5" ht="12.75" customHeight="1" x14ac:dyDescent="0.25">
      <c r="B613" s="45"/>
      <c r="D613" s="46"/>
      <c r="E613" s="47"/>
    </row>
    <row r="614" spans="2:5" ht="12.75" customHeight="1" x14ac:dyDescent="0.25">
      <c r="B614" s="45"/>
      <c r="D614" s="46"/>
      <c r="E614" s="47"/>
    </row>
    <row r="615" spans="2:5" ht="12.75" customHeight="1" x14ac:dyDescent="0.25">
      <c r="B615" s="45"/>
      <c r="D615" s="46"/>
      <c r="E615" s="47"/>
    </row>
    <row r="616" spans="2:5" ht="12.75" customHeight="1" x14ac:dyDescent="0.25">
      <c r="B616" s="45"/>
      <c r="D616" s="46"/>
      <c r="E616" s="47"/>
    </row>
    <row r="617" spans="2:5" ht="12.75" customHeight="1" x14ac:dyDescent="0.25">
      <c r="B617" s="45"/>
      <c r="D617" s="46"/>
      <c r="E617" s="47"/>
    </row>
    <row r="618" spans="2:5" ht="12.75" customHeight="1" x14ac:dyDescent="0.25">
      <c r="B618" s="45"/>
      <c r="D618" s="46"/>
      <c r="E618" s="47"/>
    </row>
    <row r="619" spans="2:5" ht="12.75" customHeight="1" x14ac:dyDescent="0.25">
      <c r="B619" s="45"/>
      <c r="D619" s="46"/>
      <c r="E619" s="47"/>
    </row>
    <row r="620" spans="2:5" ht="12.75" customHeight="1" x14ac:dyDescent="0.25">
      <c r="B620" s="45"/>
      <c r="D620" s="46"/>
      <c r="E620" s="47"/>
    </row>
    <row r="621" spans="2:5" ht="12.75" customHeight="1" x14ac:dyDescent="0.25">
      <c r="B621" s="45"/>
      <c r="D621" s="46"/>
      <c r="E621" s="47"/>
    </row>
    <row r="622" spans="2:5" ht="12.75" customHeight="1" x14ac:dyDescent="0.25">
      <c r="B622" s="45"/>
      <c r="D622" s="46"/>
      <c r="E622" s="47"/>
    </row>
    <row r="623" spans="2:5" ht="12.75" customHeight="1" x14ac:dyDescent="0.25">
      <c r="B623" s="45"/>
      <c r="D623" s="46"/>
      <c r="E623" s="47"/>
    </row>
    <row r="624" spans="2:5" ht="12.75" customHeight="1" x14ac:dyDescent="0.25">
      <c r="B624" s="45"/>
      <c r="D624" s="46"/>
      <c r="E624" s="47"/>
    </row>
    <row r="625" spans="2:5" ht="12.75" customHeight="1" x14ac:dyDescent="0.25">
      <c r="B625" s="45"/>
      <c r="D625" s="46"/>
      <c r="E625" s="47"/>
    </row>
    <row r="626" spans="2:5" ht="12.75" customHeight="1" x14ac:dyDescent="0.25">
      <c r="B626" s="45"/>
      <c r="D626" s="46"/>
      <c r="E626" s="47"/>
    </row>
    <row r="627" spans="2:5" ht="12.75" customHeight="1" x14ac:dyDescent="0.25">
      <c r="B627" s="45"/>
      <c r="D627" s="46"/>
      <c r="E627" s="47"/>
    </row>
    <row r="628" spans="2:5" ht="12.75" customHeight="1" x14ac:dyDescent="0.25">
      <c r="B628" s="45"/>
      <c r="D628" s="46"/>
      <c r="E628" s="47"/>
    </row>
    <row r="629" spans="2:5" ht="12.75" customHeight="1" x14ac:dyDescent="0.25">
      <c r="B629" s="45"/>
      <c r="D629" s="46"/>
      <c r="E629" s="47"/>
    </row>
    <row r="630" spans="2:5" ht="12.75" customHeight="1" x14ac:dyDescent="0.25">
      <c r="B630" s="45"/>
      <c r="D630" s="46"/>
      <c r="E630" s="47"/>
    </row>
    <row r="631" spans="2:5" ht="12.75" customHeight="1" x14ac:dyDescent="0.25">
      <c r="B631" s="45"/>
      <c r="D631" s="46"/>
      <c r="E631" s="47"/>
    </row>
    <row r="632" spans="2:5" ht="12.75" customHeight="1" x14ac:dyDescent="0.25">
      <c r="B632" s="45"/>
      <c r="D632" s="46"/>
      <c r="E632" s="47"/>
    </row>
    <row r="633" spans="2:5" ht="12.75" customHeight="1" x14ac:dyDescent="0.25">
      <c r="B633" s="45"/>
      <c r="D633" s="46"/>
      <c r="E633" s="47"/>
    </row>
    <row r="634" spans="2:5" ht="12.75" customHeight="1" x14ac:dyDescent="0.25">
      <c r="B634" s="45"/>
      <c r="D634" s="46"/>
      <c r="E634" s="47"/>
    </row>
    <row r="635" spans="2:5" ht="12.75" customHeight="1" x14ac:dyDescent="0.25">
      <c r="B635" s="45"/>
      <c r="D635" s="46"/>
      <c r="E635" s="47"/>
    </row>
    <row r="636" spans="2:5" ht="12.75" customHeight="1" x14ac:dyDescent="0.25">
      <c r="B636" s="45"/>
      <c r="D636" s="46"/>
      <c r="E636" s="47"/>
    </row>
    <row r="637" spans="2:5" ht="12.75" customHeight="1" x14ac:dyDescent="0.25">
      <c r="B637" s="45"/>
      <c r="D637" s="46"/>
      <c r="E637" s="47"/>
    </row>
    <row r="638" spans="2:5" ht="12.75" customHeight="1" x14ac:dyDescent="0.25">
      <c r="B638" s="45"/>
      <c r="D638" s="46"/>
      <c r="E638" s="47"/>
    </row>
    <row r="639" spans="2:5" ht="12.75" customHeight="1" x14ac:dyDescent="0.25">
      <c r="B639" s="45"/>
      <c r="D639" s="46"/>
      <c r="E639" s="47"/>
    </row>
    <row r="640" spans="2:5" ht="12.75" customHeight="1" x14ac:dyDescent="0.25">
      <c r="B640" s="45"/>
      <c r="D640" s="46"/>
      <c r="E640" s="47"/>
    </row>
    <row r="641" spans="2:5" ht="12.75" customHeight="1" x14ac:dyDescent="0.25">
      <c r="B641" s="45"/>
      <c r="D641" s="46"/>
      <c r="E641" s="47"/>
    </row>
    <row r="642" spans="2:5" ht="12.75" customHeight="1" x14ac:dyDescent="0.25">
      <c r="B642" s="45"/>
      <c r="D642" s="46"/>
      <c r="E642" s="47"/>
    </row>
    <row r="643" spans="2:5" ht="12.75" customHeight="1" x14ac:dyDescent="0.25">
      <c r="B643" s="45"/>
      <c r="D643" s="46"/>
      <c r="E643" s="47"/>
    </row>
    <row r="644" spans="2:5" ht="12.75" customHeight="1" x14ac:dyDescent="0.25">
      <c r="B644" s="45"/>
      <c r="D644" s="46"/>
      <c r="E644" s="47"/>
    </row>
    <row r="645" spans="2:5" ht="12.75" customHeight="1" x14ac:dyDescent="0.25">
      <c r="B645" s="45"/>
      <c r="D645" s="46"/>
      <c r="E645" s="47"/>
    </row>
    <row r="646" spans="2:5" ht="12.75" customHeight="1" x14ac:dyDescent="0.25">
      <c r="B646" s="45"/>
      <c r="D646" s="46"/>
      <c r="E646" s="47"/>
    </row>
    <row r="647" spans="2:5" ht="12.75" customHeight="1" x14ac:dyDescent="0.25">
      <c r="B647" s="45"/>
      <c r="D647" s="46"/>
      <c r="E647" s="47"/>
    </row>
    <row r="648" spans="2:5" ht="12.75" customHeight="1" x14ac:dyDescent="0.25">
      <c r="B648" s="45"/>
      <c r="D648" s="46"/>
      <c r="E648" s="47"/>
    </row>
    <row r="649" spans="2:5" ht="12.75" customHeight="1" x14ac:dyDescent="0.25">
      <c r="B649" s="45"/>
      <c r="D649" s="46"/>
      <c r="E649" s="47"/>
    </row>
    <row r="650" spans="2:5" ht="12.75" customHeight="1" x14ac:dyDescent="0.25">
      <c r="B650" s="45"/>
      <c r="D650" s="46"/>
      <c r="E650" s="47"/>
    </row>
    <row r="651" spans="2:5" ht="12.75" customHeight="1" x14ac:dyDescent="0.25">
      <c r="B651" s="45"/>
      <c r="D651" s="46"/>
      <c r="E651" s="47"/>
    </row>
    <row r="652" spans="2:5" ht="12.75" customHeight="1" x14ac:dyDescent="0.25">
      <c r="B652" s="45"/>
      <c r="D652" s="46"/>
      <c r="E652" s="47"/>
    </row>
    <row r="653" spans="2:5" ht="12.75" customHeight="1" x14ac:dyDescent="0.25">
      <c r="B653" s="45"/>
      <c r="D653" s="46"/>
      <c r="E653" s="47"/>
    </row>
    <row r="654" spans="2:5" ht="12.75" customHeight="1" x14ac:dyDescent="0.25">
      <c r="B654" s="45"/>
      <c r="D654" s="46"/>
      <c r="E654" s="47"/>
    </row>
    <row r="655" spans="2:5" ht="12.75" customHeight="1" x14ac:dyDescent="0.25">
      <c r="B655" s="45"/>
      <c r="D655" s="46"/>
      <c r="E655" s="47"/>
    </row>
    <row r="656" spans="2:5" ht="12.75" customHeight="1" x14ac:dyDescent="0.25">
      <c r="B656" s="45"/>
      <c r="D656" s="46"/>
      <c r="E656" s="47"/>
    </row>
    <row r="657" spans="2:5" ht="12.75" customHeight="1" x14ac:dyDescent="0.25">
      <c r="B657" s="45"/>
      <c r="D657" s="46"/>
      <c r="E657" s="47"/>
    </row>
    <row r="658" spans="2:5" ht="12.75" customHeight="1" x14ac:dyDescent="0.25">
      <c r="B658" s="45"/>
      <c r="D658" s="46"/>
      <c r="E658" s="47"/>
    </row>
    <row r="659" spans="2:5" ht="12.75" customHeight="1" x14ac:dyDescent="0.25">
      <c r="B659" s="45"/>
      <c r="D659" s="46"/>
      <c r="E659" s="47"/>
    </row>
    <row r="660" spans="2:5" ht="12.75" customHeight="1" x14ac:dyDescent="0.25">
      <c r="B660" s="45"/>
      <c r="D660" s="46"/>
      <c r="E660" s="47"/>
    </row>
    <row r="661" spans="2:5" ht="12.75" customHeight="1" x14ac:dyDescent="0.25">
      <c r="B661" s="45"/>
      <c r="D661" s="46"/>
      <c r="E661" s="47"/>
    </row>
    <row r="662" spans="2:5" ht="12.75" customHeight="1" x14ac:dyDescent="0.25">
      <c r="B662" s="45"/>
      <c r="D662" s="46"/>
      <c r="E662" s="47"/>
    </row>
    <row r="663" spans="2:5" ht="12.75" customHeight="1" x14ac:dyDescent="0.25">
      <c r="B663" s="45"/>
      <c r="D663" s="46"/>
      <c r="E663" s="47"/>
    </row>
    <row r="664" spans="2:5" ht="12.75" customHeight="1" x14ac:dyDescent="0.25">
      <c r="B664" s="45"/>
      <c r="D664" s="46"/>
      <c r="E664" s="47"/>
    </row>
    <row r="665" spans="2:5" ht="12.75" customHeight="1" x14ac:dyDescent="0.25">
      <c r="B665" s="45"/>
      <c r="D665" s="46"/>
      <c r="E665" s="47"/>
    </row>
    <row r="666" spans="2:5" ht="12.75" customHeight="1" x14ac:dyDescent="0.25">
      <c r="B666" s="45"/>
      <c r="D666" s="46"/>
      <c r="E666" s="47"/>
    </row>
    <row r="667" spans="2:5" ht="12.75" customHeight="1" x14ac:dyDescent="0.25">
      <c r="B667" s="45"/>
      <c r="D667" s="46"/>
      <c r="E667" s="47"/>
    </row>
    <row r="668" spans="2:5" ht="12.75" customHeight="1" x14ac:dyDescent="0.25">
      <c r="B668" s="45"/>
      <c r="D668" s="46"/>
      <c r="E668" s="47"/>
    </row>
    <row r="669" spans="2:5" ht="12.75" customHeight="1" x14ac:dyDescent="0.25">
      <c r="B669" s="45"/>
      <c r="D669" s="46"/>
      <c r="E669" s="47"/>
    </row>
    <row r="670" spans="2:5" ht="12.75" customHeight="1" x14ac:dyDescent="0.25">
      <c r="B670" s="45"/>
      <c r="D670" s="46"/>
      <c r="E670" s="47"/>
    </row>
    <row r="671" spans="2:5" ht="12.75" customHeight="1" x14ac:dyDescent="0.25">
      <c r="B671" s="45"/>
      <c r="D671" s="46"/>
      <c r="E671" s="47"/>
    </row>
    <row r="672" spans="2:5" ht="12.75" customHeight="1" x14ac:dyDescent="0.25">
      <c r="B672" s="45"/>
      <c r="D672" s="46"/>
      <c r="E672" s="47"/>
    </row>
    <row r="673" spans="2:5" ht="12.75" customHeight="1" x14ac:dyDescent="0.25">
      <c r="B673" s="45"/>
      <c r="D673" s="46"/>
      <c r="E673" s="47"/>
    </row>
    <row r="674" spans="2:5" ht="12.75" customHeight="1" x14ac:dyDescent="0.25">
      <c r="B674" s="45"/>
      <c r="D674" s="46"/>
      <c r="E674" s="47"/>
    </row>
    <row r="675" spans="2:5" ht="12.75" customHeight="1" x14ac:dyDescent="0.25">
      <c r="B675" s="45"/>
      <c r="D675" s="46"/>
      <c r="E675" s="47"/>
    </row>
    <row r="676" spans="2:5" ht="12.75" customHeight="1" x14ac:dyDescent="0.25">
      <c r="B676" s="45"/>
      <c r="D676" s="46"/>
      <c r="E676" s="47"/>
    </row>
    <row r="677" spans="2:5" ht="12.75" customHeight="1" x14ac:dyDescent="0.25">
      <c r="B677" s="45"/>
      <c r="D677" s="46"/>
      <c r="E677" s="47"/>
    </row>
    <row r="678" spans="2:5" ht="12.75" customHeight="1" x14ac:dyDescent="0.25">
      <c r="B678" s="45"/>
      <c r="D678" s="46"/>
      <c r="E678" s="47"/>
    </row>
    <row r="679" spans="2:5" ht="12.75" customHeight="1" x14ac:dyDescent="0.25">
      <c r="B679" s="45"/>
      <c r="D679" s="46"/>
      <c r="E679" s="47"/>
    </row>
    <row r="680" spans="2:5" ht="12.75" customHeight="1" x14ac:dyDescent="0.25">
      <c r="B680" s="45"/>
      <c r="D680" s="46"/>
      <c r="E680" s="47"/>
    </row>
    <row r="681" spans="2:5" ht="12.75" customHeight="1" x14ac:dyDescent="0.25">
      <c r="B681" s="45"/>
      <c r="D681" s="46"/>
      <c r="E681" s="47"/>
    </row>
    <row r="682" spans="2:5" ht="12.75" customHeight="1" x14ac:dyDescent="0.25">
      <c r="B682" s="45"/>
      <c r="D682" s="46"/>
      <c r="E682" s="47"/>
    </row>
    <row r="683" spans="2:5" ht="12.75" customHeight="1" x14ac:dyDescent="0.25">
      <c r="B683" s="45"/>
      <c r="D683" s="46"/>
      <c r="E683" s="47"/>
    </row>
    <row r="684" spans="2:5" ht="12.75" customHeight="1" x14ac:dyDescent="0.25">
      <c r="B684" s="45"/>
      <c r="D684" s="46"/>
      <c r="E684" s="47"/>
    </row>
    <row r="685" spans="2:5" ht="12.75" customHeight="1" x14ac:dyDescent="0.25">
      <c r="B685" s="45"/>
      <c r="D685" s="46"/>
      <c r="E685" s="47"/>
    </row>
    <row r="686" spans="2:5" ht="12.75" customHeight="1" x14ac:dyDescent="0.25">
      <c r="B686" s="45"/>
      <c r="D686" s="46"/>
      <c r="E686" s="47"/>
    </row>
    <row r="687" spans="2:5" ht="12.75" customHeight="1" x14ac:dyDescent="0.25">
      <c r="B687" s="45"/>
      <c r="D687" s="46"/>
      <c r="E687" s="47"/>
    </row>
    <row r="688" spans="2:5" ht="12.75" customHeight="1" x14ac:dyDescent="0.25">
      <c r="B688" s="45"/>
      <c r="D688" s="46"/>
      <c r="E688" s="47"/>
    </row>
    <row r="689" spans="2:5" ht="12.75" customHeight="1" x14ac:dyDescent="0.25">
      <c r="B689" s="45"/>
      <c r="D689" s="46"/>
      <c r="E689" s="47"/>
    </row>
    <row r="690" spans="2:5" ht="12.75" customHeight="1" x14ac:dyDescent="0.25">
      <c r="B690" s="45"/>
      <c r="D690" s="46"/>
      <c r="E690" s="47"/>
    </row>
    <row r="691" spans="2:5" ht="12.75" customHeight="1" x14ac:dyDescent="0.25">
      <c r="B691" s="45"/>
      <c r="D691" s="46"/>
      <c r="E691" s="47"/>
    </row>
    <row r="692" spans="2:5" ht="12.75" customHeight="1" x14ac:dyDescent="0.25">
      <c r="B692" s="45"/>
      <c r="D692" s="46"/>
      <c r="E692" s="47"/>
    </row>
    <row r="693" spans="2:5" ht="12.75" customHeight="1" x14ac:dyDescent="0.25">
      <c r="B693" s="45"/>
      <c r="D693" s="46"/>
      <c r="E693" s="47"/>
    </row>
    <row r="694" spans="2:5" ht="12.75" customHeight="1" x14ac:dyDescent="0.25">
      <c r="B694" s="45"/>
      <c r="D694" s="46"/>
      <c r="E694" s="47"/>
    </row>
    <row r="695" spans="2:5" ht="12.75" customHeight="1" x14ac:dyDescent="0.25">
      <c r="B695" s="45"/>
      <c r="D695" s="46"/>
      <c r="E695" s="47"/>
    </row>
    <row r="696" spans="2:5" ht="12.75" customHeight="1" x14ac:dyDescent="0.25">
      <c r="B696" s="45"/>
      <c r="D696" s="46"/>
      <c r="E696" s="47"/>
    </row>
    <row r="697" spans="2:5" ht="12.75" customHeight="1" x14ac:dyDescent="0.25">
      <c r="B697" s="45"/>
      <c r="D697" s="46"/>
      <c r="E697" s="47"/>
    </row>
    <row r="698" spans="2:5" ht="12.75" customHeight="1" x14ac:dyDescent="0.25">
      <c r="B698" s="45"/>
      <c r="D698" s="46"/>
      <c r="E698" s="47"/>
    </row>
    <row r="699" spans="2:5" ht="12.75" customHeight="1" x14ac:dyDescent="0.25">
      <c r="B699" s="45"/>
      <c r="D699" s="46"/>
      <c r="E699" s="47"/>
    </row>
    <row r="700" spans="2:5" ht="12.75" customHeight="1" x14ac:dyDescent="0.25">
      <c r="B700" s="45"/>
      <c r="D700" s="46"/>
      <c r="E700" s="47"/>
    </row>
    <row r="701" spans="2:5" ht="12.75" customHeight="1" x14ac:dyDescent="0.25">
      <c r="B701" s="45"/>
      <c r="D701" s="46"/>
      <c r="E701" s="47"/>
    </row>
    <row r="702" spans="2:5" ht="12.75" customHeight="1" x14ac:dyDescent="0.25">
      <c r="B702" s="45"/>
      <c r="D702" s="46"/>
      <c r="E702" s="47"/>
    </row>
    <row r="703" spans="2:5" ht="12.75" customHeight="1" x14ac:dyDescent="0.25">
      <c r="B703" s="45"/>
      <c r="D703" s="46"/>
      <c r="E703" s="47"/>
    </row>
    <row r="704" spans="2:5" ht="12.75" customHeight="1" x14ac:dyDescent="0.25">
      <c r="B704" s="45"/>
      <c r="D704" s="46"/>
      <c r="E704" s="47"/>
    </row>
    <row r="705" spans="2:5" ht="12.75" customHeight="1" x14ac:dyDescent="0.25">
      <c r="B705" s="45"/>
      <c r="D705" s="46"/>
      <c r="E705" s="47"/>
    </row>
    <row r="706" spans="2:5" ht="12.75" customHeight="1" x14ac:dyDescent="0.25">
      <c r="B706" s="45"/>
      <c r="D706" s="46"/>
      <c r="E706" s="47"/>
    </row>
    <row r="707" spans="2:5" ht="12.75" customHeight="1" x14ac:dyDescent="0.25">
      <c r="B707" s="45"/>
      <c r="D707" s="46"/>
      <c r="E707" s="47"/>
    </row>
    <row r="708" spans="2:5" ht="12.75" customHeight="1" x14ac:dyDescent="0.25">
      <c r="B708" s="45"/>
      <c r="D708" s="46"/>
      <c r="E708" s="47"/>
    </row>
    <row r="709" spans="2:5" ht="12.75" customHeight="1" x14ac:dyDescent="0.25">
      <c r="B709" s="45"/>
      <c r="D709" s="46"/>
      <c r="E709" s="47"/>
    </row>
    <row r="710" spans="2:5" ht="12.75" customHeight="1" x14ac:dyDescent="0.25">
      <c r="B710" s="45"/>
      <c r="D710" s="46"/>
      <c r="E710" s="47"/>
    </row>
    <row r="711" spans="2:5" ht="12.75" customHeight="1" x14ac:dyDescent="0.25">
      <c r="B711" s="45"/>
      <c r="D711" s="46"/>
      <c r="E711" s="47"/>
    </row>
    <row r="712" spans="2:5" ht="12.75" customHeight="1" x14ac:dyDescent="0.25">
      <c r="B712" s="45"/>
      <c r="D712" s="46"/>
      <c r="E712" s="47"/>
    </row>
    <row r="713" spans="2:5" ht="12.75" customHeight="1" x14ac:dyDescent="0.25">
      <c r="B713" s="45"/>
      <c r="D713" s="46"/>
      <c r="E713" s="47"/>
    </row>
    <row r="714" spans="2:5" ht="12.75" customHeight="1" x14ac:dyDescent="0.25">
      <c r="B714" s="45"/>
      <c r="D714" s="46"/>
      <c r="E714" s="47"/>
    </row>
    <row r="715" spans="2:5" ht="12.75" customHeight="1" x14ac:dyDescent="0.25">
      <c r="B715" s="45"/>
      <c r="D715" s="46"/>
      <c r="E715" s="47"/>
    </row>
    <row r="716" spans="2:5" ht="12.75" customHeight="1" x14ac:dyDescent="0.25">
      <c r="B716" s="45"/>
      <c r="D716" s="46"/>
      <c r="E716" s="47"/>
    </row>
    <row r="717" spans="2:5" ht="12.75" customHeight="1" x14ac:dyDescent="0.25">
      <c r="B717" s="45"/>
      <c r="D717" s="46"/>
      <c r="E717" s="47"/>
    </row>
    <row r="718" spans="2:5" ht="12.75" customHeight="1" x14ac:dyDescent="0.25">
      <c r="B718" s="45"/>
      <c r="D718" s="46"/>
      <c r="E718" s="47"/>
    </row>
    <row r="719" spans="2:5" ht="12.75" customHeight="1" x14ac:dyDescent="0.25">
      <c r="B719" s="45"/>
      <c r="D719" s="46"/>
      <c r="E719" s="47"/>
    </row>
    <row r="720" spans="2:5" ht="12.75" customHeight="1" x14ac:dyDescent="0.25">
      <c r="B720" s="45"/>
      <c r="D720" s="46"/>
      <c r="E720" s="47"/>
    </row>
    <row r="721" spans="2:5" ht="12.75" customHeight="1" x14ac:dyDescent="0.25">
      <c r="B721" s="45"/>
      <c r="D721" s="46"/>
      <c r="E721" s="47"/>
    </row>
    <row r="722" spans="2:5" ht="12.75" customHeight="1" x14ac:dyDescent="0.25">
      <c r="B722" s="45"/>
      <c r="D722" s="46"/>
      <c r="E722" s="47"/>
    </row>
    <row r="723" spans="2:5" ht="12.75" customHeight="1" x14ac:dyDescent="0.25">
      <c r="B723" s="45"/>
      <c r="D723" s="46"/>
      <c r="E723" s="47"/>
    </row>
    <row r="724" spans="2:5" ht="12.75" customHeight="1" x14ac:dyDescent="0.25">
      <c r="B724" s="45"/>
      <c r="D724" s="46"/>
      <c r="E724" s="47"/>
    </row>
    <row r="725" spans="2:5" ht="12.75" customHeight="1" x14ac:dyDescent="0.25">
      <c r="B725" s="45"/>
      <c r="D725" s="46"/>
      <c r="E725" s="47"/>
    </row>
    <row r="726" spans="2:5" ht="12.75" customHeight="1" x14ac:dyDescent="0.25">
      <c r="B726" s="45"/>
      <c r="D726" s="46"/>
      <c r="E726" s="47"/>
    </row>
    <row r="727" spans="2:5" ht="12.75" customHeight="1" x14ac:dyDescent="0.25">
      <c r="B727" s="45"/>
      <c r="D727" s="46"/>
      <c r="E727" s="47"/>
    </row>
    <row r="728" spans="2:5" ht="12.75" customHeight="1" x14ac:dyDescent="0.25">
      <c r="B728" s="45"/>
      <c r="D728" s="46"/>
      <c r="E728" s="47"/>
    </row>
    <row r="729" spans="2:5" ht="12.75" customHeight="1" x14ac:dyDescent="0.25">
      <c r="B729" s="45"/>
      <c r="D729" s="46"/>
      <c r="E729" s="47"/>
    </row>
    <row r="730" spans="2:5" ht="12.75" customHeight="1" x14ac:dyDescent="0.25">
      <c r="B730" s="45"/>
      <c r="D730" s="46"/>
      <c r="E730" s="47"/>
    </row>
    <row r="731" spans="2:5" ht="12.75" customHeight="1" x14ac:dyDescent="0.25">
      <c r="B731" s="45"/>
      <c r="D731" s="46"/>
      <c r="E731" s="47"/>
    </row>
    <row r="732" spans="2:5" ht="12.75" customHeight="1" x14ac:dyDescent="0.25">
      <c r="B732" s="45"/>
      <c r="D732" s="46"/>
      <c r="E732" s="47"/>
    </row>
    <row r="733" spans="2:5" ht="12.75" customHeight="1" x14ac:dyDescent="0.25">
      <c r="B733" s="45"/>
      <c r="D733" s="46"/>
      <c r="E733" s="47"/>
    </row>
    <row r="734" spans="2:5" ht="12.75" customHeight="1" x14ac:dyDescent="0.25">
      <c r="B734" s="45"/>
      <c r="D734" s="46"/>
      <c r="E734" s="47"/>
    </row>
    <row r="735" spans="2:5" ht="12.75" customHeight="1" x14ac:dyDescent="0.25">
      <c r="B735" s="45"/>
      <c r="D735" s="46"/>
      <c r="E735" s="47"/>
    </row>
    <row r="736" spans="2:5" ht="12.75" customHeight="1" x14ac:dyDescent="0.25">
      <c r="B736" s="45"/>
      <c r="D736" s="46"/>
      <c r="E736" s="47"/>
    </row>
    <row r="737" spans="2:5" ht="12.75" customHeight="1" x14ac:dyDescent="0.25">
      <c r="B737" s="45"/>
      <c r="D737" s="46"/>
      <c r="E737" s="47"/>
    </row>
    <row r="738" spans="2:5" ht="12.75" customHeight="1" x14ac:dyDescent="0.25">
      <c r="B738" s="45"/>
      <c r="D738" s="46"/>
      <c r="E738" s="47"/>
    </row>
    <row r="739" spans="2:5" ht="12.75" customHeight="1" x14ac:dyDescent="0.25">
      <c r="B739" s="45"/>
      <c r="D739" s="46"/>
      <c r="E739" s="47"/>
    </row>
    <row r="740" spans="2:5" ht="12.75" customHeight="1" x14ac:dyDescent="0.25">
      <c r="B740" s="45"/>
      <c r="D740" s="46"/>
      <c r="E740" s="47"/>
    </row>
    <row r="741" spans="2:5" ht="12.75" customHeight="1" x14ac:dyDescent="0.25">
      <c r="B741" s="45"/>
      <c r="D741" s="46"/>
      <c r="E741" s="47"/>
    </row>
    <row r="742" spans="2:5" ht="12.75" customHeight="1" x14ac:dyDescent="0.25">
      <c r="B742" s="45"/>
      <c r="D742" s="46"/>
      <c r="E742" s="47"/>
    </row>
    <row r="743" spans="2:5" ht="12.75" customHeight="1" x14ac:dyDescent="0.25">
      <c r="B743" s="45"/>
      <c r="D743" s="46"/>
      <c r="E743" s="47"/>
    </row>
    <row r="744" spans="2:5" ht="12.75" customHeight="1" x14ac:dyDescent="0.25">
      <c r="B744" s="45"/>
      <c r="D744" s="46"/>
      <c r="E744" s="47"/>
    </row>
    <row r="745" spans="2:5" ht="12.75" customHeight="1" x14ac:dyDescent="0.25">
      <c r="B745" s="45"/>
      <c r="D745" s="46"/>
      <c r="E745" s="47"/>
    </row>
    <row r="746" spans="2:5" ht="12.75" customHeight="1" x14ac:dyDescent="0.25">
      <c r="B746" s="45"/>
      <c r="D746" s="46"/>
      <c r="E746" s="47"/>
    </row>
    <row r="747" spans="2:5" ht="12.75" customHeight="1" x14ac:dyDescent="0.25">
      <c r="B747" s="45"/>
      <c r="D747" s="46"/>
      <c r="E747" s="47"/>
    </row>
    <row r="748" spans="2:5" ht="12.75" customHeight="1" x14ac:dyDescent="0.25">
      <c r="B748" s="45"/>
      <c r="D748" s="46"/>
      <c r="E748" s="47"/>
    </row>
    <row r="749" spans="2:5" ht="12.75" customHeight="1" x14ac:dyDescent="0.25">
      <c r="B749" s="45"/>
      <c r="D749" s="46"/>
      <c r="E749" s="47"/>
    </row>
    <row r="750" spans="2:5" ht="12.75" customHeight="1" x14ac:dyDescent="0.25">
      <c r="B750" s="45"/>
      <c r="D750" s="46"/>
      <c r="E750" s="47"/>
    </row>
    <row r="751" spans="2:5" ht="12.75" customHeight="1" x14ac:dyDescent="0.25">
      <c r="B751" s="45"/>
      <c r="D751" s="46"/>
      <c r="E751" s="47"/>
    </row>
    <row r="752" spans="2:5" ht="12.75" customHeight="1" x14ac:dyDescent="0.25">
      <c r="B752" s="45"/>
      <c r="D752" s="46"/>
      <c r="E752" s="47"/>
    </row>
    <row r="753" spans="2:5" ht="12.75" customHeight="1" x14ac:dyDescent="0.25">
      <c r="B753" s="45"/>
      <c r="D753" s="46"/>
      <c r="E753" s="47"/>
    </row>
    <row r="754" spans="2:5" ht="12.75" customHeight="1" x14ac:dyDescent="0.25">
      <c r="B754" s="45"/>
      <c r="D754" s="46"/>
      <c r="E754" s="47"/>
    </row>
    <row r="755" spans="2:5" ht="12.75" customHeight="1" x14ac:dyDescent="0.25">
      <c r="B755" s="45"/>
      <c r="D755" s="46"/>
      <c r="E755" s="47"/>
    </row>
    <row r="756" spans="2:5" ht="12.75" customHeight="1" x14ac:dyDescent="0.25">
      <c r="B756" s="45"/>
      <c r="D756" s="46"/>
      <c r="E756" s="47"/>
    </row>
    <row r="757" spans="2:5" ht="12.75" customHeight="1" x14ac:dyDescent="0.25">
      <c r="B757" s="45"/>
      <c r="D757" s="46"/>
      <c r="E757" s="47"/>
    </row>
    <row r="758" spans="2:5" ht="12.75" customHeight="1" x14ac:dyDescent="0.25">
      <c r="B758" s="45"/>
      <c r="D758" s="46"/>
      <c r="E758" s="47"/>
    </row>
    <row r="759" spans="2:5" ht="12.75" customHeight="1" x14ac:dyDescent="0.25">
      <c r="B759" s="45"/>
      <c r="D759" s="46"/>
      <c r="E759" s="47"/>
    </row>
    <row r="760" spans="2:5" ht="12.75" customHeight="1" x14ac:dyDescent="0.25">
      <c r="B760" s="45"/>
      <c r="D760" s="46"/>
      <c r="E760" s="47"/>
    </row>
    <row r="761" spans="2:5" ht="12.75" customHeight="1" x14ac:dyDescent="0.25">
      <c r="B761" s="45"/>
      <c r="D761" s="46"/>
      <c r="E761" s="47"/>
    </row>
    <row r="762" spans="2:5" ht="12.75" customHeight="1" x14ac:dyDescent="0.25">
      <c r="B762" s="45"/>
      <c r="D762" s="46"/>
      <c r="E762" s="47"/>
    </row>
    <row r="763" spans="2:5" ht="12.75" customHeight="1" x14ac:dyDescent="0.25">
      <c r="B763" s="45"/>
      <c r="D763" s="46"/>
      <c r="E763" s="47"/>
    </row>
    <row r="764" spans="2:5" ht="12.75" customHeight="1" x14ac:dyDescent="0.25">
      <c r="B764" s="45"/>
      <c r="D764" s="46"/>
      <c r="E764" s="47"/>
    </row>
    <row r="765" spans="2:5" ht="12.75" customHeight="1" x14ac:dyDescent="0.25">
      <c r="B765" s="45"/>
      <c r="D765" s="46"/>
      <c r="E765" s="47"/>
    </row>
    <row r="766" spans="2:5" ht="12.75" customHeight="1" x14ac:dyDescent="0.25">
      <c r="B766" s="45"/>
      <c r="D766" s="46"/>
      <c r="E766" s="47"/>
    </row>
    <row r="767" spans="2:5" ht="12.75" customHeight="1" x14ac:dyDescent="0.25">
      <c r="B767" s="45"/>
      <c r="D767" s="46"/>
      <c r="E767" s="47"/>
    </row>
    <row r="768" spans="2:5" ht="12.75" customHeight="1" x14ac:dyDescent="0.25">
      <c r="B768" s="45"/>
      <c r="D768" s="46"/>
      <c r="E768" s="47"/>
    </row>
    <row r="769" spans="2:5" ht="12.75" customHeight="1" x14ac:dyDescent="0.25">
      <c r="B769" s="45"/>
      <c r="D769" s="46"/>
      <c r="E769" s="47"/>
    </row>
    <row r="770" spans="2:5" ht="12.75" customHeight="1" x14ac:dyDescent="0.25">
      <c r="B770" s="45"/>
      <c r="D770" s="46"/>
      <c r="E770" s="47"/>
    </row>
    <row r="771" spans="2:5" ht="12.75" customHeight="1" x14ac:dyDescent="0.25">
      <c r="B771" s="45"/>
      <c r="D771" s="46"/>
      <c r="E771" s="47"/>
    </row>
    <row r="772" spans="2:5" ht="12.75" customHeight="1" x14ac:dyDescent="0.25">
      <c r="B772" s="45"/>
      <c r="D772" s="46"/>
      <c r="E772" s="47"/>
    </row>
    <row r="773" spans="2:5" ht="12.75" customHeight="1" x14ac:dyDescent="0.25">
      <c r="B773" s="45"/>
      <c r="D773" s="46"/>
      <c r="E773" s="47"/>
    </row>
    <row r="774" spans="2:5" ht="12.75" customHeight="1" x14ac:dyDescent="0.25">
      <c r="B774" s="45"/>
      <c r="D774" s="46"/>
      <c r="E774" s="47"/>
    </row>
    <row r="775" spans="2:5" ht="12.75" customHeight="1" x14ac:dyDescent="0.25">
      <c r="B775" s="45"/>
      <c r="D775" s="46"/>
      <c r="E775" s="47"/>
    </row>
    <row r="776" spans="2:5" ht="12.75" customHeight="1" x14ac:dyDescent="0.25">
      <c r="B776" s="45"/>
      <c r="D776" s="46"/>
      <c r="E776" s="47"/>
    </row>
    <row r="777" spans="2:5" ht="12.75" customHeight="1" x14ac:dyDescent="0.25">
      <c r="B777" s="45"/>
      <c r="D777" s="46"/>
      <c r="E777" s="47"/>
    </row>
    <row r="778" spans="2:5" ht="12.75" customHeight="1" x14ac:dyDescent="0.25">
      <c r="B778" s="45"/>
      <c r="D778" s="46"/>
      <c r="E778" s="47"/>
    </row>
    <row r="779" spans="2:5" ht="12.75" customHeight="1" x14ac:dyDescent="0.25">
      <c r="B779" s="45"/>
      <c r="D779" s="46"/>
      <c r="E779" s="47"/>
    </row>
    <row r="780" spans="2:5" ht="12.75" customHeight="1" x14ac:dyDescent="0.25">
      <c r="B780" s="45"/>
      <c r="D780" s="46"/>
      <c r="E780" s="47"/>
    </row>
    <row r="781" spans="2:5" ht="12.75" customHeight="1" x14ac:dyDescent="0.25">
      <c r="B781" s="45"/>
      <c r="D781" s="46"/>
      <c r="E781" s="47"/>
    </row>
    <row r="782" spans="2:5" ht="12.75" customHeight="1" x14ac:dyDescent="0.25">
      <c r="B782" s="45"/>
      <c r="D782" s="46"/>
      <c r="E782" s="47"/>
    </row>
    <row r="783" spans="2:5" ht="12.75" customHeight="1" x14ac:dyDescent="0.25">
      <c r="B783" s="45"/>
      <c r="D783" s="46"/>
      <c r="E783" s="47"/>
    </row>
    <row r="784" spans="2:5" ht="12.75" customHeight="1" x14ac:dyDescent="0.25">
      <c r="B784" s="45"/>
      <c r="D784" s="46"/>
      <c r="E784" s="47"/>
    </row>
    <row r="785" spans="2:5" ht="12.75" customHeight="1" x14ac:dyDescent="0.25">
      <c r="B785" s="45"/>
      <c r="D785" s="46"/>
      <c r="E785" s="47"/>
    </row>
    <row r="786" spans="2:5" ht="12.75" customHeight="1" x14ac:dyDescent="0.25">
      <c r="B786" s="45"/>
      <c r="D786" s="46"/>
      <c r="E786" s="47"/>
    </row>
    <row r="787" spans="2:5" ht="12.75" customHeight="1" x14ac:dyDescent="0.25">
      <c r="B787" s="45"/>
      <c r="D787" s="46"/>
      <c r="E787" s="47"/>
    </row>
    <row r="788" spans="2:5" ht="12.75" customHeight="1" x14ac:dyDescent="0.25">
      <c r="B788" s="45"/>
      <c r="D788" s="46"/>
      <c r="E788" s="47"/>
    </row>
    <row r="789" spans="2:5" ht="12.75" customHeight="1" x14ac:dyDescent="0.25">
      <c r="B789" s="45"/>
      <c r="D789" s="46"/>
      <c r="E789" s="47"/>
    </row>
    <row r="790" spans="2:5" ht="12.75" customHeight="1" x14ac:dyDescent="0.25">
      <c r="B790" s="45"/>
      <c r="D790" s="46"/>
      <c r="E790" s="47"/>
    </row>
    <row r="791" spans="2:5" ht="12.75" customHeight="1" x14ac:dyDescent="0.25">
      <c r="B791" s="45"/>
      <c r="D791" s="46"/>
      <c r="E791" s="47"/>
    </row>
    <row r="792" spans="2:5" ht="12.75" customHeight="1" x14ac:dyDescent="0.25">
      <c r="B792" s="45"/>
      <c r="D792" s="46"/>
      <c r="E792" s="47"/>
    </row>
    <row r="793" spans="2:5" ht="12.75" customHeight="1" x14ac:dyDescent="0.25">
      <c r="B793" s="45"/>
      <c r="D793" s="46"/>
      <c r="E793" s="47"/>
    </row>
    <row r="794" spans="2:5" ht="12.75" customHeight="1" x14ac:dyDescent="0.25">
      <c r="B794" s="45"/>
      <c r="D794" s="46"/>
      <c r="E794" s="47"/>
    </row>
    <row r="795" spans="2:5" ht="12.75" customHeight="1" x14ac:dyDescent="0.25">
      <c r="B795" s="45"/>
      <c r="D795" s="46"/>
      <c r="E795" s="47"/>
    </row>
    <row r="796" spans="2:5" ht="12.75" customHeight="1" x14ac:dyDescent="0.25">
      <c r="B796" s="45"/>
      <c r="D796" s="46"/>
      <c r="E796" s="47"/>
    </row>
    <row r="797" spans="2:5" ht="12.75" customHeight="1" x14ac:dyDescent="0.25">
      <c r="B797" s="45"/>
      <c r="D797" s="46"/>
      <c r="E797" s="47"/>
    </row>
    <row r="798" spans="2:5" ht="12.75" customHeight="1" x14ac:dyDescent="0.25">
      <c r="B798" s="45"/>
      <c r="D798" s="46"/>
      <c r="E798" s="47"/>
    </row>
    <row r="799" spans="2:5" ht="12.75" customHeight="1" x14ac:dyDescent="0.25">
      <c r="B799" s="45"/>
      <c r="D799" s="46"/>
      <c r="E799" s="47"/>
    </row>
    <row r="800" spans="2:5" ht="12.75" customHeight="1" x14ac:dyDescent="0.25">
      <c r="B800" s="45"/>
      <c r="D800" s="46"/>
      <c r="E800" s="47"/>
    </row>
    <row r="801" spans="2:5" ht="12.75" customHeight="1" x14ac:dyDescent="0.25">
      <c r="B801" s="45"/>
      <c r="D801" s="46"/>
      <c r="E801" s="47"/>
    </row>
    <row r="802" spans="2:5" ht="12.75" customHeight="1" x14ac:dyDescent="0.25">
      <c r="B802" s="45"/>
      <c r="D802" s="46"/>
      <c r="E802" s="47"/>
    </row>
    <row r="803" spans="2:5" ht="12.75" customHeight="1" x14ac:dyDescent="0.25">
      <c r="B803" s="45"/>
      <c r="D803" s="46"/>
      <c r="E803" s="47"/>
    </row>
    <row r="804" spans="2:5" ht="12.75" customHeight="1" x14ac:dyDescent="0.25">
      <c r="B804" s="45"/>
      <c r="D804" s="46"/>
      <c r="E804" s="47"/>
    </row>
    <row r="805" spans="2:5" ht="12.75" customHeight="1" x14ac:dyDescent="0.25">
      <c r="B805" s="45"/>
      <c r="D805" s="46"/>
      <c r="E805" s="47"/>
    </row>
    <row r="806" spans="2:5" ht="12.75" customHeight="1" x14ac:dyDescent="0.25">
      <c r="B806" s="45"/>
      <c r="D806" s="46"/>
      <c r="E806" s="47"/>
    </row>
    <row r="807" spans="2:5" ht="12.75" customHeight="1" x14ac:dyDescent="0.25">
      <c r="B807" s="45"/>
      <c r="D807" s="46"/>
      <c r="E807" s="47"/>
    </row>
    <row r="808" spans="2:5" ht="12.75" customHeight="1" x14ac:dyDescent="0.25">
      <c r="B808" s="45"/>
      <c r="D808" s="46"/>
      <c r="E808" s="47"/>
    </row>
    <row r="809" spans="2:5" ht="12.75" customHeight="1" x14ac:dyDescent="0.25">
      <c r="B809" s="45"/>
      <c r="D809" s="46"/>
      <c r="E809" s="47"/>
    </row>
    <row r="810" spans="2:5" ht="12.75" customHeight="1" x14ac:dyDescent="0.25">
      <c r="B810" s="45"/>
      <c r="D810" s="46"/>
      <c r="E810" s="47"/>
    </row>
    <row r="811" spans="2:5" ht="12.75" customHeight="1" x14ac:dyDescent="0.25">
      <c r="B811" s="45"/>
      <c r="D811" s="46"/>
      <c r="E811" s="47"/>
    </row>
    <row r="812" spans="2:5" ht="12.75" customHeight="1" x14ac:dyDescent="0.25">
      <c r="B812" s="45"/>
      <c r="D812" s="46"/>
      <c r="E812" s="47"/>
    </row>
    <row r="813" spans="2:5" ht="12.75" customHeight="1" x14ac:dyDescent="0.25">
      <c r="B813" s="45"/>
      <c r="D813" s="46"/>
      <c r="E813" s="47"/>
    </row>
    <row r="814" spans="2:5" ht="12.75" customHeight="1" x14ac:dyDescent="0.25">
      <c r="B814" s="45"/>
      <c r="D814" s="46"/>
      <c r="E814" s="47"/>
    </row>
    <row r="815" spans="2:5" ht="12.75" customHeight="1" x14ac:dyDescent="0.25">
      <c r="B815" s="45"/>
      <c r="D815" s="46"/>
      <c r="E815" s="47"/>
    </row>
    <row r="816" spans="2:5" ht="12.75" customHeight="1" x14ac:dyDescent="0.25">
      <c r="B816" s="45"/>
      <c r="D816" s="46"/>
      <c r="E816" s="47"/>
    </row>
    <row r="817" spans="2:5" ht="12.75" customHeight="1" x14ac:dyDescent="0.25">
      <c r="B817" s="45"/>
      <c r="D817" s="46"/>
      <c r="E817" s="47"/>
    </row>
    <row r="818" spans="2:5" ht="12.75" customHeight="1" x14ac:dyDescent="0.25">
      <c r="B818" s="45"/>
      <c r="D818" s="46"/>
      <c r="E818" s="47"/>
    </row>
    <row r="819" spans="2:5" ht="12.75" customHeight="1" x14ac:dyDescent="0.25">
      <c r="B819" s="45"/>
      <c r="D819" s="46"/>
      <c r="E819" s="47"/>
    </row>
    <row r="820" spans="2:5" ht="12.75" customHeight="1" x14ac:dyDescent="0.25">
      <c r="B820" s="45"/>
      <c r="D820" s="46"/>
      <c r="E820" s="47"/>
    </row>
    <row r="821" spans="2:5" ht="12.75" customHeight="1" x14ac:dyDescent="0.25">
      <c r="B821" s="45"/>
      <c r="D821" s="46"/>
      <c r="E821" s="47"/>
    </row>
    <row r="822" spans="2:5" ht="12.75" customHeight="1" x14ac:dyDescent="0.25">
      <c r="B822" s="45"/>
      <c r="D822" s="46"/>
      <c r="E822" s="47"/>
    </row>
    <row r="823" spans="2:5" ht="12.75" customHeight="1" x14ac:dyDescent="0.25">
      <c r="B823" s="45"/>
      <c r="D823" s="46"/>
      <c r="E823" s="47"/>
    </row>
    <row r="824" spans="2:5" ht="12.75" customHeight="1" x14ac:dyDescent="0.25">
      <c r="B824" s="45"/>
      <c r="D824" s="46"/>
      <c r="E824" s="47"/>
    </row>
    <row r="825" spans="2:5" ht="12.75" customHeight="1" x14ac:dyDescent="0.25">
      <c r="B825" s="45"/>
      <c r="D825" s="46"/>
      <c r="E825" s="47"/>
    </row>
    <row r="826" spans="2:5" ht="12.75" customHeight="1" x14ac:dyDescent="0.25">
      <c r="B826" s="45"/>
      <c r="D826" s="46"/>
      <c r="E826" s="47"/>
    </row>
    <row r="827" spans="2:5" ht="12.75" customHeight="1" x14ac:dyDescent="0.25">
      <c r="B827" s="45"/>
      <c r="D827" s="46"/>
      <c r="E827" s="47"/>
    </row>
    <row r="828" spans="2:5" ht="12.75" customHeight="1" x14ac:dyDescent="0.25">
      <c r="B828" s="45"/>
      <c r="D828" s="46"/>
      <c r="E828" s="47"/>
    </row>
    <row r="829" spans="2:5" ht="12.75" customHeight="1" x14ac:dyDescent="0.25">
      <c r="B829" s="45"/>
      <c r="D829" s="46"/>
      <c r="E829" s="47"/>
    </row>
    <row r="830" spans="2:5" ht="12.75" customHeight="1" x14ac:dyDescent="0.25">
      <c r="B830" s="45"/>
      <c r="D830" s="46"/>
      <c r="E830" s="47"/>
    </row>
    <row r="831" spans="2:5" ht="12.75" customHeight="1" x14ac:dyDescent="0.25">
      <c r="B831" s="45"/>
      <c r="D831" s="46"/>
      <c r="E831" s="47"/>
    </row>
    <row r="832" spans="2:5" ht="12.75" customHeight="1" x14ac:dyDescent="0.25">
      <c r="B832" s="45"/>
      <c r="D832" s="46"/>
      <c r="E832" s="47"/>
    </row>
    <row r="833" spans="2:5" ht="12.75" customHeight="1" x14ac:dyDescent="0.25">
      <c r="B833" s="45"/>
      <c r="D833" s="46"/>
      <c r="E833" s="47"/>
    </row>
    <row r="834" spans="2:5" ht="12.75" customHeight="1" x14ac:dyDescent="0.25">
      <c r="B834" s="45"/>
      <c r="D834" s="46"/>
      <c r="E834" s="47"/>
    </row>
    <row r="835" spans="2:5" ht="12.75" customHeight="1" x14ac:dyDescent="0.25">
      <c r="B835" s="45"/>
      <c r="D835" s="46"/>
      <c r="E835" s="47"/>
    </row>
    <row r="836" spans="2:5" ht="12.75" customHeight="1" x14ac:dyDescent="0.25">
      <c r="B836" s="45"/>
      <c r="D836" s="46"/>
      <c r="E836" s="47"/>
    </row>
    <row r="837" spans="2:5" ht="12.75" customHeight="1" x14ac:dyDescent="0.25">
      <c r="B837" s="45"/>
      <c r="D837" s="46"/>
      <c r="E837" s="47"/>
    </row>
    <row r="838" spans="2:5" ht="12.75" customHeight="1" x14ac:dyDescent="0.25">
      <c r="B838" s="45"/>
      <c r="D838" s="46"/>
      <c r="E838" s="47"/>
    </row>
    <row r="839" spans="2:5" ht="12.75" customHeight="1" x14ac:dyDescent="0.25">
      <c r="B839" s="45"/>
      <c r="D839" s="46"/>
      <c r="E839" s="47"/>
    </row>
    <row r="840" spans="2:5" ht="12.75" customHeight="1" x14ac:dyDescent="0.25">
      <c r="B840" s="45"/>
      <c r="D840" s="46"/>
      <c r="E840" s="47"/>
    </row>
    <row r="841" spans="2:5" ht="12.75" customHeight="1" x14ac:dyDescent="0.25">
      <c r="B841" s="45"/>
      <c r="D841" s="46"/>
      <c r="E841" s="47"/>
    </row>
    <row r="842" spans="2:5" ht="12.75" customHeight="1" x14ac:dyDescent="0.25">
      <c r="B842" s="45"/>
      <c r="D842" s="46"/>
      <c r="E842" s="47"/>
    </row>
    <row r="843" spans="2:5" ht="12.75" customHeight="1" x14ac:dyDescent="0.25">
      <c r="B843" s="45"/>
      <c r="D843" s="46"/>
      <c r="E843" s="47"/>
    </row>
    <row r="844" spans="2:5" ht="12.75" customHeight="1" x14ac:dyDescent="0.25">
      <c r="B844" s="45"/>
      <c r="D844" s="46"/>
      <c r="E844" s="47"/>
    </row>
    <row r="845" spans="2:5" ht="12.75" customHeight="1" x14ac:dyDescent="0.25">
      <c r="B845" s="45"/>
      <c r="D845" s="46"/>
      <c r="E845" s="47"/>
    </row>
    <row r="846" spans="2:5" ht="12.75" customHeight="1" x14ac:dyDescent="0.25">
      <c r="B846" s="45"/>
      <c r="D846" s="46"/>
      <c r="E846" s="47"/>
    </row>
    <row r="847" spans="2:5" ht="12.75" customHeight="1" x14ac:dyDescent="0.25">
      <c r="B847" s="45"/>
      <c r="D847" s="46"/>
      <c r="E847" s="47"/>
    </row>
    <row r="848" spans="2:5" ht="12.75" customHeight="1" x14ac:dyDescent="0.25">
      <c r="B848" s="45"/>
      <c r="D848" s="46"/>
      <c r="E848" s="47"/>
    </row>
    <row r="849" spans="2:5" ht="12.75" customHeight="1" x14ac:dyDescent="0.25">
      <c r="B849" s="45"/>
      <c r="D849" s="46"/>
      <c r="E849" s="47"/>
    </row>
    <row r="850" spans="2:5" ht="12.75" customHeight="1" x14ac:dyDescent="0.25">
      <c r="B850" s="45"/>
      <c r="D850" s="46"/>
      <c r="E850" s="47"/>
    </row>
    <row r="851" spans="2:5" ht="12.75" customHeight="1" x14ac:dyDescent="0.25">
      <c r="B851" s="45"/>
      <c r="D851" s="46"/>
      <c r="E851" s="47"/>
    </row>
    <row r="852" spans="2:5" ht="12.75" customHeight="1" x14ac:dyDescent="0.25">
      <c r="B852" s="45"/>
      <c r="D852" s="46"/>
      <c r="E852" s="47"/>
    </row>
    <row r="853" spans="2:5" ht="12.75" customHeight="1" x14ac:dyDescent="0.25">
      <c r="B853" s="45"/>
      <c r="D853" s="46"/>
      <c r="E853" s="47"/>
    </row>
    <row r="854" spans="2:5" ht="12.75" customHeight="1" x14ac:dyDescent="0.25">
      <c r="B854" s="45"/>
      <c r="D854" s="46"/>
      <c r="E854" s="47"/>
    </row>
    <row r="855" spans="2:5" ht="12.75" customHeight="1" x14ac:dyDescent="0.25">
      <c r="B855" s="45"/>
      <c r="D855" s="46"/>
      <c r="E855" s="47"/>
    </row>
    <row r="856" spans="2:5" ht="12.75" customHeight="1" x14ac:dyDescent="0.25">
      <c r="B856" s="45"/>
      <c r="D856" s="46"/>
      <c r="E856" s="47"/>
    </row>
    <row r="857" spans="2:5" ht="12.75" customHeight="1" x14ac:dyDescent="0.25">
      <c r="B857" s="45"/>
      <c r="D857" s="46"/>
      <c r="E857" s="47"/>
    </row>
    <row r="858" spans="2:5" ht="12.75" customHeight="1" x14ac:dyDescent="0.25">
      <c r="B858" s="45"/>
      <c r="D858" s="46"/>
      <c r="E858" s="47"/>
    </row>
    <row r="859" spans="2:5" ht="12.75" customHeight="1" x14ac:dyDescent="0.25">
      <c r="B859" s="45"/>
      <c r="D859" s="46"/>
      <c r="E859" s="47"/>
    </row>
    <row r="860" spans="2:5" ht="12.75" customHeight="1" x14ac:dyDescent="0.25">
      <c r="B860" s="45"/>
      <c r="D860" s="46"/>
      <c r="E860" s="47"/>
    </row>
    <row r="861" spans="2:5" ht="12.75" customHeight="1" x14ac:dyDescent="0.25">
      <c r="B861" s="45"/>
      <c r="D861" s="46"/>
      <c r="E861" s="47"/>
    </row>
    <row r="862" spans="2:5" ht="12.75" customHeight="1" x14ac:dyDescent="0.25">
      <c r="B862" s="45"/>
      <c r="D862" s="46"/>
      <c r="E862" s="47"/>
    </row>
    <row r="863" spans="2:5" ht="12.75" customHeight="1" x14ac:dyDescent="0.25">
      <c r="B863" s="45"/>
      <c r="D863" s="46"/>
      <c r="E863" s="47"/>
    </row>
    <row r="864" spans="2:5" ht="12.75" customHeight="1" x14ac:dyDescent="0.25">
      <c r="B864" s="45"/>
      <c r="D864" s="46"/>
      <c r="E864" s="47"/>
    </row>
    <row r="865" spans="2:5" ht="12.75" customHeight="1" x14ac:dyDescent="0.25">
      <c r="B865" s="45"/>
      <c r="D865" s="46"/>
      <c r="E865" s="47"/>
    </row>
    <row r="866" spans="2:5" ht="12.75" customHeight="1" x14ac:dyDescent="0.25">
      <c r="B866" s="45"/>
      <c r="D866" s="46"/>
      <c r="E866" s="47"/>
    </row>
    <row r="867" spans="2:5" ht="12.75" customHeight="1" x14ac:dyDescent="0.25">
      <c r="B867" s="45"/>
      <c r="D867" s="46"/>
      <c r="E867" s="47"/>
    </row>
    <row r="868" spans="2:5" ht="12.75" customHeight="1" x14ac:dyDescent="0.25">
      <c r="B868" s="45"/>
      <c r="D868" s="46"/>
      <c r="E868" s="47"/>
    </row>
    <row r="869" spans="2:5" ht="12.75" customHeight="1" x14ac:dyDescent="0.25">
      <c r="B869" s="45"/>
      <c r="D869" s="46"/>
      <c r="E869" s="47"/>
    </row>
    <row r="870" spans="2:5" ht="12.75" customHeight="1" x14ac:dyDescent="0.25">
      <c r="B870" s="45"/>
      <c r="D870" s="46"/>
      <c r="E870" s="47"/>
    </row>
    <row r="871" spans="2:5" ht="12.75" customHeight="1" x14ac:dyDescent="0.25">
      <c r="B871" s="45"/>
      <c r="D871" s="46"/>
      <c r="E871" s="47"/>
    </row>
    <row r="872" spans="2:5" ht="12.75" customHeight="1" x14ac:dyDescent="0.25">
      <c r="B872" s="45"/>
      <c r="D872" s="46"/>
      <c r="E872" s="47"/>
    </row>
    <row r="873" spans="2:5" ht="12.75" customHeight="1" x14ac:dyDescent="0.25">
      <c r="B873" s="45"/>
      <c r="D873" s="46"/>
      <c r="E873" s="47"/>
    </row>
    <row r="874" spans="2:5" ht="12.75" customHeight="1" x14ac:dyDescent="0.25">
      <c r="B874" s="45"/>
      <c r="D874" s="46"/>
      <c r="E874" s="47"/>
    </row>
    <row r="875" spans="2:5" ht="12.75" customHeight="1" x14ac:dyDescent="0.25">
      <c r="B875" s="45"/>
      <c r="D875" s="46"/>
      <c r="E875" s="47"/>
    </row>
    <row r="876" spans="2:5" ht="12.75" customHeight="1" x14ac:dyDescent="0.25">
      <c r="B876" s="45"/>
      <c r="D876" s="46"/>
      <c r="E876" s="47"/>
    </row>
    <row r="877" spans="2:5" ht="12.75" customHeight="1" x14ac:dyDescent="0.25">
      <c r="B877" s="45"/>
      <c r="D877" s="46"/>
      <c r="E877" s="47"/>
    </row>
    <row r="878" spans="2:5" ht="12.75" customHeight="1" x14ac:dyDescent="0.25">
      <c r="B878" s="45"/>
      <c r="D878" s="46"/>
      <c r="E878" s="47"/>
    </row>
    <row r="879" spans="2:5" ht="12.75" customHeight="1" x14ac:dyDescent="0.25">
      <c r="B879" s="45"/>
      <c r="D879" s="46"/>
      <c r="E879" s="47"/>
    </row>
    <row r="880" spans="2:5" ht="12.75" customHeight="1" x14ac:dyDescent="0.25">
      <c r="B880" s="45"/>
      <c r="D880" s="46"/>
      <c r="E880" s="47"/>
    </row>
    <row r="881" spans="2:5" ht="12.75" customHeight="1" x14ac:dyDescent="0.25">
      <c r="B881" s="45"/>
      <c r="D881" s="46"/>
      <c r="E881" s="47"/>
    </row>
    <row r="882" spans="2:5" ht="12.75" customHeight="1" x14ac:dyDescent="0.25">
      <c r="B882" s="45"/>
      <c r="D882" s="46"/>
      <c r="E882" s="47"/>
    </row>
    <row r="883" spans="2:5" ht="12.75" customHeight="1" x14ac:dyDescent="0.25">
      <c r="B883" s="45"/>
      <c r="D883" s="46"/>
      <c r="E883" s="47"/>
    </row>
    <row r="884" spans="2:5" ht="12.75" customHeight="1" x14ac:dyDescent="0.25">
      <c r="B884" s="45"/>
      <c r="D884" s="46"/>
      <c r="E884" s="47"/>
    </row>
    <row r="885" spans="2:5" ht="12.75" customHeight="1" x14ac:dyDescent="0.25">
      <c r="B885" s="45"/>
      <c r="D885" s="46"/>
      <c r="E885" s="47"/>
    </row>
    <row r="886" spans="2:5" ht="12.75" customHeight="1" x14ac:dyDescent="0.25">
      <c r="B886" s="45"/>
      <c r="D886" s="46"/>
      <c r="E886" s="47"/>
    </row>
    <row r="887" spans="2:5" ht="12.75" customHeight="1" x14ac:dyDescent="0.25">
      <c r="B887" s="45"/>
      <c r="D887" s="46"/>
      <c r="E887" s="47"/>
    </row>
    <row r="888" spans="2:5" ht="12.75" customHeight="1" x14ac:dyDescent="0.25">
      <c r="B888" s="45"/>
      <c r="D888" s="46"/>
      <c r="E888" s="47"/>
    </row>
    <row r="889" spans="2:5" ht="12.75" customHeight="1" x14ac:dyDescent="0.25">
      <c r="B889" s="45"/>
      <c r="D889" s="46"/>
      <c r="E889" s="47"/>
    </row>
    <row r="890" spans="2:5" ht="12.75" customHeight="1" x14ac:dyDescent="0.25">
      <c r="B890" s="45"/>
      <c r="D890" s="46"/>
      <c r="E890" s="47"/>
    </row>
    <row r="891" spans="2:5" ht="12.75" customHeight="1" x14ac:dyDescent="0.25">
      <c r="B891" s="45"/>
      <c r="D891" s="46"/>
      <c r="E891" s="47"/>
    </row>
    <row r="892" spans="2:5" ht="12.75" customHeight="1" x14ac:dyDescent="0.25">
      <c r="B892" s="45"/>
      <c r="D892" s="46"/>
      <c r="E892" s="47"/>
    </row>
    <row r="893" spans="2:5" ht="12.75" customHeight="1" x14ac:dyDescent="0.25">
      <c r="B893" s="45"/>
      <c r="D893" s="46"/>
      <c r="E893" s="47"/>
    </row>
    <row r="894" spans="2:5" ht="12.75" customHeight="1" x14ac:dyDescent="0.25">
      <c r="B894" s="45"/>
      <c r="D894" s="46"/>
      <c r="E894" s="47"/>
    </row>
    <row r="895" spans="2:5" ht="12.75" customHeight="1" x14ac:dyDescent="0.25">
      <c r="B895" s="45"/>
      <c r="D895" s="46"/>
      <c r="E895" s="47"/>
    </row>
    <row r="896" spans="2:5" ht="12.75" customHeight="1" x14ac:dyDescent="0.25">
      <c r="B896" s="45"/>
      <c r="D896" s="46"/>
      <c r="E896" s="47"/>
    </row>
    <row r="897" spans="2:5" ht="12.75" customHeight="1" x14ac:dyDescent="0.25">
      <c r="B897" s="45"/>
      <c r="D897" s="46"/>
      <c r="E897" s="47"/>
    </row>
    <row r="898" spans="2:5" ht="12.75" customHeight="1" x14ac:dyDescent="0.25">
      <c r="B898" s="45"/>
      <c r="D898" s="46"/>
      <c r="E898" s="47"/>
    </row>
    <row r="899" spans="2:5" ht="12.75" customHeight="1" x14ac:dyDescent="0.25">
      <c r="B899" s="45"/>
      <c r="D899" s="46"/>
      <c r="E899" s="47"/>
    </row>
    <row r="900" spans="2:5" ht="12.75" customHeight="1" x14ac:dyDescent="0.25">
      <c r="B900" s="45"/>
      <c r="D900" s="46"/>
      <c r="E900" s="47"/>
    </row>
    <row r="901" spans="2:5" ht="12.75" customHeight="1" x14ac:dyDescent="0.25">
      <c r="B901" s="45"/>
      <c r="D901" s="46"/>
      <c r="E901" s="47"/>
    </row>
    <row r="902" spans="2:5" ht="12.75" customHeight="1" x14ac:dyDescent="0.25">
      <c r="B902" s="45"/>
      <c r="D902" s="46"/>
      <c r="E902" s="47"/>
    </row>
    <row r="903" spans="2:5" ht="12.75" customHeight="1" x14ac:dyDescent="0.25">
      <c r="B903" s="45"/>
      <c r="D903" s="46"/>
      <c r="E903" s="47"/>
    </row>
    <row r="904" spans="2:5" ht="12.75" customHeight="1" x14ac:dyDescent="0.25">
      <c r="B904" s="45"/>
      <c r="D904" s="46"/>
      <c r="E904" s="47"/>
    </row>
    <row r="905" spans="2:5" ht="12.75" customHeight="1" x14ac:dyDescent="0.25">
      <c r="B905" s="45"/>
      <c r="D905" s="46"/>
      <c r="E905" s="47"/>
    </row>
    <row r="906" spans="2:5" ht="12.75" customHeight="1" x14ac:dyDescent="0.25">
      <c r="B906" s="45"/>
      <c r="D906" s="46"/>
      <c r="E906" s="47"/>
    </row>
    <row r="907" spans="2:5" ht="12.75" customHeight="1" x14ac:dyDescent="0.25">
      <c r="B907" s="45"/>
      <c r="D907" s="46"/>
      <c r="E907" s="47"/>
    </row>
    <row r="908" spans="2:5" ht="12.75" customHeight="1" x14ac:dyDescent="0.25">
      <c r="B908" s="45"/>
      <c r="D908" s="46"/>
      <c r="E908" s="47"/>
    </row>
    <row r="909" spans="2:5" ht="12.75" customHeight="1" x14ac:dyDescent="0.25">
      <c r="B909" s="45"/>
      <c r="D909" s="46"/>
      <c r="E909" s="47"/>
    </row>
    <row r="910" spans="2:5" ht="12.75" customHeight="1" x14ac:dyDescent="0.25">
      <c r="B910" s="45"/>
      <c r="D910" s="46"/>
      <c r="E910" s="47"/>
    </row>
    <row r="911" spans="2:5" ht="12.75" customHeight="1" x14ac:dyDescent="0.25">
      <c r="B911" s="45"/>
      <c r="D911" s="46"/>
      <c r="E911" s="47"/>
    </row>
    <row r="912" spans="2:5" ht="12.75" customHeight="1" x14ac:dyDescent="0.25">
      <c r="B912" s="45"/>
      <c r="D912" s="46"/>
      <c r="E912" s="47"/>
    </row>
    <row r="913" spans="2:5" ht="12.75" customHeight="1" x14ac:dyDescent="0.25">
      <c r="B913" s="45"/>
      <c r="D913" s="46"/>
      <c r="E913" s="47"/>
    </row>
    <row r="914" spans="2:5" ht="12.75" customHeight="1" x14ac:dyDescent="0.25">
      <c r="B914" s="45"/>
      <c r="D914" s="46"/>
      <c r="E914" s="47"/>
    </row>
    <row r="915" spans="2:5" ht="12.75" customHeight="1" x14ac:dyDescent="0.25">
      <c r="B915" s="45"/>
      <c r="D915" s="46"/>
      <c r="E915" s="47"/>
    </row>
    <row r="916" spans="2:5" ht="12.75" customHeight="1" x14ac:dyDescent="0.25">
      <c r="B916" s="45"/>
      <c r="D916" s="46"/>
      <c r="E916" s="47"/>
    </row>
    <row r="917" spans="2:5" ht="12.75" customHeight="1" x14ac:dyDescent="0.25">
      <c r="B917" s="45"/>
      <c r="D917" s="46"/>
      <c r="E917" s="47"/>
    </row>
    <row r="918" spans="2:5" ht="12.75" customHeight="1" x14ac:dyDescent="0.25">
      <c r="B918" s="45"/>
      <c r="D918" s="46"/>
      <c r="E918" s="47"/>
    </row>
    <row r="919" spans="2:5" ht="12.75" customHeight="1" x14ac:dyDescent="0.25">
      <c r="B919" s="45"/>
      <c r="D919" s="46"/>
      <c r="E919" s="47"/>
    </row>
    <row r="920" spans="2:5" ht="12.75" customHeight="1" x14ac:dyDescent="0.25">
      <c r="B920" s="45"/>
      <c r="D920" s="46"/>
      <c r="E920" s="47"/>
    </row>
    <row r="921" spans="2:5" ht="12.75" customHeight="1" x14ac:dyDescent="0.25">
      <c r="B921" s="45"/>
      <c r="D921" s="46"/>
      <c r="E921" s="47"/>
    </row>
    <row r="922" spans="2:5" ht="12.75" customHeight="1" x14ac:dyDescent="0.25">
      <c r="B922" s="45"/>
      <c r="D922" s="46"/>
      <c r="E922" s="47"/>
    </row>
    <row r="923" spans="2:5" ht="12.75" customHeight="1" x14ac:dyDescent="0.25">
      <c r="B923" s="45"/>
      <c r="D923" s="46"/>
      <c r="E923" s="47"/>
    </row>
    <row r="924" spans="2:5" ht="12.75" customHeight="1" x14ac:dyDescent="0.25">
      <c r="B924" s="45"/>
      <c r="D924" s="46"/>
      <c r="E924" s="47"/>
    </row>
    <row r="925" spans="2:5" ht="12.75" customHeight="1" x14ac:dyDescent="0.25">
      <c r="B925" s="45"/>
      <c r="D925" s="46"/>
      <c r="E925" s="47"/>
    </row>
    <row r="926" spans="2:5" ht="12.75" customHeight="1" x14ac:dyDescent="0.25">
      <c r="B926" s="45"/>
      <c r="D926" s="46"/>
      <c r="E926" s="47"/>
    </row>
    <row r="927" spans="2:5" ht="12.75" customHeight="1" x14ac:dyDescent="0.25">
      <c r="B927" s="45"/>
      <c r="D927" s="46"/>
      <c r="E927" s="47"/>
    </row>
    <row r="928" spans="2:5" ht="12.75" customHeight="1" x14ac:dyDescent="0.25">
      <c r="B928" s="45"/>
      <c r="D928" s="46"/>
      <c r="E928" s="47"/>
    </row>
    <row r="929" spans="2:5" ht="12.75" customHeight="1" x14ac:dyDescent="0.25">
      <c r="B929" s="45"/>
      <c r="D929" s="46"/>
      <c r="E929" s="47"/>
    </row>
    <row r="930" spans="2:5" ht="12.75" customHeight="1" x14ac:dyDescent="0.25">
      <c r="B930" s="45"/>
      <c r="D930" s="46"/>
      <c r="E930" s="47"/>
    </row>
    <row r="931" spans="2:5" ht="12.75" customHeight="1" x14ac:dyDescent="0.25">
      <c r="B931" s="45"/>
      <c r="D931" s="46"/>
      <c r="E931" s="47"/>
    </row>
    <row r="932" spans="2:5" ht="12.75" customHeight="1" x14ac:dyDescent="0.25">
      <c r="B932" s="45"/>
      <c r="D932" s="46"/>
      <c r="E932" s="47"/>
    </row>
    <row r="933" spans="2:5" ht="12.75" customHeight="1" x14ac:dyDescent="0.25">
      <c r="B933" s="45"/>
      <c r="D933" s="46"/>
      <c r="E933" s="47"/>
    </row>
    <row r="934" spans="2:5" ht="12.75" customHeight="1" x14ac:dyDescent="0.25">
      <c r="B934" s="45"/>
      <c r="D934" s="46"/>
      <c r="E934" s="47"/>
    </row>
    <row r="935" spans="2:5" ht="12.75" customHeight="1" x14ac:dyDescent="0.25">
      <c r="B935" s="45"/>
      <c r="D935" s="46"/>
      <c r="E935" s="47"/>
    </row>
    <row r="936" spans="2:5" ht="12.75" customHeight="1" x14ac:dyDescent="0.25">
      <c r="B936" s="45"/>
      <c r="D936" s="46"/>
      <c r="E936" s="47"/>
    </row>
    <row r="937" spans="2:5" ht="12.75" customHeight="1" x14ac:dyDescent="0.25">
      <c r="B937" s="45"/>
      <c r="D937" s="46"/>
      <c r="E937" s="47"/>
    </row>
    <row r="938" spans="2:5" ht="12.75" customHeight="1" x14ac:dyDescent="0.25">
      <c r="B938" s="45"/>
      <c r="D938" s="46"/>
      <c r="E938" s="47"/>
    </row>
    <row r="939" spans="2:5" ht="12.75" customHeight="1" x14ac:dyDescent="0.25">
      <c r="B939" s="45"/>
      <c r="D939" s="46"/>
      <c r="E939" s="47"/>
    </row>
    <row r="940" spans="2:5" ht="12.75" customHeight="1" x14ac:dyDescent="0.25">
      <c r="B940" s="45"/>
      <c r="D940" s="46"/>
      <c r="E940" s="47"/>
    </row>
    <row r="941" spans="2:5" ht="12.75" customHeight="1" x14ac:dyDescent="0.25">
      <c r="B941" s="45"/>
      <c r="D941" s="46"/>
      <c r="E941" s="47"/>
    </row>
    <row r="942" spans="2:5" ht="12.75" customHeight="1" x14ac:dyDescent="0.25">
      <c r="B942" s="45"/>
      <c r="D942" s="46"/>
      <c r="E942" s="47"/>
    </row>
    <row r="943" spans="2:5" ht="12.75" customHeight="1" x14ac:dyDescent="0.25">
      <c r="B943" s="45"/>
      <c r="D943" s="46"/>
      <c r="E943" s="47"/>
    </row>
    <row r="944" spans="2:5" ht="12.75" customHeight="1" x14ac:dyDescent="0.25">
      <c r="B944" s="45"/>
      <c r="D944" s="46"/>
      <c r="E944" s="47"/>
    </row>
    <row r="945" spans="2:5" ht="12.75" customHeight="1" x14ac:dyDescent="0.25">
      <c r="B945" s="45"/>
      <c r="D945" s="46"/>
      <c r="E945" s="47"/>
    </row>
    <row r="946" spans="2:5" ht="12.75" customHeight="1" x14ac:dyDescent="0.25">
      <c r="B946" s="45"/>
      <c r="D946" s="46"/>
      <c r="E946" s="47"/>
    </row>
    <row r="947" spans="2:5" ht="12.75" customHeight="1" x14ac:dyDescent="0.25">
      <c r="B947" s="45"/>
      <c r="D947" s="46"/>
      <c r="E947" s="47"/>
    </row>
    <row r="948" spans="2:5" ht="12.75" customHeight="1" x14ac:dyDescent="0.25">
      <c r="B948" s="45"/>
      <c r="D948" s="46"/>
      <c r="E948" s="47"/>
    </row>
    <row r="949" spans="2:5" ht="12.75" customHeight="1" x14ac:dyDescent="0.25">
      <c r="B949" s="45"/>
      <c r="D949" s="46"/>
      <c r="E949" s="47"/>
    </row>
    <row r="950" spans="2:5" ht="12.75" customHeight="1" x14ac:dyDescent="0.25">
      <c r="B950" s="45"/>
      <c r="D950" s="46"/>
      <c r="E950" s="47"/>
    </row>
    <row r="951" spans="2:5" ht="12.75" customHeight="1" x14ac:dyDescent="0.25">
      <c r="B951" s="45"/>
      <c r="D951" s="46"/>
      <c r="E951" s="47"/>
    </row>
    <row r="952" spans="2:5" ht="12.75" customHeight="1" x14ac:dyDescent="0.25">
      <c r="B952" s="45"/>
      <c r="D952" s="46"/>
      <c r="E952" s="47"/>
    </row>
    <row r="953" spans="2:5" ht="12.75" customHeight="1" x14ac:dyDescent="0.25">
      <c r="B953" s="45"/>
      <c r="D953" s="46"/>
      <c r="E953" s="47"/>
    </row>
    <row r="954" spans="2:5" ht="12.75" customHeight="1" x14ac:dyDescent="0.25">
      <c r="B954" s="45"/>
      <c r="D954" s="46"/>
      <c r="E954" s="47"/>
    </row>
    <row r="955" spans="2:5" ht="12.75" customHeight="1" x14ac:dyDescent="0.25">
      <c r="B955" s="45"/>
      <c r="D955" s="46"/>
      <c r="E955" s="47"/>
    </row>
    <row r="956" spans="2:5" ht="12.75" customHeight="1" x14ac:dyDescent="0.25">
      <c r="B956" s="45"/>
      <c r="D956" s="46"/>
      <c r="E956" s="47"/>
    </row>
    <row r="957" spans="2:5" ht="12.75" customHeight="1" x14ac:dyDescent="0.25">
      <c r="B957" s="45"/>
      <c r="D957" s="46"/>
      <c r="E957" s="47"/>
    </row>
    <row r="958" spans="2:5" ht="12.75" customHeight="1" x14ac:dyDescent="0.25">
      <c r="B958" s="45"/>
      <c r="D958" s="46"/>
      <c r="E958" s="47"/>
    </row>
    <row r="959" spans="2:5" ht="12.75" customHeight="1" x14ac:dyDescent="0.25">
      <c r="B959" s="45"/>
      <c r="D959" s="46"/>
      <c r="E959" s="47"/>
    </row>
    <row r="960" spans="2:5" ht="12.75" customHeight="1" x14ac:dyDescent="0.25">
      <c r="B960" s="45"/>
      <c r="D960" s="46"/>
      <c r="E960" s="47"/>
    </row>
    <row r="961" spans="2:5" ht="12.75" customHeight="1" x14ac:dyDescent="0.25">
      <c r="B961" s="45"/>
      <c r="D961" s="46"/>
      <c r="E961" s="47"/>
    </row>
    <row r="962" spans="2:5" ht="12.75" customHeight="1" x14ac:dyDescent="0.25">
      <c r="B962" s="45"/>
      <c r="D962" s="46"/>
      <c r="E962" s="47"/>
    </row>
    <row r="963" spans="2:5" ht="12.75" customHeight="1" x14ac:dyDescent="0.25">
      <c r="B963" s="45"/>
      <c r="D963" s="46"/>
      <c r="E963" s="47"/>
    </row>
    <row r="964" spans="2:5" ht="12.75" customHeight="1" x14ac:dyDescent="0.25">
      <c r="B964" s="45"/>
      <c r="D964" s="46"/>
      <c r="E964" s="47"/>
    </row>
    <row r="965" spans="2:5" ht="12.75" customHeight="1" x14ac:dyDescent="0.25">
      <c r="B965" s="45"/>
      <c r="D965" s="46"/>
      <c r="E965" s="47"/>
    </row>
    <row r="966" spans="2:5" ht="12.75" customHeight="1" x14ac:dyDescent="0.25">
      <c r="B966" s="45"/>
      <c r="D966" s="46"/>
      <c r="E966" s="47"/>
    </row>
    <row r="967" spans="2:5" ht="12.75" customHeight="1" x14ac:dyDescent="0.25">
      <c r="B967" s="45"/>
      <c r="D967" s="46"/>
      <c r="E967" s="47"/>
    </row>
    <row r="968" spans="2:5" ht="12.75" customHeight="1" x14ac:dyDescent="0.25">
      <c r="B968" s="45"/>
      <c r="D968" s="46"/>
      <c r="E968" s="47"/>
    </row>
    <row r="969" spans="2:5" ht="12.75" customHeight="1" x14ac:dyDescent="0.25">
      <c r="B969" s="45"/>
      <c r="D969" s="46"/>
      <c r="E969" s="47"/>
    </row>
    <row r="970" spans="2:5" ht="12.75" customHeight="1" x14ac:dyDescent="0.25">
      <c r="B970" s="45"/>
      <c r="D970" s="46"/>
      <c r="E970" s="47"/>
    </row>
    <row r="971" spans="2:5" ht="12.75" customHeight="1" x14ac:dyDescent="0.25">
      <c r="B971" s="45"/>
      <c r="D971" s="46"/>
      <c r="E971" s="47"/>
    </row>
    <row r="972" spans="2:5" ht="12.75" customHeight="1" x14ac:dyDescent="0.25">
      <c r="B972" s="45"/>
      <c r="D972" s="46"/>
      <c r="E972" s="47"/>
    </row>
    <row r="973" spans="2:5" ht="12.75" customHeight="1" x14ac:dyDescent="0.25">
      <c r="B973" s="45"/>
      <c r="D973" s="46"/>
      <c r="E973" s="47"/>
    </row>
    <row r="974" spans="2:5" ht="12.75" customHeight="1" x14ac:dyDescent="0.25">
      <c r="B974" s="45"/>
      <c r="D974" s="46"/>
      <c r="E974" s="47"/>
    </row>
    <row r="975" spans="2:5" ht="12.75" customHeight="1" x14ac:dyDescent="0.25">
      <c r="B975" s="45"/>
      <c r="D975" s="46"/>
      <c r="E975" s="47"/>
    </row>
    <row r="976" spans="2:5" ht="12.75" customHeight="1" x14ac:dyDescent="0.25">
      <c r="B976" s="45"/>
      <c r="D976" s="46"/>
      <c r="E976" s="47"/>
    </row>
    <row r="977" spans="2:5" ht="12.75" customHeight="1" x14ac:dyDescent="0.25">
      <c r="B977" s="45"/>
      <c r="D977" s="46"/>
      <c r="E977" s="47"/>
    </row>
    <row r="978" spans="2:5" ht="12.75" customHeight="1" x14ac:dyDescent="0.25">
      <c r="B978" s="45"/>
      <c r="D978" s="46"/>
      <c r="E978" s="47"/>
    </row>
    <row r="979" spans="2:5" ht="12.75" customHeight="1" x14ac:dyDescent="0.25">
      <c r="B979" s="45"/>
      <c r="D979" s="46"/>
      <c r="E979" s="47"/>
    </row>
    <row r="980" spans="2:5" ht="12.75" customHeight="1" x14ac:dyDescent="0.25">
      <c r="B980" s="45"/>
      <c r="D980" s="46"/>
      <c r="E980" s="47"/>
    </row>
    <row r="981" spans="2:5" ht="12.75" customHeight="1" x14ac:dyDescent="0.25">
      <c r="B981" s="45"/>
      <c r="D981" s="46"/>
      <c r="E981" s="47"/>
    </row>
    <row r="982" spans="2:5" ht="12.75" customHeight="1" x14ac:dyDescent="0.25">
      <c r="B982" s="45"/>
      <c r="D982" s="46"/>
      <c r="E982" s="47"/>
    </row>
    <row r="983" spans="2:5" ht="12.75" customHeight="1" x14ac:dyDescent="0.25">
      <c r="B983" s="45"/>
      <c r="D983" s="46"/>
      <c r="E983" s="47"/>
    </row>
    <row r="984" spans="2:5" ht="12.75" customHeight="1" x14ac:dyDescent="0.25">
      <c r="B984" s="45"/>
      <c r="D984" s="46"/>
      <c r="E984" s="47"/>
    </row>
    <row r="985" spans="2:5" ht="12.75" customHeight="1" x14ac:dyDescent="0.25">
      <c r="B985" s="45"/>
      <c r="D985" s="46"/>
      <c r="E985" s="47"/>
    </row>
    <row r="986" spans="2:5" ht="12.75" customHeight="1" x14ac:dyDescent="0.25">
      <c r="B986" s="45"/>
      <c r="D986" s="46"/>
      <c r="E986" s="47"/>
    </row>
    <row r="987" spans="2:5" ht="12.75" customHeight="1" x14ac:dyDescent="0.25">
      <c r="B987" s="45"/>
      <c r="D987" s="46"/>
      <c r="E987" s="47"/>
    </row>
    <row r="988" spans="2:5" ht="12.75" customHeight="1" x14ac:dyDescent="0.25">
      <c r="B988" s="45"/>
      <c r="D988" s="46"/>
      <c r="E988" s="47"/>
    </row>
    <row r="989" spans="2:5" ht="12.75" customHeight="1" x14ac:dyDescent="0.25">
      <c r="B989" s="45"/>
      <c r="D989" s="46"/>
      <c r="E989" s="47"/>
    </row>
    <row r="990" spans="2:5" ht="12.75" customHeight="1" x14ac:dyDescent="0.25">
      <c r="B990" s="45"/>
      <c r="D990" s="46"/>
      <c r="E990" s="47"/>
    </row>
    <row r="991" spans="2:5" ht="12.75" customHeight="1" x14ac:dyDescent="0.25">
      <c r="B991" s="45"/>
      <c r="D991" s="46"/>
      <c r="E991" s="47"/>
    </row>
    <row r="992" spans="2:5" ht="12.75" customHeight="1" x14ac:dyDescent="0.25">
      <c r="B992" s="45"/>
      <c r="D992" s="46"/>
      <c r="E992" s="47"/>
    </row>
    <row r="993" spans="2:5" ht="12.75" customHeight="1" x14ac:dyDescent="0.25">
      <c r="B993" s="45"/>
      <c r="D993" s="46"/>
      <c r="E993" s="47"/>
    </row>
    <row r="994" spans="2:5" ht="12.75" customHeight="1" x14ac:dyDescent="0.25">
      <c r="B994" s="45"/>
      <c r="D994" s="46"/>
      <c r="E994" s="47"/>
    </row>
    <row r="995" spans="2:5" ht="12.75" customHeight="1" x14ac:dyDescent="0.25">
      <c r="B995" s="45"/>
      <c r="D995" s="46"/>
      <c r="E995" s="47"/>
    </row>
  </sheetData>
  <mergeCells count="12">
    <mergeCell ref="B69:C69"/>
    <mergeCell ref="B70:D70"/>
    <mergeCell ref="B71:D71"/>
    <mergeCell ref="B72:D72"/>
    <mergeCell ref="B47:E47"/>
    <mergeCell ref="B58:E58"/>
    <mergeCell ref="B57:C57"/>
    <mergeCell ref="B1:E2"/>
    <mergeCell ref="B3:E3"/>
    <mergeCell ref="B16:C16"/>
    <mergeCell ref="B17:E17"/>
    <mergeCell ref="B46:C4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W731"/>
  <sheetViews>
    <sheetView workbookViewId="0">
      <selection sqref="A1:E16"/>
    </sheetView>
  </sheetViews>
  <sheetFormatPr baseColWidth="10" defaultColWidth="12.5546875" defaultRowHeight="15" customHeight="1" x14ac:dyDescent="0.25"/>
  <cols>
    <col min="1" max="1" width="20.5546875" style="75" customWidth="1"/>
    <col min="2" max="2" width="47.77734375" style="75" customWidth="1"/>
    <col min="3" max="4" width="20.5546875" style="75" customWidth="1"/>
    <col min="5" max="5" width="22.44140625" style="75" customWidth="1"/>
    <col min="6" max="6" width="10" style="75" customWidth="1"/>
    <col min="7" max="7" width="10.6640625" style="75" bestFit="1" customWidth="1"/>
    <col min="8" max="8" width="11.33203125" style="75" customWidth="1"/>
    <col min="9" max="9" width="10" style="75" customWidth="1"/>
    <col min="10" max="10" width="12.33203125" style="75" customWidth="1"/>
    <col min="11" max="27" width="10" style="75" customWidth="1"/>
    <col min="28" max="16384" width="12.5546875" style="75"/>
  </cols>
  <sheetData>
    <row r="1" spans="1:23" ht="30" customHeight="1" thickBot="1" x14ac:dyDescent="0.45">
      <c r="A1" s="129" t="s">
        <v>103</v>
      </c>
      <c r="B1" s="130"/>
      <c r="C1" s="130"/>
      <c r="D1" s="130"/>
      <c r="E1" s="131"/>
    </row>
    <row r="2" spans="1:23" ht="19.95" customHeight="1" thickBot="1" x14ac:dyDescent="0.3">
      <c r="A2" s="80" t="s">
        <v>3</v>
      </c>
      <c r="B2" s="77" t="s">
        <v>4</v>
      </c>
      <c r="C2" s="78" t="s">
        <v>5</v>
      </c>
      <c r="D2" s="79" t="s">
        <v>6</v>
      </c>
      <c r="E2" s="81" t="s">
        <v>7</v>
      </c>
    </row>
    <row r="3" spans="1:23" ht="1.5" customHeight="1" thickBot="1" x14ac:dyDescent="0.3">
      <c r="A3" s="82"/>
      <c r="B3" s="83"/>
      <c r="C3" s="84"/>
      <c r="D3" s="85"/>
      <c r="E3" s="86">
        <v>0</v>
      </c>
    </row>
    <row r="4" spans="1:23" ht="24.75" customHeight="1" x14ac:dyDescent="0.25">
      <c r="A4" s="87">
        <v>46223</v>
      </c>
      <c r="B4" s="88" t="s">
        <v>104</v>
      </c>
      <c r="C4" s="89">
        <v>200000000</v>
      </c>
      <c r="D4" s="90"/>
      <c r="E4" s="91">
        <f>+E3+C4-D4</f>
        <v>200000000</v>
      </c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</row>
    <row r="5" spans="1:23" ht="24.75" customHeight="1" x14ac:dyDescent="0.25">
      <c r="A5" s="92">
        <v>46223</v>
      </c>
      <c r="B5" s="93" t="s">
        <v>107</v>
      </c>
      <c r="C5" s="94"/>
      <c r="D5" s="94">
        <v>2400000</v>
      </c>
      <c r="E5" s="95">
        <f t="shared" ref="E5:E16" si="0">+E4+C5-D5</f>
        <v>197600000</v>
      </c>
    </row>
    <row r="6" spans="1:23" ht="24.75" customHeight="1" x14ac:dyDescent="0.25">
      <c r="A6" s="92">
        <v>46223</v>
      </c>
      <c r="B6" s="93" t="s">
        <v>105</v>
      </c>
      <c r="C6" s="93"/>
      <c r="D6" s="94">
        <v>14400</v>
      </c>
      <c r="E6" s="96">
        <f t="shared" si="0"/>
        <v>197585600</v>
      </c>
    </row>
    <row r="7" spans="1:23" ht="24.75" customHeight="1" x14ac:dyDescent="0.25">
      <c r="A7" s="92">
        <v>46224</v>
      </c>
      <c r="B7" s="93" t="s">
        <v>108</v>
      </c>
      <c r="C7" s="94"/>
      <c r="D7" s="94">
        <v>37742033.25</v>
      </c>
      <c r="E7" s="95">
        <f t="shared" si="0"/>
        <v>159843566.75</v>
      </c>
    </row>
    <row r="8" spans="1:23" ht="24.75" customHeight="1" x14ac:dyDescent="0.25">
      <c r="A8" s="101">
        <v>46225</v>
      </c>
      <c r="B8" s="102" t="s">
        <v>110</v>
      </c>
      <c r="C8" s="103"/>
      <c r="D8" s="103">
        <v>37100000</v>
      </c>
      <c r="E8" s="104">
        <f t="shared" si="0"/>
        <v>122743566.75</v>
      </c>
    </row>
    <row r="9" spans="1:23" ht="24.75" customHeight="1" x14ac:dyDescent="0.25">
      <c r="A9" s="101">
        <v>46230</v>
      </c>
      <c r="B9" s="102" t="s">
        <v>111</v>
      </c>
      <c r="C9" s="103"/>
      <c r="D9" s="103">
        <v>20000000</v>
      </c>
      <c r="E9" s="104">
        <f t="shared" si="0"/>
        <v>102743566.75</v>
      </c>
    </row>
    <row r="10" spans="1:23" ht="24.75" customHeight="1" x14ac:dyDescent="0.25">
      <c r="A10" s="101">
        <v>46232</v>
      </c>
      <c r="B10" s="102" t="s">
        <v>112</v>
      </c>
      <c r="C10" s="103"/>
      <c r="D10" s="103">
        <v>15500000</v>
      </c>
      <c r="E10" s="104">
        <f t="shared" si="0"/>
        <v>87243566.75</v>
      </c>
    </row>
    <row r="11" spans="1:23" ht="24.75" customHeight="1" x14ac:dyDescent="0.25">
      <c r="A11" s="101">
        <v>46232</v>
      </c>
      <c r="B11" s="102" t="s">
        <v>113</v>
      </c>
      <c r="C11" s="103"/>
      <c r="D11" s="103">
        <v>34500000</v>
      </c>
      <c r="E11" s="104">
        <f t="shared" si="0"/>
        <v>52743566.75</v>
      </c>
    </row>
    <row r="12" spans="1:23" ht="24.75" customHeight="1" x14ac:dyDescent="0.25">
      <c r="A12" s="101">
        <v>46233</v>
      </c>
      <c r="B12" s="102" t="s">
        <v>116</v>
      </c>
      <c r="C12" s="103"/>
      <c r="D12" s="103">
        <v>50000000</v>
      </c>
      <c r="E12" s="104">
        <f t="shared" si="0"/>
        <v>2743566.75</v>
      </c>
    </row>
    <row r="13" spans="1:23" ht="24.75" customHeight="1" x14ac:dyDescent="0.25">
      <c r="A13" s="101">
        <v>46241</v>
      </c>
      <c r="B13" s="102" t="s">
        <v>117</v>
      </c>
      <c r="C13" s="103">
        <v>11500000</v>
      </c>
      <c r="D13" s="103"/>
      <c r="E13" s="104">
        <f t="shared" si="0"/>
        <v>14243566.75</v>
      </c>
    </row>
    <row r="14" spans="1:23" ht="24.75" customHeight="1" x14ac:dyDescent="0.25">
      <c r="A14" s="101">
        <v>46241</v>
      </c>
      <c r="B14" s="102" t="s">
        <v>118</v>
      </c>
      <c r="C14" s="103">
        <v>9400000</v>
      </c>
      <c r="D14" s="103"/>
      <c r="E14" s="104">
        <f t="shared" si="0"/>
        <v>23643566.75</v>
      </c>
    </row>
    <row r="15" spans="1:23" ht="24.75" customHeight="1" x14ac:dyDescent="0.25">
      <c r="A15" s="101">
        <v>46241</v>
      </c>
      <c r="B15" s="102" t="s">
        <v>119</v>
      </c>
      <c r="C15" s="103"/>
      <c r="D15" s="103">
        <v>20363194.370000001</v>
      </c>
      <c r="E15" s="104">
        <f t="shared" si="0"/>
        <v>3280372.379999999</v>
      </c>
    </row>
    <row r="16" spans="1:23" ht="24.75" customHeight="1" thickBot="1" x14ac:dyDescent="0.3">
      <c r="A16" s="97"/>
      <c r="B16" s="98"/>
      <c r="C16" s="99"/>
      <c r="D16" s="99"/>
      <c r="E16" s="100">
        <f t="shared" si="0"/>
        <v>3280372.379999999</v>
      </c>
    </row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</sheetData>
  <mergeCells count="1">
    <mergeCell ref="A1:E1"/>
  </mergeCells>
  <printOptions horizontalCentered="1"/>
  <pageMargins left="0.31496062992125984" right="0.11811023622047245" top="0.74803149606299213" bottom="0.35433070866141736" header="0" footer="0"/>
  <pageSetup paperSize="9" scale="1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W731"/>
  <sheetViews>
    <sheetView tabSelected="1" workbookViewId="0">
      <selection activeCell="B15" sqref="B15"/>
    </sheetView>
  </sheetViews>
  <sheetFormatPr baseColWidth="10" defaultColWidth="12.5546875" defaultRowHeight="15" customHeight="1" x14ac:dyDescent="0.25"/>
  <cols>
    <col min="1" max="1" width="20.5546875" style="75" customWidth="1"/>
    <col min="2" max="2" width="47.77734375" style="75" customWidth="1"/>
    <col min="3" max="4" width="20.5546875" style="75" customWidth="1"/>
    <col min="5" max="5" width="22.44140625" style="75" customWidth="1"/>
    <col min="6" max="6" width="10" style="75" customWidth="1"/>
    <col min="7" max="7" width="10.6640625" style="75" bestFit="1" customWidth="1"/>
    <col min="8" max="8" width="11.33203125" style="75" customWidth="1"/>
    <col min="9" max="9" width="10" style="75" customWidth="1"/>
    <col min="10" max="10" width="12.33203125" style="75" customWidth="1"/>
    <col min="11" max="27" width="10" style="75" customWidth="1"/>
    <col min="28" max="16384" width="12.5546875" style="75"/>
  </cols>
  <sheetData>
    <row r="1" spans="1:23" ht="30" customHeight="1" thickBot="1" x14ac:dyDescent="0.45">
      <c r="A1" s="132" t="s">
        <v>106</v>
      </c>
      <c r="B1" s="133"/>
      <c r="C1" s="133"/>
      <c r="D1" s="133"/>
      <c r="E1" s="134"/>
    </row>
    <row r="2" spans="1:23" ht="19.95" customHeight="1" thickBot="1" x14ac:dyDescent="0.3">
      <c r="A2" s="80" t="s">
        <v>3</v>
      </c>
      <c r="B2" s="77" t="s">
        <v>4</v>
      </c>
      <c r="C2" s="78" t="s">
        <v>5</v>
      </c>
      <c r="D2" s="79" t="s">
        <v>6</v>
      </c>
      <c r="E2" s="81" t="s">
        <v>7</v>
      </c>
    </row>
    <row r="3" spans="1:23" ht="1.5" customHeight="1" thickBot="1" x14ac:dyDescent="0.3">
      <c r="A3" s="82"/>
      <c r="B3" s="83"/>
      <c r="C3" s="84"/>
      <c r="D3" s="85"/>
      <c r="E3" s="86">
        <v>0</v>
      </c>
    </row>
    <row r="4" spans="1:23" ht="24.75" customHeight="1" x14ac:dyDescent="0.25">
      <c r="A4" s="87">
        <v>46223</v>
      </c>
      <c r="B4" s="88" t="s">
        <v>104</v>
      </c>
      <c r="C4" s="89">
        <v>239000000</v>
      </c>
      <c r="D4" s="90"/>
      <c r="E4" s="91">
        <f>+E3+C4-D4</f>
        <v>239000000</v>
      </c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</row>
    <row r="5" spans="1:23" ht="24.75" customHeight="1" x14ac:dyDescent="0.25">
      <c r="A5" s="92">
        <v>46223</v>
      </c>
      <c r="B5" s="93" t="s">
        <v>107</v>
      </c>
      <c r="C5" s="94"/>
      <c r="D5" s="94">
        <v>2868000</v>
      </c>
      <c r="E5" s="95">
        <f t="shared" ref="E5:E16" si="0">+E4+C5-D5</f>
        <v>236132000</v>
      </c>
    </row>
    <row r="6" spans="1:23" ht="24.75" customHeight="1" x14ac:dyDescent="0.25">
      <c r="A6" s="92">
        <v>46223</v>
      </c>
      <c r="B6" s="93" t="s">
        <v>105</v>
      </c>
      <c r="C6" s="93"/>
      <c r="D6" s="94">
        <v>17208</v>
      </c>
      <c r="E6" s="96">
        <f t="shared" si="0"/>
        <v>236114792</v>
      </c>
    </row>
    <row r="7" spans="1:23" ht="24.75" customHeight="1" x14ac:dyDescent="0.25">
      <c r="A7" s="92">
        <v>46224</v>
      </c>
      <c r="B7" s="93" t="s">
        <v>109</v>
      </c>
      <c r="C7" s="94"/>
      <c r="D7" s="94">
        <v>34508599.57</v>
      </c>
      <c r="E7" s="95">
        <f t="shared" si="0"/>
        <v>201606192.43000001</v>
      </c>
    </row>
    <row r="8" spans="1:23" ht="24.75" customHeight="1" x14ac:dyDescent="0.25">
      <c r="A8" s="101">
        <v>46230</v>
      </c>
      <c r="B8" s="102" t="s">
        <v>114</v>
      </c>
      <c r="C8" s="103"/>
      <c r="D8" s="103">
        <v>50000000</v>
      </c>
      <c r="E8" s="104">
        <f t="shared" si="0"/>
        <v>151606192.43000001</v>
      </c>
    </row>
    <row r="9" spans="1:23" ht="24.75" customHeight="1" x14ac:dyDescent="0.25">
      <c r="A9" s="101">
        <v>46232</v>
      </c>
      <c r="B9" s="102" t="s">
        <v>114</v>
      </c>
      <c r="C9" s="103"/>
      <c r="D9" s="103">
        <v>50000000</v>
      </c>
      <c r="E9" s="104">
        <f t="shared" si="0"/>
        <v>101606192.43000001</v>
      </c>
    </row>
    <row r="10" spans="1:23" ht="24.75" customHeight="1" x14ac:dyDescent="0.25">
      <c r="A10" s="101">
        <v>46233</v>
      </c>
      <c r="B10" s="102" t="s">
        <v>115</v>
      </c>
      <c r="C10" s="103"/>
      <c r="D10" s="103">
        <v>38200000</v>
      </c>
      <c r="E10" s="104">
        <f t="shared" si="0"/>
        <v>63406192.430000007</v>
      </c>
    </row>
    <row r="11" spans="1:23" ht="24.75" customHeight="1" x14ac:dyDescent="0.25">
      <c r="A11" s="101">
        <v>46244</v>
      </c>
      <c r="B11" s="102" t="s">
        <v>120</v>
      </c>
      <c r="C11" s="103"/>
      <c r="D11" s="103">
        <v>10000000</v>
      </c>
      <c r="E11" s="104">
        <f t="shared" si="0"/>
        <v>53406192.430000007</v>
      </c>
    </row>
    <row r="12" spans="1:23" ht="24.75" customHeight="1" x14ac:dyDescent="0.25">
      <c r="A12" s="101">
        <v>46244</v>
      </c>
      <c r="B12" s="102" t="s">
        <v>121</v>
      </c>
      <c r="C12" s="103"/>
      <c r="D12" s="103">
        <v>20000000</v>
      </c>
      <c r="E12" s="104">
        <f t="shared" si="0"/>
        <v>33406192.430000007</v>
      </c>
    </row>
    <row r="13" spans="1:23" ht="24.75" customHeight="1" x14ac:dyDescent="0.25">
      <c r="A13" s="101">
        <v>46247</v>
      </c>
      <c r="B13" s="102" t="s">
        <v>122</v>
      </c>
      <c r="C13" s="103"/>
      <c r="D13" s="103">
        <v>18000000</v>
      </c>
      <c r="E13" s="104">
        <f t="shared" si="0"/>
        <v>15406192.430000007</v>
      </c>
    </row>
    <row r="14" spans="1:23" ht="24.75" customHeight="1" x14ac:dyDescent="0.25">
      <c r="A14" s="101">
        <v>46248</v>
      </c>
      <c r="B14" s="102" t="s">
        <v>123</v>
      </c>
      <c r="C14" s="103"/>
      <c r="D14" s="103">
        <v>7500000</v>
      </c>
      <c r="E14" s="104">
        <f t="shared" si="0"/>
        <v>7906192.4300000072</v>
      </c>
    </row>
    <row r="15" spans="1:23" ht="24.75" customHeight="1" x14ac:dyDescent="0.25">
      <c r="A15" s="101">
        <v>46252</v>
      </c>
      <c r="B15" s="102" t="s">
        <v>124</v>
      </c>
      <c r="C15" s="103"/>
      <c r="D15" s="103">
        <v>7600000</v>
      </c>
      <c r="E15" s="104">
        <f t="shared" si="0"/>
        <v>306192.43000000715</v>
      </c>
    </row>
    <row r="16" spans="1:23" ht="24.75" customHeight="1" thickBot="1" x14ac:dyDescent="0.3">
      <c r="A16" s="97"/>
      <c r="B16" s="98"/>
      <c r="C16" s="99"/>
      <c r="D16" s="99"/>
      <c r="E16" s="100">
        <f t="shared" si="0"/>
        <v>306192.43000000715</v>
      </c>
    </row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</sheetData>
  <mergeCells count="1">
    <mergeCell ref="A1:E1"/>
  </mergeCells>
  <printOptions horizontalCentered="1"/>
  <pageMargins left="0.31496062992125984" right="0.11811023622047245" top="0.74803149606299213" bottom="0.35433070866141736" header="0" footer="0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Marzo</vt:lpstr>
      <vt:lpstr>Abril</vt:lpstr>
      <vt:lpstr>NACIÓN ENJOY</vt:lpstr>
      <vt:lpstr>NACIÓN DOS57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LENOVO</cp:lastModifiedBy>
  <cp:lastPrinted>2026-07-21T18:58:21Z</cp:lastPrinted>
  <dcterms:created xsi:type="dcterms:W3CDTF">2014-09-09T17:23:31Z</dcterms:created>
  <dcterms:modified xsi:type="dcterms:W3CDTF">2026-08-18T14:36:52Z</dcterms:modified>
</cp:coreProperties>
</file>