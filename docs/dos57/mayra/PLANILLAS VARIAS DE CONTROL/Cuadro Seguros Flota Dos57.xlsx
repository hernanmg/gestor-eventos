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MAYRA 2024\MAYRA - DOS57\"/>
    </mc:Choice>
  </mc:AlternateContent>
  <bookViews>
    <workbookView xWindow="0" yWindow="0" windowWidth="23040" windowHeight="9072"/>
  </bookViews>
  <sheets>
    <sheet name="SEGUROS 2024 - DOS57 + POLLO" sheetId="1" r:id="rId1"/>
    <sheet name="SEGUROS 2024 - DOS57 PAGO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0" i="3" l="1"/>
  <c r="G30" i="3"/>
  <c r="H30" i="3"/>
  <c r="I30" i="3"/>
  <c r="J30" i="3"/>
  <c r="K30" i="3"/>
  <c r="L30" i="3"/>
  <c r="M30" i="3"/>
  <c r="N30" i="3"/>
  <c r="O30" i="3"/>
  <c r="P30" i="3"/>
  <c r="E30" i="3"/>
  <c r="F24" i="3"/>
  <c r="G24" i="3"/>
  <c r="H24" i="3"/>
  <c r="I24" i="3"/>
  <c r="J24" i="3"/>
  <c r="K24" i="3"/>
  <c r="L24" i="3"/>
  <c r="M24" i="3"/>
  <c r="N24" i="3"/>
  <c r="O24" i="3"/>
  <c r="P24" i="3"/>
  <c r="E24" i="3"/>
</calcChain>
</file>

<file path=xl/comments1.xml><?xml version="1.0" encoding="utf-8"?>
<comments xmlns="http://schemas.openxmlformats.org/spreadsheetml/2006/main">
  <authors>
    <author>LENOVO</author>
  </authors>
  <commentList>
    <comment ref="K6" authorId="0" shapeId="0">
      <text>
        <r>
          <rPr>
            <b/>
            <sz val="9"/>
            <color indexed="81"/>
            <rFont val="Tahoma"/>
            <charset val="1"/>
          </rPr>
          <t>Se pago por otro medio porque se rechazó el débito</t>
        </r>
      </text>
    </comment>
    <comment ref="K7" authorId="0" shapeId="0">
      <text>
        <r>
          <rPr>
            <b/>
            <sz val="9"/>
            <color indexed="81"/>
            <rFont val="Tahoma"/>
            <charset val="1"/>
          </rPr>
          <t>Se pago por otro medio porque se rechazó el débito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9" authorId="0" shapeId="0">
      <text>
        <r>
          <rPr>
            <b/>
            <sz val="9"/>
            <color indexed="81"/>
            <rFont val="Tahoma"/>
            <charset val="1"/>
          </rPr>
          <t>Se rechazó el débito pero figura abonado, no tengo info de como se abono</t>
        </r>
      </text>
    </comment>
    <comment ref="G9" authorId="0" shapeId="0">
      <text>
        <r>
          <rPr>
            <b/>
            <sz val="9"/>
            <color indexed="81"/>
            <rFont val="Tahoma"/>
            <charset val="1"/>
          </rPr>
          <t>Se debitó en Abril - el 03/04/2024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J9" authorId="0" shapeId="0">
      <text>
        <r>
          <rPr>
            <b/>
            <sz val="9"/>
            <color indexed="81"/>
            <rFont val="Tahoma"/>
            <charset val="1"/>
          </rPr>
          <t>Se debitó en Julio - el 01/07/2024</t>
        </r>
      </text>
    </comment>
    <comment ref="L9" authorId="0" shapeId="0">
      <text>
        <r>
          <rPr>
            <b/>
            <sz val="9"/>
            <color indexed="81"/>
            <rFont val="Tahoma"/>
            <charset val="1"/>
          </rPr>
          <t>Se debitó en Septiembre - el 02/09/2024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I12" authorId="0" shapeId="0">
      <text>
        <r>
          <rPr>
            <b/>
            <sz val="9"/>
            <color indexed="81"/>
            <rFont val="Tahoma"/>
            <charset val="1"/>
          </rPr>
          <t xml:space="preserve">Couta Bonificada por Flota
</t>
        </r>
      </text>
    </comment>
    <comment ref="E16" authorId="0" shapeId="0">
      <text>
        <r>
          <rPr>
            <b/>
            <sz val="9"/>
            <color indexed="81"/>
            <rFont val="Tahoma"/>
            <charset val="1"/>
          </rPr>
          <t>No hay registro de débito en TC</t>
        </r>
      </text>
    </comment>
    <comment ref="E17" authorId="0" shapeId="0">
      <text>
        <r>
          <rPr>
            <b/>
            <sz val="9"/>
            <color indexed="81"/>
            <rFont val="Tahoma"/>
            <charset val="1"/>
          </rPr>
          <t>No hay registro de débito en TC</t>
        </r>
      </text>
    </comment>
    <comment ref="E18" authorId="0" shapeId="0">
      <text>
        <r>
          <rPr>
            <b/>
            <sz val="9"/>
            <color indexed="81"/>
            <rFont val="Tahoma"/>
            <charset val="1"/>
          </rPr>
          <t>No hay registro de débito en TC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20" authorId="0" shapeId="0">
      <text>
        <r>
          <rPr>
            <b/>
            <sz val="9"/>
            <color indexed="81"/>
            <rFont val="Tahoma"/>
            <charset val="1"/>
          </rPr>
          <t>No hay registro de débito en TC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20" authorId="0" shapeId="0">
      <text>
        <r>
          <rPr>
            <b/>
            <sz val="9"/>
            <color indexed="81"/>
            <rFont val="Tahoma"/>
            <charset val="1"/>
          </rPr>
          <t>No hay registro de débito en TC</t>
        </r>
      </text>
    </comment>
    <comment ref="G20" authorId="0" shapeId="0">
      <text>
        <r>
          <rPr>
            <b/>
            <sz val="9"/>
            <color indexed="81"/>
            <rFont val="Tahoma"/>
            <charset val="1"/>
          </rPr>
          <t>No hay registro de débito en TC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<sst xmlns="http://schemas.openxmlformats.org/spreadsheetml/2006/main" count="320" uniqueCount="126">
  <si>
    <t>DOMINIO</t>
  </si>
  <si>
    <t>AA830QO</t>
  </si>
  <si>
    <t>101KJR926</t>
  </si>
  <si>
    <t>101OBX448</t>
  </si>
  <si>
    <t>AUTOELEVADOR</t>
  </si>
  <si>
    <t>AG293MG</t>
  </si>
  <si>
    <t>A</t>
  </si>
  <si>
    <t>RESP CIVIL</t>
  </si>
  <si>
    <t>B</t>
  </si>
  <si>
    <t>XL</t>
  </si>
  <si>
    <t>XL CON GRANIZO</t>
  </si>
  <si>
    <t>TRCF</t>
  </si>
  <si>
    <t>CT+PARCIAL+AP</t>
  </si>
  <si>
    <t>AÑO</t>
  </si>
  <si>
    <t>TIPO DE COBERTURA</t>
  </si>
  <si>
    <t>FORMA DE PAGO</t>
  </si>
  <si>
    <t>SUMA ASEGURADA</t>
  </si>
  <si>
    <t>MARCA / MODELO</t>
  </si>
  <si>
    <t>TIPO DE VEHÍCULO</t>
  </si>
  <si>
    <t>COMPAÑÍA ASEGURADORA</t>
  </si>
  <si>
    <t>TIPO DE SEGURO</t>
  </si>
  <si>
    <t>Individual</t>
  </si>
  <si>
    <t>Flota</t>
  </si>
  <si>
    <t>Ford Ranger</t>
  </si>
  <si>
    <t>Trailer</t>
  </si>
  <si>
    <t>Trailer Enjoy</t>
  </si>
  <si>
    <t>Mula</t>
  </si>
  <si>
    <t>Trailer Grande</t>
  </si>
  <si>
    <t>Federacion Patronal</t>
  </si>
  <si>
    <t>Experta</t>
  </si>
  <si>
    <t>Rivadavia</t>
  </si>
  <si>
    <t>Sancor</t>
  </si>
  <si>
    <t>Pendiente Descontar</t>
  </si>
  <si>
    <t>Pick-Up</t>
  </si>
  <si>
    <t>Mercedes Benz Sprinter</t>
  </si>
  <si>
    <t>Minibus</t>
  </si>
  <si>
    <t>Volkswagen Amarok</t>
  </si>
  <si>
    <t>Toyota Hilux</t>
  </si>
  <si>
    <t>AG337MY</t>
  </si>
  <si>
    <t>AF728AT</t>
  </si>
  <si>
    <t>PFG964</t>
  </si>
  <si>
    <t>NSN325</t>
  </si>
  <si>
    <t>LVX455</t>
  </si>
  <si>
    <t>KJR926</t>
  </si>
  <si>
    <t>IHX980</t>
  </si>
  <si>
    <t>HLW156</t>
  </si>
  <si>
    <t>HKQ258</t>
  </si>
  <si>
    <t>AD737FN</t>
  </si>
  <si>
    <t>FTL303</t>
  </si>
  <si>
    <t>WNO918</t>
  </si>
  <si>
    <t>101HLW156</t>
  </si>
  <si>
    <t>101IHX980</t>
  </si>
  <si>
    <t>101WNO918</t>
  </si>
  <si>
    <t>OHA122</t>
  </si>
  <si>
    <t>Tractor de carretera</t>
  </si>
  <si>
    <t>Volkswagen Camión Negro</t>
  </si>
  <si>
    <t>Semirremolque</t>
  </si>
  <si>
    <t>Cormetal Negro</t>
  </si>
  <si>
    <t>Volvo Camión Blanco</t>
  </si>
  <si>
    <t>Maldonado Blanco</t>
  </si>
  <si>
    <t>Mercedes Benz Azul</t>
  </si>
  <si>
    <t>Chasis con Cabina</t>
  </si>
  <si>
    <t>E-Cheq</t>
  </si>
  <si>
    <t>Débito Galicia</t>
  </si>
  <si>
    <t>TC Galicia</t>
  </si>
  <si>
    <t>PAGOS MENSUALES - SEGUROS PARQUE AUTOMOTOR DOS57 - 2024</t>
  </si>
  <si>
    <t>CUOTA 03/24</t>
  </si>
  <si>
    <t>CUOTA 04/24</t>
  </si>
  <si>
    <t>CUOTA 05/24</t>
  </si>
  <si>
    <t>CUOTA 06/24</t>
  </si>
  <si>
    <t>CUOTA 07/24</t>
  </si>
  <si>
    <t>CUOTA 08/24</t>
  </si>
  <si>
    <t>CUOTA 09/24</t>
  </si>
  <si>
    <t>CUOTA 10/24</t>
  </si>
  <si>
    <t>CUOTA 11/24</t>
  </si>
  <si>
    <t>CUOTA 12/24</t>
  </si>
  <si>
    <t>PAGOS MENSUALES TOTALES</t>
  </si>
  <si>
    <t>FORMA DE PAGO + DATOS</t>
  </si>
  <si>
    <t>Débito - 00400127782313</t>
  </si>
  <si>
    <t>Débito -00400127782473</t>
  </si>
  <si>
    <t>Débito - 00400128591851</t>
  </si>
  <si>
    <t>Débito - 00400127806697</t>
  </si>
  <si>
    <t>TC - 0000027809502-004-000</t>
  </si>
  <si>
    <t>TC - 0000027783610-004-000</t>
  </si>
  <si>
    <t>Sancor - Seguro Técnico</t>
  </si>
  <si>
    <t>RESP CIVIL+ROBO TOTAL +INCENDIO TOTAL+DEST TOTAL POR ACCIDENTE</t>
  </si>
  <si>
    <t>RESP CIVIL+ROBO TOTAL Y PARCIAL +INCENDIO TOTAL Y PARCIAL+DEST TOTAL POR ACCIDENTE+CRISTALES LATERALES+PARABRISA+LUNETA</t>
  </si>
  <si>
    <t>RESP CIVIL+ROBO TOTAL Y PARCIAL +INCENDIO TOTAL Y PARCIAL+DEST TOTAL POR ACCIDENTE+CRISTALES LATERALES+PARABRISA+LUNETA+ GRANIZO HASTA $1,600,000 EN FLOTA Y SIN LIMITE COMO VEHICULO INDIVIDUAL</t>
  </si>
  <si>
    <t>TODO RIESGO CON FRANQUICIA</t>
  </si>
  <si>
    <t>COBERTURA TOTAL Y PARCIAL + AP TRANSPORTADOS</t>
  </si>
  <si>
    <t>REFERENCIAS</t>
  </si>
  <si>
    <t>CUOTA 01/24</t>
  </si>
  <si>
    <t>CUOTA 02/24</t>
  </si>
  <si>
    <t>PAGOS MENSUALES - SEGUROS PARQUE AUTOMOTOR FAMILIA POLLO - 2024</t>
  </si>
  <si>
    <t>TC - 0000029362317-004-000</t>
  </si>
  <si>
    <t>Volkswagen Taos</t>
  </si>
  <si>
    <t>RC (Resp.Civil)</t>
  </si>
  <si>
    <t>B+RC</t>
  </si>
  <si>
    <t>Peugeot 208</t>
  </si>
  <si>
    <t>Débito - 00400128463730</t>
  </si>
  <si>
    <t>TC - 0000029275665-004-000</t>
  </si>
  <si>
    <t>TC - 05202977471</t>
  </si>
  <si>
    <t>TC - 05202977469</t>
  </si>
  <si>
    <t>TC - 05202977468</t>
  </si>
  <si>
    <t>TC - 06602074808</t>
  </si>
  <si>
    <t>TC - 06602111432</t>
  </si>
  <si>
    <t>TD3-TODO RIESGO CON FRANQUICIA FIJA</t>
  </si>
  <si>
    <t>CUOTA 1/2025</t>
  </si>
  <si>
    <t>SEGUROS PARQUE AUTOMOTOR DOS57 - 2025</t>
  </si>
  <si>
    <t>Mercedes Benz Atego</t>
  </si>
  <si>
    <t>AG958JV</t>
  </si>
  <si>
    <t>PLAN C - RC.P.T Accid. y P.TyP Inc. y Robo</t>
  </si>
  <si>
    <t>Peugeot Partner</t>
  </si>
  <si>
    <t>KHH220</t>
  </si>
  <si>
    <t>Honda Civic</t>
  </si>
  <si>
    <t>ENJ710</t>
  </si>
  <si>
    <t>Auto Nico</t>
  </si>
  <si>
    <t>Auto Lore</t>
  </si>
  <si>
    <t>Auto Andre</t>
  </si>
  <si>
    <t>Auto Mayra</t>
  </si>
  <si>
    <t>KEX251</t>
  </si>
  <si>
    <t>TC XL + GR</t>
  </si>
  <si>
    <t>TC XL</t>
  </si>
  <si>
    <t>XL F.III</t>
  </si>
  <si>
    <t>XL F.I</t>
  </si>
  <si>
    <t>XL Franquicia Fija.1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</si>
</sst>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\ * #,##0.00_-;\-&quot;$&quot;\ * #,##0.00_-;_-&quot;$&quot;\ * &quot;-&quot;??_-;_-@_-"/>
    <numFmt numFmtId="164" formatCode="&quot;$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 Narrow"/>
      <family val="2"/>
    </font>
    <font>
      <b/>
      <sz val="10"/>
      <name val="Arial Narrow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1">
    <xf numFmtId="0" fontId="0" fillId="0" borderId="0" xfId="0"/>
    <xf numFmtId="14" fontId="0" fillId="0" borderId="0" xfId="0" applyNumberFormat="1"/>
    <xf numFmtId="0" fontId="0" fillId="0" borderId="0" xfId="0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14" fontId="3" fillId="2" borderId="7" xfId="0" applyNumberFormat="1" applyFont="1" applyFill="1" applyBorder="1" applyAlignment="1">
      <alignment horizontal="center" vertical="center" wrapText="1"/>
    </xf>
    <xf numFmtId="0" fontId="9" fillId="0" borderId="0" xfId="0" applyFont="1" applyFill="1"/>
    <xf numFmtId="0" fontId="2" fillId="0" borderId="5" xfId="0" applyFont="1" applyFill="1" applyBorder="1"/>
    <xf numFmtId="49" fontId="0" fillId="0" borderId="0" xfId="0" applyNumberFormat="1"/>
    <xf numFmtId="49" fontId="3" fillId="2" borderId="7" xfId="0" applyNumberFormat="1" applyFont="1" applyFill="1" applyBorder="1" applyAlignment="1">
      <alignment horizontal="center" vertical="center"/>
    </xf>
    <xf numFmtId="0" fontId="0" fillId="0" borderId="0" xfId="0"/>
    <xf numFmtId="0" fontId="2" fillId="0" borderId="5" xfId="0" applyFont="1" applyFill="1" applyBorder="1" applyAlignment="1">
      <alignment horizontal="center"/>
    </xf>
    <xf numFmtId="0" fontId="5" fillId="5" borderId="20" xfId="0" applyFont="1" applyFill="1" applyBorder="1" applyAlignment="1">
      <alignment horizontal="center" vertical="center" wrapText="1"/>
    </xf>
    <xf numFmtId="0" fontId="5" fillId="5" borderId="21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 wrapText="1"/>
    </xf>
    <xf numFmtId="44" fontId="9" fillId="0" borderId="9" xfId="1" applyNumberFormat="1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44" fontId="9" fillId="0" borderId="1" xfId="1" applyNumberFormat="1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44" fontId="9" fillId="0" borderId="14" xfId="1" applyNumberFormat="1" applyFont="1" applyFill="1" applyBorder="1" applyAlignment="1">
      <alignment horizontal="center" vertical="center"/>
    </xf>
    <xf numFmtId="49" fontId="9" fillId="0" borderId="9" xfId="0" applyNumberFormat="1" applyFont="1" applyFill="1" applyBorder="1" applyAlignment="1">
      <alignment horizontal="center" vertical="center"/>
    </xf>
    <xf numFmtId="44" fontId="9" fillId="0" borderId="18" xfId="0" applyNumberFormat="1" applyFont="1" applyFill="1" applyBorder="1" applyAlignment="1">
      <alignment horizontal="center" vertical="center" wrapText="1"/>
    </xf>
    <xf numFmtId="44" fontId="9" fillId="0" borderId="9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4" fontId="9" fillId="0" borderId="16" xfId="0" applyNumberFormat="1" applyFont="1" applyFill="1" applyBorder="1" applyAlignment="1">
      <alignment horizontal="center" vertical="center" wrapText="1"/>
    </xf>
    <xf numFmtId="44" fontId="9" fillId="0" borderId="1" xfId="0" applyNumberFormat="1" applyFont="1" applyFill="1" applyBorder="1" applyAlignment="1">
      <alignment horizontal="center" vertical="center" wrapText="1"/>
    </xf>
    <xf numFmtId="44" fontId="9" fillId="0" borderId="16" xfId="1" applyNumberFormat="1" applyFont="1" applyFill="1" applyBorder="1" applyAlignment="1">
      <alignment horizontal="center" vertical="center"/>
    </xf>
    <xf numFmtId="44" fontId="9" fillId="0" borderId="1" xfId="1" applyNumberFormat="1" applyFont="1" applyFill="1" applyBorder="1" applyAlignment="1">
      <alignment horizontal="center" vertical="center" wrapText="1"/>
    </xf>
    <xf numFmtId="44" fontId="9" fillId="0" borderId="1" xfId="1" applyNumberFormat="1" applyFont="1" applyFill="1" applyBorder="1" applyAlignment="1">
      <alignment horizontal="center" vertical="center" wrapText="1"/>
    </xf>
    <xf numFmtId="49" fontId="9" fillId="0" borderId="14" xfId="0" applyNumberFormat="1" applyFont="1" applyFill="1" applyBorder="1" applyAlignment="1">
      <alignment horizontal="center" vertical="center"/>
    </xf>
    <xf numFmtId="44" fontId="9" fillId="0" borderId="19" xfId="1" applyNumberFormat="1" applyFont="1" applyFill="1" applyBorder="1" applyAlignment="1">
      <alignment horizontal="center" vertical="center"/>
    </xf>
    <xf numFmtId="44" fontId="9" fillId="0" borderId="14" xfId="1" applyNumberFormat="1" applyFont="1" applyFill="1" applyBorder="1" applyAlignment="1">
      <alignment horizontal="center" vertical="center" wrapText="1"/>
    </xf>
    <xf numFmtId="164" fontId="2" fillId="0" borderId="6" xfId="0" applyNumberFormat="1" applyFont="1" applyFill="1" applyBorder="1" applyAlignment="1"/>
    <xf numFmtId="0" fontId="9" fillId="0" borderId="0" xfId="0" applyFont="1" applyFill="1" applyBorder="1" applyAlignment="1">
      <alignment horizontal="center" vertical="center"/>
    </xf>
    <xf numFmtId="44" fontId="9" fillId="0" borderId="0" xfId="1" applyNumberFormat="1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3" borderId="13" xfId="0" applyFont="1" applyFill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44" fontId="1" fillId="3" borderId="9" xfId="1" applyNumberFormat="1" applyFont="1" applyFill="1" applyBorder="1" applyAlignment="1">
      <alignment horizontal="center" vertical="center"/>
    </xf>
    <xf numFmtId="164" fontId="2" fillId="6" borderId="23" xfId="0" applyNumberFormat="1" applyFont="1" applyFill="1" applyBorder="1" applyAlignment="1"/>
    <xf numFmtId="49" fontId="2" fillId="6" borderId="17" xfId="0" applyNumberFormat="1" applyFont="1" applyFill="1" applyBorder="1" applyAlignment="1">
      <alignment horizontal="right"/>
    </xf>
    <xf numFmtId="44" fontId="9" fillId="0" borderId="1" xfId="1" applyNumberFormat="1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44" fontId="9" fillId="0" borderId="1" xfId="1" applyNumberFormat="1" applyFont="1" applyFill="1" applyBorder="1" applyAlignment="1">
      <alignment horizontal="center" vertical="center" wrapText="1"/>
    </xf>
    <xf numFmtId="44" fontId="9" fillId="7" borderId="16" xfId="1" applyNumberFormat="1" applyFont="1" applyFill="1" applyBorder="1" applyAlignment="1">
      <alignment horizontal="center" vertical="center"/>
    </xf>
    <xf numFmtId="44" fontId="9" fillId="7" borderId="1" xfId="1" applyNumberFormat="1" applyFont="1" applyFill="1" applyBorder="1" applyAlignment="1">
      <alignment horizontal="center" vertical="center" wrapText="1"/>
    </xf>
    <xf numFmtId="44" fontId="9" fillId="8" borderId="16" xfId="1" applyNumberFormat="1" applyFont="1" applyFill="1" applyBorder="1" applyAlignment="1">
      <alignment horizontal="center" vertical="center"/>
    </xf>
    <xf numFmtId="44" fontId="9" fillId="8" borderId="18" xfId="0" applyNumberFormat="1" applyFont="1" applyFill="1" applyBorder="1" applyAlignment="1">
      <alignment horizontal="center" vertical="center" wrapText="1"/>
    </xf>
    <xf numFmtId="44" fontId="9" fillId="8" borderId="1" xfId="1" applyNumberFormat="1" applyFont="1" applyFill="1" applyBorder="1" applyAlignment="1">
      <alignment horizontal="center" vertical="center" wrapText="1"/>
    </xf>
    <xf numFmtId="44" fontId="9" fillId="8" borderId="9" xfId="0" applyNumberFormat="1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left" vertical="center" wrapText="1"/>
    </xf>
    <xf numFmtId="0" fontId="4" fillId="5" borderId="22" xfId="0" applyFont="1" applyFill="1" applyBorder="1" applyAlignment="1">
      <alignment horizontal="left" vertical="center" wrapText="1"/>
    </xf>
    <xf numFmtId="0" fontId="4" fillId="5" borderId="7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left" vertical="center" wrapText="1"/>
    </xf>
    <xf numFmtId="44" fontId="9" fillId="0" borderId="1" xfId="1" applyNumberFormat="1" applyFont="1" applyFill="1" applyBorder="1" applyAlignment="1">
      <alignment horizontal="center" vertical="center" wrapText="1"/>
    </xf>
    <xf numFmtId="49" fontId="9" fillId="0" borderId="2" xfId="0" applyNumberFormat="1" applyFont="1" applyFill="1" applyBorder="1" applyAlignment="1">
      <alignment horizontal="center" vertical="center"/>
    </xf>
    <xf numFmtId="49" fontId="9" fillId="0" borderId="3" xfId="0" applyNumberFormat="1" applyFont="1" applyFill="1" applyBorder="1" applyAlignment="1">
      <alignment horizontal="center" vertical="center"/>
    </xf>
    <xf numFmtId="49" fontId="9" fillId="0" borderId="4" xfId="0" applyNumberFormat="1" applyFont="1" applyFill="1" applyBorder="1" applyAlignment="1">
      <alignment horizontal="center" vertical="center"/>
    </xf>
    <xf numFmtId="44" fontId="9" fillId="0" borderId="24" xfId="1" applyNumberFormat="1" applyFont="1" applyFill="1" applyBorder="1" applyAlignment="1">
      <alignment horizontal="center" vertical="center"/>
    </xf>
    <xf numFmtId="44" fontId="9" fillId="0" borderId="25" xfId="1" applyNumberFormat="1" applyFont="1" applyFill="1" applyBorder="1" applyAlignment="1">
      <alignment horizontal="center" vertical="center"/>
    </xf>
    <xf numFmtId="0" fontId="9" fillId="9" borderId="26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 wrapText="1"/>
    </xf>
    <xf numFmtId="44" fontId="9" fillId="9" borderId="3" xfId="1" applyNumberFormat="1" applyFont="1" applyFill="1" applyBorder="1" applyAlignment="1">
      <alignment horizontal="center" vertical="center"/>
    </xf>
    <xf numFmtId="44" fontId="9" fillId="9" borderId="27" xfId="1" applyNumberFormat="1" applyFont="1" applyFill="1" applyBorder="1" applyAlignment="1">
      <alignment horizontal="center" vertical="center" wrapText="1"/>
    </xf>
    <xf numFmtId="0" fontId="9" fillId="9" borderId="28" xfId="0" applyFont="1" applyFill="1" applyBorder="1" applyAlignment="1">
      <alignment horizontal="center" vertical="center"/>
    </xf>
    <xf numFmtId="44" fontId="9" fillId="0" borderId="9" xfId="1" applyNumberFormat="1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44" fontId="1" fillId="3" borderId="1" xfId="1" applyNumberFormat="1" applyFont="1" applyFill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44" fontId="1" fillId="3" borderId="29" xfId="1" applyNumberFormat="1" applyFont="1" applyFill="1" applyBorder="1" applyAlignment="1">
      <alignment horizontal="center" vertical="center"/>
    </xf>
    <xf numFmtId="44" fontId="1" fillId="3" borderId="3" xfId="1" applyNumberFormat="1" applyFont="1" applyFill="1" applyBorder="1" applyAlignment="1">
      <alignment horizontal="center" vertical="center"/>
    </xf>
    <xf numFmtId="44" fontId="1" fillId="3" borderId="30" xfId="1" applyNumberFormat="1" applyFont="1" applyFill="1" applyBorder="1" applyAlignment="1">
      <alignment horizontal="center" vertical="center"/>
    </xf>
  </cellXfs>
  <cellStyles count="3">
    <cellStyle name="Moneda" xfId="1" builtinId="4"/>
    <cellStyle name="Moned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36</xdr:rowOff>
    </xdr:from>
    <xdr:to>
      <xdr:col>8</xdr:col>
      <xdr:colOff>1199460</xdr:colOff>
      <xdr:row>0</xdr:row>
      <xdr:rowOff>870533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BFEE616-04D7-4FE1-AD4E-A4A9A15C8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"/>
          <a:ext cx="13140000" cy="8704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102120</xdr:colOff>
      <xdr:row>0</xdr:row>
      <xdr:rowOff>1104227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BFEE616-04D7-4FE1-AD4E-A4A9A15C8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668000" cy="1104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9"/>
  <sheetViews>
    <sheetView tabSelected="1" topLeftCell="A17" workbookViewId="0">
      <pane xSplit="1" topLeftCell="C1" activePane="topRight" state="frozen"/>
      <selection pane="topRight" activeCell="H32" sqref="H32"/>
    </sheetView>
  </sheetViews>
  <sheetFormatPr baseColWidth="10" defaultRowHeight="14.4" x14ac:dyDescent="0.3"/>
  <cols>
    <col min="1" max="1" width="25.88671875" bestFit="1" customWidth="1"/>
    <col min="2" max="2" width="22.44140625" bestFit="1" customWidth="1"/>
    <col min="3" max="3" width="16.5546875" bestFit="1" customWidth="1"/>
    <col min="4" max="4" width="11.44140625" customWidth="1"/>
    <col min="5" max="5" width="26.88671875" bestFit="1" customWidth="1"/>
    <col min="6" max="6" width="34.88671875" bestFit="1" customWidth="1"/>
    <col min="7" max="7" width="17" bestFit="1" customWidth="1"/>
    <col min="8" max="8" width="19" style="1" bestFit="1" customWidth="1"/>
    <col min="9" max="9" width="19" style="1" customWidth="1"/>
    <col min="10" max="10" width="17.33203125" bestFit="1" customWidth="1"/>
  </cols>
  <sheetData>
    <row r="1" spans="1:10" ht="79.95" customHeight="1" thickBot="1" x14ac:dyDescent="0.35"/>
    <row r="2" spans="1:10" ht="30" customHeight="1" thickBot="1" x14ac:dyDescent="0.35">
      <c r="A2" s="66" t="s">
        <v>108</v>
      </c>
      <c r="B2" s="67"/>
      <c r="C2" s="67"/>
      <c r="D2" s="67"/>
      <c r="E2" s="67"/>
      <c r="F2" s="67"/>
      <c r="G2" s="67"/>
      <c r="H2" s="67"/>
      <c r="I2" s="67"/>
      <c r="J2" s="67"/>
    </row>
    <row r="3" spans="1:10" s="2" customFormat="1" ht="25.05" customHeight="1" thickBot="1" x14ac:dyDescent="0.35">
      <c r="A3" s="3" t="s">
        <v>17</v>
      </c>
      <c r="B3" s="3" t="s">
        <v>18</v>
      </c>
      <c r="C3" s="3" t="s">
        <v>0</v>
      </c>
      <c r="D3" s="3" t="s">
        <v>13</v>
      </c>
      <c r="E3" s="4" t="s">
        <v>19</v>
      </c>
      <c r="F3" s="3" t="s">
        <v>14</v>
      </c>
      <c r="G3" s="3" t="s">
        <v>20</v>
      </c>
      <c r="H3" s="5" t="s">
        <v>16</v>
      </c>
      <c r="I3" s="5" t="s">
        <v>107</v>
      </c>
      <c r="J3" s="3" t="s">
        <v>15</v>
      </c>
    </row>
    <row r="4" spans="1:10" s="6" customFormat="1" ht="28.8" customHeight="1" x14ac:dyDescent="0.3">
      <c r="A4" s="16" t="s">
        <v>23</v>
      </c>
      <c r="B4" s="17" t="s">
        <v>33</v>
      </c>
      <c r="C4" s="17" t="s">
        <v>38</v>
      </c>
      <c r="D4" s="17">
        <v>2024</v>
      </c>
      <c r="E4" s="17" t="s">
        <v>28</v>
      </c>
      <c r="F4" s="18" t="s">
        <v>106</v>
      </c>
      <c r="G4" s="18" t="s">
        <v>21</v>
      </c>
      <c r="H4" s="19">
        <v>34650000</v>
      </c>
      <c r="I4" s="19">
        <v>176410</v>
      </c>
      <c r="J4" s="20" t="s">
        <v>62</v>
      </c>
    </row>
    <row r="5" spans="1:10" s="6" customFormat="1" ht="28.8" customHeight="1" x14ac:dyDescent="0.3">
      <c r="A5" s="21" t="s">
        <v>34</v>
      </c>
      <c r="B5" s="22" t="s">
        <v>35</v>
      </c>
      <c r="C5" s="22" t="s">
        <v>39</v>
      </c>
      <c r="D5" s="22">
        <v>2023</v>
      </c>
      <c r="E5" s="22" t="s">
        <v>28</v>
      </c>
      <c r="F5" s="23" t="s">
        <v>106</v>
      </c>
      <c r="G5" s="23" t="s">
        <v>21</v>
      </c>
      <c r="H5" s="24">
        <v>96420496</v>
      </c>
      <c r="I5" s="56">
        <v>515988</v>
      </c>
      <c r="J5" s="25" t="s">
        <v>62</v>
      </c>
    </row>
    <row r="6" spans="1:10" s="6" customFormat="1" ht="28.8" customHeight="1" thickBot="1" x14ac:dyDescent="0.35">
      <c r="A6" s="26" t="s">
        <v>109</v>
      </c>
      <c r="B6" s="27" t="s">
        <v>61</v>
      </c>
      <c r="C6" s="27" t="s">
        <v>110</v>
      </c>
      <c r="D6" s="27">
        <v>2024</v>
      </c>
      <c r="E6" s="27" t="s">
        <v>28</v>
      </c>
      <c r="F6" s="55" t="s">
        <v>111</v>
      </c>
      <c r="G6" s="55" t="s">
        <v>21</v>
      </c>
      <c r="H6" s="28">
        <v>91789504</v>
      </c>
      <c r="I6" s="40">
        <v>536065.49</v>
      </c>
      <c r="J6" s="44" t="s">
        <v>62</v>
      </c>
    </row>
    <row r="7" spans="1:10" s="6" customFormat="1" ht="4.95" customHeight="1" thickBot="1" x14ac:dyDescent="0.35">
      <c r="A7" s="76"/>
      <c r="B7" s="77"/>
      <c r="C7" s="77"/>
      <c r="D7" s="77"/>
      <c r="E7" s="77"/>
      <c r="F7" s="78"/>
      <c r="G7" s="78"/>
      <c r="H7" s="79"/>
      <c r="I7" s="80"/>
      <c r="J7" s="81"/>
    </row>
    <row r="8" spans="1:10" s="10" customFormat="1" ht="30" customHeight="1" x14ac:dyDescent="0.3">
      <c r="A8" s="45" t="s">
        <v>112</v>
      </c>
      <c r="B8" s="46" t="s">
        <v>118</v>
      </c>
      <c r="C8" s="47" t="s">
        <v>113</v>
      </c>
      <c r="D8" s="47">
        <v>2011</v>
      </c>
      <c r="E8" s="17" t="s">
        <v>29</v>
      </c>
      <c r="F8" s="47" t="s">
        <v>121</v>
      </c>
      <c r="G8" s="47" t="s">
        <v>22</v>
      </c>
      <c r="H8" s="51">
        <v>12100000</v>
      </c>
      <c r="I8" s="88">
        <v>1493310.14</v>
      </c>
      <c r="J8" s="48" t="s">
        <v>64</v>
      </c>
    </row>
    <row r="9" spans="1:10" s="6" customFormat="1" ht="28.8" customHeight="1" x14ac:dyDescent="0.3">
      <c r="A9" s="21" t="s">
        <v>55</v>
      </c>
      <c r="B9" s="22" t="s">
        <v>54</v>
      </c>
      <c r="C9" s="22" t="s">
        <v>46</v>
      </c>
      <c r="D9" s="22">
        <v>2008</v>
      </c>
      <c r="E9" s="22" t="s">
        <v>29</v>
      </c>
      <c r="F9" s="22" t="s">
        <v>122</v>
      </c>
      <c r="G9" s="22" t="s">
        <v>22</v>
      </c>
      <c r="H9" s="24">
        <v>58925000</v>
      </c>
      <c r="I9" s="89"/>
      <c r="J9" s="25" t="s">
        <v>64</v>
      </c>
    </row>
    <row r="10" spans="1:10" s="6" customFormat="1" ht="28.8" customHeight="1" x14ac:dyDescent="0.3">
      <c r="A10" s="21" t="s">
        <v>57</v>
      </c>
      <c r="B10" s="22" t="s">
        <v>56</v>
      </c>
      <c r="C10" s="22" t="s">
        <v>47</v>
      </c>
      <c r="D10" s="22">
        <v>2019</v>
      </c>
      <c r="E10" s="22" t="s">
        <v>29</v>
      </c>
      <c r="F10" s="22" t="s">
        <v>122</v>
      </c>
      <c r="G10" s="22" t="s">
        <v>22</v>
      </c>
      <c r="H10" s="24">
        <v>9201100</v>
      </c>
      <c r="I10" s="89"/>
      <c r="J10" s="25" t="s">
        <v>64</v>
      </c>
    </row>
    <row r="11" spans="1:10" s="6" customFormat="1" ht="28.8" customHeight="1" x14ac:dyDescent="0.3">
      <c r="A11" s="21" t="s">
        <v>59</v>
      </c>
      <c r="B11" s="22" t="s">
        <v>56</v>
      </c>
      <c r="C11" s="22" t="s">
        <v>1</v>
      </c>
      <c r="D11" s="22">
        <v>2017</v>
      </c>
      <c r="E11" s="22" t="s">
        <v>29</v>
      </c>
      <c r="F11" s="22" t="s">
        <v>8</v>
      </c>
      <c r="G11" s="22" t="s">
        <v>22</v>
      </c>
      <c r="H11" s="24">
        <v>18138400</v>
      </c>
      <c r="I11" s="89"/>
      <c r="J11" s="25" t="s">
        <v>64</v>
      </c>
    </row>
    <row r="12" spans="1:10" s="6" customFormat="1" ht="28.8" customHeight="1" x14ac:dyDescent="0.3">
      <c r="A12" s="21" t="s">
        <v>58</v>
      </c>
      <c r="B12" s="22" t="s">
        <v>54</v>
      </c>
      <c r="C12" s="22" t="s">
        <v>48</v>
      </c>
      <c r="D12" s="22">
        <v>2006</v>
      </c>
      <c r="E12" s="22" t="s">
        <v>29</v>
      </c>
      <c r="F12" s="22" t="s">
        <v>122</v>
      </c>
      <c r="G12" s="22" t="s">
        <v>22</v>
      </c>
      <c r="H12" s="24">
        <v>53129000</v>
      </c>
      <c r="I12" s="89"/>
      <c r="J12" s="25" t="s">
        <v>64</v>
      </c>
    </row>
    <row r="13" spans="1:10" s="10" customFormat="1" ht="30" customHeight="1" x14ac:dyDescent="0.3">
      <c r="A13" s="83" t="s">
        <v>114</v>
      </c>
      <c r="B13" s="84" t="s">
        <v>119</v>
      </c>
      <c r="C13" s="85" t="s">
        <v>115</v>
      </c>
      <c r="D13" s="85">
        <v>2004</v>
      </c>
      <c r="E13" s="22" t="s">
        <v>29</v>
      </c>
      <c r="F13" s="85" t="s">
        <v>121</v>
      </c>
      <c r="G13" s="85" t="s">
        <v>22</v>
      </c>
      <c r="H13" s="24">
        <v>8350000</v>
      </c>
      <c r="I13" s="89"/>
      <c r="J13" s="87" t="s">
        <v>64</v>
      </c>
    </row>
    <row r="14" spans="1:10" ht="30" customHeight="1" x14ac:dyDescent="0.3">
      <c r="A14" s="83" t="s">
        <v>95</v>
      </c>
      <c r="B14" s="84" t="s">
        <v>117</v>
      </c>
      <c r="C14" s="85" t="s">
        <v>5</v>
      </c>
      <c r="D14" s="85">
        <v>2023</v>
      </c>
      <c r="E14" s="22" t="s">
        <v>29</v>
      </c>
      <c r="F14" s="85" t="s">
        <v>123</v>
      </c>
      <c r="G14" s="85" t="s">
        <v>22</v>
      </c>
      <c r="H14" s="24">
        <v>40000000</v>
      </c>
      <c r="I14" s="89"/>
      <c r="J14" s="87" t="s">
        <v>64</v>
      </c>
    </row>
    <row r="15" spans="1:10" s="6" customFormat="1" ht="28.8" customHeight="1" x14ac:dyDescent="0.3">
      <c r="A15" s="21" t="s">
        <v>23</v>
      </c>
      <c r="B15" s="22" t="s">
        <v>33</v>
      </c>
      <c r="C15" s="22" t="s">
        <v>40</v>
      </c>
      <c r="D15" s="22">
        <v>2015</v>
      </c>
      <c r="E15" s="22" t="s">
        <v>29</v>
      </c>
      <c r="F15" s="23" t="s">
        <v>124</v>
      </c>
      <c r="G15" s="23" t="s">
        <v>22</v>
      </c>
      <c r="H15" s="24">
        <v>20000000</v>
      </c>
      <c r="I15" s="89"/>
      <c r="J15" s="25" t="s">
        <v>64</v>
      </c>
    </row>
    <row r="16" spans="1:10" s="10" customFormat="1" ht="30" customHeight="1" x14ac:dyDescent="0.3">
      <c r="A16" s="83" t="s">
        <v>98</v>
      </c>
      <c r="B16" s="84" t="s">
        <v>116</v>
      </c>
      <c r="C16" s="85" t="s">
        <v>53</v>
      </c>
      <c r="D16" s="85">
        <v>2015</v>
      </c>
      <c r="E16" s="22" t="s">
        <v>29</v>
      </c>
      <c r="F16" s="23" t="s">
        <v>124</v>
      </c>
      <c r="G16" s="85" t="s">
        <v>22</v>
      </c>
      <c r="H16" s="86">
        <v>13900000</v>
      </c>
      <c r="I16" s="89"/>
      <c r="J16" s="87" t="s">
        <v>64</v>
      </c>
    </row>
    <row r="17" spans="1:10" s="6" customFormat="1" ht="28.8" customHeight="1" x14ac:dyDescent="0.3">
      <c r="A17" s="21" t="s">
        <v>36</v>
      </c>
      <c r="B17" s="22" t="s">
        <v>33</v>
      </c>
      <c r="C17" s="22" t="s">
        <v>41</v>
      </c>
      <c r="D17" s="22">
        <v>2014</v>
      </c>
      <c r="E17" s="22" t="s">
        <v>29</v>
      </c>
      <c r="F17" s="23" t="s">
        <v>124</v>
      </c>
      <c r="G17" s="23" t="s">
        <v>22</v>
      </c>
      <c r="H17" s="24">
        <v>24100000</v>
      </c>
      <c r="I17" s="89"/>
      <c r="J17" s="25" t="s">
        <v>64</v>
      </c>
    </row>
    <row r="18" spans="1:10" s="6" customFormat="1" ht="28.8" customHeight="1" x14ac:dyDescent="0.3">
      <c r="A18" s="21" t="s">
        <v>37</v>
      </c>
      <c r="B18" s="22" t="s">
        <v>33</v>
      </c>
      <c r="C18" s="22" t="s">
        <v>42</v>
      </c>
      <c r="D18" s="22">
        <v>2012</v>
      </c>
      <c r="E18" s="22" t="s">
        <v>29</v>
      </c>
      <c r="F18" s="85" t="s">
        <v>121</v>
      </c>
      <c r="G18" s="23" t="s">
        <v>22</v>
      </c>
      <c r="H18" s="24">
        <v>22700000</v>
      </c>
      <c r="I18" s="89"/>
      <c r="J18" s="25" t="s">
        <v>64</v>
      </c>
    </row>
    <row r="19" spans="1:10" s="6" customFormat="1" ht="28.8" customHeight="1" thickBot="1" x14ac:dyDescent="0.35">
      <c r="A19" s="26" t="s">
        <v>37</v>
      </c>
      <c r="B19" s="27" t="s">
        <v>33</v>
      </c>
      <c r="C19" s="27" t="s">
        <v>120</v>
      </c>
      <c r="D19" s="27">
        <v>2011</v>
      </c>
      <c r="E19" s="27" t="s">
        <v>29</v>
      </c>
      <c r="F19" s="85" t="s">
        <v>121</v>
      </c>
      <c r="G19" s="55" t="s">
        <v>22</v>
      </c>
      <c r="H19" s="28">
        <v>22800000</v>
      </c>
      <c r="I19" s="90"/>
      <c r="J19" s="44" t="s">
        <v>64</v>
      </c>
    </row>
    <row r="20" spans="1:10" s="6" customFormat="1" ht="4.95" customHeight="1" thickBot="1" x14ac:dyDescent="0.35">
      <c r="A20" s="76"/>
      <c r="B20" s="77"/>
      <c r="C20" s="77"/>
      <c r="D20" s="77"/>
      <c r="E20" s="77"/>
      <c r="F20" s="78"/>
      <c r="G20" s="78"/>
      <c r="H20" s="79"/>
      <c r="I20" s="80"/>
      <c r="J20" s="81"/>
    </row>
    <row r="21" spans="1:10" s="6" customFormat="1" ht="28.8" customHeight="1" x14ac:dyDescent="0.3">
      <c r="A21" s="16" t="s">
        <v>37</v>
      </c>
      <c r="B21" s="17" t="s">
        <v>33</v>
      </c>
      <c r="C21" s="17" t="s">
        <v>43</v>
      </c>
      <c r="D21" s="17">
        <v>2011</v>
      </c>
      <c r="E21" s="17" t="s">
        <v>29</v>
      </c>
      <c r="F21" s="18" t="s">
        <v>125</v>
      </c>
      <c r="G21" s="18" t="s">
        <v>21</v>
      </c>
      <c r="H21" s="82">
        <v>21840000</v>
      </c>
      <c r="I21" s="82">
        <v>472724</v>
      </c>
      <c r="J21" s="20" t="s">
        <v>63</v>
      </c>
    </row>
    <row r="22" spans="1:10" s="6" customFormat="1" ht="28.8" customHeight="1" x14ac:dyDescent="0.3">
      <c r="A22" s="21" t="s">
        <v>23</v>
      </c>
      <c r="B22" s="22" t="s">
        <v>33</v>
      </c>
      <c r="C22" s="22" t="s">
        <v>44</v>
      </c>
      <c r="D22" s="22">
        <v>2009</v>
      </c>
      <c r="E22" s="22" t="s">
        <v>29</v>
      </c>
      <c r="F22" s="23" t="s">
        <v>125</v>
      </c>
      <c r="G22" s="23" t="s">
        <v>21</v>
      </c>
      <c r="H22" s="24">
        <v>13892000</v>
      </c>
      <c r="I22" s="24">
        <v>384720</v>
      </c>
      <c r="J22" s="25" t="s">
        <v>64</v>
      </c>
    </row>
    <row r="23" spans="1:10" s="6" customFormat="1" ht="28.8" customHeight="1" thickBot="1" x14ac:dyDescent="0.35">
      <c r="A23" s="26" t="s">
        <v>23</v>
      </c>
      <c r="B23" s="27" t="s">
        <v>33</v>
      </c>
      <c r="C23" s="27" t="s">
        <v>45</v>
      </c>
      <c r="D23" s="27">
        <v>2008</v>
      </c>
      <c r="E23" s="27" t="s">
        <v>29</v>
      </c>
      <c r="F23" s="55" t="s">
        <v>125</v>
      </c>
      <c r="G23" s="55" t="s">
        <v>21</v>
      </c>
      <c r="H23" s="28">
        <v>13172000</v>
      </c>
      <c r="I23" s="28">
        <v>363369</v>
      </c>
      <c r="J23" s="44" t="s">
        <v>64</v>
      </c>
    </row>
    <row r="24" spans="1:10" s="6" customFormat="1" ht="4.95" customHeight="1" x14ac:dyDescent="0.3">
      <c r="A24" s="76"/>
      <c r="B24" s="77"/>
      <c r="C24" s="77"/>
      <c r="D24" s="77"/>
      <c r="E24" s="77"/>
      <c r="F24" s="78"/>
      <c r="G24" s="78"/>
      <c r="H24" s="79"/>
      <c r="I24" s="80"/>
      <c r="J24" s="81"/>
    </row>
    <row r="25" spans="1:10" s="6" customFormat="1" ht="28.8" customHeight="1" x14ac:dyDescent="0.3">
      <c r="A25" s="21" t="s">
        <v>60</v>
      </c>
      <c r="B25" s="22" t="s">
        <v>61</v>
      </c>
      <c r="C25" s="22" t="s">
        <v>49</v>
      </c>
      <c r="D25" s="22">
        <v>1968</v>
      </c>
      <c r="E25" s="22" t="s">
        <v>30</v>
      </c>
      <c r="F25" s="22" t="s">
        <v>96</v>
      </c>
      <c r="G25" s="22" t="s">
        <v>21</v>
      </c>
      <c r="H25" s="24">
        <v>175000</v>
      </c>
      <c r="I25" s="74">
        <v>86367</v>
      </c>
      <c r="J25" s="25" t="s">
        <v>64</v>
      </c>
    </row>
    <row r="26" spans="1:10" s="6" customFormat="1" ht="28.8" customHeight="1" x14ac:dyDescent="0.3">
      <c r="A26" s="21" t="s">
        <v>24</v>
      </c>
      <c r="B26" s="22" t="s">
        <v>24</v>
      </c>
      <c r="C26" s="22" t="s">
        <v>50</v>
      </c>
      <c r="D26" s="22">
        <v>2010</v>
      </c>
      <c r="E26" s="22" t="s">
        <v>30</v>
      </c>
      <c r="F26" s="22" t="s">
        <v>96</v>
      </c>
      <c r="G26" s="22" t="s">
        <v>21</v>
      </c>
      <c r="H26" s="24">
        <v>80000</v>
      </c>
      <c r="I26" s="74">
        <v>16311</v>
      </c>
      <c r="J26" s="25" t="s">
        <v>64</v>
      </c>
    </row>
    <row r="27" spans="1:10" s="6" customFormat="1" ht="28.8" customHeight="1" x14ac:dyDescent="0.3">
      <c r="A27" s="21" t="s">
        <v>24</v>
      </c>
      <c r="B27" s="22" t="s">
        <v>24</v>
      </c>
      <c r="C27" s="22" t="s">
        <v>51</v>
      </c>
      <c r="D27" s="22">
        <v>2010</v>
      </c>
      <c r="E27" s="22" t="s">
        <v>30</v>
      </c>
      <c r="F27" s="22" t="s">
        <v>96</v>
      </c>
      <c r="G27" s="22" t="s">
        <v>21</v>
      </c>
      <c r="H27" s="24">
        <v>80000</v>
      </c>
      <c r="I27" s="74">
        <v>16311</v>
      </c>
      <c r="J27" s="25" t="s">
        <v>64</v>
      </c>
    </row>
    <row r="28" spans="1:10" s="6" customFormat="1" ht="28.8" customHeight="1" x14ac:dyDescent="0.3">
      <c r="A28" s="21" t="s">
        <v>24</v>
      </c>
      <c r="B28" s="22" t="s">
        <v>24</v>
      </c>
      <c r="C28" s="22" t="s">
        <v>2</v>
      </c>
      <c r="D28" s="22">
        <v>2011</v>
      </c>
      <c r="E28" s="22" t="s">
        <v>30</v>
      </c>
      <c r="F28" s="22" t="s">
        <v>96</v>
      </c>
      <c r="G28" s="22" t="s">
        <v>21</v>
      </c>
      <c r="H28" s="24">
        <v>80000</v>
      </c>
      <c r="I28" s="74">
        <v>15658.68</v>
      </c>
      <c r="J28" s="25" t="s">
        <v>64</v>
      </c>
    </row>
    <row r="29" spans="1:10" s="6" customFormat="1" ht="28.8" customHeight="1" x14ac:dyDescent="0.3">
      <c r="A29" s="21" t="s">
        <v>25</v>
      </c>
      <c r="B29" s="22" t="s">
        <v>25</v>
      </c>
      <c r="C29" s="22" t="s">
        <v>3</v>
      </c>
      <c r="D29" s="22">
        <v>2013</v>
      </c>
      <c r="E29" s="22" t="s">
        <v>30</v>
      </c>
      <c r="F29" s="22" t="s">
        <v>96</v>
      </c>
      <c r="G29" s="22" t="s">
        <v>21</v>
      </c>
      <c r="H29" s="24">
        <v>80000</v>
      </c>
      <c r="I29" s="74">
        <v>14971</v>
      </c>
      <c r="J29" s="25" t="s">
        <v>64</v>
      </c>
    </row>
    <row r="30" spans="1:10" s="6" customFormat="1" ht="28.8" customHeight="1" x14ac:dyDescent="0.3">
      <c r="A30" s="21" t="s">
        <v>27</v>
      </c>
      <c r="B30" s="22" t="s">
        <v>27</v>
      </c>
      <c r="C30" s="22" t="s">
        <v>52</v>
      </c>
      <c r="D30" s="22">
        <v>2020</v>
      </c>
      <c r="E30" s="22" t="s">
        <v>30</v>
      </c>
      <c r="F30" s="22" t="s">
        <v>32</v>
      </c>
      <c r="G30" s="22" t="s">
        <v>21</v>
      </c>
      <c r="H30" s="24">
        <v>80000</v>
      </c>
      <c r="I30" s="74">
        <v>15648</v>
      </c>
      <c r="J30" s="25" t="s">
        <v>64</v>
      </c>
    </row>
    <row r="31" spans="1:10" s="6" customFormat="1" ht="28.8" customHeight="1" thickBot="1" x14ac:dyDescent="0.35">
      <c r="A31" s="26" t="s">
        <v>26</v>
      </c>
      <c r="B31" s="27" t="s">
        <v>26</v>
      </c>
      <c r="C31" s="27" t="s">
        <v>4</v>
      </c>
      <c r="D31" s="27"/>
      <c r="E31" s="27" t="s">
        <v>31</v>
      </c>
      <c r="F31" s="55" t="s">
        <v>97</v>
      </c>
      <c r="G31" s="55" t="s">
        <v>21</v>
      </c>
      <c r="H31" s="28">
        <v>23829740</v>
      </c>
      <c r="I31" s="75">
        <v>42058.04</v>
      </c>
      <c r="J31" s="44" t="s">
        <v>64</v>
      </c>
    </row>
    <row r="32" spans="1:10" s="6" customFormat="1" ht="28.8" customHeight="1" thickBot="1" x14ac:dyDescent="0.35">
      <c r="A32" s="42"/>
      <c r="B32" s="42"/>
      <c r="C32" s="42"/>
      <c r="D32" s="42"/>
      <c r="E32" s="42"/>
      <c r="F32" s="42"/>
      <c r="G32" s="42"/>
      <c r="H32" s="43"/>
      <c r="I32" s="43"/>
      <c r="J32" s="42"/>
    </row>
    <row r="33" spans="1:12" ht="30" customHeight="1" thickBot="1" x14ac:dyDescent="0.35">
      <c r="A33" s="66" t="s">
        <v>90</v>
      </c>
      <c r="B33" s="68"/>
      <c r="C33" s="68"/>
      <c r="D33" s="68"/>
      <c r="E33" s="68"/>
      <c r="F33" s="68"/>
      <c r="G33" s="68"/>
      <c r="H33" s="68"/>
      <c r="I33" s="68"/>
      <c r="J33" s="68"/>
      <c r="K33" s="10"/>
      <c r="L33" s="10"/>
    </row>
    <row r="34" spans="1:12" ht="28.8" customHeight="1" x14ac:dyDescent="0.3">
      <c r="A34" s="12" t="s">
        <v>6</v>
      </c>
      <c r="B34" s="69" t="s">
        <v>7</v>
      </c>
      <c r="C34" s="69"/>
      <c r="D34" s="69"/>
      <c r="E34" s="69"/>
      <c r="F34" s="69"/>
      <c r="G34" s="69"/>
      <c r="H34" s="69"/>
      <c r="I34" s="69"/>
      <c r="J34" s="69"/>
    </row>
    <row r="35" spans="1:12" ht="28.8" customHeight="1" x14ac:dyDescent="0.3">
      <c r="A35" s="13" t="s">
        <v>8</v>
      </c>
      <c r="B35" s="63" t="s">
        <v>85</v>
      </c>
      <c r="C35" s="63"/>
      <c r="D35" s="63"/>
      <c r="E35" s="63"/>
      <c r="F35" s="63"/>
      <c r="G35" s="63"/>
      <c r="H35" s="63"/>
      <c r="I35" s="63"/>
      <c r="J35" s="63"/>
    </row>
    <row r="36" spans="1:12" ht="28.8" customHeight="1" x14ac:dyDescent="0.3">
      <c r="A36" s="13" t="s">
        <v>9</v>
      </c>
      <c r="B36" s="63" t="s">
        <v>86</v>
      </c>
      <c r="C36" s="63"/>
      <c r="D36" s="63"/>
      <c r="E36" s="63"/>
      <c r="F36" s="63"/>
      <c r="G36" s="63"/>
      <c r="H36" s="63"/>
      <c r="I36" s="63"/>
      <c r="J36" s="63"/>
    </row>
    <row r="37" spans="1:12" ht="28.8" customHeight="1" x14ac:dyDescent="0.3">
      <c r="A37" s="13" t="s">
        <v>10</v>
      </c>
      <c r="B37" s="63" t="s">
        <v>87</v>
      </c>
      <c r="C37" s="63"/>
      <c r="D37" s="63"/>
      <c r="E37" s="63"/>
      <c r="F37" s="63"/>
      <c r="G37" s="63"/>
      <c r="H37" s="63"/>
      <c r="I37" s="63"/>
      <c r="J37" s="63"/>
    </row>
    <row r="38" spans="1:12" ht="28.8" customHeight="1" thickBot="1" x14ac:dyDescent="0.35">
      <c r="A38" s="14" t="s">
        <v>11</v>
      </c>
      <c r="B38" s="64" t="s">
        <v>88</v>
      </c>
      <c r="C38" s="64"/>
      <c r="D38" s="64"/>
      <c r="E38" s="64"/>
      <c r="F38" s="64"/>
      <c r="G38" s="64"/>
      <c r="H38" s="64"/>
      <c r="I38" s="64"/>
      <c r="J38" s="64"/>
    </row>
    <row r="39" spans="1:12" ht="28.8" customHeight="1" thickBot="1" x14ac:dyDescent="0.35">
      <c r="A39" s="15" t="s">
        <v>12</v>
      </c>
      <c r="B39" s="65" t="s">
        <v>89</v>
      </c>
      <c r="C39" s="65"/>
      <c r="D39" s="65"/>
      <c r="E39" s="65"/>
      <c r="F39" s="65"/>
      <c r="G39" s="65"/>
      <c r="H39" s="65"/>
      <c r="I39" s="65"/>
      <c r="J39" s="65"/>
    </row>
  </sheetData>
  <mergeCells count="9">
    <mergeCell ref="B37:J37"/>
    <mergeCell ref="B38:J38"/>
    <mergeCell ref="B39:J39"/>
    <mergeCell ref="A2:J2"/>
    <mergeCell ref="A33:J33"/>
    <mergeCell ref="B34:J34"/>
    <mergeCell ref="B35:J35"/>
    <mergeCell ref="B36:J36"/>
    <mergeCell ref="I8:I19"/>
  </mergeCells>
  <printOptions horizontalCentered="1"/>
  <pageMargins left="0.51181102362204722" right="0.51181102362204722" top="0.55118110236220474" bottom="0.55118110236220474" header="0.31496062992125984" footer="0.31496062992125984"/>
  <pageSetup paperSize="9" scale="4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0"/>
  <sheetViews>
    <sheetView workbookViewId="0">
      <pane ySplit="3" topLeftCell="A4" activePane="bottomLeft" state="frozen"/>
      <selection pane="bottomLeft" activeCell="A4" sqref="A4:D5"/>
    </sheetView>
  </sheetViews>
  <sheetFormatPr baseColWidth="10" defaultRowHeight="14.4" x14ac:dyDescent="0.3"/>
  <cols>
    <col min="1" max="1" width="25.88671875" bestFit="1" customWidth="1"/>
    <col min="2" max="2" width="16.5546875" bestFit="1" customWidth="1"/>
    <col min="3" max="3" width="26.88671875" bestFit="1" customWidth="1"/>
    <col min="4" max="4" width="31.88671875" style="8" bestFit="1" customWidth="1"/>
    <col min="5" max="5" width="15.33203125" style="10" bestFit="1" customWidth="1"/>
    <col min="6" max="6" width="15.6640625" style="10" bestFit="1" customWidth="1"/>
    <col min="7" max="7" width="15.33203125" bestFit="1" customWidth="1"/>
    <col min="8" max="16" width="15.6640625" bestFit="1" customWidth="1"/>
  </cols>
  <sheetData>
    <row r="1" spans="1:16" ht="100.05" customHeight="1" thickBot="1" x14ac:dyDescent="0.35"/>
    <row r="2" spans="1:16" ht="30.6" customHeight="1" thickBot="1" x14ac:dyDescent="0.35">
      <c r="A2" s="66" t="s">
        <v>65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</row>
    <row r="3" spans="1:16" s="2" customFormat="1" ht="25.05" customHeight="1" thickBot="1" x14ac:dyDescent="0.35">
      <c r="A3" s="3" t="s">
        <v>17</v>
      </c>
      <c r="B3" s="3" t="s">
        <v>0</v>
      </c>
      <c r="C3" s="4" t="s">
        <v>19</v>
      </c>
      <c r="D3" s="9" t="s">
        <v>77</v>
      </c>
      <c r="E3" s="4" t="s">
        <v>91</v>
      </c>
      <c r="F3" s="4" t="s">
        <v>92</v>
      </c>
      <c r="G3" s="4" t="s">
        <v>66</v>
      </c>
      <c r="H3" s="4" t="s">
        <v>67</v>
      </c>
      <c r="I3" s="4" t="s">
        <v>68</v>
      </c>
      <c r="J3" s="4" t="s">
        <v>69</v>
      </c>
      <c r="K3" s="4" t="s">
        <v>70</v>
      </c>
      <c r="L3" s="4" t="s">
        <v>71</v>
      </c>
      <c r="M3" s="4" t="s">
        <v>72</v>
      </c>
      <c r="N3" s="4" t="s">
        <v>73</v>
      </c>
      <c r="O3" s="4" t="s">
        <v>74</v>
      </c>
      <c r="P3" s="4" t="s">
        <v>75</v>
      </c>
    </row>
    <row r="4" spans="1:16" s="6" customFormat="1" ht="30" customHeight="1" x14ac:dyDescent="0.3">
      <c r="A4" s="16" t="s">
        <v>23</v>
      </c>
      <c r="B4" s="17" t="s">
        <v>38</v>
      </c>
      <c r="C4" s="17" t="s">
        <v>28</v>
      </c>
      <c r="D4" s="29" t="s">
        <v>62</v>
      </c>
      <c r="E4" s="30">
        <v>81364.789999999994</v>
      </c>
      <c r="F4" s="30">
        <v>81364.789999999994</v>
      </c>
      <c r="G4" s="30">
        <v>81364.789999999994</v>
      </c>
      <c r="H4" s="31">
        <v>131092</v>
      </c>
      <c r="I4" s="31">
        <v>131092</v>
      </c>
      <c r="J4" s="31">
        <v>131092</v>
      </c>
      <c r="K4" s="31">
        <v>131090.85999999999</v>
      </c>
      <c r="L4" s="31"/>
      <c r="M4" s="31"/>
      <c r="N4" s="31"/>
      <c r="O4" s="31"/>
      <c r="P4" s="31"/>
    </row>
    <row r="5" spans="1:16" s="6" customFormat="1" ht="30" customHeight="1" x14ac:dyDescent="0.3">
      <c r="A5" s="21" t="s">
        <v>34</v>
      </c>
      <c r="B5" s="22" t="s">
        <v>39</v>
      </c>
      <c r="C5" s="22" t="s">
        <v>28</v>
      </c>
      <c r="D5" s="32" t="s">
        <v>62</v>
      </c>
      <c r="E5" s="33">
        <v>341459</v>
      </c>
      <c r="F5" s="33">
        <v>341459</v>
      </c>
      <c r="G5" s="33">
        <v>341459</v>
      </c>
      <c r="H5" s="33">
        <v>341459</v>
      </c>
      <c r="I5" s="34">
        <v>341460.84</v>
      </c>
      <c r="J5" s="34"/>
      <c r="K5" s="34"/>
      <c r="L5" s="34"/>
      <c r="M5" s="34"/>
      <c r="N5" s="34"/>
      <c r="O5" s="34"/>
      <c r="P5" s="34"/>
    </row>
    <row r="6" spans="1:16" s="6" customFormat="1" ht="30" customHeight="1" x14ac:dyDescent="0.3">
      <c r="A6" s="21" t="s">
        <v>23</v>
      </c>
      <c r="B6" s="22" t="s">
        <v>40</v>
      </c>
      <c r="C6" s="22" t="s">
        <v>29</v>
      </c>
      <c r="D6" s="32" t="s">
        <v>78</v>
      </c>
      <c r="E6" s="59">
        <v>153500</v>
      </c>
      <c r="F6" s="61">
        <v>191260</v>
      </c>
      <c r="G6" s="59">
        <v>242295</v>
      </c>
      <c r="H6" s="61">
        <v>300166</v>
      </c>
      <c r="I6" s="61">
        <v>282943</v>
      </c>
      <c r="J6" s="61">
        <v>298260</v>
      </c>
      <c r="K6" s="58">
        <v>321098</v>
      </c>
      <c r="L6" s="61">
        <v>250669</v>
      </c>
      <c r="M6" s="36"/>
      <c r="N6" s="36"/>
      <c r="O6" s="36"/>
      <c r="P6" s="36"/>
    </row>
    <row r="7" spans="1:16" s="6" customFormat="1" ht="30" customHeight="1" x14ac:dyDescent="0.3">
      <c r="A7" s="21" t="s">
        <v>36</v>
      </c>
      <c r="B7" s="22" t="s">
        <v>41</v>
      </c>
      <c r="C7" s="22" t="s">
        <v>29</v>
      </c>
      <c r="D7" s="32" t="s">
        <v>79</v>
      </c>
      <c r="E7" s="59">
        <v>174616</v>
      </c>
      <c r="F7" s="61">
        <v>223123</v>
      </c>
      <c r="G7" s="59">
        <v>286863</v>
      </c>
      <c r="H7" s="61">
        <v>358578</v>
      </c>
      <c r="I7" s="61">
        <v>321679</v>
      </c>
      <c r="J7" s="61">
        <v>334321</v>
      </c>
      <c r="K7" s="58">
        <v>374882</v>
      </c>
      <c r="L7" s="61">
        <v>288071</v>
      </c>
      <c r="M7" s="36"/>
      <c r="N7" s="36"/>
      <c r="O7" s="36"/>
      <c r="P7" s="36"/>
    </row>
    <row r="8" spans="1:16" s="6" customFormat="1" ht="30" customHeight="1" x14ac:dyDescent="0.3">
      <c r="A8" s="21" t="s">
        <v>37</v>
      </c>
      <c r="B8" s="22" t="s">
        <v>42</v>
      </c>
      <c r="C8" s="22" t="s">
        <v>29</v>
      </c>
      <c r="D8" s="32" t="s">
        <v>80</v>
      </c>
      <c r="E8" s="59">
        <v>56342</v>
      </c>
      <c r="F8" s="61">
        <v>72508</v>
      </c>
      <c r="G8" s="59">
        <v>88120</v>
      </c>
      <c r="H8" s="61">
        <v>110150</v>
      </c>
      <c r="I8" s="61">
        <v>108360</v>
      </c>
      <c r="J8" s="61">
        <v>104777</v>
      </c>
      <c r="K8" s="61">
        <v>117488</v>
      </c>
      <c r="L8" s="61">
        <v>80760</v>
      </c>
      <c r="M8" s="36"/>
      <c r="N8" s="36"/>
      <c r="O8" s="36"/>
      <c r="P8" s="36"/>
    </row>
    <row r="9" spans="1:16" s="6" customFormat="1" ht="30" customHeight="1" x14ac:dyDescent="0.3">
      <c r="A9" s="21" t="s">
        <v>37</v>
      </c>
      <c r="B9" s="22" t="s">
        <v>43</v>
      </c>
      <c r="C9" s="22" t="s">
        <v>29</v>
      </c>
      <c r="D9" s="32" t="s">
        <v>81</v>
      </c>
      <c r="E9" s="57">
        <v>150270</v>
      </c>
      <c r="F9" s="61">
        <v>196180</v>
      </c>
      <c r="G9" s="59">
        <v>236341</v>
      </c>
      <c r="H9" s="61">
        <v>295426</v>
      </c>
      <c r="I9" s="61">
        <v>268931</v>
      </c>
      <c r="J9" s="61">
        <v>282662</v>
      </c>
      <c r="K9" s="61">
        <v>320087</v>
      </c>
      <c r="L9" s="61">
        <v>360512</v>
      </c>
      <c r="M9" s="61">
        <v>385567</v>
      </c>
      <c r="N9" s="61">
        <v>435455</v>
      </c>
      <c r="O9" s="54">
        <v>452076</v>
      </c>
      <c r="P9" s="54">
        <v>472724</v>
      </c>
    </row>
    <row r="10" spans="1:16" s="6" customFormat="1" ht="30" customHeight="1" x14ac:dyDescent="0.3">
      <c r="A10" s="21" t="s">
        <v>23</v>
      </c>
      <c r="B10" s="22" t="s">
        <v>44</v>
      </c>
      <c r="C10" s="22" t="s">
        <v>29</v>
      </c>
      <c r="D10" s="32" t="s">
        <v>82</v>
      </c>
      <c r="E10" s="57">
        <v>114261</v>
      </c>
      <c r="F10" s="58">
        <v>150208</v>
      </c>
      <c r="G10" s="57">
        <v>191600</v>
      </c>
      <c r="H10" s="58">
        <v>239500</v>
      </c>
      <c r="I10" s="58">
        <v>214538</v>
      </c>
      <c r="J10" s="58">
        <v>231940</v>
      </c>
      <c r="K10" s="58">
        <v>257339</v>
      </c>
      <c r="L10" s="58">
        <v>290330</v>
      </c>
      <c r="M10" s="58">
        <v>302518</v>
      </c>
      <c r="N10" s="58">
        <v>338743</v>
      </c>
      <c r="O10" s="36">
        <v>358467</v>
      </c>
      <c r="P10" s="36">
        <v>375780</v>
      </c>
    </row>
    <row r="11" spans="1:16" s="6" customFormat="1" ht="30" customHeight="1" x14ac:dyDescent="0.3">
      <c r="A11" s="21" t="s">
        <v>23</v>
      </c>
      <c r="B11" s="22" t="s">
        <v>45</v>
      </c>
      <c r="C11" s="22" t="s">
        <v>29</v>
      </c>
      <c r="D11" s="32" t="s">
        <v>83</v>
      </c>
      <c r="E11" s="57">
        <v>114854</v>
      </c>
      <c r="F11" s="58">
        <v>144414</v>
      </c>
      <c r="G11" s="57">
        <v>185130</v>
      </c>
      <c r="H11" s="58">
        <v>231413</v>
      </c>
      <c r="I11" s="58">
        <v>207322</v>
      </c>
      <c r="J11" s="58">
        <v>220302</v>
      </c>
      <c r="K11" s="58">
        <v>244280</v>
      </c>
      <c r="L11" s="58">
        <v>276352</v>
      </c>
      <c r="M11" s="58">
        <v>288474</v>
      </c>
      <c r="N11" s="58">
        <v>326961</v>
      </c>
      <c r="O11" s="36">
        <v>346572</v>
      </c>
      <c r="P11" s="36">
        <v>363102</v>
      </c>
    </row>
    <row r="12" spans="1:16" s="6" customFormat="1" ht="30" customHeight="1" x14ac:dyDescent="0.3">
      <c r="A12" s="21" t="s">
        <v>55</v>
      </c>
      <c r="B12" s="22" t="s">
        <v>46</v>
      </c>
      <c r="C12" s="22" t="s">
        <v>29</v>
      </c>
      <c r="D12" s="71" t="s">
        <v>94</v>
      </c>
      <c r="E12" s="70">
        <v>404548</v>
      </c>
      <c r="F12" s="70">
        <v>404548</v>
      </c>
      <c r="G12" s="70">
        <v>404548</v>
      </c>
      <c r="H12" s="70">
        <v>404548</v>
      </c>
      <c r="I12" s="70">
        <v>0</v>
      </c>
      <c r="J12" s="70">
        <v>709026.4</v>
      </c>
      <c r="K12" s="70">
        <v>709026.4</v>
      </c>
      <c r="L12" s="70">
        <v>709026.4</v>
      </c>
      <c r="M12" s="70">
        <v>709026.4</v>
      </c>
      <c r="N12" s="70">
        <v>0</v>
      </c>
      <c r="O12" s="70"/>
      <c r="P12" s="70"/>
    </row>
    <row r="13" spans="1:16" s="6" customFormat="1" ht="30" customHeight="1" x14ac:dyDescent="0.3">
      <c r="A13" s="21" t="s">
        <v>57</v>
      </c>
      <c r="B13" s="22" t="s">
        <v>47</v>
      </c>
      <c r="C13" s="22" t="s">
        <v>29</v>
      </c>
      <c r="D13" s="72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</row>
    <row r="14" spans="1:16" s="6" customFormat="1" ht="30" customHeight="1" x14ac:dyDescent="0.3">
      <c r="A14" s="21" t="s">
        <v>58</v>
      </c>
      <c r="B14" s="22" t="s">
        <v>48</v>
      </c>
      <c r="C14" s="22" t="s">
        <v>29</v>
      </c>
      <c r="D14" s="72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</row>
    <row r="15" spans="1:16" s="6" customFormat="1" ht="30" customHeight="1" x14ac:dyDescent="0.3">
      <c r="A15" s="21" t="s">
        <v>59</v>
      </c>
      <c r="B15" s="22" t="s">
        <v>1</v>
      </c>
      <c r="C15" s="22" t="s">
        <v>29</v>
      </c>
      <c r="D15" s="73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</row>
    <row r="16" spans="1:16" s="6" customFormat="1" ht="30" customHeight="1" x14ac:dyDescent="0.3">
      <c r="A16" s="21" t="s">
        <v>60</v>
      </c>
      <c r="B16" s="22" t="s">
        <v>49</v>
      </c>
      <c r="C16" s="22" t="s">
        <v>30</v>
      </c>
      <c r="D16" s="32" t="s">
        <v>101</v>
      </c>
      <c r="E16" s="35">
        <v>0</v>
      </c>
      <c r="F16" s="36">
        <v>54593.82</v>
      </c>
      <c r="G16" s="35">
        <v>54593.79</v>
      </c>
      <c r="H16" s="36">
        <v>54593.79</v>
      </c>
      <c r="I16" s="37">
        <v>54593.79</v>
      </c>
      <c r="J16" s="36"/>
      <c r="K16" s="36"/>
      <c r="L16" s="36"/>
      <c r="M16" s="36"/>
      <c r="N16" s="36"/>
      <c r="O16" s="36"/>
      <c r="P16" s="36"/>
    </row>
    <row r="17" spans="1:16" s="6" customFormat="1" ht="30" customHeight="1" x14ac:dyDescent="0.3">
      <c r="A17" s="21" t="s">
        <v>24</v>
      </c>
      <c r="B17" s="22" t="s">
        <v>50</v>
      </c>
      <c r="C17" s="22" t="s">
        <v>30</v>
      </c>
      <c r="D17" s="32" t="s">
        <v>102</v>
      </c>
      <c r="E17" s="35">
        <v>0</v>
      </c>
      <c r="F17" s="36">
        <v>8010.83</v>
      </c>
      <c r="G17" s="35">
        <v>8010.8</v>
      </c>
      <c r="H17" s="36">
        <v>8010.8</v>
      </c>
      <c r="I17" s="36">
        <v>8010.8</v>
      </c>
      <c r="J17" s="36"/>
      <c r="K17" s="36"/>
      <c r="L17" s="36"/>
      <c r="M17" s="36"/>
      <c r="N17" s="36"/>
      <c r="O17" s="36"/>
      <c r="P17" s="36"/>
    </row>
    <row r="18" spans="1:16" s="6" customFormat="1" ht="30" customHeight="1" x14ac:dyDescent="0.3">
      <c r="A18" s="21" t="s">
        <v>24</v>
      </c>
      <c r="B18" s="22" t="s">
        <v>51</v>
      </c>
      <c r="C18" s="22" t="s">
        <v>30</v>
      </c>
      <c r="D18" s="32" t="s">
        <v>103</v>
      </c>
      <c r="E18" s="35">
        <v>0</v>
      </c>
      <c r="F18" s="36">
        <v>8010.83</v>
      </c>
      <c r="G18" s="35">
        <v>8010.8</v>
      </c>
      <c r="H18" s="35">
        <v>8010.8</v>
      </c>
      <c r="I18" s="35">
        <v>8010.8</v>
      </c>
      <c r="J18" s="36"/>
      <c r="K18" s="36"/>
      <c r="L18" s="36"/>
      <c r="M18" s="36"/>
      <c r="N18" s="36"/>
      <c r="O18" s="36"/>
      <c r="P18" s="36"/>
    </row>
    <row r="19" spans="1:16" s="6" customFormat="1" ht="30" customHeight="1" x14ac:dyDescent="0.3">
      <c r="A19" s="21" t="s">
        <v>24</v>
      </c>
      <c r="B19" s="22" t="s">
        <v>2</v>
      </c>
      <c r="C19" s="22" t="s">
        <v>30</v>
      </c>
      <c r="D19" s="32" t="s">
        <v>104</v>
      </c>
      <c r="E19" s="35">
        <v>5555.25</v>
      </c>
      <c r="F19" s="36">
        <v>5555.23</v>
      </c>
      <c r="G19" s="35">
        <v>5555.23</v>
      </c>
      <c r="H19" s="36">
        <v>9786.5300000000007</v>
      </c>
      <c r="I19" s="37">
        <v>9786.5300000000007</v>
      </c>
      <c r="J19" s="37">
        <v>9786.5300000000007</v>
      </c>
      <c r="K19" s="36"/>
      <c r="L19" s="36"/>
      <c r="M19" s="36"/>
      <c r="N19" s="36"/>
      <c r="O19" s="36"/>
      <c r="P19" s="36"/>
    </row>
    <row r="20" spans="1:16" s="6" customFormat="1" ht="30" customHeight="1" x14ac:dyDescent="0.3">
      <c r="A20" s="21" t="s">
        <v>25</v>
      </c>
      <c r="B20" s="22" t="s">
        <v>3</v>
      </c>
      <c r="C20" s="22" t="s">
        <v>30</v>
      </c>
      <c r="D20" s="32" t="s">
        <v>105</v>
      </c>
      <c r="E20" s="35">
        <v>0</v>
      </c>
      <c r="F20" s="34">
        <v>0</v>
      </c>
      <c r="G20" s="35">
        <v>0</v>
      </c>
      <c r="H20" s="34">
        <v>10286</v>
      </c>
      <c r="I20" s="34">
        <v>10286</v>
      </c>
      <c r="J20" s="34"/>
      <c r="K20" s="34"/>
      <c r="L20" s="34"/>
      <c r="M20" s="34"/>
      <c r="N20" s="34"/>
      <c r="O20" s="34"/>
      <c r="P20" s="34"/>
    </row>
    <row r="21" spans="1:16" s="6" customFormat="1" ht="30" customHeight="1" x14ac:dyDescent="0.3">
      <c r="A21" s="21" t="s">
        <v>26</v>
      </c>
      <c r="B21" s="22" t="s">
        <v>4</v>
      </c>
      <c r="C21" s="22" t="s">
        <v>84</v>
      </c>
      <c r="D21" s="32" t="s">
        <v>64</v>
      </c>
      <c r="E21" s="35"/>
      <c r="F21" s="36"/>
      <c r="G21" s="35">
        <v>0</v>
      </c>
      <c r="H21" s="36"/>
      <c r="I21" s="36">
        <v>27200</v>
      </c>
      <c r="J21" s="36"/>
      <c r="K21" s="36"/>
      <c r="L21" s="36"/>
      <c r="M21" s="36"/>
      <c r="N21" s="36"/>
      <c r="O21" s="36"/>
      <c r="P21" s="36"/>
    </row>
    <row r="22" spans="1:16" s="6" customFormat="1" ht="30" customHeight="1" x14ac:dyDescent="0.3">
      <c r="A22" s="21" t="s">
        <v>26</v>
      </c>
      <c r="B22" s="22" t="s">
        <v>4</v>
      </c>
      <c r="C22" s="22" t="s">
        <v>31</v>
      </c>
      <c r="D22" s="32" t="s">
        <v>64</v>
      </c>
      <c r="E22" s="35"/>
      <c r="F22" s="36"/>
      <c r="G22" s="35">
        <v>0</v>
      </c>
      <c r="H22" s="36"/>
      <c r="I22" s="36">
        <v>27200</v>
      </c>
      <c r="J22" s="36"/>
      <c r="K22" s="36"/>
      <c r="L22" s="36"/>
      <c r="M22" s="36"/>
      <c r="N22" s="36"/>
      <c r="O22" s="36"/>
      <c r="P22" s="36"/>
    </row>
    <row r="23" spans="1:16" s="6" customFormat="1" ht="30" customHeight="1" thickBot="1" x14ac:dyDescent="0.35">
      <c r="A23" s="26" t="s">
        <v>27</v>
      </c>
      <c r="B23" s="27" t="s">
        <v>52</v>
      </c>
      <c r="C23" s="27" t="s">
        <v>30</v>
      </c>
      <c r="D23" s="38" t="s">
        <v>64</v>
      </c>
      <c r="E23" s="39"/>
      <c r="F23" s="40"/>
      <c r="G23" s="39">
        <v>0</v>
      </c>
      <c r="H23" s="40">
        <v>10744</v>
      </c>
      <c r="I23" s="40">
        <v>10744</v>
      </c>
      <c r="J23" s="40"/>
      <c r="K23" s="40"/>
      <c r="L23" s="40"/>
      <c r="M23" s="40"/>
      <c r="N23" s="40"/>
      <c r="O23" s="40"/>
      <c r="P23" s="40"/>
    </row>
    <row r="24" spans="1:16" ht="30" customHeight="1" thickBot="1" x14ac:dyDescent="0.35">
      <c r="A24" s="7"/>
      <c r="B24" s="11"/>
      <c r="C24" s="41"/>
      <c r="D24" s="53" t="s">
        <v>76</v>
      </c>
      <c r="E24" s="52">
        <f>SUM(E4:E23)</f>
        <v>1596770.04</v>
      </c>
      <c r="F24" s="52">
        <f t="shared" ref="F24:P24" si="0">SUM(F4:F23)</f>
        <v>1881235.5000000002</v>
      </c>
      <c r="G24" s="52">
        <f t="shared" si="0"/>
        <v>2133891.4099999997</v>
      </c>
      <c r="H24" s="52">
        <f t="shared" si="0"/>
        <v>2513763.9199999995</v>
      </c>
      <c r="I24" s="52">
        <f t="shared" si="0"/>
        <v>2032157.7600000002</v>
      </c>
      <c r="J24" s="52">
        <f t="shared" si="0"/>
        <v>2322166.9299999997</v>
      </c>
      <c r="K24" s="52">
        <f t="shared" si="0"/>
        <v>2475291.2599999998</v>
      </c>
      <c r="L24" s="52">
        <f t="shared" si="0"/>
        <v>2255720.4</v>
      </c>
      <c r="M24" s="52">
        <f t="shared" si="0"/>
        <v>1685585.4</v>
      </c>
      <c r="N24" s="52">
        <f t="shared" si="0"/>
        <v>1101159</v>
      </c>
      <c r="O24" s="52">
        <f t="shared" si="0"/>
        <v>1157115</v>
      </c>
      <c r="P24" s="52">
        <f t="shared" si="0"/>
        <v>1211606</v>
      </c>
    </row>
    <row r="25" spans="1:16" ht="19.95" customHeight="1" thickBot="1" x14ac:dyDescent="0.35"/>
    <row r="26" spans="1:16" s="10" customFormat="1" ht="30" customHeight="1" thickBot="1" x14ac:dyDescent="0.35">
      <c r="A26" s="66" t="s">
        <v>93</v>
      </c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</row>
    <row r="27" spans="1:16" s="2" customFormat="1" ht="25.05" customHeight="1" thickBot="1" x14ac:dyDescent="0.35">
      <c r="A27" s="3" t="s">
        <v>17</v>
      </c>
      <c r="B27" s="3" t="s">
        <v>0</v>
      </c>
      <c r="C27" s="4" t="s">
        <v>19</v>
      </c>
      <c r="D27" s="9" t="s">
        <v>77</v>
      </c>
      <c r="E27" s="4" t="s">
        <v>91</v>
      </c>
      <c r="F27" s="4" t="s">
        <v>92</v>
      </c>
      <c r="G27" s="4" t="s">
        <v>66</v>
      </c>
      <c r="H27" s="4" t="s">
        <v>67</v>
      </c>
      <c r="I27" s="4" t="s">
        <v>68</v>
      </c>
      <c r="J27" s="4" t="s">
        <v>69</v>
      </c>
      <c r="K27" s="4" t="s">
        <v>70</v>
      </c>
      <c r="L27" s="4" t="s">
        <v>71</v>
      </c>
      <c r="M27" s="4" t="s">
        <v>72</v>
      </c>
      <c r="N27" s="4" t="s">
        <v>73</v>
      </c>
      <c r="O27" s="4" t="s">
        <v>74</v>
      </c>
      <c r="P27" s="4" t="s">
        <v>75</v>
      </c>
    </row>
    <row r="28" spans="1:16" s="6" customFormat="1" ht="30" customHeight="1" x14ac:dyDescent="0.3">
      <c r="A28" s="45" t="s">
        <v>98</v>
      </c>
      <c r="B28" s="47" t="s">
        <v>53</v>
      </c>
      <c r="C28" s="22" t="s">
        <v>29</v>
      </c>
      <c r="D28" s="29" t="s">
        <v>99</v>
      </c>
      <c r="E28" s="60">
        <v>60813</v>
      </c>
      <c r="F28" s="62">
        <v>79989</v>
      </c>
      <c r="G28" s="60">
        <v>105345</v>
      </c>
      <c r="H28" s="62">
        <v>131682</v>
      </c>
      <c r="I28" s="62">
        <v>122008</v>
      </c>
      <c r="J28" s="62">
        <v>132746</v>
      </c>
      <c r="K28" s="62">
        <v>153868</v>
      </c>
      <c r="L28" s="62">
        <v>113372</v>
      </c>
      <c r="M28" s="31"/>
      <c r="N28" s="31"/>
      <c r="O28" s="31"/>
      <c r="P28" s="31"/>
    </row>
    <row r="29" spans="1:16" s="6" customFormat="1" ht="30" customHeight="1" thickBot="1" x14ac:dyDescent="0.35">
      <c r="A29" s="49" t="s">
        <v>95</v>
      </c>
      <c r="B29" s="50" t="s">
        <v>5</v>
      </c>
      <c r="C29" s="22" t="s">
        <v>29</v>
      </c>
      <c r="D29" s="32" t="s">
        <v>100</v>
      </c>
      <c r="E29" s="33">
        <v>98419</v>
      </c>
      <c r="F29" s="34">
        <v>132866</v>
      </c>
      <c r="G29" s="33">
        <v>166082</v>
      </c>
      <c r="H29" s="34">
        <v>159645</v>
      </c>
      <c r="I29" s="34">
        <v>204050</v>
      </c>
      <c r="J29" s="34">
        <v>235588</v>
      </c>
      <c r="K29" s="34"/>
      <c r="L29" s="34"/>
      <c r="M29" s="34"/>
      <c r="N29" s="34"/>
      <c r="O29" s="34"/>
      <c r="P29" s="34"/>
    </row>
    <row r="30" spans="1:16" s="10" customFormat="1" ht="30" customHeight="1" thickBot="1" x14ac:dyDescent="0.35">
      <c r="A30" s="7"/>
      <c r="B30" s="11"/>
      <c r="C30" s="41"/>
      <c r="D30" s="53" t="s">
        <v>76</v>
      </c>
      <c r="E30" s="52">
        <f>SUM(E28:E29)</f>
        <v>159232</v>
      </c>
      <c r="F30" s="52">
        <f t="shared" ref="F30:P30" si="1">SUM(F28:F29)</f>
        <v>212855</v>
      </c>
      <c r="G30" s="52">
        <f t="shared" si="1"/>
        <v>271427</v>
      </c>
      <c r="H30" s="52">
        <f t="shared" si="1"/>
        <v>291327</v>
      </c>
      <c r="I30" s="52">
        <f t="shared" si="1"/>
        <v>326058</v>
      </c>
      <c r="J30" s="52">
        <f t="shared" si="1"/>
        <v>368334</v>
      </c>
      <c r="K30" s="52">
        <f t="shared" si="1"/>
        <v>153868</v>
      </c>
      <c r="L30" s="52">
        <f t="shared" si="1"/>
        <v>113372</v>
      </c>
      <c r="M30" s="52">
        <f t="shared" si="1"/>
        <v>0</v>
      </c>
      <c r="N30" s="52">
        <f t="shared" si="1"/>
        <v>0</v>
      </c>
      <c r="O30" s="52">
        <f t="shared" si="1"/>
        <v>0</v>
      </c>
      <c r="P30" s="52">
        <f t="shared" si="1"/>
        <v>0</v>
      </c>
    </row>
  </sheetData>
  <mergeCells count="15">
    <mergeCell ref="A26:P26"/>
    <mergeCell ref="F12:F15"/>
    <mergeCell ref="D12:D15"/>
    <mergeCell ref="E12:E15"/>
    <mergeCell ref="G12:G15"/>
    <mergeCell ref="A2:P2"/>
    <mergeCell ref="H12:H15"/>
    <mergeCell ref="I12:I15"/>
    <mergeCell ref="J12:J15"/>
    <mergeCell ref="K12:K15"/>
    <mergeCell ref="L12:L15"/>
    <mergeCell ref="M12:M15"/>
    <mergeCell ref="N12:N15"/>
    <mergeCell ref="O12:O15"/>
    <mergeCell ref="P12:P15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SEGUROS 2024 - DOS57 + POLLO</vt:lpstr>
      <vt:lpstr>SEGUROS 2024 - DOS57 PAGOS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2024-05-15T15:27:56Z</cp:lastPrinted>
  <dcterms:created xsi:type="dcterms:W3CDTF">2024-05-14T20:07:22Z</dcterms:created>
  <dcterms:modified xsi:type="dcterms:W3CDTF">2025-02-17T20:11:40Z</dcterms:modified>
</cp:coreProperties>
</file>