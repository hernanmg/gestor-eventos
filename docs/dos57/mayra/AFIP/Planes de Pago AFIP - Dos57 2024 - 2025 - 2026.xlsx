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AFIP\Mis Facilidades Afip\"/>
    </mc:Choice>
  </mc:AlternateContent>
  <bookViews>
    <workbookView xWindow="0" yWindow="0" windowWidth="23040" windowHeight="9072" activeTab="5"/>
  </bookViews>
  <sheets>
    <sheet name="2024" sheetId="1" r:id="rId1"/>
    <sheet name="PAGOS 2024 - DETALLES" sheetId="2" r:id="rId2"/>
    <sheet name="2025" sheetId="3" r:id="rId3"/>
    <sheet name="PAGOS 2025 - DETALLES" sheetId="4" r:id="rId4"/>
    <sheet name="2026" sheetId="5" r:id="rId5"/>
    <sheet name="PAGOS 2026 - DETALL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6" l="1"/>
  <c r="H7" i="6"/>
  <c r="F93" i="5"/>
  <c r="F85" i="5"/>
  <c r="F84" i="5"/>
  <c r="F74" i="5"/>
  <c r="F66" i="5"/>
  <c r="F65" i="5"/>
  <c r="F55" i="5"/>
  <c r="F47" i="5"/>
  <c r="F46" i="5"/>
  <c r="F36" i="5"/>
  <c r="F28" i="5"/>
  <c r="F27" i="5"/>
  <c r="F17" i="5"/>
  <c r="F9" i="5"/>
  <c r="F8" i="5"/>
  <c r="F29" i="5" l="1"/>
  <c r="F37" i="5" s="1"/>
  <c r="F48" i="5"/>
  <c r="F56" i="5" s="1"/>
  <c r="F67" i="5"/>
  <c r="F75" i="5" s="1"/>
  <c r="F86" i="5"/>
  <c r="F94" i="5" s="1"/>
  <c r="F10" i="5"/>
  <c r="F18" i="5" s="1"/>
  <c r="H14" i="4"/>
  <c r="H13" i="4"/>
  <c r="H12" i="4"/>
  <c r="H11" i="4"/>
  <c r="H10" i="4"/>
  <c r="H9" i="4"/>
  <c r="H8" i="4"/>
  <c r="H7" i="4"/>
  <c r="F149" i="3"/>
  <c r="F141" i="3"/>
  <c r="F140" i="3"/>
  <c r="F139" i="3"/>
  <c r="F138" i="3"/>
  <c r="F142" i="3" s="1"/>
  <c r="F150" i="3" s="1"/>
  <c r="F128" i="3"/>
  <c r="F120" i="3"/>
  <c r="F119" i="3"/>
  <c r="F121" i="3" s="1"/>
  <c r="F129" i="3" s="1"/>
  <c r="F118" i="3"/>
  <c r="F117" i="3"/>
  <c r="F107" i="3"/>
  <c r="F99" i="3"/>
  <c r="F98" i="3"/>
  <c r="F97" i="3"/>
  <c r="F100" i="3" s="1"/>
  <c r="F108" i="3" s="1"/>
  <c r="F96" i="3"/>
  <c r="F95" i="3"/>
  <c r="F85" i="3"/>
  <c r="F77" i="3"/>
  <c r="F76" i="3"/>
  <c r="F75" i="3"/>
  <c r="F78" i="3" s="1"/>
  <c r="F86" i="3" s="1"/>
  <c r="F74" i="3"/>
  <c r="F73" i="3"/>
  <c r="F63" i="3"/>
  <c r="F62" i="3"/>
  <c r="F55" i="3"/>
  <c r="F54" i="3"/>
  <c r="F56" i="3" s="1"/>
  <c r="F64" i="3" s="1"/>
  <c r="F53" i="3"/>
  <c r="F52" i="3"/>
  <c r="F51" i="3"/>
  <c r="F40" i="3"/>
  <c r="F41" i="3" s="1"/>
  <c r="F33" i="3"/>
  <c r="F34" i="3" s="1"/>
  <c r="F42" i="3" s="1"/>
  <c r="F32" i="3"/>
  <c r="F31" i="3"/>
  <c r="F30" i="3"/>
  <c r="F19" i="3"/>
  <c r="F20" i="3" s="1"/>
  <c r="F12" i="3"/>
  <c r="F13" i="3" s="1"/>
  <c r="F21" i="3" s="1"/>
  <c r="F11" i="3"/>
  <c r="F10" i="3"/>
  <c r="F9" i="3"/>
  <c r="F8" i="3"/>
  <c r="H23" i="2"/>
  <c r="H22" i="2"/>
  <c r="H16" i="2"/>
  <c r="H15" i="2"/>
  <c r="H14" i="2"/>
  <c r="H13" i="2"/>
  <c r="H12" i="2"/>
  <c r="H11" i="2"/>
  <c r="H10" i="2"/>
  <c r="H9" i="2"/>
  <c r="H8" i="2"/>
  <c r="H7" i="2"/>
  <c r="F246" i="1"/>
  <c r="F245" i="1"/>
  <c r="F238" i="1"/>
  <c r="F237" i="1"/>
  <c r="F236" i="1"/>
  <c r="F235" i="1"/>
  <c r="F239" i="1" s="1"/>
  <c r="F247" i="1" s="1"/>
  <c r="F234" i="1"/>
  <c r="F233" i="1"/>
  <c r="F232" i="1"/>
  <c r="F221" i="1"/>
  <c r="F222" i="1" s="1"/>
  <c r="F214" i="1"/>
  <c r="F213" i="1"/>
  <c r="F212" i="1"/>
  <c r="F215" i="1" s="1"/>
  <c r="F223" i="1" s="1"/>
  <c r="F211" i="1"/>
  <c r="F200" i="1"/>
  <c r="F201" i="1" s="1"/>
  <c r="F193" i="1"/>
  <c r="F192" i="1"/>
  <c r="F191" i="1"/>
  <c r="F194" i="1" s="1"/>
  <c r="F180" i="1"/>
  <c r="F181" i="1" s="1"/>
  <c r="F174" i="1"/>
  <c r="F173" i="1"/>
  <c r="F172" i="1"/>
  <c r="F171" i="1"/>
  <c r="F160" i="1"/>
  <c r="F161" i="1" s="1"/>
  <c r="F153" i="1"/>
  <c r="F154" i="1" s="1"/>
  <c r="F162" i="1" s="1"/>
  <c r="F152" i="1"/>
  <c r="F151" i="1"/>
  <c r="F141" i="1"/>
  <c r="F140" i="1"/>
  <c r="F133" i="1"/>
  <c r="F132" i="1"/>
  <c r="F131" i="1"/>
  <c r="F134" i="1" s="1"/>
  <c r="F142" i="1" s="1"/>
  <c r="F120" i="1"/>
  <c r="F121" i="1" s="1"/>
  <c r="F113" i="1"/>
  <c r="F112" i="1"/>
  <c r="F114" i="1" s="1"/>
  <c r="F101" i="1"/>
  <c r="F102" i="1" s="1"/>
  <c r="F94" i="1"/>
  <c r="F95" i="1" s="1"/>
  <c r="F103" i="1" s="1"/>
  <c r="F93" i="1"/>
  <c r="F82" i="1"/>
  <c r="F83" i="1" s="1"/>
  <c r="F81" i="1"/>
  <c r="F74" i="1"/>
  <c r="F73" i="1"/>
  <c r="F75" i="1" s="1"/>
  <c r="F72" i="1"/>
  <c r="F61" i="1"/>
  <c r="F62" i="1" s="1"/>
  <c r="F60" i="1"/>
  <c r="F53" i="1"/>
  <c r="F52" i="1"/>
  <c r="F51" i="1"/>
  <c r="F50" i="1"/>
  <c r="F54" i="1" s="1"/>
  <c r="F63" i="1" s="1"/>
  <c r="F40" i="1"/>
  <c r="F39" i="1"/>
  <c r="F38" i="1"/>
  <c r="F31" i="1"/>
  <c r="F30" i="1"/>
  <c r="F29" i="1"/>
  <c r="F28" i="1"/>
  <c r="F32" i="1" s="1"/>
  <c r="F41" i="1" s="1"/>
  <c r="F17" i="1"/>
  <c r="F18" i="1" s="1"/>
  <c r="F10" i="1"/>
  <c r="F11" i="1" s="1"/>
  <c r="F9" i="1"/>
  <c r="F8" i="1"/>
  <c r="F182" i="1" l="1"/>
  <c r="F122" i="1"/>
  <c r="F19" i="1"/>
  <c r="F84" i="1"/>
  <c r="F202" i="1"/>
</calcChain>
</file>

<file path=xl/sharedStrings.xml><?xml version="1.0" encoding="utf-8"?>
<sst xmlns="http://schemas.openxmlformats.org/spreadsheetml/2006/main" count="1067" uniqueCount="115">
  <si>
    <t>MIS FACILIDADES AFIP - PLANES DE PAGOS</t>
  </si>
  <si>
    <t>Nombre:</t>
  </si>
  <si>
    <t>DOS57 SRL</t>
  </si>
  <si>
    <t>FECHA DE DEBITO: 26/01/2024</t>
  </si>
  <si>
    <t>CUIT:</t>
  </si>
  <si>
    <t>Banco:</t>
  </si>
  <si>
    <t>GALICIA</t>
  </si>
  <si>
    <t>N° Plan</t>
  </si>
  <si>
    <t xml:space="preserve">Detalle </t>
  </si>
  <si>
    <t>Capital</t>
  </si>
  <si>
    <t>Interes Financiero</t>
  </si>
  <si>
    <t>Interes Resarcitorio</t>
  </si>
  <si>
    <t>Total</t>
  </si>
  <si>
    <t>Fecha de Pago</t>
  </si>
  <si>
    <t>1 - S611696</t>
  </si>
  <si>
    <t>Opcion 1</t>
  </si>
  <si>
    <t>2 - Q019330</t>
  </si>
  <si>
    <t>3 - O340707</t>
  </si>
  <si>
    <t>Total Planes</t>
  </si>
  <si>
    <t>Sergio Bibiloni</t>
  </si>
  <si>
    <t>1 - Q018718</t>
  </si>
  <si>
    <t xml:space="preserve">Total Planes </t>
  </si>
  <si>
    <t>TOTAL A PAGAR PLANES AFIP</t>
  </si>
  <si>
    <t>FECHA DE DEBITO: 16/02/2024</t>
  </si>
  <si>
    <t>1 - S659132</t>
  </si>
  <si>
    <t>2 - S611696</t>
  </si>
  <si>
    <t>3 - Q019330</t>
  </si>
  <si>
    <t>4 - O340707</t>
  </si>
  <si>
    <t>1 - S659186</t>
  </si>
  <si>
    <t>2 - Q018718</t>
  </si>
  <si>
    <t>FECHA DE DEBITO: 26/03/2024</t>
  </si>
  <si>
    <t>FINALIZADO</t>
  </si>
  <si>
    <t>FECHA DE DEBITO: 26/04/2024</t>
  </si>
  <si>
    <t>FECHA DE DEBITO: 16/05/2024</t>
  </si>
  <si>
    <t>1 - Q019330</t>
  </si>
  <si>
    <t>2 - O340707</t>
  </si>
  <si>
    <t>FECHA DE DEBITO: 16/06/2024</t>
  </si>
  <si>
    <t>FECHA DE DEBITO: 16/07/2024</t>
  </si>
  <si>
    <t>1 - T071366</t>
  </si>
  <si>
    <t>FECHA DE DEBITO: 26/08/2024</t>
  </si>
  <si>
    <t>FECHA DE DEBITO: 26/09/2024</t>
  </si>
  <si>
    <t>FECHA DE DEBITO: 26/10/2024</t>
  </si>
  <si>
    <t>FECHA DE DEBITO: 26/11/2024</t>
  </si>
  <si>
    <t>1 - T936333</t>
  </si>
  <si>
    <t>2 - T071366</t>
  </si>
  <si>
    <t>FECHA DE DEBITO: 16/12/2024</t>
  </si>
  <si>
    <t>1 - U021907</t>
  </si>
  <si>
    <t>2 - U005007</t>
  </si>
  <si>
    <t>3 - U005000</t>
  </si>
  <si>
    <t>4 - T871838</t>
  </si>
  <si>
    <t>5 - T071366</t>
  </si>
  <si>
    <t>6 - Q019330</t>
  </si>
  <si>
    <t>7 - O340707</t>
  </si>
  <si>
    <t>MIS FACILIDADES AFIP - DETALLES DE PLANES DE PAGOS</t>
  </si>
  <si>
    <t>Descripción</t>
  </si>
  <si>
    <t>Detalle del plan</t>
  </si>
  <si>
    <t>Fecha de Inicio</t>
  </si>
  <si>
    <t>Cantidad de Cuotas</t>
  </si>
  <si>
    <t>Cuotas Pagadas</t>
  </si>
  <si>
    <t>Cuotas Pendientes</t>
  </si>
  <si>
    <t>Valor Cuota Aprox.</t>
  </si>
  <si>
    <t>Fecha de Finalización</t>
  </si>
  <si>
    <t>U021907</t>
  </si>
  <si>
    <t>RG 5321 - Plan Deuda Impuestos Anuales (Ganancias y Bienes Personales)</t>
  </si>
  <si>
    <t>Ganancias Sociedades</t>
  </si>
  <si>
    <t>U005007</t>
  </si>
  <si>
    <t>Ley Nº 27742 - Régimen de Regularización Promoción del Empleo Registrado</t>
  </si>
  <si>
    <t>Empleador-Aportes Seguridad Social + Contribuciones de Seguridad Social</t>
  </si>
  <si>
    <t>U005000</t>
  </si>
  <si>
    <t>Ley N.º 27743 - Plan Deuda Impositiva y Previsional</t>
  </si>
  <si>
    <t>T936333</t>
  </si>
  <si>
    <t xml:space="preserve"> Ley Nº 27742 - Régimen de Regularización Promoción del Empleo Registrado</t>
  </si>
  <si>
    <t>T871838</t>
  </si>
  <si>
    <t>RG 5321 - Plan Deuda General</t>
  </si>
  <si>
    <t>Acciones y Participaciones Societarias + IVA</t>
  </si>
  <si>
    <t>T071366</t>
  </si>
  <si>
    <t>S659132</t>
  </si>
  <si>
    <t>Contribuciones de Seguridad Social</t>
  </si>
  <si>
    <t>S611696</t>
  </si>
  <si>
    <t>IVA</t>
  </si>
  <si>
    <t>Q019330</t>
  </si>
  <si>
    <t>Ley 27653 - Deuda impositiva y previsional</t>
  </si>
  <si>
    <t>O340707</t>
  </si>
  <si>
    <t>Ley 27562 - Deuda de impuestos, Contribuciones de Seguridad Social, Autónomos y Monotributo</t>
  </si>
  <si>
    <t>Ganancias Sociedades + Acciones y Participaciones Societarias + IVA</t>
  </si>
  <si>
    <t>S659186</t>
  </si>
  <si>
    <t>RG 5321 - Plan Deuda Autónomos y Régimen Simplificado (Monotributo)</t>
  </si>
  <si>
    <t>Aportes Seguridad Social Autonomos +  Contribución Seguridad Social Autonomos + Autonomo Desde 07/1994</t>
  </si>
  <si>
    <t>Q018718</t>
  </si>
  <si>
    <t>FECHA DE DEBITO: 26/01/2025</t>
  </si>
  <si>
    <t>2 - U005000</t>
  </si>
  <si>
    <t>3 - T871838</t>
  </si>
  <si>
    <t>4 - Q019330</t>
  </si>
  <si>
    <t>5 - O340707</t>
  </si>
  <si>
    <t>FECHA DE DEBITO: 26/02/2025</t>
  </si>
  <si>
    <t>2 - T871838</t>
  </si>
  <si>
    <t>FECHA DE DEBITO: 16/03/2025</t>
  </si>
  <si>
    <t>1 - U233630</t>
  </si>
  <si>
    <t>2 - U021907</t>
  </si>
  <si>
    <t>FECHA DE DEBITO: 26/04/2025</t>
  </si>
  <si>
    <t>FECHA DE DEBITO: 26/05/2025</t>
  </si>
  <si>
    <t>1 - U448518</t>
  </si>
  <si>
    <t>2 - U233630</t>
  </si>
  <si>
    <t>FECHA DE DEBITO: 26/06/2025</t>
  </si>
  <si>
    <t>1 - U582116</t>
  </si>
  <si>
    <t>2 - U448518</t>
  </si>
  <si>
    <t>FECHA DE DEBITO: 26/07/2025</t>
  </si>
  <si>
    <t>U582116</t>
  </si>
  <si>
    <t>U448518</t>
  </si>
  <si>
    <t>U233630</t>
  </si>
  <si>
    <t>FECHA DE DEBITO: 16/01/2026</t>
  </si>
  <si>
    <t>FECHA DE DEBITO: 16/02/2026</t>
  </si>
  <si>
    <t>FECHA DE DEBITO: 16/03/2026</t>
  </si>
  <si>
    <t>FECHA DE DEBITO: 16/04/2026</t>
  </si>
  <si>
    <t>FECHA DE DEBITO: 26/05/2026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</si>
</sst>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[$$-2C0A]\ * #,##0.00_-;\-[$$-2C0A]\ * #,##0.00_-;_-[$$-2C0A]\ * &quot;-&quot;??_-;_-@_-"/>
    <numFmt numFmtId="166" formatCode="mmmm\-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0" fillId="4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64" fontId="1" fillId="0" borderId="0" xfId="1" applyFont="1" applyFill="1" applyAlignment="1">
      <alignment horizontal="center"/>
    </xf>
    <xf numFmtId="14" fontId="0" fillId="5" borderId="0" xfId="0" applyNumberFormat="1" applyFont="1" applyFill="1" applyAlignment="1">
      <alignment horizontal="center"/>
    </xf>
    <xf numFmtId="164" fontId="1" fillId="6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Font="1" applyFill="1" applyAlignment="1">
      <alignment horizontal="center"/>
    </xf>
    <xf numFmtId="44" fontId="2" fillId="5" borderId="0" xfId="0" applyNumberFormat="1" applyFont="1" applyFill="1"/>
    <xf numFmtId="0" fontId="2" fillId="0" borderId="0" xfId="0" applyFont="1" applyFill="1" applyAlignment="1">
      <alignment horizontal="right"/>
    </xf>
    <xf numFmtId="44" fontId="2" fillId="0" borderId="0" xfId="0" applyNumberFormat="1" applyFont="1" applyFill="1"/>
    <xf numFmtId="0" fontId="0" fillId="2" borderId="0" xfId="0" applyFill="1" applyAlignment="1">
      <alignment horizontal="center" vertical="center"/>
    </xf>
    <xf numFmtId="165" fontId="0" fillId="4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164" fontId="1" fillId="0" borderId="0" xfId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14" fontId="0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5" borderId="0" xfId="0" applyFont="1" applyFill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0" fillId="6" borderId="0" xfId="0" applyFont="1" applyFill="1" applyAlignment="1">
      <alignment horizontal="right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7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247"/>
  <sheetViews>
    <sheetView topLeftCell="A211" workbookViewId="0">
      <selection activeCell="A8" sqref="A8"/>
    </sheetView>
  </sheetViews>
  <sheetFormatPr baseColWidth="10" defaultRowHeight="14.4" x14ac:dyDescent="0.3"/>
  <cols>
    <col min="1" max="1" width="14.109375" bestFit="1" customWidth="1"/>
    <col min="2" max="2" width="24.44140625" bestFit="1" customWidth="1"/>
    <col min="3" max="3" width="18.44140625" bestFit="1" customWidth="1"/>
    <col min="4" max="4" width="17.109375" bestFit="1" customWidth="1"/>
    <col min="5" max="5" width="18.44140625" bestFit="1" customWidth="1"/>
    <col min="6" max="6" width="15.88671875" customWidth="1"/>
    <col min="7" max="7" width="13.5546875" bestFit="1" customWidth="1"/>
  </cols>
  <sheetData>
    <row r="1" spans="1:7" ht="15" thickBot="1" x14ac:dyDescent="0.35"/>
    <row r="2" spans="1:7" ht="15" thickBot="1" x14ac:dyDescent="0.35">
      <c r="A2" s="29" t="s">
        <v>0</v>
      </c>
      <c r="B2" s="30"/>
      <c r="C2" s="30"/>
      <c r="D2" s="30"/>
      <c r="E2" s="30"/>
      <c r="F2" s="30"/>
      <c r="G2" s="31"/>
    </row>
    <row r="3" spans="1:7" x14ac:dyDescent="0.3">
      <c r="A3" s="1" t="s">
        <v>1</v>
      </c>
      <c r="B3" s="1" t="s">
        <v>2</v>
      </c>
      <c r="C3" s="1"/>
      <c r="D3" s="1"/>
      <c r="E3" s="1"/>
      <c r="F3" s="32" t="s">
        <v>3</v>
      </c>
      <c r="G3" s="32"/>
    </row>
    <row r="4" spans="1:7" x14ac:dyDescent="0.3">
      <c r="A4" s="1" t="s">
        <v>4</v>
      </c>
      <c r="B4" s="2">
        <v>30716175061</v>
      </c>
      <c r="C4" s="1"/>
      <c r="D4" s="1"/>
      <c r="E4" s="1"/>
      <c r="F4" s="33"/>
      <c r="G4" s="33"/>
    </row>
    <row r="5" spans="1:7" x14ac:dyDescent="0.3">
      <c r="A5" s="1" t="s">
        <v>5</v>
      </c>
      <c r="B5" s="1" t="s">
        <v>6</v>
      </c>
      <c r="C5" s="1"/>
      <c r="D5" s="1"/>
      <c r="E5" s="1"/>
      <c r="F5" s="33"/>
      <c r="G5" s="33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3">
      <c r="A8" s="4" t="s">
        <v>14</v>
      </c>
      <c r="B8" s="5" t="s">
        <v>15</v>
      </c>
      <c r="C8" s="6">
        <v>1112405.8899999999</v>
      </c>
      <c r="D8" s="6">
        <v>186782.46</v>
      </c>
      <c r="E8" s="6">
        <v>25594.01</v>
      </c>
      <c r="F8" s="6">
        <f>SUM(C8:E8)</f>
        <v>1324782.3599999999</v>
      </c>
      <c r="G8" s="7">
        <v>45317</v>
      </c>
    </row>
    <row r="9" spans="1:7" x14ac:dyDescent="0.3">
      <c r="A9" s="4" t="s">
        <v>16</v>
      </c>
      <c r="B9" s="5" t="s">
        <v>15</v>
      </c>
      <c r="C9" s="6">
        <v>4014.99</v>
      </c>
      <c r="D9" s="6">
        <v>9395.0400000000009</v>
      </c>
      <c r="E9" s="6">
        <v>264.18</v>
      </c>
      <c r="F9" s="6">
        <f>SUM(C9:E9)</f>
        <v>13674.210000000001</v>
      </c>
      <c r="G9" s="7">
        <v>45317</v>
      </c>
    </row>
    <row r="10" spans="1:7" x14ac:dyDescent="0.3">
      <c r="A10" s="4" t="s">
        <v>17</v>
      </c>
      <c r="B10" s="5" t="s">
        <v>15</v>
      </c>
      <c r="C10" s="6">
        <v>2548.7600000000002</v>
      </c>
      <c r="D10" s="6">
        <v>4337.6499999999996</v>
      </c>
      <c r="E10" s="6">
        <v>135.66</v>
      </c>
      <c r="F10" s="6">
        <f>SUM(C10:E10)</f>
        <v>7022.07</v>
      </c>
      <c r="G10" s="7">
        <v>45317</v>
      </c>
    </row>
    <row r="11" spans="1:7" x14ac:dyDescent="0.3">
      <c r="A11" s="34" t="s">
        <v>18</v>
      </c>
      <c r="B11" s="34"/>
      <c r="C11" s="34"/>
      <c r="D11" s="34"/>
      <c r="E11" s="34"/>
      <c r="F11" s="8">
        <f>SUM(F8:F10)</f>
        <v>1345478.64</v>
      </c>
      <c r="G11" s="1"/>
    </row>
    <row r="12" spans="1:7" x14ac:dyDescent="0.3">
      <c r="A12" s="1" t="s">
        <v>1</v>
      </c>
      <c r="B12" s="1" t="s">
        <v>19</v>
      </c>
      <c r="C12" s="1"/>
      <c r="D12" s="1"/>
      <c r="E12" s="1"/>
      <c r="F12" s="1"/>
      <c r="G12" s="1"/>
    </row>
    <row r="13" spans="1:7" x14ac:dyDescent="0.3">
      <c r="A13" s="1" t="s">
        <v>4</v>
      </c>
      <c r="B13" s="2">
        <v>20247708880</v>
      </c>
      <c r="C13" s="1"/>
      <c r="D13" s="1"/>
      <c r="E13" s="1"/>
      <c r="F13" s="1"/>
      <c r="G13" s="1"/>
    </row>
    <row r="14" spans="1:7" x14ac:dyDescent="0.3">
      <c r="A14" s="1" t="s">
        <v>5</v>
      </c>
      <c r="B14" s="1" t="s">
        <v>6</v>
      </c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13</v>
      </c>
    </row>
    <row r="17" spans="1:7" x14ac:dyDescent="0.3">
      <c r="A17" s="9" t="s">
        <v>20</v>
      </c>
      <c r="B17" s="5" t="s">
        <v>15</v>
      </c>
      <c r="C17" s="6">
        <v>6056.3</v>
      </c>
      <c r="D17" s="6">
        <v>8521.2000000000007</v>
      </c>
      <c r="E17" s="6">
        <v>287.18</v>
      </c>
      <c r="F17" s="6">
        <f>SUM(C17:E17)</f>
        <v>14864.68</v>
      </c>
      <c r="G17" s="7">
        <v>45317</v>
      </c>
    </row>
    <row r="18" spans="1:7" x14ac:dyDescent="0.3">
      <c r="A18" s="34" t="s">
        <v>21</v>
      </c>
      <c r="B18" s="34"/>
      <c r="C18" s="34"/>
      <c r="D18" s="34"/>
      <c r="E18" s="34"/>
      <c r="F18" s="8">
        <f>SUM(F17:F17)</f>
        <v>14864.68</v>
      </c>
      <c r="G18" s="10"/>
    </row>
    <row r="19" spans="1:7" x14ac:dyDescent="0.3">
      <c r="A19" s="28" t="s">
        <v>22</v>
      </c>
      <c r="B19" s="28"/>
      <c r="C19" s="28"/>
      <c r="D19" s="28"/>
      <c r="E19" s="28"/>
      <c r="F19" s="11">
        <f>+F11+F18</f>
        <v>1360343.3199999998</v>
      </c>
      <c r="G19" s="1"/>
    </row>
    <row r="20" spans="1:7" x14ac:dyDescent="0.3">
      <c r="A20" s="12"/>
      <c r="B20" s="12"/>
      <c r="C20" s="12"/>
      <c r="D20" s="12"/>
      <c r="E20" s="12"/>
      <c r="F20" s="13"/>
      <c r="G20" s="1"/>
    </row>
    <row r="21" spans="1:7" ht="15" thickBot="1" x14ac:dyDescent="0.35"/>
    <row r="22" spans="1:7" ht="15" thickBot="1" x14ac:dyDescent="0.35">
      <c r="A22" s="29" t="s">
        <v>0</v>
      </c>
      <c r="B22" s="30"/>
      <c r="C22" s="30"/>
      <c r="D22" s="30"/>
      <c r="E22" s="30"/>
      <c r="F22" s="30"/>
      <c r="G22" s="31"/>
    </row>
    <row r="23" spans="1:7" x14ac:dyDescent="0.3">
      <c r="A23" s="1" t="s">
        <v>1</v>
      </c>
      <c r="B23" s="1" t="s">
        <v>2</v>
      </c>
      <c r="C23" s="1"/>
      <c r="D23" s="1"/>
      <c r="E23" s="1"/>
      <c r="F23" s="32" t="s">
        <v>23</v>
      </c>
      <c r="G23" s="32"/>
    </row>
    <row r="24" spans="1:7" x14ac:dyDescent="0.3">
      <c r="A24" s="1" t="s">
        <v>4</v>
      </c>
      <c r="B24" s="2">
        <v>30716175061</v>
      </c>
      <c r="C24" s="1"/>
      <c r="D24" s="1"/>
      <c r="E24" s="1"/>
      <c r="F24" s="33"/>
      <c r="G24" s="33"/>
    </row>
    <row r="25" spans="1:7" x14ac:dyDescent="0.3">
      <c r="A25" s="1" t="s">
        <v>5</v>
      </c>
      <c r="B25" s="1" t="s">
        <v>6</v>
      </c>
      <c r="C25" s="1"/>
      <c r="D25" s="1"/>
      <c r="E25" s="1"/>
      <c r="F25" s="33"/>
      <c r="G25" s="33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3" t="s">
        <v>7</v>
      </c>
      <c r="B27" s="3" t="s">
        <v>8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13</v>
      </c>
    </row>
    <row r="28" spans="1:7" x14ac:dyDescent="0.3">
      <c r="A28" s="4" t="s">
        <v>24</v>
      </c>
      <c r="B28" s="5" t="s">
        <v>15</v>
      </c>
      <c r="C28" s="6">
        <v>61865.5</v>
      </c>
      <c r="D28" s="6">
        <v>10387.75</v>
      </c>
      <c r="E28" s="6">
        <v>0</v>
      </c>
      <c r="F28" s="6">
        <f>SUM(C28:E28)</f>
        <v>72253.25</v>
      </c>
      <c r="G28" s="7">
        <v>45338</v>
      </c>
    </row>
    <row r="29" spans="1:7" x14ac:dyDescent="0.3">
      <c r="A29" s="4" t="s">
        <v>25</v>
      </c>
      <c r="B29" s="5" t="s">
        <v>15</v>
      </c>
      <c r="C29" s="6">
        <v>1171474.6399999999</v>
      </c>
      <c r="D29" s="6">
        <v>127713.71</v>
      </c>
      <c r="E29" s="6">
        <v>0</v>
      </c>
      <c r="F29" s="6">
        <f>SUM(C29:E29)</f>
        <v>1299188.3499999999</v>
      </c>
      <c r="G29" s="7">
        <v>45338</v>
      </c>
    </row>
    <row r="30" spans="1:7" x14ac:dyDescent="0.3">
      <c r="A30" s="4" t="s">
        <v>26</v>
      </c>
      <c r="B30" s="5" t="s">
        <v>15</v>
      </c>
      <c r="C30" s="6">
        <v>4014.99</v>
      </c>
      <c r="D30" s="6">
        <v>9154.14</v>
      </c>
      <c r="E30" s="6">
        <v>0</v>
      </c>
      <c r="F30" s="6">
        <f>SUM(C30:E30)</f>
        <v>13169.13</v>
      </c>
      <c r="G30" s="7">
        <v>45338</v>
      </c>
    </row>
    <row r="31" spans="1:7" x14ac:dyDescent="0.3">
      <c r="A31" s="4" t="s">
        <v>27</v>
      </c>
      <c r="B31" s="5" t="s">
        <v>15</v>
      </c>
      <c r="C31" s="6">
        <v>2548.7600000000002</v>
      </c>
      <c r="D31" s="6">
        <v>4612.1499999999996</v>
      </c>
      <c r="E31" s="6">
        <v>0</v>
      </c>
      <c r="F31" s="6">
        <f>SUM(C31:E31)</f>
        <v>7160.91</v>
      </c>
      <c r="G31" s="7">
        <v>45338</v>
      </c>
    </row>
    <row r="32" spans="1:7" x14ac:dyDescent="0.3">
      <c r="A32" s="34" t="s">
        <v>18</v>
      </c>
      <c r="B32" s="34"/>
      <c r="C32" s="34"/>
      <c r="D32" s="34"/>
      <c r="E32" s="34"/>
      <c r="F32" s="8">
        <f>SUM(F28:F31)</f>
        <v>1391771.6399999997</v>
      </c>
      <c r="G32" s="1"/>
    </row>
    <row r="33" spans="1:7" x14ac:dyDescent="0.3">
      <c r="A33" s="1" t="s">
        <v>1</v>
      </c>
      <c r="B33" s="1" t="s">
        <v>19</v>
      </c>
      <c r="C33" s="1"/>
      <c r="D33" s="1"/>
      <c r="E33" s="1"/>
      <c r="F33" s="1"/>
      <c r="G33" s="1"/>
    </row>
    <row r="34" spans="1:7" x14ac:dyDescent="0.3">
      <c r="A34" s="1" t="s">
        <v>4</v>
      </c>
      <c r="B34" s="2">
        <v>20247708880</v>
      </c>
      <c r="C34" s="1"/>
      <c r="D34" s="1"/>
      <c r="E34" s="1"/>
      <c r="F34" s="1"/>
      <c r="G34" s="1"/>
    </row>
    <row r="35" spans="1:7" x14ac:dyDescent="0.3">
      <c r="A35" s="1" t="s">
        <v>5</v>
      </c>
      <c r="B35" s="1" t="s">
        <v>6</v>
      </c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3" t="s">
        <v>7</v>
      </c>
      <c r="B37" s="3" t="s">
        <v>8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13</v>
      </c>
    </row>
    <row r="38" spans="1:7" x14ac:dyDescent="0.3">
      <c r="A38" s="9" t="s">
        <v>28</v>
      </c>
      <c r="B38" s="5" t="s">
        <v>15</v>
      </c>
      <c r="C38" s="6">
        <v>31373.439999999999</v>
      </c>
      <c r="D38" s="6">
        <v>5897.73</v>
      </c>
      <c r="E38" s="6">
        <v>0</v>
      </c>
      <c r="F38" s="6">
        <f>SUM(C38:E38)</f>
        <v>37271.17</v>
      </c>
      <c r="G38" s="7">
        <v>45338</v>
      </c>
    </row>
    <row r="39" spans="1:7" x14ac:dyDescent="0.3">
      <c r="A39" s="9" t="s">
        <v>29</v>
      </c>
      <c r="B39" s="5" t="s">
        <v>15</v>
      </c>
      <c r="C39" s="6">
        <v>6056.3</v>
      </c>
      <c r="D39" s="6">
        <v>7953.12</v>
      </c>
      <c r="E39" s="6">
        <v>0</v>
      </c>
      <c r="F39" s="6">
        <f>SUM(C39:E39)</f>
        <v>14009.42</v>
      </c>
      <c r="G39" s="7">
        <v>45338</v>
      </c>
    </row>
    <row r="40" spans="1:7" x14ac:dyDescent="0.3">
      <c r="A40" s="34" t="s">
        <v>21</v>
      </c>
      <c r="B40" s="34"/>
      <c r="C40" s="34"/>
      <c r="D40" s="34"/>
      <c r="E40" s="34"/>
      <c r="F40" s="8">
        <f>SUM(F38:F39)</f>
        <v>51280.59</v>
      </c>
      <c r="G40" s="10"/>
    </row>
    <row r="41" spans="1:7" x14ac:dyDescent="0.3">
      <c r="A41" s="28" t="s">
        <v>22</v>
      </c>
      <c r="B41" s="28"/>
      <c r="C41" s="28"/>
      <c r="D41" s="28"/>
      <c r="E41" s="28"/>
      <c r="F41" s="11">
        <f>+F32+F40</f>
        <v>1443052.2299999997</v>
      </c>
      <c r="G41" s="1"/>
    </row>
    <row r="43" spans="1:7" ht="15" thickBot="1" x14ac:dyDescent="0.35"/>
    <row r="44" spans="1:7" ht="15" thickBot="1" x14ac:dyDescent="0.35">
      <c r="A44" s="29" t="s">
        <v>0</v>
      </c>
      <c r="B44" s="30"/>
      <c r="C44" s="30"/>
      <c r="D44" s="30"/>
      <c r="E44" s="30"/>
      <c r="F44" s="30"/>
      <c r="G44" s="31"/>
    </row>
    <row r="45" spans="1:7" x14ac:dyDescent="0.3">
      <c r="A45" s="1" t="s">
        <v>1</v>
      </c>
      <c r="B45" s="1" t="s">
        <v>2</v>
      </c>
      <c r="C45" s="1"/>
      <c r="D45" s="1"/>
      <c r="E45" s="1"/>
      <c r="F45" s="32" t="s">
        <v>30</v>
      </c>
      <c r="G45" s="32"/>
    </row>
    <row r="46" spans="1:7" x14ac:dyDescent="0.3">
      <c r="A46" s="1" t="s">
        <v>4</v>
      </c>
      <c r="B46" s="2">
        <v>30716175061</v>
      </c>
      <c r="C46" s="1"/>
      <c r="D46" s="1"/>
      <c r="E46" s="1"/>
      <c r="F46" s="33"/>
      <c r="G46" s="33"/>
    </row>
    <row r="47" spans="1:7" x14ac:dyDescent="0.3">
      <c r="A47" s="1" t="s">
        <v>5</v>
      </c>
      <c r="B47" s="1" t="s">
        <v>6</v>
      </c>
      <c r="C47" s="1"/>
      <c r="D47" s="1"/>
      <c r="E47" s="1"/>
      <c r="F47" s="33"/>
      <c r="G47" s="33"/>
    </row>
    <row r="48" spans="1:7" x14ac:dyDescent="0.3">
      <c r="A48" s="1"/>
      <c r="B48" s="1"/>
      <c r="C48" s="1"/>
      <c r="D48" s="1"/>
      <c r="E48" s="1"/>
      <c r="F48" s="1"/>
      <c r="G48" s="1"/>
    </row>
    <row r="49" spans="1:8" x14ac:dyDescent="0.3">
      <c r="A49" s="3" t="s">
        <v>7</v>
      </c>
      <c r="B49" s="3" t="s">
        <v>8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13</v>
      </c>
    </row>
    <row r="50" spans="1:8" x14ac:dyDescent="0.3">
      <c r="A50" s="4" t="s">
        <v>24</v>
      </c>
      <c r="B50" s="5" t="s">
        <v>15</v>
      </c>
      <c r="C50" s="6">
        <v>61865.5</v>
      </c>
      <c r="D50" s="6">
        <v>10387.75</v>
      </c>
      <c r="E50" s="6">
        <v>3677.69</v>
      </c>
      <c r="F50" s="6">
        <f>SUM(C50:E50)</f>
        <v>75930.94</v>
      </c>
      <c r="G50" s="7">
        <v>45377</v>
      </c>
    </row>
    <row r="51" spans="1:8" x14ac:dyDescent="0.3">
      <c r="A51" s="4" t="s">
        <v>25</v>
      </c>
      <c r="B51" s="5" t="s">
        <v>15</v>
      </c>
      <c r="C51" s="6">
        <v>1171474.6399999999</v>
      </c>
      <c r="D51" s="6">
        <v>127713.71</v>
      </c>
      <c r="E51" s="6">
        <v>66128.69</v>
      </c>
      <c r="F51" s="6">
        <f>SUM(C51:E51)</f>
        <v>1365317.0399999998</v>
      </c>
      <c r="G51" s="7">
        <v>45377</v>
      </c>
      <c r="H51" s="14" t="s">
        <v>31</v>
      </c>
    </row>
    <row r="52" spans="1:8" x14ac:dyDescent="0.3">
      <c r="A52" s="4" t="s">
        <v>26</v>
      </c>
      <c r="B52" s="5" t="s">
        <v>15</v>
      </c>
      <c r="C52" s="6">
        <v>4014.99</v>
      </c>
      <c r="D52" s="6">
        <v>8913.24</v>
      </c>
      <c r="E52" s="6">
        <v>658.04</v>
      </c>
      <c r="F52" s="6">
        <f>SUM(C52:E52)</f>
        <v>13586.27</v>
      </c>
      <c r="G52" s="7">
        <v>45377</v>
      </c>
    </row>
    <row r="53" spans="1:8" x14ac:dyDescent="0.3">
      <c r="A53" s="4" t="s">
        <v>27</v>
      </c>
      <c r="B53" s="5" t="s">
        <v>15</v>
      </c>
      <c r="C53" s="6">
        <v>2548.7600000000002</v>
      </c>
      <c r="D53" s="6">
        <v>4886.6499999999996</v>
      </c>
      <c r="E53" s="6">
        <v>378.46</v>
      </c>
      <c r="F53" s="6">
        <f>SUM(C53:E53)</f>
        <v>7813.87</v>
      </c>
      <c r="G53" s="7">
        <v>45377</v>
      </c>
    </row>
    <row r="54" spans="1:8" x14ac:dyDescent="0.3">
      <c r="A54" s="34" t="s">
        <v>18</v>
      </c>
      <c r="B54" s="34"/>
      <c r="C54" s="34"/>
      <c r="D54" s="34"/>
      <c r="E54" s="34"/>
      <c r="F54" s="8">
        <f>SUM(F50:F53)</f>
        <v>1462648.1199999999</v>
      </c>
      <c r="G54" s="1"/>
    </row>
    <row r="55" spans="1:8" x14ac:dyDescent="0.3">
      <c r="A55" s="1" t="s">
        <v>1</v>
      </c>
      <c r="B55" s="1" t="s">
        <v>19</v>
      </c>
      <c r="C55" s="1"/>
      <c r="D55" s="1"/>
      <c r="E55" s="1"/>
      <c r="F55" s="1"/>
      <c r="G55" s="1"/>
    </row>
    <row r="56" spans="1:8" x14ac:dyDescent="0.3">
      <c r="A56" s="1" t="s">
        <v>4</v>
      </c>
      <c r="B56" s="2">
        <v>20247708880</v>
      </c>
      <c r="C56" s="1"/>
      <c r="D56" s="1"/>
      <c r="E56" s="1"/>
      <c r="F56" s="1"/>
      <c r="G56" s="1"/>
    </row>
    <row r="57" spans="1:8" x14ac:dyDescent="0.3">
      <c r="A57" s="1" t="s">
        <v>5</v>
      </c>
      <c r="B57" s="1" t="s">
        <v>6</v>
      </c>
      <c r="C57" s="1"/>
      <c r="D57" s="1"/>
      <c r="E57" s="1"/>
      <c r="F57" s="1"/>
      <c r="G57" s="1"/>
    </row>
    <row r="58" spans="1:8" x14ac:dyDescent="0.3">
      <c r="A58" s="1"/>
      <c r="B58" s="1"/>
      <c r="C58" s="1"/>
      <c r="D58" s="1"/>
      <c r="E58" s="1"/>
      <c r="F58" s="1"/>
      <c r="G58" s="1"/>
    </row>
    <row r="59" spans="1:8" x14ac:dyDescent="0.3">
      <c r="A59" s="3" t="s">
        <v>7</v>
      </c>
      <c r="B59" s="3" t="s">
        <v>8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13</v>
      </c>
    </row>
    <row r="60" spans="1:8" x14ac:dyDescent="0.3">
      <c r="A60" s="9" t="s">
        <v>28</v>
      </c>
      <c r="B60" s="5" t="s">
        <v>15</v>
      </c>
      <c r="C60" s="6">
        <v>31373.439999999999</v>
      </c>
      <c r="D60" s="6">
        <v>5897.73</v>
      </c>
      <c r="E60" s="6">
        <v>1897.1</v>
      </c>
      <c r="F60" s="6">
        <f>SUM(C60:E60)</f>
        <v>39168.269999999997</v>
      </c>
      <c r="G60" s="7">
        <v>45377</v>
      </c>
    </row>
    <row r="61" spans="1:8" x14ac:dyDescent="0.3">
      <c r="A61" s="9" t="s">
        <v>29</v>
      </c>
      <c r="B61" s="5" t="s">
        <v>15</v>
      </c>
      <c r="C61" s="6">
        <v>6056.3</v>
      </c>
      <c r="D61" s="6">
        <v>7385.04</v>
      </c>
      <c r="E61" s="6">
        <v>684.16</v>
      </c>
      <c r="F61" s="6">
        <f>SUM(C61:E61)</f>
        <v>14125.5</v>
      </c>
      <c r="G61" s="7">
        <v>45377</v>
      </c>
    </row>
    <row r="62" spans="1:8" x14ac:dyDescent="0.3">
      <c r="A62" s="34" t="s">
        <v>21</v>
      </c>
      <c r="B62" s="34"/>
      <c r="C62" s="34"/>
      <c r="D62" s="34"/>
      <c r="E62" s="34"/>
      <c r="F62" s="8">
        <f>SUM(F60:F61)</f>
        <v>53293.77</v>
      </c>
      <c r="G62" s="10"/>
    </row>
    <row r="63" spans="1:8" x14ac:dyDescent="0.3">
      <c r="A63" s="28" t="s">
        <v>22</v>
      </c>
      <c r="B63" s="28"/>
      <c r="C63" s="28"/>
      <c r="D63" s="28"/>
      <c r="E63" s="28"/>
      <c r="F63" s="11">
        <f>+F54+F62</f>
        <v>1515941.89</v>
      </c>
      <c r="G63" s="1"/>
    </row>
    <row r="65" spans="1:8" ht="15" thickBot="1" x14ac:dyDescent="0.35"/>
    <row r="66" spans="1:8" ht="15" thickBot="1" x14ac:dyDescent="0.35">
      <c r="A66" s="29" t="s">
        <v>0</v>
      </c>
      <c r="B66" s="30"/>
      <c r="C66" s="30"/>
      <c r="D66" s="30"/>
      <c r="E66" s="30"/>
      <c r="F66" s="30"/>
      <c r="G66" s="31"/>
    </row>
    <row r="67" spans="1:8" x14ac:dyDescent="0.3">
      <c r="A67" s="1" t="s">
        <v>1</v>
      </c>
      <c r="B67" s="1" t="s">
        <v>2</v>
      </c>
      <c r="C67" s="1"/>
      <c r="D67" s="1"/>
      <c r="E67" s="1"/>
      <c r="F67" s="32" t="s">
        <v>32</v>
      </c>
      <c r="G67" s="32"/>
    </row>
    <row r="68" spans="1:8" x14ac:dyDescent="0.3">
      <c r="A68" s="1" t="s">
        <v>4</v>
      </c>
      <c r="B68" s="2">
        <v>30716175061</v>
      </c>
      <c r="C68" s="1"/>
      <c r="D68" s="1"/>
      <c r="E68" s="1"/>
      <c r="F68" s="33"/>
      <c r="G68" s="33"/>
    </row>
    <row r="69" spans="1:8" x14ac:dyDescent="0.3">
      <c r="A69" s="1" t="s">
        <v>5</v>
      </c>
      <c r="B69" s="1" t="s">
        <v>6</v>
      </c>
      <c r="C69" s="1"/>
      <c r="D69" s="1"/>
      <c r="E69" s="1"/>
      <c r="F69" s="33"/>
      <c r="G69" s="33"/>
    </row>
    <row r="70" spans="1:8" x14ac:dyDescent="0.3">
      <c r="A70" s="1"/>
      <c r="B70" s="1"/>
      <c r="C70" s="1"/>
      <c r="D70" s="1"/>
      <c r="E70" s="1"/>
      <c r="F70" s="1"/>
      <c r="G70" s="1"/>
    </row>
    <row r="71" spans="1:8" x14ac:dyDescent="0.3">
      <c r="A71" s="3" t="s">
        <v>7</v>
      </c>
      <c r="B71" s="3" t="s">
        <v>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13</v>
      </c>
    </row>
    <row r="72" spans="1:8" x14ac:dyDescent="0.3">
      <c r="A72" s="4" t="s">
        <v>24</v>
      </c>
      <c r="B72" s="5" t="s">
        <v>15</v>
      </c>
      <c r="C72" s="6">
        <v>61865.5</v>
      </c>
      <c r="D72" s="6">
        <v>10387.75</v>
      </c>
      <c r="E72" s="6">
        <v>2906.99</v>
      </c>
      <c r="F72" s="6">
        <f>SUM(C72:E72)</f>
        <v>75160.240000000005</v>
      </c>
      <c r="G72" s="7">
        <v>45408</v>
      </c>
      <c r="H72" s="14" t="s">
        <v>31</v>
      </c>
    </row>
    <row r="73" spans="1:8" x14ac:dyDescent="0.3">
      <c r="A73" s="4" t="s">
        <v>16</v>
      </c>
      <c r="B73" s="5" t="s">
        <v>15</v>
      </c>
      <c r="C73" s="6">
        <v>4014.99</v>
      </c>
      <c r="D73" s="6">
        <v>8571.16</v>
      </c>
      <c r="E73" s="6">
        <v>506.38</v>
      </c>
      <c r="F73" s="6">
        <f>SUM(C73:E73)</f>
        <v>13092.529999999999</v>
      </c>
      <c r="G73" s="7">
        <v>45408</v>
      </c>
    </row>
    <row r="74" spans="1:8" x14ac:dyDescent="0.3">
      <c r="A74" s="4" t="s">
        <v>17</v>
      </c>
      <c r="B74" s="5" t="s">
        <v>15</v>
      </c>
      <c r="C74" s="6">
        <v>2548.7600000000002</v>
      </c>
      <c r="D74" s="6">
        <v>5161.16</v>
      </c>
      <c r="E74" s="6">
        <v>310.19</v>
      </c>
      <c r="F74" s="6">
        <f>SUM(C74:E74)</f>
        <v>8020.11</v>
      </c>
      <c r="G74" s="7">
        <v>45408</v>
      </c>
    </row>
    <row r="75" spans="1:8" x14ac:dyDescent="0.3">
      <c r="A75" s="34" t="s">
        <v>18</v>
      </c>
      <c r="B75" s="34"/>
      <c r="C75" s="34"/>
      <c r="D75" s="34"/>
      <c r="E75" s="34"/>
      <c r="F75" s="8">
        <f>SUM(F72:F74)</f>
        <v>96272.88</v>
      </c>
      <c r="G75" s="1"/>
    </row>
    <row r="76" spans="1:8" x14ac:dyDescent="0.3">
      <c r="A76" s="1" t="s">
        <v>1</v>
      </c>
      <c r="B76" s="1" t="s">
        <v>19</v>
      </c>
      <c r="C76" s="1"/>
      <c r="D76" s="1"/>
      <c r="E76" s="1"/>
      <c r="F76" s="1"/>
      <c r="G76" s="1"/>
    </row>
    <row r="77" spans="1:8" x14ac:dyDescent="0.3">
      <c r="A77" s="1" t="s">
        <v>4</v>
      </c>
      <c r="B77" s="2">
        <v>20247708880</v>
      </c>
      <c r="C77" s="1"/>
      <c r="D77" s="1"/>
      <c r="E77" s="1"/>
      <c r="F77" s="1"/>
      <c r="G77" s="1"/>
    </row>
    <row r="78" spans="1:8" x14ac:dyDescent="0.3">
      <c r="A78" s="1" t="s">
        <v>5</v>
      </c>
      <c r="B78" s="1" t="s">
        <v>6</v>
      </c>
      <c r="C78" s="1"/>
      <c r="D78" s="1"/>
      <c r="E78" s="1"/>
      <c r="F78" s="1"/>
      <c r="G78" s="1"/>
    </row>
    <row r="79" spans="1:8" x14ac:dyDescent="0.3">
      <c r="A79" s="1"/>
      <c r="B79" s="1"/>
      <c r="C79" s="1"/>
      <c r="D79" s="1"/>
      <c r="E79" s="1"/>
      <c r="F79" s="1"/>
      <c r="G79" s="1"/>
    </row>
    <row r="80" spans="1:8" x14ac:dyDescent="0.3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13</v>
      </c>
    </row>
    <row r="81" spans="1:8" x14ac:dyDescent="0.3">
      <c r="A81" s="9" t="s">
        <v>28</v>
      </c>
      <c r="B81" s="5" t="s">
        <v>15</v>
      </c>
      <c r="C81" s="6">
        <v>31373.439999999999</v>
      </c>
      <c r="D81" s="6">
        <v>5897.73</v>
      </c>
      <c r="E81" s="6">
        <v>1499.54</v>
      </c>
      <c r="F81" s="6">
        <f>SUM(C81:E81)</f>
        <v>38770.71</v>
      </c>
      <c r="G81" s="7">
        <v>45408</v>
      </c>
      <c r="H81" s="14" t="s">
        <v>31</v>
      </c>
    </row>
    <row r="82" spans="1:8" x14ac:dyDescent="0.3">
      <c r="A82" s="9" t="s">
        <v>29</v>
      </c>
      <c r="B82" s="5" t="s">
        <v>15</v>
      </c>
      <c r="C82" s="6">
        <v>6056.3</v>
      </c>
      <c r="D82" s="6">
        <v>4309.66</v>
      </c>
      <c r="E82" s="6">
        <v>417.06</v>
      </c>
      <c r="F82" s="6">
        <f>SUM(C82:E82)</f>
        <v>10783.019999999999</v>
      </c>
      <c r="G82" s="7">
        <v>45408</v>
      </c>
    </row>
    <row r="83" spans="1:8" x14ac:dyDescent="0.3">
      <c r="A83" s="34" t="s">
        <v>21</v>
      </c>
      <c r="B83" s="34"/>
      <c r="C83" s="34"/>
      <c r="D83" s="34"/>
      <c r="E83" s="34"/>
      <c r="F83" s="8">
        <f>SUM(F81:F82)</f>
        <v>49553.729999999996</v>
      </c>
      <c r="G83" s="10"/>
    </row>
    <row r="84" spans="1:8" x14ac:dyDescent="0.3">
      <c r="A84" s="28" t="s">
        <v>22</v>
      </c>
      <c r="B84" s="28"/>
      <c r="C84" s="28"/>
      <c r="D84" s="28"/>
      <c r="E84" s="28"/>
      <c r="F84" s="11">
        <f>+F75+F83</f>
        <v>145826.60999999999</v>
      </c>
      <c r="G84" s="1"/>
    </row>
    <row r="86" spans="1:8" ht="15" thickBot="1" x14ac:dyDescent="0.35"/>
    <row r="87" spans="1:8" ht="15" thickBot="1" x14ac:dyDescent="0.35">
      <c r="A87" s="29" t="s">
        <v>0</v>
      </c>
      <c r="B87" s="30"/>
      <c r="C87" s="30"/>
      <c r="D87" s="30"/>
      <c r="E87" s="30"/>
      <c r="F87" s="30"/>
      <c r="G87" s="31"/>
    </row>
    <row r="88" spans="1:8" x14ac:dyDescent="0.3">
      <c r="A88" s="1" t="s">
        <v>1</v>
      </c>
      <c r="B88" s="1" t="s">
        <v>2</v>
      </c>
      <c r="C88" s="1"/>
      <c r="D88" s="1"/>
      <c r="E88" s="1"/>
      <c r="F88" s="32" t="s">
        <v>33</v>
      </c>
      <c r="G88" s="32"/>
    </row>
    <row r="89" spans="1:8" x14ac:dyDescent="0.3">
      <c r="A89" s="1" t="s">
        <v>4</v>
      </c>
      <c r="B89" s="2">
        <v>30716175061</v>
      </c>
      <c r="C89" s="1"/>
      <c r="D89" s="1"/>
      <c r="E89" s="1"/>
      <c r="F89" s="33"/>
      <c r="G89" s="33"/>
    </row>
    <row r="90" spans="1:8" x14ac:dyDescent="0.3">
      <c r="A90" s="1" t="s">
        <v>5</v>
      </c>
      <c r="B90" s="1" t="s">
        <v>6</v>
      </c>
      <c r="C90" s="1"/>
      <c r="D90" s="1"/>
      <c r="E90" s="1"/>
      <c r="F90" s="33"/>
      <c r="G90" s="33"/>
    </row>
    <row r="91" spans="1:8" x14ac:dyDescent="0.3">
      <c r="A91" s="1"/>
      <c r="B91" s="1"/>
      <c r="C91" s="1"/>
      <c r="D91" s="1"/>
      <c r="E91" s="1"/>
      <c r="F91" s="1"/>
      <c r="G91" s="1"/>
    </row>
    <row r="92" spans="1:8" x14ac:dyDescent="0.3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13</v>
      </c>
    </row>
    <row r="93" spans="1:8" x14ac:dyDescent="0.3">
      <c r="A93" s="4" t="s">
        <v>34</v>
      </c>
      <c r="B93" s="5" t="s">
        <v>15</v>
      </c>
      <c r="C93" s="6">
        <v>4014.99</v>
      </c>
      <c r="D93" s="6">
        <v>8333.07</v>
      </c>
      <c r="E93" s="6">
        <v>0</v>
      </c>
      <c r="F93" s="6">
        <f>SUM(C93:E93)</f>
        <v>12348.06</v>
      </c>
      <c r="G93" s="7">
        <v>45428</v>
      </c>
    </row>
    <row r="94" spans="1:8" x14ac:dyDescent="0.3">
      <c r="A94" s="4" t="s">
        <v>35</v>
      </c>
      <c r="B94" s="5" t="s">
        <v>15</v>
      </c>
      <c r="C94" s="6">
        <v>2548.7600000000002</v>
      </c>
      <c r="D94" s="6">
        <v>5435.66</v>
      </c>
      <c r="E94" s="6">
        <v>0</v>
      </c>
      <c r="F94" s="6">
        <f>SUM(C94:E94)</f>
        <v>7984.42</v>
      </c>
      <c r="G94" s="7">
        <v>45428</v>
      </c>
    </row>
    <row r="95" spans="1:8" x14ac:dyDescent="0.3">
      <c r="A95" s="34" t="s">
        <v>18</v>
      </c>
      <c r="B95" s="34"/>
      <c r="C95" s="34"/>
      <c r="D95" s="34"/>
      <c r="E95" s="34"/>
      <c r="F95" s="8">
        <f>SUM(F93:F94)</f>
        <v>20332.48</v>
      </c>
      <c r="G95" s="1"/>
    </row>
    <row r="96" spans="1:8" x14ac:dyDescent="0.3">
      <c r="A96" s="1" t="s">
        <v>1</v>
      </c>
      <c r="B96" s="1" t="s">
        <v>19</v>
      </c>
      <c r="C96" s="1"/>
      <c r="D96" s="1"/>
      <c r="E96" s="1"/>
      <c r="F96" s="1"/>
      <c r="G96" s="1"/>
    </row>
    <row r="97" spans="1:7" x14ac:dyDescent="0.3">
      <c r="A97" s="1" t="s">
        <v>4</v>
      </c>
      <c r="B97" s="2">
        <v>20247708880</v>
      </c>
      <c r="C97" s="1"/>
      <c r="D97" s="1"/>
      <c r="E97" s="1"/>
      <c r="F97" s="1"/>
      <c r="G97" s="1"/>
    </row>
    <row r="98" spans="1:7" x14ac:dyDescent="0.3">
      <c r="A98" s="1" t="s">
        <v>5</v>
      </c>
      <c r="B98" s="1" t="s">
        <v>6</v>
      </c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13</v>
      </c>
    </row>
    <row r="101" spans="1:7" x14ac:dyDescent="0.3">
      <c r="A101" s="9" t="s">
        <v>20</v>
      </c>
      <c r="B101" s="5" t="s">
        <v>15</v>
      </c>
      <c r="C101" s="6">
        <v>6056.3</v>
      </c>
      <c r="D101" s="6">
        <v>3950.52</v>
      </c>
      <c r="E101" s="6">
        <v>0</v>
      </c>
      <c r="F101" s="6">
        <f>SUM(C101:E101)</f>
        <v>10006.82</v>
      </c>
      <c r="G101" s="7">
        <v>45428</v>
      </c>
    </row>
    <row r="102" spans="1:7" x14ac:dyDescent="0.3">
      <c r="A102" s="34" t="s">
        <v>21</v>
      </c>
      <c r="B102" s="34"/>
      <c r="C102" s="34"/>
      <c r="D102" s="34"/>
      <c r="E102" s="34"/>
      <c r="F102" s="8">
        <f>SUM(F101:F101)</f>
        <v>10006.82</v>
      </c>
      <c r="G102" s="10"/>
    </row>
    <row r="103" spans="1:7" x14ac:dyDescent="0.3">
      <c r="A103" s="28" t="s">
        <v>22</v>
      </c>
      <c r="B103" s="28"/>
      <c r="C103" s="28"/>
      <c r="D103" s="28"/>
      <c r="E103" s="28"/>
      <c r="F103" s="11">
        <f>+F95+F102</f>
        <v>30339.3</v>
      </c>
      <c r="G103" s="1"/>
    </row>
    <row r="105" spans="1:7" ht="15" thickBot="1" x14ac:dyDescent="0.35"/>
    <row r="106" spans="1:7" ht="15" thickBot="1" x14ac:dyDescent="0.35">
      <c r="A106" s="29" t="s">
        <v>0</v>
      </c>
      <c r="B106" s="30"/>
      <c r="C106" s="30"/>
      <c r="D106" s="30"/>
      <c r="E106" s="30"/>
      <c r="F106" s="30"/>
      <c r="G106" s="31"/>
    </row>
    <row r="107" spans="1:7" x14ac:dyDescent="0.3">
      <c r="A107" s="1" t="s">
        <v>1</v>
      </c>
      <c r="B107" s="1" t="s">
        <v>2</v>
      </c>
      <c r="C107" s="1"/>
      <c r="D107" s="1"/>
      <c r="E107" s="1"/>
      <c r="F107" s="32" t="s">
        <v>36</v>
      </c>
      <c r="G107" s="32"/>
    </row>
    <row r="108" spans="1:7" x14ac:dyDescent="0.3">
      <c r="A108" s="1" t="s">
        <v>4</v>
      </c>
      <c r="B108" s="2">
        <v>30716175061</v>
      </c>
      <c r="C108" s="1"/>
      <c r="D108" s="1"/>
      <c r="E108" s="1"/>
      <c r="F108" s="33"/>
      <c r="G108" s="33"/>
    </row>
    <row r="109" spans="1:7" x14ac:dyDescent="0.3">
      <c r="A109" s="1" t="s">
        <v>5</v>
      </c>
      <c r="B109" s="1" t="s">
        <v>6</v>
      </c>
      <c r="C109" s="1"/>
      <c r="D109" s="1"/>
      <c r="E109" s="1"/>
      <c r="F109" s="33"/>
      <c r="G109" s="33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3" t="s">
        <v>7</v>
      </c>
      <c r="B111" s="3" t="s">
        <v>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13</v>
      </c>
    </row>
    <row r="112" spans="1:7" x14ac:dyDescent="0.3">
      <c r="A112" s="4" t="s">
        <v>34</v>
      </c>
      <c r="B112" s="5" t="s">
        <v>15</v>
      </c>
      <c r="C112" s="6">
        <v>4014.99</v>
      </c>
      <c r="D112" s="6">
        <v>8094.99</v>
      </c>
      <c r="E112" s="6">
        <v>0</v>
      </c>
      <c r="F112" s="6">
        <f>SUM(C112:E112)</f>
        <v>12109.98</v>
      </c>
      <c r="G112" s="7">
        <v>45459</v>
      </c>
    </row>
    <row r="113" spans="1:7" x14ac:dyDescent="0.3">
      <c r="A113" s="4" t="s">
        <v>35</v>
      </c>
      <c r="B113" s="5" t="s">
        <v>15</v>
      </c>
      <c r="C113" s="6">
        <v>2548.7600000000002</v>
      </c>
      <c r="D113" s="6">
        <v>5503.45</v>
      </c>
      <c r="E113" s="6">
        <v>0</v>
      </c>
      <c r="F113" s="6">
        <f>SUM(C113:E113)</f>
        <v>8052.21</v>
      </c>
      <c r="G113" s="7">
        <v>45459</v>
      </c>
    </row>
    <row r="114" spans="1:7" x14ac:dyDescent="0.3">
      <c r="A114" s="34" t="s">
        <v>18</v>
      </c>
      <c r="B114" s="34"/>
      <c r="C114" s="34"/>
      <c r="D114" s="34"/>
      <c r="E114" s="34"/>
      <c r="F114" s="8">
        <f>SUM(F112:F113)</f>
        <v>20162.189999999999</v>
      </c>
      <c r="G114" s="1"/>
    </row>
    <row r="115" spans="1:7" x14ac:dyDescent="0.3">
      <c r="A115" s="1" t="s">
        <v>1</v>
      </c>
      <c r="B115" s="1" t="s">
        <v>19</v>
      </c>
      <c r="C115" s="1"/>
      <c r="D115" s="1"/>
      <c r="E115" s="1"/>
      <c r="F115" s="1"/>
      <c r="G115" s="1"/>
    </row>
    <row r="116" spans="1:7" x14ac:dyDescent="0.3">
      <c r="A116" s="1" t="s">
        <v>4</v>
      </c>
      <c r="B116" s="2">
        <v>20247708880</v>
      </c>
      <c r="C116" s="1"/>
      <c r="D116" s="1"/>
      <c r="E116" s="1"/>
      <c r="F116" s="1"/>
      <c r="G116" s="1"/>
    </row>
    <row r="117" spans="1:7" x14ac:dyDescent="0.3">
      <c r="A117" s="1" t="s">
        <v>5</v>
      </c>
      <c r="B117" s="1" t="s">
        <v>6</v>
      </c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3" t="s">
        <v>7</v>
      </c>
      <c r="B119" s="3" t="s">
        <v>8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13</v>
      </c>
    </row>
    <row r="120" spans="1:7" x14ac:dyDescent="0.3">
      <c r="A120" s="9" t="s">
        <v>20</v>
      </c>
      <c r="B120" s="5" t="s">
        <v>15</v>
      </c>
      <c r="C120" s="6">
        <v>6056.3</v>
      </c>
      <c r="D120" s="6">
        <v>3591.38</v>
      </c>
      <c r="E120" s="6">
        <v>0</v>
      </c>
      <c r="F120" s="6">
        <f>SUM(C120:E120)</f>
        <v>9647.68</v>
      </c>
      <c r="G120" s="7">
        <v>45459</v>
      </c>
    </row>
    <row r="121" spans="1:7" x14ac:dyDescent="0.3">
      <c r="A121" s="34" t="s">
        <v>21</v>
      </c>
      <c r="B121" s="34"/>
      <c r="C121" s="34"/>
      <c r="D121" s="34"/>
      <c r="E121" s="34"/>
      <c r="F121" s="8">
        <f>SUM(F120:F120)</f>
        <v>9647.68</v>
      </c>
      <c r="G121" s="10"/>
    </row>
    <row r="122" spans="1:7" x14ac:dyDescent="0.3">
      <c r="A122" s="28" t="s">
        <v>22</v>
      </c>
      <c r="B122" s="28"/>
      <c r="C122" s="28"/>
      <c r="D122" s="28"/>
      <c r="E122" s="28"/>
      <c r="F122" s="11">
        <f>+F114+F121</f>
        <v>29809.87</v>
      </c>
      <c r="G122" s="1"/>
    </row>
    <row r="124" spans="1:7" ht="15" thickBot="1" x14ac:dyDescent="0.35"/>
    <row r="125" spans="1:7" ht="15" thickBot="1" x14ac:dyDescent="0.35">
      <c r="A125" s="29" t="s">
        <v>0</v>
      </c>
      <c r="B125" s="30"/>
      <c r="C125" s="30"/>
      <c r="D125" s="30"/>
      <c r="E125" s="30"/>
      <c r="F125" s="30"/>
      <c r="G125" s="31"/>
    </row>
    <row r="126" spans="1:7" x14ac:dyDescent="0.3">
      <c r="A126" s="1" t="s">
        <v>1</v>
      </c>
      <c r="B126" s="1" t="s">
        <v>2</v>
      </c>
      <c r="C126" s="1"/>
      <c r="D126" s="1"/>
      <c r="E126" s="1"/>
      <c r="F126" s="32" t="s">
        <v>37</v>
      </c>
      <c r="G126" s="32"/>
    </row>
    <row r="127" spans="1:7" x14ac:dyDescent="0.3">
      <c r="A127" s="1" t="s">
        <v>4</v>
      </c>
      <c r="B127" s="2">
        <v>30716175061</v>
      </c>
      <c r="C127" s="1"/>
      <c r="D127" s="1"/>
      <c r="E127" s="1"/>
      <c r="F127" s="33"/>
      <c r="G127" s="33"/>
    </row>
    <row r="128" spans="1:7" x14ac:dyDescent="0.3">
      <c r="A128" s="1" t="s">
        <v>5</v>
      </c>
      <c r="B128" s="1" t="s">
        <v>6</v>
      </c>
      <c r="C128" s="1"/>
      <c r="D128" s="1"/>
      <c r="E128" s="1"/>
      <c r="F128" s="33"/>
      <c r="G128" s="33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13</v>
      </c>
    </row>
    <row r="131" spans="1:7" x14ac:dyDescent="0.3">
      <c r="A131" s="4" t="s">
        <v>38</v>
      </c>
      <c r="B131" s="5" t="s">
        <v>15</v>
      </c>
      <c r="C131" s="6">
        <v>2052549.24</v>
      </c>
      <c r="D131" s="6">
        <v>426994.47</v>
      </c>
      <c r="E131" s="6">
        <v>52979.58</v>
      </c>
      <c r="F131" s="6">
        <f>SUM(C131:E131)</f>
        <v>2532523.29</v>
      </c>
      <c r="G131" s="7">
        <v>45499</v>
      </c>
    </row>
    <row r="132" spans="1:7" x14ac:dyDescent="0.3">
      <c r="A132" s="4" t="s">
        <v>16</v>
      </c>
      <c r="B132" s="5" t="s">
        <v>15</v>
      </c>
      <c r="C132" s="6">
        <v>4014.99</v>
      </c>
      <c r="D132" s="6">
        <v>7856.89</v>
      </c>
      <c r="E132" s="6">
        <v>0</v>
      </c>
      <c r="F132" s="6">
        <f>SUM(C132:E132)</f>
        <v>11871.880000000001</v>
      </c>
      <c r="G132" s="7">
        <v>45489</v>
      </c>
    </row>
    <row r="133" spans="1:7" x14ac:dyDescent="0.3">
      <c r="A133" s="4" t="s">
        <v>17</v>
      </c>
      <c r="B133" s="5" t="s">
        <v>15</v>
      </c>
      <c r="C133" s="6">
        <v>2548.7600000000002</v>
      </c>
      <c r="D133" s="6">
        <v>5571.25</v>
      </c>
      <c r="E133" s="6">
        <v>0</v>
      </c>
      <c r="F133" s="6">
        <f>SUM(C133:E133)</f>
        <v>8120.01</v>
      </c>
      <c r="G133" s="7">
        <v>45489</v>
      </c>
    </row>
    <row r="134" spans="1:7" x14ac:dyDescent="0.3">
      <c r="A134" s="34" t="s">
        <v>18</v>
      </c>
      <c r="B134" s="34"/>
      <c r="C134" s="34"/>
      <c r="D134" s="34"/>
      <c r="E134" s="34"/>
      <c r="F134" s="8">
        <f>SUM(F131:F133)</f>
        <v>2552515.1799999997</v>
      </c>
      <c r="G134" s="1"/>
    </row>
    <row r="135" spans="1:7" x14ac:dyDescent="0.3">
      <c r="A135" s="1" t="s">
        <v>1</v>
      </c>
      <c r="B135" s="1" t="s">
        <v>19</v>
      </c>
      <c r="C135" s="1"/>
      <c r="D135" s="1"/>
      <c r="E135" s="1"/>
      <c r="F135" s="1"/>
      <c r="G135" s="1"/>
    </row>
    <row r="136" spans="1:7" x14ac:dyDescent="0.3">
      <c r="A136" s="1" t="s">
        <v>4</v>
      </c>
      <c r="B136" s="2">
        <v>20247708880</v>
      </c>
      <c r="C136" s="1"/>
      <c r="D136" s="1"/>
      <c r="E136" s="1"/>
      <c r="F136" s="1"/>
      <c r="G136" s="1"/>
    </row>
    <row r="137" spans="1:7" x14ac:dyDescent="0.3">
      <c r="A137" s="1" t="s">
        <v>5</v>
      </c>
      <c r="B137" s="1" t="s">
        <v>6</v>
      </c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3" t="s">
        <v>7</v>
      </c>
      <c r="B139" s="3" t="s">
        <v>8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13</v>
      </c>
    </row>
    <row r="140" spans="1:7" x14ac:dyDescent="0.3">
      <c r="A140" s="9" t="s">
        <v>20</v>
      </c>
      <c r="B140" s="5" t="s">
        <v>15</v>
      </c>
      <c r="C140" s="6">
        <v>6056.3</v>
      </c>
      <c r="D140" s="6">
        <v>3232.24</v>
      </c>
      <c r="E140" s="6">
        <v>0</v>
      </c>
      <c r="F140" s="6">
        <f>SUM(C140:E140)</f>
        <v>9288.5400000000009</v>
      </c>
      <c r="G140" s="7">
        <v>45489</v>
      </c>
    </row>
    <row r="141" spans="1:7" x14ac:dyDescent="0.3">
      <c r="A141" s="34" t="s">
        <v>21</v>
      </c>
      <c r="B141" s="34"/>
      <c r="C141" s="34"/>
      <c r="D141" s="34"/>
      <c r="E141" s="34"/>
      <c r="F141" s="8">
        <f>SUM(F140:F140)</f>
        <v>9288.5400000000009</v>
      </c>
      <c r="G141" s="10"/>
    </row>
    <row r="142" spans="1:7" x14ac:dyDescent="0.3">
      <c r="A142" s="28" t="s">
        <v>22</v>
      </c>
      <c r="B142" s="28"/>
      <c r="C142" s="28"/>
      <c r="D142" s="28"/>
      <c r="E142" s="28"/>
      <c r="F142" s="11">
        <f>+F134+F141</f>
        <v>2561803.7199999997</v>
      </c>
      <c r="G142" s="1"/>
    </row>
    <row r="144" spans="1:7" ht="15" thickBot="1" x14ac:dyDescent="0.35"/>
    <row r="145" spans="1:7" ht="15" thickBot="1" x14ac:dyDescent="0.35">
      <c r="A145" s="29" t="s">
        <v>0</v>
      </c>
      <c r="B145" s="30"/>
      <c r="C145" s="30"/>
      <c r="D145" s="30"/>
      <c r="E145" s="30"/>
      <c r="F145" s="30"/>
      <c r="G145" s="31"/>
    </row>
    <row r="146" spans="1:7" x14ac:dyDescent="0.3">
      <c r="A146" s="1" t="s">
        <v>1</v>
      </c>
      <c r="B146" s="1" t="s">
        <v>2</v>
      </c>
      <c r="C146" s="1"/>
      <c r="D146" s="1"/>
      <c r="E146" s="1"/>
      <c r="F146" s="32" t="s">
        <v>39</v>
      </c>
      <c r="G146" s="32"/>
    </row>
    <row r="147" spans="1:7" x14ac:dyDescent="0.3">
      <c r="A147" s="1" t="s">
        <v>4</v>
      </c>
      <c r="B147" s="2">
        <v>30716175061</v>
      </c>
      <c r="C147" s="1"/>
      <c r="D147" s="1"/>
      <c r="E147" s="1"/>
      <c r="F147" s="33"/>
      <c r="G147" s="33"/>
    </row>
    <row r="148" spans="1:7" x14ac:dyDescent="0.3">
      <c r="A148" s="1" t="s">
        <v>5</v>
      </c>
      <c r="B148" s="1" t="s">
        <v>6</v>
      </c>
      <c r="C148" s="1"/>
      <c r="D148" s="1"/>
      <c r="E148" s="1"/>
      <c r="F148" s="33"/>
      <c r="G148" s="33"/>
    </row>
    <row r="149" spans="1:7" x14ac:dyDescent="0.3">
      <c r="A149" s="1"/>
      <c r="B149" s="1"/>
      <c r="C149" s="1"/>
      <c r="D149" s="1"/>
      <c r="E149" s="1"/>
      <c r="F149" s="1"/>
      <c r="G149" s="1"/>
    </row>
    <row r="150" spans="1:7" x14ac:dyDescent="0.3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13</v>
      </c>
    </row>
    <row r="151" spans="1:7" x14ac:dyDescent="0.3">
      <c r="A151" s="4" t="s">
        <v>38</v>
      </c>
      <c r="B151" s="5" t="s">
        <v>15</v>
      </c>
      <c r="C151" s="6">
        <v>2118230.8199999998</v>
      </c>
      <c r="D151" s="6">
        <v>361312.89</v>
      </c>
      <c r="E151" s="6">
        <v>52979.58</v>
      </c>
      <c r="F151" s="6">
        <f>SUM(C151:E151)</f>
        <v>2532523.29</v>
      </c>
      <c r="G151" s="7">
        <v>45530</v>
      </c>
    </row>
    <row r="152" spans="1:7" x14ac:dyDescent="0.3">
      <c r="A152" s="4" t="s">
        <v>16</v>
      </c>
      <c r="B152" s="5" t="s">
        <v>15</v>
      </c>
      <c r="C152" s="6">
        <v>4014.99</v>
      </c>
      <c r="D152" s="6">
        <v>7618.81</v>
      </c>
      <c r="E152" s="6">
        <v>248.57</v>
      </c>
      <c r="F152" s="6">
        <f>SUM(C152:E152)</f>
        <v>11882.369999999999</v>
      </c>
      <c r="G152" s="7">
        <v>45530</v>
      </c>
    </row>
    <row r="153" spans="1:7" x14ac:dyDescent="0.3">
      <c r="A153" s="4" t="s">
        <v>17</v>
      </c>
      <c r="B153" s="5" t="s">
        <v>15</v>
      </c>
      <c r="C153" s="6">
        <v>2548.7600000000002</v>
      </c>
      <c r="D153" s="6">
        <v>5639.05</v>
      </c>
      <c r="E153" s="6">
        <v>174.95</v>
      </c>
      <c r="F153" s="6">
        <f>SUM(C153:E153)</f>
        <v>8362.76</v>
      </c>
      <c r="G153" s="7">
        <v>45530</v>
      </c>
    </row>
    <row r="154" spans="1:7" x14ac:dyDescent="0.3">
      <c r="A154" s="34" t="s">
        <v>18</v>
      </c>
      <c r="B154" s="34"/>
      <c r="C154" s="34"/>
      <c r="D154" s="34"/>
      <c r="E154" s="34"/>
      <c r="F154" s="8">
        <f>SUM(F151:F153)</f>
        <v>2552768.42</v>
      </c>
      <c r="G154" s="1"/>
    </row>
    <row r="155" spans="1:7" x14ac:dyDescent="0.3">
      <c r="A155" s="1" t="s">
        <v>1</v>
      </c>
      <c r="B155" s="1" t="s">
        <v>19</v>
      </c>
      <c r="C155" s="1"/>
      <c r="D155" s="1"/>
      <c r="E155" s="1"/>
      <c r="F155" s="1"/>
      <c r="G155" s="1"/>
    </row>
    <row r="156" spans="1:7" x14ac:dyDescent="0.3">
      <c r="A156" s="1" t="s">
        <v>4</v>
      </c>
      <c r="B156" s="2">
        <v>20247708880</v>
      </c>
      <c r="C156" s="1"/>
      <c r="D156" s="1"/>
      <c r="E156" s="1"/>
      <c r="F156" s="1"/>
      <c r="G156" s="1"/>
    </row>
    <row r="157" spans="1:7" x14ac:dyDescent="0.3">
      <c r="A157" s="1" t="s">
        <v>5</v>
      </c>
      <c r="B157" s="1" t="s">
        <v>6</v>
      </c>
      <c r="C157" s="1"/>
      <c r="D157" s="1"/>
      <c r="E157" s="1"/>
      <c r="F157" s="1"/>
      <c r="G157" s="1"/>
    </row>
    <row r="158" spans="1:7" x14ac:dyDescent="0.3">
      <c r="A158" s="1"/>
      <c r="B158" s="1"/>
      <c r="C158" s="1"/>
      <c r="D158" s="1"/>
      <c r="E158" s="1"/>
      <c r="F158" s="1"/>
      <c r="G158" s="1"/>
    </row>
    <row r="159" spans="1:7" x14ac:dyDescent="0.3">
      <c r="A159" s="3" t="s">
        <v>7</v>
      </c>
      <c r="B159" s="3" t="s">
        <v>8</v>
      </c>
      <c r="C159" s="3" t="s">
        <v>9</v>
      </c>
      <c r="D159" s="3" t="s">
        <v>10</v>
      </c>
      <c r="E159" s="3" t="s">
        <v>11</v>
      </c>
      <c r="F159" s="3" t="s">
        <v>12</v>
      </c>
      <c r="G159" s="3" t="s">
        <v>13</v>
      </c>
    </row>
    <row r="160" spans="1:7" x14ac:dyDescent="0.3">
      <c r="A160" s="9" t="s">
        <v>20</v>
      </c>
      <c r="B160" s="5" t="s">
        <v>15</v>
      </c>
      <c r="C160" s="6">
        <v>6056.3</v>
      </c>
      <c r="D160" s="6">
        <v>2873.1</v>
      </c>
      <c r="E160" s="6">
        <v>190.79</v>
      </c>
      <c r="F160" s="6">
        <f>SUM(C160:E160)</f>
        <v>9120.19</v>
      </c>
      <c r="G160" s="7">
        <v>45530</v>
      </c>
    </row>
    <row r="161" spans="1:7" x14ac:dyDescent="0.3">
      <c r="A161" s="34" t="s">
        <v>21</v>
      </c>
      <c r="B161" s="34"/>
      <c r="C161" s="34"/>
      <c r="D161" s="34"/>
      <c r="E161" s="34"/>
      <c r="F161" s="8">
        <f>SUM(F160:F160)</f>
        <v>9120.19</v>
      </c>
      <c r="G161" s="10"/>
    </row>
    <row r="162" spans="1:7" x14ac:dyDescent="0.3">
      <c r="A162" s="28" t="s">
        <v>22</v>
      </c>
      <c r="B162" s="28"/>
      <c r="C162" s="28"/>
      <c r="D162" s="28"/>
      <c r="E162" s="28"/>
      <c r="F162" s="11">
        <f>+F154+F161</f>
        <v>2561888.61</v>
      </c>
      <c r="G162" s="1"/>
    </row>
    <row r="164" spans="1:7" ht="15" thickBot="1" x14ac:dyDescent="0.35"/>
    <row r="165" spans="1:7" ht="15" thickBot="1" x14ac:dyDescent="0.35">
      <c r="A165" s="29" t="s">
        <v>0</v>
      </c>
      <c r="B165" s="30"/>
      <c r="C165" s="30"/>
      <c r="D165" s="30"/>
      <c r="E165" s="30"/>
      <c r="F165" s="30"/>
      <c r="G165" s="31"/>
    </row>
    <row r="166" spans="1:7" x14ac:dyDescent="0.3">
      <c r="A166" s="1" t="s">
        <v>1</v>
      </c>
      <c r="B166" s="1" t="s">
        <v>2</v>
      </c>
      <c r="C166" s="1"/>
      <c r="D166" s="1"/>
      <c r="E166" s="1"/>
      <c r="F166" s="32" t="s">
        <v>40</v>
      </c>
      <c r="G166" s="32"/>
    </row>
    <row r="167" spans="1:7" x14ac:dyDescent="0.3">
      <c r="A167" s="1" t="s">
        <v>4</v>
      </c>
      <c r="B167" s="2">
        <v>30716175061</v>
      </c>
      <c r="C167" s="1"/>
      <c r="D167" s="1"/>
      <c r="E167" s="1"/>
      <c r="F167" s="33"/>
      <c r="G167" s="33"/>
    </row>
    <row r="168" spans="1:7" x14ac:dyDescent="0.3">
      <c r="A168" s="1" t="s">
        <v>5</v>
      </c>
      <c r="B168" s="1" t="s">
        <v>6</v>
      </c>
      <c r="C168" s="1"/>
      <c r="D168" s="1"/>
      <c r="E168" s="1"/>
      <c r="F168" s="33"/>
      <c r="G168" s="33"/>
    </row>
    <row r="169" spans="1:7" x14ac:dyDescent="0.3">
      <c r="A169" s="1"/>
      <c r="B169" s="1"/>
      <c r="C169" s="1"/>
      <c r="D169" s="1"/>
      <c r="E169" s="1"/>
      <c r="F169" s="1"/>
      <c r="G169" s="1"/>
    </row>
    <row r="170" spans="1:7" x14ac:dyDescent="0.3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13</v>
      </c>
    </row>
    <row r="171" spans="1:7" x14ac:dyDescent="0.3">
      <c r="A171" s="4" t="s">
        <v>38</v>
      </c>
      <c r="B171" s="5" t="s">
        <v>15</v>
      </c>
      <c r="C171" s="6">
        <v>2186014.2000000002</v>
      </c>
      <c r="D171" s="6">
        <v>293529.51</v>
      </c>
      <c r="E171" s="6">
        <v>52979.58</v>
      </c>
      <c r="F171" s="6">
        <f>SUM(C171:E171)</f>
        <v>2532523.29</v>
      </c>
      <c r="G171" s="7">
        <v>45561</v>
      </c>
    </row>
    <row r="172" spans="1:7" x14ac:dyDescent="0.3">
      <c r="A172" s="4" t="s">
        <v>16</v>
      </c>
      <c r="B172" s="5" t="s">
        <v>15</v>
      </c>
      <c r="C172" s="6">
        <v>4014.99</v>
      </c>
      <c r="D172" s="6">
        <v>7380.72</v>
      </c>
      <c r="E172" s="6">
        <v>243.48</v>
      </c>
      <c r="F172" s="6">
        <f>SUM(C172:E172)</f>
        <v>11639.189999999999</v>
      </c>
      <c r="G172" s="7">
        <v>45561</v>
      </c>
    </row>
    <row r="173" spans="1:7" x14ac:dyDescent="0.3">
      <c r="A173" s="4" t="s">
        <v>17</v>
      </c>
      <c r="B173" s="5" t="s">
        <v>15</v>
      </c>
      <c r="C173" s="6">
        <v>2548.7600000000002</v>
      </c>
      <c r="D173" s="6">
        <v>5706.84</v>
      </c>
      <c r="E173" s="6">
        <v>176.4</v>
      </c>
      <c r="F173" s="6">
        <f>SUM(C173:E173)</f>
        <v>8432</v>
      </c>
      <c r="G173" s="7">
        <v>45561</v>
      </c>
    </row>
    <row r="174" spans="1:7" x14ac:dyDescent="0.3">
      <c r="A174" s="34" t="s">
        <v>18</v>
      </c>
      <c r="B174" s="34"/>
      <c r="C174" s="34"/>
      <c r="D174" s="34"/>
      <c r="E174" s="34"/>
      <c r="F174" s="8">
        <f>SUM(F171:F173)</f>
        <v>2552594.48</v>
      </c>
      <c r="G174" s="1"/>
    </row>
    <row r="175" spans="1:7" x14ac:dyDescent="0.3">
      <c r="A175" s="1" t="s">
        <v>1</v>
      </c>
      <c r="B175" s="1" t="s">
        <v>19</v>
      </c>
      <c r="C175" s="1"/>
      <c r="D175" s="1"/>
      <c r="E175" s="1"/>
      <c r="F175" s="1"/>
      <c r="G175" s="1"/>
    </row>
    <row r="176" spans="1:7" x14ac:dyDescent="0.3">
      <c r="A176" s="1" t="s">
        <v>4</v>
      </c>
      <c r="B176" s="2">
        <v>20247708880</v>
      </c>
      <c r="C176" s="1"/>
      <c r="D176" s="1"/>
      <c r="E176" s="1"/>
      <c r="F176" s="1"/>
      <c r="G176" s="1"/>
    </row>
    <row r="177" spans="1:7" x14ac:dyDescent="0.3">
      <c r="A177" s="1" t="s">
        <v>5</v>
      </c>
      <c r="B177" s="1" t="s">
        <v>6</v>
      </c>
      <c r="C177" s="1"/>
      <c r="D177" s="1"/>
      <c r="E177" s="1"/>
      <c r="F177" s="1"/>
      <c r="G177" s="1"/>
    </row>
    <row r="178" spans="1:7" x14ac:dyDescent="0.3">
      <c r="A178" s="1"/>
      <c r="B178" s="1"/>
      <c r="C178" s="1"/>
      <c r="D178" s="1"/>
      <c r="E178" s="1"/>
      <c r="F178" s="1"/>
      <c r="G178" s="1"/>
    </row>
    <row r="179" spans="1:7" x14ac:dyDescent="0.3">
      <c r="A179" s="3" t="s">
        <v>7</v>
      </c>
      <c r="B179" s="3" t="s">
        <v>8</v>
      </c>
      <c r="C179" s="3" t="s">
        <v>9</v>
      </c>
      <c r="D179" s="3" t="s">
        <v>10</v>
      </c>
      <c r="E179" s="3" t="s">
        <v>11</v>
      </c>
      <c r="F179" s="3" t="s">
        <v>12</v>
      </c>
      <c r="G179" s="3" t="s">
        <v>13</v>
      </c>
    </row>
    <row r="180" spans="1:7" x14ac:dyDescent="0.3">
      <c r="A180" s="9" t="s">
        <v>20</v>
      </c>
      <c r="B180" s="5" t="s">
        <v>15</v>
      </c>
      <c r="C180" s="6">
        <v>6056.3</v>
      </c>
      <c r="D180" s="6">
        <v>2513.96</v>
      </c>
      <c r="E180" s="6">
        <v>183.12</v>
      </c>
      <c r="F180" s="6">
        <f>SUM(C180:E180)</f>
        <v>8753.380000000001</v>
      </c>
      <c r="G180" s="7">
        <v>45561</v>
      </c>
    </row>
    <row r="181" spans="1:7" x14ac:dyDescent="0.3">
      <c r="A181" s="34" t="s">
        <v>21</v>
      </c>
      <c r="B181" s="34"/>
      <c r="C181" s="34"/>
      <c r="D181" s="34"/>
      <c r="E181" s="34"/>
      <c r="F181" s="8">
        <f>SUM(F180:F180)</f>
        <v>8753.380000000001</v>
      </c>
      <c r="G181" s="10"/>
    </row>
    <row r="182" spans="1:7" x14ac:dyDescent="0.3">
      <c r="A182" s="28" t="s">
        <v>22</v>
      </c>
      <c r="B182" s="28"/>
      <c r="C182" s="28"/>
      <c r="D182" s="28"/>
      <c r="E182" s="28"/>
      <c r="F182" s="11">
        <f>+F174+F181</f>
        <v>2561347.86</v>
      </c>
      <c r="G182" s="1"/>
    </row>
    <row r="184" spans="1:7" ht="15" thickBot="1" x14ac:dyDescent="0.35"/>
    <row r="185" spans="1:7" ht="15" thickBot="1" x14ac:dyDescent="0.35">
      <c r="A185" s="29" t="s">
        <v>0</v>
      </c>
      <c r="B185" s="30"/>
      <c r="C185" s="30"/>
      <c r="D185" s="30"/>
      <c r="E185" s="30"/>
      <c r="F185" s="30"/>
      <c r="G185" s="31"/>
    </row>
    <row r="186" spans="1:7" x14ac:dyDescent="0.3">
      <c r="A186" s="1" t="s">
        <v>1</v>
      </c>
      <c r="B186" s="1" t="s">
        <v>2</v>
      </c>
      <c r="C186" s="1"/>
      <c r="D186" s="1"/>
      <c r="E186" s="1"/>
      <c r="F186" s="32" t="s">
        <v>41</v>
      </c>
      <c r="G186" s="32"/>
    </row>
    <row r="187" spans="1:7" x14ac:dyDescent="0.3">
      <c r="A187" s="1" t="s">
        <v>4</v>
      </c>
      <c r="B187" s="2">
        <v>30716175061</v>
      </c>
      <c r="C187" s="1"/>
      <c r="D187" s="1"/>
      <c r="E187" s="1"/>
      <c r="F187" s="33"/>
      <c r="G187" s="33"/>
    </row>
    <row r="188" spans="1:7" x14ac:dyDescent="0.3">
      <c r="A188" s="1" t="s">
        <v>5</v>
      </c>
      <c r="B188" s="1" t="s">
        <v>6</v>
      </c>
      <c r="C188" s="1"/>
      <c r="D188" s="1"/>
      <c r="E188" s="1"/>
      <c r="F188" s="33"/>
      <c r="G188" s="33"/>
    </row>
    <row r="189" spans="1:7" x14ac:dyDescent="0.3">
      <c r="A189" s="1"/>
      <c r="B189" s="1"/>
      <c r="C189" s="1"/>
      <c r="D189" s="1"/>
      <c r="E189" s="1"/>
      <c r="F189" s="1"/>
      <c r="G189" s="1"/>
    </row>
    <row r="190" spans="1:7" x14ac:dyDescent="0.3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13</v>
      </c>
    </row>
    <row r="191" spans="1:7" x14ac:dyDescent="0.3">
      <c r="A191" s="4" t="s">
        <v>38</v>
      </c>
      <c r="B191" s="5" t="s">
        <v>15</v>
      </c>
      <c r="C191" s="6">
        <v>2255966.66</v>
      </c>
      <c r="D191" s="6">
        <v>223577.05</v>
      </c>
      <c r="E191" s="6">
        <v>52979.58</v>
      </c>
      <c r="F191" s="6">
        <f>SUM(C191:E191)</f>
        <v>2532523.29</v>
      </c>
      <c r="G191" s="7">
        <v>45591</v>
      </c>
    </row>
    <row r="192" spans="1:7" x14ac:dyDescent="0.3">
      <c r="A192" s="4" t="s">
        <v>16</v>
      </c>
      <c r="B192" s="5" t="s">
        <v>15</v>
      </c>
      <c r="C192" s="6">
        <v>4014.99</v>
      </c>
      <c r="D192" s="6">
        <v>4179.58</v>
      </c>
      <c r="E192" s="6">
        <v>175.09</v>
      </c>
      <c r="F192" s="6">
        <f>SUM(C192:E192)</f>
        <v>8369.66</v>
      </c>
      <c r="G192" s="7">
        <v>45591</v>
      </c>
    </row>
    <row r="193" spans="1:7" x14ac:dyDescent="0.3">
      <c r="A193" s="4" t="s">
        <v>17</v>
      </c>
      <c r="B193" s="5" t="s">
        <v>15</v>
      </c>
      <c r="C193" s="6">
        <v>2548.7600000000002</v>
      </c>
      <c r="D193" s="6">
        <v>5774.64</v>
      </c>
      <c r="E193" s="6">
        <v>177.84</v>
      </c>
      <c r="F193" s="6">
        <f>SUM(C193:E193)</f>
        <v>8501.2400000000016</v>
      </c>
      <c r="G193" s="7">
        <v>45591</v>
      </c>
    </row>
    <row r="194" spans="1:7" x14ac:dyDescent="0.3">
      <c r="A194" s="34" t="s">
        <v>18</v>
      </c>
      <c r="B194" s="34"/>
      <c r="C194" s="34"/>
      <c r="D194" s="34"/>
      <c r="E194" s="34"/>
      <c r="F194" s="8">
        <f>SUM(F191:F193)</f>
        <v>2549394.1900000004</v>
      </c>
      <c r="G194" s="1"/>
    </row>
    <row r="195" spans="1:7" x14ac:dyDescent="0.3">
      <c r="A195" s="1" t="s">
        <v>1</v>
      </c>
      <c r="B195" s="1" t="s">
        <v>19</v>
      </c>
      <c r="C195" s="1"/>
      <c r="D195" s="1"/>
      <c r="E195" s="1"/>
      <c r="F195" s="1"/>
      <c r="G195" s="1"/>
    </row>
    <row r="196" spans="1:7" x14ac:dyDescent="0.3">
      <c r="A196" s="1" t="s">
        <v>4</v>
      </c>
      <c r="B196" s="2">
        <v>20247708880</v>
      </c>
      <c r="C196" s="1"/>
      <c r="D196" s="1"/>
      <c r="E196" s="1"/>
      <c r="F196" s="1"/>
      <c r="G196" s="1"/>
    </row>
    <row r="197" spans="1:7" x14ac:dyDescent="0.3">
      <c r="A197" s="1" t="s">
        <v>5</v>
      </c>
      <c r="B197" s="1" t="s">
        <v>6</v>
      </c>
      <c r="C197" s="1"/>
      <c r="D197" s="1"/>
      <c r="E197" s="1"/>
      <c r="F197" s="1"/>
      <c r="G197" s="1"/>
    </row>
    <row r="198" spans="1:7" x14ac:dyDescent="0.3">
      <c r="A198" s="1"/>
      <c r="B198" s="1"/>
      <c r="C198" s="1"/>
      <c r="D198" s="1"/>
      <c r="E198" s="1"/>
      <c r="F198" s="1"/>
      <c r="G198" s="1"/>
    </row>
    <row r="199" spans="1:7" x14ac:dyDescent="0.3">
      <c r="A199" s="3" t="s">
        <v>7</v>
      </c>
      <c r="B199" s="3" t="s">
        <v>8</v>
      </c>
      <c r="C199" s="3" t="s">
        <v>9</v>
      </c>
      <c r="D199" s="3" t="s">
        <v>10</v>
      </c>
      <c r="E199" s="3" t="s">
        <v>11</v>
      </c>
      <c r="F199" s="3" t="s">
        <v>12</v>
      </c>
      <c r="G199" s="3" t="s">
        <v>13</v>
      </c>
    </row>
    <row r="200" spans="1:7" x14ac:dyDescent="0.3">
      <c r="A200" s="9" t="s">
        <v>20</v>
      </c>
      <c r="B200" s="5" t="s">
        <v>15</v>
      </c>
      <c r="C200" s="6">
        <v>6056.3</v>
      </c>
      <c r="D200" s="6">
        <v>1260.92</v>
      </c>
      <c r="E200" s="6">
        <v>156.34</v>
      </c>
      <c r="F200" s="6">
        <f>SUM(C200:E200)</f>
        <v>7473.56</v>
      </c>
      <c r="G200" s="7">
        <v>45591</v>
      </c>
    </row>
    <row r="201" spans="1:7" x14ac:dyDescent="0.3">
      <c r="A201" s="34" t="s">
        <v>21</v>
      </c>
      <c r="B201" s="34"/>
      <c r="C201" s="34"/>
      <c r="D201" s="34"/>
      <c r="E201" s="34"/>
      <c r="F201" s="8">
        <f>SUM(F200:F200)</f>
        <v>7473.56</v>
      </c>
      <c r="G201" s="10"/>
    </row>
    <row r="202" spans="1:7" x14ac:dyDescent="0.3">
      <c r="A202" s="28" t="s">
        <v>22</v>
      </c>
      <c r="B202" s="28"/>
      <c r="C202" s="28"/>
      <c r="D202" s="28"/>
      <c r="E202" s="28"/>
      <c r="F202" s="11">
        <f>+F194+F201</f>
        <v>2556867.7500000005</v>
      </c>
      <c r="G202" s="1"/>
    </row>
    <row r="204" spans="1:7" ht="15" thickBot="1" x14ac:dyDescent="0.35"/>
    <row r="205" spans="1:7" ht="15" thickBot="1" x14ac:dyDescent="0.35">
      <c r="A205" s="29" t="s">
        <v>0</v>
      </c>
      <c r="B205" s="30"/>
      <c r="C205" s="30"/>
      <c r="D205" s="30"/>
      <c r="E205" s="30"/>
      <c r="F205" s="30"/>
      <c r="G205" s="31"/>
    </row>
    <row r="206" spans="1:7" x14ac:dyDescent="0.3">
      <c r="A206" s="1" t="s">
        <v>1</v>
      </c>
      <c r="B206" s="1" t="s">
        <v>2</v>
      </c>
      <c r="C206" s="1"/>
      <c r="D206" s="1"/>
      <c r="E206" s="1"/>
      <c r="F206" s="32" t="s">
        <v>42</v>
      </c>
      <c r="G206" s="32"/>
    </row>
    <row r="207" spans="1:7" x14ac:dyDescent="0.3">
      <c r="A207" s="1" t="s">
        <v>4</v>
      </c>
      <c r="B207" s="2">
        <v>30716175061</v>
      </c>
      <c r="C207" s="1"/>
      <c r="D207" s="1"/>
      <c r="E207" s="1"/>
      <c r="F207" s="33"/>
      <c r="G207" s="33"/>
    </row>
    <row r="208" spans="1:7" x14ac:dyDescent="0.3">
      <c r="A208" s="1" t="s">
        <v>5</v>
      </c>
      <c r="B208" s="1" t="s">
        <v>6</v>
      </c>
      <c r="C208" s="1"/>
      <c r="D208" s="1"/>
      <c r="E208" s="1"/>
      <c r="F208" s="33"/>
      <c r="G208" s="33"/>
    </row>
    <row r="209" spans="1:8" x14ac:dyDescent="0.3">
      <c r="A209" s="1"/>
      <c r="B209" s="1"/>
      <c r="C209" s="1"/>
      <c r="D209" s="1"/>
      <c r="E209" s="1"/>
      <c r="F209" s="1"/>
      <c r="G209" s="1"/>
    </row>
    <row r="210" spans="1:8" x14ac:dyDescent="0.3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13</v>
      </c>
    </row>
    <row r="211" spans="1:8" x14ac:dyDescent="0.3">
      <c r="A211" s="4" t="s">
        <v>43</v>
      </c>
      <c r="B211" s="5" t="s">
        <v>15</v>
      </c>
      <c r="C211" s="6">
        <v>1053414.32</v>
      </c>
      <c r="D211" s="6">
        <v>0</v>
      </c>
      <c r="E211" s="6">
        <v>0</v>
      </c>
      <c r="F211" s="6">
        <f>SUM(C211:E211)</f>
        <v>1053414.32</v>
      </c>
      <c r="G211" s="7">
        <v>45625</v>
      </c>
      <c r="H211" s="14" t="s">
        <v>31</v>
      </c>
    </row>
    <row r="212" spans="1:8" x14ac:dyDescent="0.3">
      <c r="A212" s="4" t="s">
        <v>44</v>
      </c>
      <c r="B212" s="5" t="s">
        <v>15</v>
      </c>
      <c r="C212" s="6">
        <v>2328157.59</v>
      </c>
      <c r="D212" s="6">
        <v>151386.12</v>
      </c>
      <c r="E212" s="6">
        <v>52979.58</v>
      </c>
      <c r="F212" s="6">
        <f>SUM(C212:E212)</f>
        <v>2532523.29</v>
      </c>
      <c r="G212" s="7">
        <v>45622</v>
      </c>
    </row>
    <row r="213" spans="1:8" x14ac:dyDescent="0.3">
      <c r="A213" s="4" t="s">
        <v>26</v>
      </c>
      <c r="B213" s="5" t="s">
        <v>15</v>
      </c>
      <c r="C213" s="6">
        <v>4014.99</v>
      </c>
      <c r="D213" s="6">
        <v>4040.27</v>
      </c>
      <c r="E213" s="6">
        <v>172.12</v>
      </c>
      <c r="F213" s="6">
        <f>SUM(C213:E213)</f>
        <v>8227.380000000001</v>
      </c>
      <c r="G213" s="7">
        <v>45622</v>
      </c>
    </row>
    <row r="214" spans="1:8" x14ac:dyDescent="0.3">
      <c r="A214" s="4" t="s">
        <v>27</v>
      </c>
      <c r="B214" s="5" t="s">
        <v>15</v>
      </c>
      <c r="C214" s="6">
        <v>2548.7600000000002</v>
      </c>
      <c r="D214" s="6">
        <v>5842.44</v>
      </c>
      <c r="E214" s="6">
        <v>179.3</v>
      </c>
      <c r="F214" s="6">
        <f>SUM(C214:E214)</f>
        <v>8570.5</v>
      </c>
      <c r="G214" s="7">
        <v>45622</v>
      </c>
    </row>
    <row r="215" spans="1:8" x14ac:dyDescent="0.3">
      <c r="A215" s="34" t="s">
        <v>18</v>
      </c>
      <c r="B215" s="34"/>
      <c r="C215" s="34"/>
      <c r="D215" s="34"/>
      <c r="E215" s="34"/>
      <c r="F215" s="8">
        <f>SUM(F212:F214)</f>
        <v>2549321.17</v>
      </c>
      <c r="G215" s="1"/>
    </row>
    <row r="216" spans="1:8" x14ac:dyDescent="0.3">
      <c r="A216" s="1" t="s">
        <v>1</v>
      </c>
      <c r="B216" s="1" t="s">
        <v>19</v>
      </c>
      <c r="C216" s="1"/>
      <c r="D216" s="1"/>
      <c r="E216" s="1"/>
      <c r="F216" s="1"/>
      <c r="G216" s="1"/>
    </row>
    <row r="217" spans="1:8" x14ac:dyDescent="0.3">
      <c r="A217" s="1" t="s">
        <v>4</v>
      </c>
      <c r="B217" s="2">
        <v>20247708880</v>
      </c>
      <c r="C217" s="1"/>
      <c r="D217" s="1"/>
      <c r="E217" s="1"/>
      <c r="F217" s="1"/>
      <c r="G217" s="1"/>
    </row>
    <row r="218" spans="1:8" x14ac:dyDescent="0.3">
      <c r="A218" s="1" t="s">
        <v>5</v>
      </c>
      <c r="B218" s="1" t="s">
        <v>6</v>
      </c>
      <c r="C218" s="1"/>
      <c r="D218" s="1"/>
      <c r="E218" s="1"/>
      <c r="F218" s="1"/>
      <c r="G218" s="1"/>
    </row>
    <row r="219" spans="1:8" x14ac:dyDescent="0.3">
      <c r="A219" s="1"/>
      <c r="B219" s="1"/>
      <c r="C219" s="1"/>
      <c r="D219" s="1"/>
      <c r="E219" s="1"/>
      <c r="F219" s="1"/>
      <c r="G219" s="1"/>
    </row>
    <row r="220" spans="1:8" x14ac:dyDescent="0.3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13</v>
      </c>
    </row>
    <row r="221" spans="1:8" x14ac:dyDescent="0.3">
      <c r="A221" s="9" t="s">
        <v>20</v>
      </c>
      <c r="B221" s="5" t="s">
        <v>15</v>
      </c>
      <c r="C221" s="6">
        <v>6056.3</v>
      </c>
      <c r="D221" s="6">
        <v>1050.76</v>
      </c>
      <c r="E221" s="6">
        <v>151.85</v>
      </c>
      <c r="F221" s="6">
        <f>SUM(C221:E221)</f>
        <v>7258.9100000000008</v>
      </c>
      <c r="G221" s="7">
        <v>45622</v>
      </c>
    </row>
    <row r="222" spans="1:8" x14ac:dyDescent="0.3">
      <c r="A222" s="34" t="s">
        <v>21</v>
      </c>
      <c r="B222" s="34"/>
      <c r="C222" s="34"/>
      <c r="D222" s="34"/>
      <c r="E222" s="34"/>
      <c r="F222" s="8">
        <f>SUM(F221:F221)</f>
        <v>7258.9100000000008</v>
      </c>
      <c r="G222" s="10"/>
    </row>
    <row r="223" spans="1:8" x14ac:dyDescent="0.3">
      <c r="A223" s="28" t="s">
        <v>22</v>
      </c>
      <c r="B223" s="28"/>
      <c r="C223" s="28"/>
      <c r="D223" s="28"/>
      <c r="E223" s="28"/>
      <c r="F223" s="11">
        <f>+F215+F222</f>
        <v>2556580.08</v>
      </c>
      <c r="G223" s="1"/>
    </row>
    <row r="225" spans="1:8" ht="15" thickBot="1" x14ac:dyDescent="0.35"/>
    <row r="226" spans="1:8" ht="15" thickBot="1" x14ac:dyDescent="0.35">
      <c r="A226" s="29" t="s">
        <v>0</v>
      </c>
      <c r="B226" s="30"/>
      <c r="C226" s="30"/>
      <c r="D226" s="30"/>
      <c r="E226" s="30"/>
      <c r="F226" s="30"/>
      <c r="G226" s="31"/>
    </row>
    <row r="227" spans="1:8" x14ac:dyDescent="0.3">
      <c r="A227" s="1" t="s">
        <v>1</v>
      </c>
      <c r="B227" s="1" t="s">
        <v>2</v>
      </c>
      <c r="C227" s="1"/>
      <c r="D227" s="1"/>
      <c r="E227" s="1"/>
      <c r="F227" s="32" t="s">
        <v>45</v>
      </c>
      <c r="G227" s="32"/>
    </row>
    <row r="228" spans="1:8" x14ac:dyDescent="0.3">
      <c r="A228" s="1" t="s">
        <v>4</v>
      </c>
      <c r="B228" s="2">
        <v>30716175061</v>
      </c>
      <c r="C228" s="1"/>
      <c r="D228" s="1"/>
      <c r="E228" s="1"/>
      <c r="F228" s="33"/>
      <c r="G228" s="33"/>
    </row>
    <row r="229" spans="1:8" x14ac:dyDescent="0.3">
      <c r="A229" s="1" t="s">
        <v>5</v>
      </c>
      <c r="B229" s="1" t="s">
        <v>6</v>
      </c>
      <c r="C229" s="1"/>
      <c r="D229" s="1"/>
      <c r="E229" s="1"/>
      <c r="F229" s="33"/>
      <c r="G229" s="33"/>
    </row>
    <row r="230" spans="1:8" x14ac:dyDescent="0.3">
      <c r="A230" s="1"/>
      <c r="B230" s="1"/>
      <c r="C230" s="1"/>
      <c r="D230" s="1"/>
      <c r="E230" s="1"/>
      <c r="F230" s="1"/>
      <c r="G230" s="1"/>
    </row>
    <row r="231" spans="1:8" x14ac:dyDescent="0.3">
      <c r="A231" s="3" t="s">
        <v>7</v>
      </c>
      <c r="B231" s="3" t="s">
        <v>8</v>
      </c>
      <c r="C231" s="3" t="s">
        <v>9</v>
      </c>
      <c r="D231" s="3" t="s">
        <v>10</v>
      </c>
      <c r="E231" s="3" t="s">
        <v>11</v>
      </c>
      <c r="F231" s="3" t="s">
        <v>12</v>
      </c>
      <c r="G231" s="3" t="s">
        <v>13</v>
      </c>
    </row>
    <row r="232" spans="1:8" x14ac:dyDescent="0.3">
      <c r="A232" s="4" t="s">
        <v>46</v>
      </c>
      <c r="B232" s="5" t="s">
        <v>15</v>
      </c>
      <c r="C232" s="6">
        <v>3780545.52</v>
      </c>
      <c r="D232" s="6">
        <v>0</v>
      </c>
      <c r="E232" s="6">
        <v>0</v>
      </c>
      <c r="F232" s="6">
        <f t="shared" ref="F232:F234" si="0">SUM(C232:E232)</f>
        <v>3780545.52</v>
      </c>
      <c r="G232" s="7">
        <v>45644</v>
      </c>
      <c r="H232" s="14"/>
    </row>
    <row r="233" spans="1:8" x14ac:dyDescent="0.3">
      <c r="A233" s="4" t="s">
        <v>47</v>
      </c>
      <c r="B233" s="5" t="s">
        <v>15</v>
      </c>
      <c r="C233" s="6">
        <v>588514.93999999994</v>
      </c>
      <c r="D233" s="6">
        <v>0</v>
      </c>
      <c r="E233" s="6">
        <v>0</v>
      </c>
      <c r="F233" s="6">
        <f t="shared" si="0"/>
        <v>588514.93999999994</v>
      </c>
      <c r="G233" s="7">
        <v>45639</v>
      </c>
      <c r="H233" s="14" t="s">
        <v>31</v>
      </c>
    </row>
    <row r="234" spans="1:8" x14ac:dyDescent="0.3">
      <c r="A234" s="4" t="s">
        <v>48</v>
      </c>
      <c r="B234" s="5" t="s">
        <v>15</v>
      </c>
      <c r="C234" s="6">
        <v>320622.49</v>
      </c>
      <c r="D234" s="6">
        <v>0</v>
      </c>
      <c r="E234" s="6">
        <v>0</v>
      </c>
      <c r="F234" s="6">
        <f t="shared" si="0"/>
        <v>320622.49</v>
      </c>
      <c r="G234" s="7">
        <v>45639</v>
      </c>
    </row>
    <row r="235" spans="1:8" x14ac:dyDescent="0.3">
      <c r="A235" s="4" t="s">
        <v>49</v>
      </c>
      <c r="B235" s="5" t="s">
        <v>15</v>
      </c>
      <c r="C235" s="6">
        <v>985575.73</v>
      </c>
      <c r="D235" s="6">
        <v>205030.59</v>
      </c>
      <c r="E235" s="6">
        <v>0</v>
      </c>
      <c r="F235" s="6">
        <f>SUM(C235:E235)</f>
        <v>1190606.32</v>
      </c>
      <c r="G235" s="7">
        <v>45642</v>
      </c>
    </row>
    <row r="236" spans="1:8" x14ac:dyDescent="0.3">
      <c r="A236" s="4" t="s">
        <v>50</v>
      </c>
      <c r="B236" s="5" t="s">
        <v>15</v>
      </c>
      <c r="C236" s="6">
        <v>2402658.63</v>
      </c>
      <c r="D236" s="6">
        <v>76885.08</v>
      </c>
      <c r="E236" s="6">
        <v>0</v>
      </c>
      <c r="F236" s="6">
        <f>SUM(C236:E236)</f>
        <v>2479543.71</v>
      </c>
      <c r="G236" s="7">
        <v>45642</v>
      </c>
      <c r="H236" s="14" t="s">
        <v>31</v>
      </c>
    </row>
    <row r="237" spans="1:8" x14ac:dyDescent="0.3">
      <c r="A237" s="4" t="s">
        <v>51</v>
      </c>
      <c r="B237" s="5" t="s">
        <v>15</v>
      </c>
      <c r="C237" s="6">
        <v>4014.99</v>
      </c>
      <c r="D237" s="6">
        <v>3900.94</v>
      </c>
      <c r="E237" s="6">
        <v>0</v>
      </c>
      <c r="F237" s="6">
        <f>SUM(C237:E237)</f>
        <v>7915.93</v>
      </c>
      <c r="G237" s="7">
        <v>45642</v>
      </c>
    </row>
    <row r="238" spans="1:8" x14ac:dyDescent="0.3">
      <c r="A238" s="4" t="s">
        <v>52</v>
      </c>
      <c r="B238" s="5" t="s">
        <v>15</v>
      </c>
      <c r="C238" s="6">
        <v>2548.7600000000002</v>
      </c>
      <c r="D238" s="6">
        <v>5919.16</v>
      </c>
      <c r="E238" s="6">
        <v>0</v>
      </c>
      <c r="F238" s="6">
        <f>SUM(C238:E238)</f>
        <v>8467.92</v>
      </c>
      <c r="G238" s="7">
        <v>45642</v>
      </c>
    </row>
    <row r="239" spans="1:8" x14ac:dyDescent="0.3">
      <c r="A239" s="34" t="s">
        <v>18</v>
      </c>
      <c r="B239" s="34"/>
      <c r="C239" s="34"/>
      <c r="D239" s="34"/>
      <c r="E239" s="34"/>
      <c r="F239" s="8">
        <f>SUM(F235:F238)</f>
        <v>3686533.8800000004</v>
      </c>
      <c r="G239" s="1"/>
    </row>
    <row r="240" spans="1:8" x14ac:dyDescent="0.3">
      <c r="A240" s="1" t="s">
        <v>1</v>
      </c>
      <c r="B240" s="1" t="s">
        <v>19</v>
      </c>
      <c r="C240" s="1"/>
      <c r="D240" s="1"/>
      <c r="E240" s="1"/>
      <c r="F240" s="1"/>
      <c r="G240" s="1"/>
    </row>
    <row r="241" spans="1:7" x14ac:dyDescent="0.3">
      <c r="A241" s="1" t="s">
        <v>4</v>
      </c>
      <c r="B241" s="2">
        <v>20247708880</v>
      </c>
      <c r="C241" s="1"/>
      <c r="D241" s="1"/>
      <c r="E241" s="1"/>
      <c r="F241" s="1"/>
      <c r="G241" s="1"/>
    </row>
    <row r="242" spans="1:7" x14ac:dyDescent="0.3">
      <c r="A242" s="1" t="s">
        <v>5</v>
      </c>
      <c r="B242" s="1" t="s">
        <v>6</v>
      </c>
      <c r="C242" s="1"/>
      <c r="D242" s="1"/>
      <c r="E242" s="1"/>
      <c r="F242" s="1"/>
      <c r="G242" s="1"/>
    </row>
    <row r="243" spans="1:7" x14ac:dyDescent="0.3">
      <c r="A243" s="1"/>
      <c r="B243" s="1"/>
      <c r="C243" s="1"/>
      <c r="D243" s="1"/>
      <c r="E243" s="1"/>
      <c r="F243" s="1"/>
      <c r="G243" s="1"/>
    </row>
    <row r="244" spans="1:7" x14ac:dyDescent="0.3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13</v>
      </c>
    </row>
    <row r="245" spans="1:7" x14ac:dyDescent="0.3">
      <c r="A245" s="9" t="s">
        <v>20</v>
      </c>
      <c r="B245" s="5" t="s">
        <v>15</v>
      </c>
      <c r="C245" s="6">
        <v>6056.3</v>
      </c>
      <c r="D245" s="6">
        <v>840.61</v>
      </c>
      <c r="E245" s="6">
        <v>0</v>
      </c>
      <c r="F245" s="6">
        <f>SUM(C245:E245)</f>
        <v>6896.91</v>
      </c>
      <c r="G245" s="7">
        <v>45642</v>
      </c>
    </row>
    <row r="246" spans="1:7" x14ac:dyDescent="0.3">
      <c r="A246" s="34" t="s">
        <v>21</v>
      </c>
      <c r="B246" s="34"/>
      <c r="C246" s="34"/>
      <c r="D246" s="34"/>
      <c r="E246" s="34"/>
      <c r="F246" s="8">
        <f>SUM(F245:F245)</f>
        <v>6896.91</v>
      </c>
      <c r="G246" s="10"/>
    </row>
    <row r="247" spans="1:7" x14ac:dyDescent="0.3">
      <c r="A247" s="28" t="s">
        <v>22</v>
      </c>
      <c r="B247" s="28"/>
      <c r="C247" s="28"/>
      <c r="D247" s="28"/>
      <c r="E247" s="28"/>
      <c r="F247" s="11">
        <f>+F239+F246</f>
        <v>3693430.7900000005</v>
      </c>
      <c r="G247" s="1"/>
    </row>
  </sheetData>
  <mergeCells count="60">
    <mergeCell ref="F45:G47"/>
    <mergeCell ref="A2:G2"/>
    <mergeCell ref="F3:G5"/>
    <mergeCell ref="A11:E11"/>
    <mergeCell ref="A18:E18"/>
    <mergeCell ref="A19:E19"/>
    <mergeCell ref="A22:G22"/>
    <mergeCell ref="F23:G25"/>
    <mergeCell ref="A32:E32"/>
    <mergeCell ref="A40:E40"/>
    <mergeCell ref="A41:E41"/>
    <mergeCell ref="A44:G44"/>
    <mergeCell ref="A102:E102"/>
    <mergeCell ref="A54:E54"/>
    <mergeCell ref="A62:E62"/>
    <mergeCell ref="A63:E63"/>
    <mergeCell ref="A66:G66"/>
    <mergeCell ref="F67:G69"/>
    <mergeCell ref="A75:E75"/>
    <mergeCell ref="A83:E83"/>
    <mergeCell ref="A84:E84"/>
    <mergeCell ref="A87:G87"/>
    <mergeCell ref="F88:G90"/>
    <mergeCell ref="A95:E95"/>
    <mergeCell ref="A145:G145"/>
    <mergeCell ref="A103:E103"/>
    <mergeCell ref="A106:G106"/>
    <mergeCell ref="F107:G109"/>
    <mergeCell ref="A114:E114"/>
    <mergeCell ref="A121:E121"/>
    <mergeCell ref="A122:E122"/>
    <mergeCell ref="A125:G125"/>
    <mergeCell ref="F126:G128"/>
    <mergeCell ref="A134:E134"/>
    <mergeCell ref="A141:E141"/>
    <mergeCell ref="A142:E142"/>
    <mergeCell ref="A194:E194"/>
    <mergeCell ref="F146:G148"/>
    <mergeCell ref="A154:E154"/>
    <mergeCell ref="A161:E161"/>
    <mergeCell ref="A162:E162"/>
    <mergeCell ref="A165:G165"/>
    <mergeCell ref="F166:G168"/>
    <mergeCell ref="A174:E174"/>
    <mergeCell ref="A181:E181"/>
    <mergeCell ref="A182:E182"/>
    <mergeCell ref="A185:G185"/>
    <mergeCell ref="F186:G188"/>
    <mergeCell ref="A247:E247"/>
    <mergeCell ref="A201:E201"/>
    <mergeCell ref="A202:E202"/>
    <mergeCell ref="A205:G205"/>
    <mergeCell ref="F206:G208"/>
    <mergeCell ref="A215:E215"/>
    <mergeCell ref="A222:E222"/>
    <mergeCell ref="A223:E223"/>
    <mergeCell ref="A226:G226"/>
    <mergeCell ref="F227:G229"/>
    <mergeCell ref="A239:E239"/>
    <mergeCell ref="A246:E246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J23"/>
  <sheetViews>
    <sheetView topLeftCell="A13" workbookViewId="0"/>
  </sheetViews>
  <sheetFormatPr baseColWidth="10" defaultRowHeight="14.4" x14ac:dyDescent="0.3"/>
  <cols>
    <col min="1" max="1" width="14.109375" bestFit="1" customWidth="1"/>
    <col min="2" max="3" width="30.77734375" customWidth="1"/>
    <col min="4" max="4" width="24.44140625" customWidth="1"/>
    <col min="5" max="5" width="18.44140625" bestFit="1" customWidth="1"/>
    <col min="6" max="6" width="18.44140625" customWidth="1"/>
    <col min="7" max="7" width="17.109375" bestFit="1" customWidth="1"/>
    <col min="8" max="8" width="18.44140625" bestFit="1" customWidth="1"/>
    <col min="9" max="9" width="18.44140625" customWidth="1"/>
    <col min="10" max="10" width="18.21875" bestFit="1" customWidth="1"/>
  </cols>
  <sheetData>
    <row r="2" spans="1:10" x14ac:dyDescent="0.3">
      <c r="A2" s="35" t="s">
        <v>53</v>
      </c>
      <c r="B2" s="36"/>
      <c r="C2" s="36"/>
      <c r="D2" s="36"/>
      <c r="E2" s="36"/>
      <c r="F2" s="36"/>
      <c r="G2" s="36"/>
      <c r="H2" s="36"/>
      <c r="I2" s="36"/>
      <c r="J2" s="37"/>
    </row>
    <row r="3" spans="1:10" ht="14.4" customHeight="1" x14ac:dyDescent="0.3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1:10" ht="14.4" customHeight="1" x14ac:dyDescent="0.3">
      <c r="A4" s="1" t="s">
        <v>4</v>
      </c>
      <c r="B4" s="2">
        <v>30716175061</v>
      </c>
      <c r="C4" s="2"/>
      <c r="D4" s="1"/>
      <c r="E4" s="1"/>
      <c r="F4" s="1"/>
      <c r="G4" s="1"/>
      <c r="H4" s="1"/>
      <c r="I4" s="1"/>
      <c r="J4" s="1"/>
    </row>
    <row r="5" spans="1:10" ht="14.4" customHeight="1" x14ac:dyDescent="0.3">
      <c r="A5" s="1" t="s">
        <v>5</v>
      </c>
      <c r="B5" s="1" t="s">
        <v>6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3" t="s">
        <v>7</v>
      </c>
      <c r="B6" s="3" t="s">
        <v>54</v>
      </c>
      <c r="C6" s="3" t="s">
        <v>55</v>
      </c>
      <c r="D6" s="3" t="s">
        <v>56</v>
      </c>
      <c r="E6" s="3" t="s">
        <v>9</v>
      </c>
      <c r="F6" s="3" t="s">
        <v>57</v>
      </c>
      <c r="G6" s="3" t="s">
        <v>58</v>
      </c>
      <c r="H6" s="3" t="s">
        <v>59</v>
      </c>
      <c r="I6" s="15" t="s">
        <v>60</v>
      </c>
      <c r="J6" s="3" t="s">
        <v>61</v>
      </c>
    </row>
    <row r="7" spans="1:10" s="23" customFormat="1" ht="45" customHeight="1" x14ac:dyDescent="0.3">
      <c r="A7" s="16" t="s">
        <v>62</v>
      </c>
      <c r="B7" s="17" t="s">
        <v>63</v>
      </c>
      <c r="C7" s="18" t="s">
        <v>64</v>
      </c>
      <c r="D7" s="19">
        <v>45644</v>
      </c>
      <c r="E7" s="20">
        <v>15122182.08</v>
      </c>
      <c r="F7" s="21">
        <v>5</v>
      </c>
      <c r="G7" s="21">
        <v>5</v>
      </c>
      <c r="H7" s="21">
        <f t="shared" ref="H7:H9" si="0">+F7-G7</f>
        <v>0</v>
      </c>
      <c r="I7" s="20">
        <v>3146045.9</v>
      </c>
      <c r="J7" s="22">
        <v>45748</v>
      </c>
    </row>
    <row r="8" spans="1:10" s="23" customFormat="1" ht="45" customHeight="1" x14ac:dyDescent="0.3">
      <c r="A8" s="16" t="s">
        <v>65</v>
      </c>
      <c r="B8" s="17" t="s">
        <v>66</v>
      </c>
      <c r="C8" s="18" t="s">
        <v>67</v>
      </c>
      <c r="D8" s="19">
        <v>45639</v>
      </c>
      <c r="E8" s="20">
        <v>588514.93999999994</v>
      </c>
      <c r="F8" s="21">
        <v>1</v>
      </c>
      <c r="G8" s="21">
        <v>1</v>
      </c>
      <c r="H8" s="21">
        <f t="shared" si="0"/>
        <v>0</v>
      </c>
      <c r="I8" s="20">
        <v>588514.93999999994</v>
      </c>
      <c r="J8" s="22">
        <v>45627</v>
      </c>
    </row>
    <row r="9" spans="1:10" s="23" customFormat="1" ht="45" customHeight="1" x14ac:dyDescent="0.3">
      <c r="A9" s="16" t="s">
        <v>68</v>
      </c>
      <c r="B9" s="17" t="s">
        <v>69</v>
      </c>
      <c r="C9" s="18" t="s">
        <v>67</v>
      </c>
      <c r="D9" s="19">
        <v>45639</v>
      </c>
      <c r="E9" s="20">
        <v>2137483.29</v>
      </c>
      <c r="F9" s="21">
        <v>2</v>
      </c>
      <c r="G9" s="21">
        <v>2</v>
      </c>
      <c r="H9" s="21">
        <f t="shared" si="0"/>
        <v>0</v>
      </c>
      <c r="I9" s="20">
        <v>1921352.68</v>
      </c>
      <c r="J9" s="22">
        <v>45658</v>
      </c>
    </row>
    <row r="10" spans="1:10" s="23" customFormat="1" ht="45" customHeight="1" x14ac:dyDescent="0.3">
      <c r="A10" s="16" t="s">
        <v>70</v>
      </c>
      <c r="B10" s="17" t="s">
        <v>71</v>
      </c>
      <c r="C10" s="18" t="s">
        <v>67</v>
      </c>
      <c r="D10" s="19">
        <v>45625</v>
      </c>
      <c r="E10" s="20">
        <v>1053414.32</v>
      </c>
      <c r="F10" s="21">
        <v>1</v>
      </c>
      <c r="G10" s="21">
        <v>1</v>
      </c>
      <c r="H10" s="21">
        <f t="shared" ref="H10:H16" si="1">+F10-G10</f>
        <v>0</v>
      </c>
      <c r="I10" s="20">
        <v>1053414.32</v>
      </c>
      <c r="J10" s="22">
        <v>45597</v>
      </c>
    </row>
    <row r="11" spans="1:10" s="23" customFormat="1" ht="45" customHeight="1" x14ac:dyDescent="0.3">
      <c r="A11" s="16" t="s">
        <v>72</v>
      </c>
      <c r="B11" s="24" t="s">
        <v>73</v>
      </c>
      <c r="C11" s="18" t="s">
        <v>74</v>
      </c>
      <c r="D11" s="19">
        <v>45608</v>
      </c>
      <c r="E11" s="20">
        <v>6407205.96</v>
      </c>
      <c r="F11" s="21">
        <v>6</v>
      </c>
      <c r="G11" s="21">
        <v>6</v>
      </c>
      <c r="H11" s="21">
        <f t="shared" si="1"/>
        <v>0</v>
      </c>
      <c r="I11" s="20">
        <v>1206481.07</v>
      </c>
      <c r="J11" s="22">
        <v>45778</v>
      </c>
    </row>
    <row r="12" spans="1:10" s="23" customFormat="1" ht="45" customHeight="1" x14ac:dyDescent="0.3">
      <c r="A12" s="16" t="s">
        <v>75</v>
      </c>
      <c r="B12" s="24" t="s">
        <v>73</v>
      </c>
      <c r="C12" s="18" t="s">
        <v>64</v>
      </c>
      <c r="D12" s="19">
        <v>45461</v>
      </c>
      <c r="E12" s="20">
        <v>13343577.140000001</v>
      </c>
      <c r="F12" s="21">
        <v>6</v>
      </c>
      <c r="G12" s="21">
        <v>6</v>
      </c>
      <c r="H12" s="21">
        <f t="shared" si="1"/>
        <v>0</v>
      </c>
      <c r="I12" s="20">
        <v>2479543.71</v>
      </c>
      <c r="J12" s="22">
        <v>45627</v>
      </c>
    </row>
    <row r="13" spans="1:10" s="23" customFormat="1" ht="45" customHeight="1" x14ac:dyDescent="0.3">
      <c r="A13" s="16" t="s">
        <v>76</v>
      </c>
      <c r="B13" s="24" t="s">
        <v>73</v>
      </c>
      <c r="C13" s="18" t="s">
        <v>77</v>
      </c>
      <c r="D13" s="19">
        <v>45301</v>
      </c>
      <c r="E13" s="20">
        <v>195626.13</v>
      </c>
      <c r="F13" s="21">
        <v>3</v>
      </c>
      <c r="G13" s="21">
        <v>3</v>
      </c>
      <c r="H13" s="21">
        <f t="shared" si="1"/>
        <v>0</v>
      </c>
      <c r="I13" s="20">
        <v>75160.240000000005</v>
      </c>
      <c r="J13" s="22">
        <v>45383</v>
      </c>
    </row>
    <row r="14" spans="1:10" s="23" customFormat="1" ht="45" customHeight="1" x14ac:dyDescent="0.3">
      <c r="A14" s="16" t="s">
        <v>78</v>
      </c>
      <c r="B14" s="24" t="s">
        <v>73</v>
      </c>
      <c r="C14" s="24" t="s">
        <v>79</v>
      </c>
      <c r="D14" s="19">
        <v>45282</v>
      </c>
      <c r="E14" s="20">
        <v>3517560.48</v>
      </c>
      <c r="F14" s="21">
        <v>3</v>
      </c>
      <c r="G14" s="21">
        <v>3</v>
      </c>
      <c r="H14" s="21">
        <f t="shared" si="1"/>
        <v>0</v>
      </c>
      <c r="I14" s="20">
        <v>1365317.04</v>
      </c>
      <c r="J14" s="22">
        <v>45352</v>
      </c>
    </row>
    <row r="15" spans="1:10" s="23" customFormat="1" ht="45" customHeight="1" x14ac:dyDescent="0.3">
      <c r="A15" s="16" t="s">
        <v>80</v>
      </c>
      <c r="B15" s="25" t="s">
        <v>81</v>
      </c>
      <c r="C15" s="25" t="s">
        <v>74</v>
      </c>
      <c r="D15" s="26">
        <v>44648</v>
      </c>
      <c r="E15" s="20">
        <v>240898.71</v>
      </c>
      <c r="F15" s="21">
        <v>60</v>
      </c>
      <c r="G15" s="21">
        <v>40</v>
      </c>
      <c r="H15" s="21">
        <f t="shared" si="1"/>
        <v>20</v>
      </c>
      <c r="I15" s="20">
        <v>6213</v>
      </c>
      <c r="J15" s="22">
        <v>46447</v>
      </c>
    </row>
    <row r="16" spans="1:10" s="23" customFormat="1" ht="45" customHeight="1" x14ac:dyDescent="0.3">
      <c r="A16" s="16" t="s">
        <v>82</v>
      </c>
      <c r="B16" s="25" t="s">
        <v>83</v>
      </c>
      <c r="C16" s="25" t="s">
        <v>84</v>
      </c>
      <c r="D16" s="26">
        <v>44165</v>
      </c>
      <c r="E16" s="20">
        <v>305850.65999999997</v>
      </c>
      <c r="F16" s="21">
        <v>120</v>
      </c>
      <c r="G16" s="21">
        <v>56</v>
      </c>
      <c r="H16" s="21">
        <f t="shared" si="1"/>
        <v>64</v>
      </c>
      <c r="I16" s="20">
        <v>9077.19</v>
      </c>
      <c r="J16" s="22">
        <v>11263</v>
      </c>
    </row>
    <row r="17" spans="1:10" ht="4.2" customHeight="1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</row>
    <row r="18" spans="1:10" x14ac:dyDescent="0.3">
      <c r="A18" s="1" t="s">
        <v>1</v>
      </c>
      <c r="B18" s="1" t="s">
        <v>19</v>
      </c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 t="s">
        <v>4</v>
      </c>
      <c r="B19" s="2">
        <v>20247708880</v>
      </c>
      <c r="C19" s="2"/>
      <c r="D19" s="1"/>
      <c r="E19" s="1"/>
      <c r="F19" s="1"/>
      <c r="G19" s="1"/>
      <c r="H19" s="1"/>
      <c r="I19" s="1"/>
      <c r="J19" s="1"/>
    </row>
    <row r="20" spans="1:10" x14ac:dyDescent="0.3">
      <c r="A20" s="1" t="s">
        <v>5</v>
      </c>
      <c r="B20" s="1" t="s">
        <v>6</v>
      </c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3" t="s">
        <v>7</v>
      </c>
      <c r="B21" s="3" t="s">
        <v>54</v>
      </c>
      <c r="C21" s="3" t="s">
        <v>55</v>
      </c>
      <c r="D21" s="3" t="s">
        <v>56</v>
      </c>
      <c r="E21" s="3" t="s">
        <v>9</v>
      </c>
      <c r="F21" s="3" t="s">
        <v>57</v>
      </c>
      <c r="G21" s="3" t="s">
        <v>58</v>
      </c>
      <c r="H21" s="3" t="s">
        <v>59</v>
      </c>
      <c r="I21" s="15" t="s">
        <v>60</v>
      </c>
      <c r="J21" s="3" t="s">
        <v>61</v>
      </c>
    </row>
    <row r="22" spans="1:10" s="23" customFormat="1" ht="57.6" x14ac:dyDescent="0.3">
      <c r="A22" s="16" t="s">
        <v>85</v>
      </c>
      <c r="B22" s="17" t="s">
        <v>86</v>
      </c>
      <c r="C22" s="25" t="s">
        <v>87</v>
      </c>
      <c r="D22" s="19">
        <v>45301</v>
      </c>
      <c r="E22" s="20">
        <v>99792.41</v>
      </c>
      <c r="F22" s="21">
        <v>3</v>
      </c>
      <c r="G22" s="21">
        <v>3</v>
      </c>
      <c r="H22" s="21">
        <f>+F22-G22</f>
        <v>0</v>
      </c>
      <c r="I22" s="20">
        <v>38770.71</v>
      </c>
      <c r="J22" s="22">
        <v>45383</v>
      </c>
    </row>
    <row r="23" spans="1:10" s="23" customFormat="1" ht="57.6" x14ac:dyDescent="0.3">
      <c r="A23" s="27" t="s">
        <v>88</v>
      </c>
      <c r="B23" s="25" t="s">
        <v>81</v>
      </c>
      <c r="C23" s="25" t="s">
        <v>87</v>
      </c>
      <c r="D23" s="26">
        <v>44648</v>
      </c>
      <c r="E23" s="20">
        <v>227111.11</v>
      </c>
      <c r="F23" s="21">
        <v>36</v>
      </c>
      <c r="G23" s="21">
        <v>36</v>
      </c>
      <c r="H23" s="21">
        <f>+F23-G23</f>
        <v>0</v>
      </c>
      <c r="I23" s="20">
        <v>6266.32</v>
      </c>
      <c r="J23" s="22">
        <v>45717</v>
      </c>
    </row>
  </sheetData>
  <mergeCells count="2">
    <mergeCell ref="A2:J2"/>
    <mergeCell ref="A17:J17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H150"/>
  <sheetViews>
    <sheetView topLeftCell="A128" workbookViewId="0">
      <selection activeCell="A2" sqref="A2:G150"/>
    </sheetView>
  </sheetViews>
  <sheetFormatPr baseColWidth="10" defaultRowHeight="14.4" x14ac:dyDescent="0.3"/>
  <cols>
    <col min="1" max="1" width="14.109375" bestFit="1" customWidth="1"/>
    <col min="2" max="2" width="24.44140625" bestFit="1" customWidth="1"/>
    <col min="3" max="3" width="18.44140625" bestFit="1" customWidth="1"/>
    <col min="4" max="4" width="17.109375" bestFit="1" customWidth="1"/>
    <col min="5" max="5" width="18.44140625" bestFit="1" customWidth="1"/>
    <col min="6" max="6" width="15.88671875" customWidth="1"/>
    <col min="7" max="7" width="13.5546875" bestFit="1" customWidth="1"/>
  </cols>
  <sheetData>
    <row r="1" spans="1:7" ht="15" thickBot="1" x14ac:dyDescent="0.35"/>
    <row r="2" spans="1:7" ht="15" thickBot="1" x14ac:dyDescent="0.35">
      <c r="A2" s="29" t="s">
        <v>0</v>
      </c>
      <c r="B2" s="30"/>
      <c r="C2" s="30"/>
      <c r="D2" s="30"/>
      <c r="E2" s="30"/>
      <c r="F2" s="30"/>
      <c r="G2" s="31"/>
    </row>
    <row r="3" spans="1:7" x14ac:dyDescent="0.3">
      <c r="A3" s="1" t="s">
        <v>1</v>
      </c>
      <c r="B3" s="1" t="s">
        <v>2</v>
      </c>
      <c r="C3" s="1"/>
      <c r="D3" s="1"/>
      <c r="E3" s="1"/>
      <c r="F3" s="32" t="s">
        <v>89</v>
      </c>
      <c r="G3" s="32"/>
    </row>
    <row r="4" spans="1:7" x14ac:dyDescent="0.3">
      <c r="A4" s="1" t="s">
        <v>4</v>
      </c>
      <c r="B4" s="2">
        <v>30716175061</v>
      </c>
      <c r="C4" s="1"/>
      <c r="D4" s="1"/>
      <c r="E4" s="1"/>
      <c r="F4" s="33"/>
      <c r="G4" s="33"/>
    </row>
    <row r="5" spans="1:7" x14ac:dyDescent="0.3">
      <c r="A5" s="1" t="s">
        <v>5</v>
      </c>
      <c r="B5" s="1" t="s">
        <v>6</v>
      </c>
      <c r="C5" s="1"/>
      <c r="D5" s="1"/>
      <c r="E5" s="1"/>
      <c r="F5" s="33"/>
      <c r="G5" s="33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3">
      <c r="A8" s="4" t="s">
        <v>46</v>
      </c>
      <c r="B8" s="5" t="s">
        <v>15</v>
      </c>
      <c r="C8" s="6">
        <v>2681607.52</v>
      </c>
      <c r="D8" s="6">
        <v>423043.04</v>
      </c>
      <c r="E8" s="6">
        <v>77305.8</v>
      </c>
      <c r="F8" s="6">
        <f>SUM(C8:E8)</f>
        <v>3181956.36</v>
      </c>
      <c r="G8" s="7">
        <v>45683</v>
      </c>
    </row>
    <row r="9" spans="1:7" x14ac:dyDescent="0.3">
      <c r="A9" s="4" t="s">
        <v>90</v>
      </c>
      <c r="B9" s="5" t="s">
        <v>15</v>
      </c>
      <c r="C9" s="6">
        <v>1816860.8</v>
      </c>
      <c r="D9" s="6">
        <v>57812.51</v>
      </c>
      <c r="E9" s="6">
        <v>46679.37</v>
      </c>
      <c r="F9" s="6">
        <f>SUM(C9:E9)</f>
        <v>1921352.6800000002</v>
      </c>
      <c r="G9" s="7">
        <v>45683</v>
      </c>
    </row>
    <row r="10" spans="1:7" x14ac:dyDescent="0.3">
      <c r="A10" s="4" t="s">
        <v>91</v>
      </c>
      <c r="B10" s="5" t="s">
        <v>15</v>
      </c>
      <c r="C10" s="6">
        <v>1017114.15</v>
      </c>
      <c r="D10" s="6">
        <v>173492.17</v>
      </c>
      <c r="E10" s="6">
        <v>29646.1</v>
      </c>
      <c r="F10" s="6">
        <f>SUM(C10:E10)</f>
        <v>1220252.4200000002</v>
      </c>
      <c r="G10" s="7">
        <v>45683</v>
      </c>
    </row>
    <row r="11" spans="1:7" x14ac:dyDescent="0.3">
      <c r="A11" s="4" t="s">
        <v>92</v>
      </c>
      <c r="B11" s="5" t="s">
        <v>15</v>
      </c>
      <c r="C11" s="6">
        <v>4014.99</v>
      </c>
      <c r="D11" s="6">
        <v>3761.62</v>
      </c>
      <c r="E11" s="6">
        <v>193.64</v>
      </c>
      <c r="F11" s="6">
        <f t="shared" ref="F11" si="0">SUM(C11:E11)</f>
        <v>7970.25</v>
      </c>
      <c r="G11" s="7">
        <v>45683</v>
      </c>
    </row>
    <row r="12" spans="1:7" x14ac:dyDescent="0.3">
      <c r="A12" s="4" t="s">
        <v>93</v>
      </c>
      <c r="B12" s="5" t="s">
        <v>15</v>
      </c>
      <c r="C12" s="6">
        <v>2548.7600000000002</v>
      </c>
      <c r="D12" s="6">
        <v>5995.87</v>
      </c>
      <c r="E12" s="6">
        <v>212.76</v>
      </c>
      <c r="F12" s="6">
        <f>SUM(C12:E12)</f>
        <v>8757.3900000000012</v>
      </c>
      <c r="G12" s="7">
        <v>45683</v>
      </c>
    </row>
    <row r="13" spans="1:7" x14ac:dyDescent="0.3">
      <c r="A13" s="34" t="s">
        <v>18</v>
      </c>
      <c r="B13" s="34"/>
      <c r="C13" s="34"/>
      <c r="D13" s="34"/>
      <c r="E13" s="34"/>
      <c r="F13" s="8">
        <f>SUM(F10:F12)</f>
        <v>1236980.06</v>
      </c>
      <c r="G13" s="1"/>
    </row>
    <row r="14" spans="1:7" x14ac:dyDescent="0.3">
      <c r="A14" s="1" t="s">
        <v>1</v>
      </c>
      <c r="B14" s="1" t="s">
        <v>19</v>
      </c>
      <c r="C14" s="1"/>
      <c r="D14" s="1"/>
      <c r="E14" s="1"/>
      <c r="F14" s="1"/>
      <c r="G14" s="1"/>
    </row>
    <row r="15" spans="1:7" x14ac:dyDescent="0.3">
      <c r="A15" s="1" t="s">
        <v>4</v>
      </c>
      <c r="B15" s="2">
        <v>20247708880</v>
      </c>
      <c r="C15" s="1"/>
      <c r="D15" s="1"/>
      <c r="E15" s="1"/>
      <c r="F15" s="1"/>
      <c r="G15" s="1"/>
    </row>
    <row r="16" spans="1:7" x14ac:dyDescent="0.3">
      <c r="A16" s="1" t="s">
        <v>5</v>
      </c>
      <c r="B16" s="1" t="s">
        <v>6</v>
      </c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13</v>
      </c>
    </row>
    <row r="19" spans="1:7" x14ac:dyDescent="0.3">
      <c r="A19" s="9" t="s">
        <v>20</v>
      </c>
      <c r="B19" s="5" t="s">
        <v>15</v>
      </c>
      <c r="C19" s="6">
        <v>6056.3</v>
      </c>
      <c r="D19" s="6">
        <v>630.46</v>
      </c>
      <c r="E19" s="6">
        <v>166.5</v>
      </c>
      <c r="F19" s="6">
        <f>SUM(C19:E19)</f>
        <v>6853.26</v>
      </c>
      <c r="G19" s="7">
        <v>45683</v>
      </c>
    </row>
    <row r="20" spans="1:7" x14ac:dyDescent="0.3">
      <c r="A20" s="34" t="s">
        <v>21</v>
      </c>
      <c r="B20" s="34"/>
      <c r="C20" s="34"/>
      <c r="D20" s="34"/>
      <c r="E20" s="34"/>
      <c r="F20" s="8">
        <f>SUM(F19:F19)</f>
        <v>6853.26</v>
      </c>
      <c r="G20" s="10"/>
    </row>
    <row r="21" spans="1:7" x14ac:dyDescent="0.3">
      <c r="A21" s="28" t="s">
        <v>22</v>
      </c>
      <c r="B21" s="28"/>
      <c r="C21" s="28"/>
      <c r="D21" s="28"/>
      <c r="E21" s="28"/>
      <c r="F21" s="11">
        <f>+F13+F20</f>
        <v>1243833.32</v>
      </c>
      <c r="G21" s="1"/>
    </row>
    <row r="23" spans="1:7" ht="15" thickBot="1" x14ac:dyDescent="0.35"/>
    <row r="24" spans="1:7" ht="15" thickBot="1" x14ac:dyDescent="0.35">
      <c r="A24" s="29" t="s">
        <v>0</v>
      </c>
      <c r="B24" s="30"/>
      <c r="C24" s="30"/>
      <c r="D24" s="30"/>
      <c r="E24" s="30"/>
      <c r="F24" s="30"/>
      <c r="G24" s="31"/>
    </row>
    <row r="25" spans="1:7" x14ac:dyDescent="0.3">
      <c r="A25" s="1" t="s">
        <v>1</v>
      </c>
      <c r="B25" s="1" t="s">
        <v>2</v>
      </c>
      <c r="C25" s="1"/>
      <c r="D25" s="1"/>
      <c r="E25" s="1"/>
      <c r="F25" s="32" t="s">
        <v>94</v>
      </c>
      <c r="G25" s="32"/>
    </row>
    <row r="26" spans="1:7" x14ac:dyDescent="0.3">
      <c r="A26" s="1" t="s">
        <v>4</v>
      </c>
      <c r="B26" s="2">
        <v>30716175061</v>
      </c>
      <c r="C26" s="1"/>
      <c r="D26" s="1"/>
      <c r="E26" s="1"/>
      <c r="F26" s="33"/>
      <c r="G26" s="33"/>
    </row>
    <row r="27" spans="1:7" x14ac:dyDescent="0.3">
      <c r="A27" s="1" t="s">
        <v>5</v>
      </c>
      <c r="B27" s="1" t="s">
        <v>6</v>
      </c>
      <c r="C27" s="1"/>
      <c r="D27" s="1"/>
      <c r="E27" s="1"/>
      <c r="F27" s="33"/>
      <c r="G27" s="33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3" t="s">
        <v>7</v>
      </c>
      <c r="B29" s="3" t="s">
        <v>8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13</v>
      </c>
    </row>
    <row r="30" spans="1:7" x14ac:dyDescent="0.3">
      <c r="A30" s="4" t="s">
        <v>46</v>
      </c>
      <c r="B30" s="5" t="s">
        <v>15</v>
      </c>
      <c r="C30" s="6">
        <v>2781631.48</v>
      </c>
      <c r="D30" s="6">
        <v>323019.08</v>
      </c>
      <c r="E30" s="6">
        <v>75132.539999999994</v>
      </c>
      <c r="F30" s="6">
        <f t="shared" ref="F30:F32" si="1">SUM(C30:E30)</f>
        <v>3179783.1</v>
      </c>
      <c r="G30" s="7">
        <v>45714</v>
      </c>
    </row>
    <row r="31" spans="1:7" x14ac:dyDescent="0.3">
      <c r="A31" s="4" t="s">
        <v>95</v>
      </c>
      <c r="B31" s="5" t="s">
        <v>15</v>
      </c>
      <c r="C31" s="6">
        <v>1049661.81</v>
      </c>
      <c r="D31" s="6">
        <v>140944.51</v>
      </c>
      <c r="E31" s="6">
        <v>28812.67</v>
      </c>
      <c r="F31" s="6">
        <f t="shared" si="1"/>
        <v>1219418.99</v>
      </c>
      <c r="G31" s="7">
        <v>45714</v>
      </c>
    </row>
    <row r="32" spans="1:7" x14ac:dyDescent="0.3">
      <c r="A32" s="4" t="s">
        <v>26</v>
      </c>
      <c r="B32" s="5" t="s">
        <v>15</v>
      </c>
      <c r="C32" s="6">
        <v>4014.99</v>
      </c>
      <c r="D32" s="6">
        <v>3622.3</v>
      </c>
      <c r="E32" s="6">
        <v>184.83</v>
      </c>
      <c r="F32" s="6">
        <f t="shared" si="1"/>
        <v>7822.12</v>
      </c>
      <c r="G32" s="7">
        <v>45714</v>
      </c>
    </row>
    <row r="33" spans="1:7" x14ac:dyDescent="0.3">
      <c r="A33" s="4" t="s">
        <v>27</v>
      </c>
      <c r="B33" s="5" t="s">
        <v>15</v>
      </c>
      <c r="C33" s="6">
        <v>2548.7600000000002</v>
      </c>
      <c r="D33" s="6">
        <v>6072.6</v>
      </c>
      <c r="E33" s="6">
        <v>208.64</v>
      </c>
      <c r="F33" s="6">
        <f>SUM(C33:E33)</f>
        <v>8830</v>
      </c>
      <c r="G33" s="7">
        <v>45714</v>
      </c>
    </row>
    <row r="34" spans="1:7" x14ac:dyDescent="0.3">
      <c r="A34" s="34" t="s">
        <v>18</v>
      </c>
      <c r="B34" s="34"/>
      <c r="C34" s="34"/>
      <c r="D34" s="34"/>
      <c r="E34" s="34"/>
      <c r="F34" s="8">
        <f>SUM(F31:F33)</f>
        <v>1236071.1100000001</v>
      </c>
      <c r="G34" s="1"/>
    </row>
    <row r="35" spans="1:7" x14ac:dyDescent="0.3">
      <c r="A35" s="1" t="s">
        <v>1</v>
      </c>
      <c r="B35" s="1" t="s">
        <v>19</v>
      </c>
      <c r="C35" s="1"/>
      <c r="D35" s="1"/>
      <c r="E35" s="1"/>
      <c r="F35" s="1"/>
      <c r="G35" s="1"/>
    </row>
    <row r="36" spans="1:7" x14ac:dyDescent="0.3">
      <c r="A36" s="1" t="s">
        <v>4</v>
      </c>
      <c r="B36" s="2">
        <v>20247708880</v>
      </c>
      <c r="C36" s="1"/>
      <c r="D36" s="1"/>
      <c r="E36" s="1"/>
      <c r="F36" s="1"/>
      <c r="G36" s="1"/>
    </row>
    <row r="37" spans="1:7" x14ac:dyDescent="0.3">
      <c r="A37" s="1" t="s">
        <v>5</v>
      </c>
      <c r="B37" s="1" t="s">
        <v>6</v>
      </c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3" t="s">
        <v>7</v>
      </c>
      <c r="B39" s="3" t="s">
        <v>8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13</v>
      </c>
    </row>
    <row r="40" spans="1:7" x14ac:dyDescent="0.3">
      <c r="A40" s="9" t="s">
        <v>20</v>
      </c>
      <c r="B40" s="5" t="s">
        <v>15</v>
      </c>
      <c r="C40" s="6">
        <v>6056.3</v>
      </c>
      <c r="D40" s="6">
        <v>420.3</v>
      </c>
      <c r="E40" s="6">
        <v>156.72999999999999</v>
      </c>
      <c r="F40" s="6">
        <f>SUM(C40:E40)</f>
        <v>6633.33</v>
      </c>
      <c r="G40" s="7">
        <v>45714</v>
      </c>
    </row>
    <row r="41" spans="1:7" x14ac:dyDescent="0.3">
      <c r="A41" s="34" t="s">
        <v>21</v>
      </c>
      <c r="B41" s="34"/>
      <c r="C41" s="34"/>
      <c r="D41" s="34"/>
      <c r="E41" s="34"/>
      <c r="F41" s="8">
        <f>SUM(F40:F40)</f>
        <v>6633.33</v>
      </c>
      <c r="G41" s="10"/>
    </row>
    <row r="42" spans="1:7" x14ac:dyDescent="0.3">
      <c r="A42" s="28" t="s">
        <v>22</v>
      </c>
      <c r="B42" s="28"/>
      <c r="C42" s="28"/>
      <c r="D42" s="28"/>
      <c r="E42" s="28"/>
      <c r="F42" s="11">
        <f>+F34+F41</f>
        <v>1242704.4400000002</v>
      </c>
      <c r="G42" s="1"/>
    </row>
    <row r="44" spans="1:7" ht="15" thickBot="1" x14ac:dyDescent="0.35"/>
    <row r="45" spans="1:7" ht="15" thickBot="1" x14ac:dyDescent="0.35">
      <c r="A45" s="29" t="s">
        <v>0</v>
      </c>
      <c r="B45" s="30"/>
      <c r="C45" s="30"/>
      <c r="D45" s="30"/>
      <c r="E45" s="30"/>
      <c r="F45" s="30"/>
      <c r="G45" s="31"/>
    </row>
    <row r="46" spans="1:7" x14ac:dyDescent="0.3">
      <c r="A46" s="1" t="s">
        <v>1</v>
      </c>
      <c r="B46" s="1" t="s">
        <v>2</v>
      </c>
      <c r="C46" s="1"/>
      <c r="D46" s="1"/>
      <c r="E46" s="1"/>
      <c r="F46" s="32" t="s">
        <v>96</v>
      </c>
      <c r="G46" s="32"/>
    </row>
    <row r="47" spans="1:7" x14ac:dyDescent="0.3">
      <c r="A47" s="1" t="s">
        <v>4</v>
      </c>
      <c r="B47" s="2">
        <v>30716175061</v>
      </c>
      <c r="C47" s="1"/>
      <c r="D47" s="1"/>
      <c r="E47" s="1"/>
      <c r="F47" s="33"/>
      <c r="G47" s="33"/>
    </row>
    <row r="48" spans="1:7" x14ac:dyDescent="0.3">
      <c r="A48" s="1" t="s">
        <v>5</v>
      </c>
      <c r="B48" s="1" t="s">
        <v>6</v>
      </c>
      <c r="C48" s="1"/>
      <c r="D48" s="1"/>
      <c r="E48" s="1"/>
      <c r="F48" s="33"/>
      <c r="G48" s="33"/>
    </row>
    <row r="49" spans="1:8" x14ac:dyDescent="0.3">
      <c r="A49" s="1"/>
      <c r="B49" s="1"/>
      <c r="C49" s="1"/>
      <c r="D49" s="1"/>
      <c r="E49" s="1"/>
      <c r="F49" s="1"/>
      <c r="G49" s="1"/>
    </row>
    <row r="50" spans="1:8" x14ac:dyDescent="0.3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13</v>
      </c>
    </row>
    <row r="51" spans="1:8" x14ac:dyDescent="0.3">
      <c r="A51" s="4" t="s">
        <v>97</v>
      </c>
      <c r="B51" s="5" t="s">
        <v>15</v>
      </c>
      <c r="C51" s="6">
        <v>5185288.3099999996</v>
      </c>
      <c r="D51" s="6">
        <v>585423.73</v>
      </c>
      <c r="E51" s="6">
        <v>0</v>
      </c>
      <c r="F51" s="6">
        <f t="shared" ref="F51:F54" si="2">SUM(C51:E51)</f>
        <v>5770712.0399999991</v>
      </c>
      <c r="G51" s="7">
        <v>45732</v>
      </c>
    </row>
    <row r="52" spans="1:8" x14ac:dyDescent="0.3">
      <c r="A52" s="4" t="s">
        <v>98</v>
      </c>
      <c r="B52" s="5" t="s">
        <v>15</v>
      </c>
      <c r="C52" s="6">
        <v>2885386.33</v>
      </c>
      <c r="D52" s="6">
        <v>219264.23</v>
      </c>
      <c r="E52" s="6">
        <v>0</v>
      </c>
      <c r="F52" s="6">
        <f t="shared" si="2"/>
        <v>3104650.56</v>
      </c>
      <c r="G52" s="7">
        <v>45732</v>
      </c>
    </row>
    <row r="53" spans="1:8" x14ac:dyDescent="0.3">
      <c r="A53" s="4" t="s">
        <v>91</v>
      </c>
      <c r="B53" s="5" t="s">
        <v>15</v>
      </c>
      <c r="C53" s="6">
        <v>1083250.98</v>
      </c>
      <c r="D53" s="6">
        <v>107355.34</v>
      </c>
      <c r="E53" s="6"/>
      <c r="F53" s="6">
        <f t="shared" si="2"/>
        <v>1190606.32</v>
      </c>
      <c r="G53" s="7">
        <v>45732</v>
      </c>
    </row>
    <row r="54" spans="1:8" x14ac:dyDescent="0.3">
      <c r="A54" s="4" t="s">
        <v>92</v>
      </c>
      <c r="B54" s="5" t="s">
        <v>15</v>
      </c>
      <c r="C54" s="6">
        <v>4014.99</v>
      </c>
      <c r="D54" s="6">
        <v>3482.98</v>
      </c>
      <c r="E54" s="6">
        <v>0</v>
      </c>
      <c r="F54" s="6">
        <f t="shared" si="2"/>
        <v>7497.9699999999993</v>
      </c>
      <c r="G54" s="7">
        <v>45732</v>
      </c>
    </row>
    <row r="55" spans="1:8" x14ac:dyDescent="0.3">
      <c r="A55" s="4" t="s">
        <v>93</v>
      </c>
      <c r="B55" s="5" t="s">
        <v>15</v>
      </c>
      <c r="C55" s="6">
        <v>2548.7600000000002</v>
      </c>
      <c r="D55" s="6">
        <v>6149.31</v>
      </c>
      <c r="E55" s="6">
        <v>0</v>
      </c>
      <c r="F55" s="6">
        <f>SUM(C55:E55)</f>
        <v>8698.07</v>
      </c>
      <c r="G55" s="7">
        <v>45732</v>
      </c>
    </row>
    <row r="56" spans="1:8" x14ac:dyDescent="0.3">
      <c r="A56" s="34" t="s">
        <v>18</v>
      </c>
      <c r="B56" s="34"/>
      <c r="C56" s="34"/>
      <c r="D56" s="34"/>
      <c r="E56" s="34"/>
      <c r="F56" s="8">
        <f>SUM(F53:F55)</f>
        <v>1206802.3600000001</v>
      </c>
      <c r="G56" s="1"/>
    </row>
    <row r="57" spans="1:8" x14ac:dyDescent="0.3">
      <c r="A57" s="1" t="s">
        <v>1</v>
      </c>
      <c r="B57" s="1" t="s">
        <v>19</v>
      </c>
      <c r="C57" s="1"/>
      <c r="D57" s="1"/>
      <c r="E57" s="1"/>
      <c r="F57" s="1"/>
      <c r="G57" s="1"/>
    </row>
    <row r="58" spans="1:8" x14ac:dyDescent="0.3">
      <c r="A58" s="1" t="s">
        <v>4</v>
      </c>
      <c r="B58" s="2">
        <v>20247708880</v>
      </c>
      <c r="C58" s="1"/>
      <c r="D58" s="1"/>
      <c r="E58" s="1"/>
      <c r="F58" s="1"/>
      <c r="G58" s="1"/>
    </row>
    <row r="59" spans="1:8" x14ac:dyDescent="0.3">
      <c r="A59" s="1" t="s">
        <v>5</v>
      </c>
      <c r="B59" s="1" t="s">
        <v>6</v>
      </c>
      <c r="C59" s="1"/>
      <c r="D59" s="1"/>
      <c r="E59" s="1"/>
      <c r="F59" s="1"/>
      <c r="G59" s="1"/>
    </row>
    <row r="60" spans="1:8" x14ac:dyDescent="0.3">
      <c r="A60" s="1"/>
      <c r="B60" s="1"/>
      <c r="C60" s="1"/>
      <c r="D60" s="1"/>
      <c r="E60" s="1"/>
      <c r="F60" s="1"/>
      <c r="G60" s="1"/>
    </row>
    <row r="61" spans="1:8" x14ac:dyDescent="0.3">
      <c r="A61" s="3" t="s">
        <v>7</v>
      </c>
      <c r="B61" s="3" t="s">
        <v>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13</v>
      </c>
    </row>
    <row r="62" spans="1:8" x14ac:dyDescent="0.3">
      <c r="A62" s="9" t="s">
        <v>20</v>
      </c>
      <c r="B62" s="5" t="s">
        <v>15</v>
      </c>
      <c r="C62" s="6">
        <v>6056.3</v>
      </c>
      <c r="D62" s="6">
        <v>210.15</v>
      </c>
      <c r="E62" s="6">
        <v>0</v>
      </c>
      <c r="F62" s="6">
        <f>SUM(C62:E62)</f>
        <v>6266.45</v>
      </c>
      <c r="G62" s="7">
        <v>45732</v>
      </c>
      <c r="H62" s="14" t="s">
        <v>31</v>
      </c>
    </row>
    <row r="63" spans="1:8" x14ac:dyDescent="0.3">
      <c r="A63" s="34" t="s">
        <v>21</v>
      </c>
      <c r="B63" s="34"/>
      <c r="C63" s="34"/>
      <c r="D63" s="34"/>
      <c r="E63" s="34"/>
      <c r="F63" s="8">
        <f>SUM(F62:F62)</f>
        <v>6266.45</v>
      </c>
      <c r="G63" s="10"/>
    </row>
    <row r="64" spans="1:8" x14ac:dyDescent="0.3">
      <c r="A64" s="28" t="s">
        <v>22</v>
      </c>
      <c r="B64" s="28"/>
      <c r="C64" s="28"/>
      <c r="D64" s="28"/>
      <c r="E64" s="28"/>
      <c r="F64" s="11">
        <f>+F56+F63</f>
        <v>1213068.81</v>
      </c>
      <c r="G64" s="1"/>
    </row>
    <row r="66" spans="1:8" ht="15" thickBot="1" x14ac:dyDescent="0.35"/>
    <row r="67" spans="1:8" ht="15" thickBot="1" x14ac:dyDescent="0.35">
      <c r="A67" s="29" t="s">
        <v>0</v>
      </c>
      <c r="B67" s="30"/>
      <c r="C67" s="30"/>
      <c r="D67" s="30"/>
      <c r="E67" s="30"/>
      <c r="F67" s="30"/>
      <c r="G67" s="31"/>
    </row>
    <row r="68" spans="1:8" x14ac:dyDescent="0.3">
      <c r="A68" s="1" t="s">
        <v>1</v>
      </c>
      <c r="B68" s="1" t="s">
        <v>2</v>
      </c>
      <c r="C68" s="1"/>
      <c r="D68" s="1"/>
      <c r="E68" s="1"/>
      <c r="F68" s="32" t="s">
        <v>99</v>
      </c>
      <c r="G68" s="32"/>
    </row>
    <row r="69" spans="1:8" x14ac:dyDescent="0.3">
      <c r="A69" s="1" t="s">
        <v>4</v>
      </c>
      <c r="B69" s="2">
        <v>30716175061</v>
      </c>
      <c r="C69" s="1"/>
      <c r="D69" s="1"/>
      <c r="E69" s="1"/>
      <c r="F69" s="33"/>
      <c r="G69" s="33"/>
    </row>
    <row r="70" spans="1:8" x14ac:dyDescent="0.3">
      <c r="A70" s="1" t="s">
        <v>5</v>
      </c>
      <c r="B70" s="1" t="s">
        <v>6</v>
      </c>
      <c r="C70" s="1"/>
      <c r="D70" s="1"/>
      <c r="E70" s="1"/>
      <c r="F70" s="33"/>
      <c r="G70" s="33"/>
    </row>
    <row r="71" spans="1:8" x14ac:dyDescent="0.3">
      <c r="A71" s="1"/>
      <c r="B71" s="1"/>
      <c r="C71" s="1"/>
      <c r="D71" s="1"/>
      <c r="E71" s="1"/>
      <c r="F71" s="1"/>
      <c r="G71" s="1"/>
    </row>
    <row r="72" spans="1:8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13</v>
      </c>
    </row>
    <row r="73" spans="1:8" x14ac:dyDescent="0.3">
      <c r="A73" s="4" t="s">
        <v>97</v>
      </c>
      <c r="B73" s="5" t="s">
        <v>15</v>
      </c>
      <c r="C73" s="6">
        <v>5373514.2800000003</v>
      </c>
      <c r="D73" s="6">
        <v>397197.76</v>
      </c>
      <c r="E73" s="6">
        <v>76942.83</v>
      </c>
      <c r="F73" s="6">
        <f t="shared" ref="F73:F76" si="3">SUM(C73:E73)</f>
        <v>5847654.8700000001</v>
      </c>
      <c r="G73" s="7">
        <v>45773</v>
      </c>
    </row>
    <row r="74" spans="1:8" x14ac:dyDescent="0.3">
      <c r="A74" s="4" t="s">
        <v>98</v>
      </c>
      <c r="B74" s="5" t="s">
        <v>15</v>
      </c>
      <c r="C74" s="6">
        <v>2993011.23</v>
      </c>
      <c r="D74" s="6">
        <v>111639.33</v>
      </c>
      <c r="E74" s="6">
        <v>41395.339999999997</v>
      </c>
      <c r="F74" s="6">
        <f t="shared" si="3"/>
        <v>3146045.9</v>
      </c>
      <c r="G74" s="7">
        <v>45773</v>
      </c>
      <c r="H74" s="14" t="s">
        <v>31</v>
      </c>
    </row>
    <row r="75" spans="1:8" x14ac:dyDescent="0.3">
      <c r="A75" s="4" t="s">
        <v>91</v>
      </c>
      <c r="B75" s="5" t="s">
        <v>15</v>
      </c>
      <c r="C75" s="6">
        <v>1117915.01</v>
      </c>
      <c r="D75" s="6">
        <v>72691.31</v>
      </c>
      <c r="E75" s="6">
        <v>15874.75</v>
      </c>
      <c r="F75" s="6">
        <f t="shared" si="3"/>
        <v>1206481.07</v>
      </c>
      <c r="G75" s="7">
        <v>45773</v>
      </c>
    </row>
    <row r="76" spans="1:8" x14ac:dyDescent="0.3">
      <c r="A76" s="4" t="s">
        <v>92</v>
      </c>
      <c r="B76" s="5" t="s">
        <v>15</v>
      </c>
      <c r="C76" s="6">
        <v>4014.99</v>
      </c>
      <c r="D76" s="6">
        <v>2447.52</v>
      </c>
      <c r="E76" s="6">
        <v>86.16</v>
      </c>
      <c r="F76" s="6">
        <f t="shared" si="3"/>
        <v>6548.67</v>
      </c>
      <c r="G76" s="7">
        <v>45773</v>
      </c>
    </row>
    <row r="77" spans="1:8" x14ac:dyDescent="0.3">
      <c r="A77" s="4" t="s">
        <v>93</v>
      </c>
      <c r="B77" s="5" t="s">
        <v>15</v>
      </c>
      <c r="C77" s="6">
        <v>2548.7600000000002</v>
      </c>
      <c r="D77" s="6">
        <v>6226.02</v>
      </c>
      <c r="E77" s="6">
        <v>117</v>
      </c>
      <c r="F77" s="6">
        <f>SUM(C77:E77)</f>
        <v>8891.7800000000007</v>
      </c>
      <c r="G77" s="7">
        <v>45773</v>
      </c>
    </row>
    <row r="78" spans="1:8" x14ac:dyDescent="0.3">
      <c r="A78" s="34" t="s">
        <v>18</v>
      </c>
      <c r="B78" s="34"/>
      <c r="C78" s="34"/>
      <c r="D78" s="34"/>
      <c r="E78" s="34"/>
      <c r="F78" s="8">
        <f>SUM(F75:F77)</f>
        <v>1221921.52</v>
      </c>
      <c r="G78" s="1"/>
    </row>
    <row r="79" spans="1:8" x14ac:dyDescent="0.3">
      <c r="A79" s="1" t="s">
        <v>1</v>
      </c>
      <c r="B79" s="1" t="s">
        <v>19</v>
      </c>
      <c r="C79" s="1"/>
      <c r="D79" s="1"/>
      <c r="E79" s="1"/>
      <c r="F79" s="1"/>
      <c r="G79" s="1"/>
    </row>
    <row r="80" spans="1:8" x14ac:dyDescent="0.3">
      <c r="A80" s="1" t="s">
        <v>4</v>
      </c>
      <c r="B80" s="2">
        <v>20247708880</v>
      </c>
      <c r="C80" s="1"/>
      <c r="D80" s="1"/>
      <c r="E80" s="1"/>
      <c r="F80" s="1"/>
      <c r="G80" s="1"/>
    </row>
    <row r="81" spans="1:8" x14ac:dyDescent="0.3">
      <c r="A81" s="1" t="s">
        <v>5</v>
      </c>
      <c r="B81" s="1" t="s">
        <v>6</v>
      </c>
      <c r="C81" s="1"/>
      <c r="D81" s="1"/>
      <c r="E81" s="1"/>
      <c r="F81" s="1"/>
      <c r="G81" s="1"/>
    </row>
    <row r="82" spans="1:8" x14ac:dyDescent="0.3">
      <c r="A82" s="1"/>
      <c r="B82" s="1"/>
      <c r="C82" s="1"/>
      <c r="D82" s="1"/>
      <c r="E82" s="1"/>
      <c r="F82" s="1"/>
      <c r="G82" s="1"/>
    </row>
    <row r="83" spans="1:8" x14ac:dyDescent="0.3">
      <c r="A83" s="3" t="s">
        <v>7</v>
      </c>
      <c r="B83" s="3" t="s">
        <v>8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13</v>
      </c>
    </row>
    <row r="84" spans="1:8" x14ac:dyDescent="0.3">
      <c r="A84" s="4"/>
      <c r="B84" s="5"/>
      <c r="C84" s="6"/>
      <c r="D84" s="6"/>
      <c r="E84" s="6"/>
      <c r="F84" s="6"/>
      <c r="G84" s="10"/>
    </row>
    <row r="85" spans="1:8" x14ac:dyDescent="0.3">
      <c r="A85" s="34" t="s">
        <v>21</v>
      </c>
      <c r="B85" s="34"/>
      <c r="C85" s="34"/>
      <c r="D85" s="34"/>
      <c r="E85" s="34"/>
      <c r="F85" s="8">
        <f>SUM(F84:F84)</f>
        <v>0</v>
      </c>
      <c r="G85" s="10"/>
    </row>
    <row r="86" spans="1:8" x14ac:dyDescent="0.3">
      <c r="A86" s="28" t="s">
        <v>22</v>
      </c>
      <c r="B86" s="28"/>
      <c r="C86" s="28"/>
      <c r="D86" s="28"/>
      <c r="E86" s="28"/>
      <c r="F86" s="11">
        <f>+F78+F85</f>
        <v>1221921.52</v>
      </c>
      <c r="G86" s="1"/>
    </row>
    <row r="88" spans="1:8" ht="15" thickBot="1" x14ac:dyDescent="0.35"/>
    <row r="89" spans="1:8" ht="15" thickBot="1" x14ac:dyDescent="0.35">
      <c r="A89" s="29" t="s">
        <v>0</v>
      </c>
      <c r="B89" s="30"/>
      <c r="C89" s="30"/>
      <c r="D89" s="30"/>
      <c r="E89" s="30"/>
      <c r="F89" s="30"/>
      <c r="G89" s="31"/>
    </row>
    <row r="90" spans="1:8" x14ac:dyDescent="0.3">
      <c r="A90" s="1" t="s">
        <v>1</v>
      </c>
      <c r="B90" s="1" t="s">
        <v>2</v>
      </c>
      <c r="C90" s="1"/>
      <c r="D90" s="1"/>
      <c r="E90" s="1"/>
      <c r="F90" s="32" t="s">
        <v>100</v>
      </c>
      <c r="G90" s="32"/>
    </row>
    <row r="91" spans="1:8" x14ac:dyDescent="0.3">
      <c r="A91" s="1" t="s">
        <v>4</v>
      </c>
      <c r="B91" s="2">
        <v>30716175061</v>
      </c>
      <c r="C91" s="1"/>
      <c r="D91" s="1"/>
      <c r="E91" s="1"/>
      <c r="F91" s="33"/>
      <c r="G91" s="33"/>
    </row>
    <row r="92" spans="1:8" x14ac:dyDescent="0.3">
      <c r="A92" s="1" t="s">
        <v>5</v>
      </c>
      <c r="B92" s="1" t="s">
        <v>6</v>
      </c>
      <c r="C92" s="1"/>
      <c r="D92" s="1"/>
      <c r="E92" s="1"/>
      <c r="F92" s="33"/>
      <c r="G92" s="33"/>
    </row>
    <row r="93" spans="1:8" x14ac:dyDescent="0.3">
      <c r="A93" s="1"/>
      <c r="B93" s="1"/>
      <c r="C93" s="1"/>
      <c r="D93" s="1"/>
      <c r="E93" s="1"/>
      <c r="F93" s="1"/>
      <c r="G93" s="1"/>
    </row>
    <row r="94" spans="1:8" x14ac:dyDescent="0.3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13</v>
      </c>
    </row>
    <row r="95" spans="1:8" x14ac:dyDescent="0.3">
      <c r="A95" s="4" t="s">
        <v>101</v>
      </c>
      <c r="B95" s="5" t="s">
        <v>15</v>
      </c>
      <c r="C95" s="6">
        <v>4646394.0599999996</v>
      </c>
      <c r="D95" s="6">
        <v>1712517.04</v>
      </c>
      <c r="E95" s="6">
        <v>84785.48</v>
      </c>
      <c r="F95" s="6">
        <f t="shared" ref="F95:F98" si="4">SUM(C95:E95)</f>
        <v>6443696.5800000001</v>
      </c>
      <c r="G95" s="7">
        <v>45803</v>
      </c>
    </row>
    <row r="96" spans="1:8" x14ac:dyDescent="0.3">
      <c r="A96" s="4" t="s">
        <v>102</v>
      </c>
      <c r="B96" s="5" t="s">
        <v>15</v>
      </c>
      <c r="C96" s="6">
        <v>5568572.8399999999</v>
      </c>
      <c r="D96" s="6">
        <v>202139.2</v>
      </c>
      <c r="E96" s="6">
        <v>76942.83</v>
      </c>
      <c r="F96" s="6">
        <f t="shared" si="4"/>
        <v>5847654.8700000001</v>
      </c>
      <c r="G96" s="7">
        <v>45803</v>
      </c>
      <c r="H96" s="14" t="s">
        <v>31</v>
      </c>
    </row>
    <row r="97" spans="1:8" x14ac:dyDescent="0.3">
      <c r="A97" s="4" t="s">
        <v>91</v>
      </c>
      <c r="B97" s="5" t="s">
        <v>15</v>
      </c>
      <c r="C97" s="6">
        <v>1153688.28</v>
      </c>
      <c r="D97" s="6">
        <v>36918.04</v>
      </c>
      <c r="E97" s="6">
        <v>15874.75</v>
      </c>
      <c r="F97" s="6">
        <f t="shared" si="4"/>
        <v>1206481.07</v>
      </c>
      <c r="G97" s="7">
        <v>45803</v>
      </c>
      <c r="H97" s="14" t="s">
        <v>31</v>
      </c>
    </row>
    <row r="98" spans="1:8" x14ac:dyDescent="0.3">
      <c r="A98" s="4" t="s">
        <v>92</v>
      </c>
      <c r="B98" s="5" t="s">
        <v>15</v>
      </c>
      <c r="C98" s="6">
        <v>4014.99</v>
      </c>
      <c r="D98" s="6">
        <v>2345.54</v>
      </c>
      <c r="E98" s="6">
        <v>84.81</v>
      </c>
      <c r="F98" s="6">
        <f t="shared" si="4"/>
        <v>6445.34</v>
      </c>
      <c r="G98" s="7">
        <v>45803</v>
      </c>
    </row>
    <row r="99" spans="1:8" x14ac:dyDescent="0.3">
      <c r="A99" s="4" t="s">
        <v>93</v>
      </c>
      <c r="B99" s="5" t="s">
        <v>15</v>
      </c>
      <c r="C99" s="6">
        <v>2548.7600000000002</v>
      </c>
      <c r="D99" s="6">
        <v>6302.75</v>
      </c>
      <c r="E99" s="6">
        <v>118.02</v>
      </c>
      <c r="F99" s="6">
        <f>SUM(C99:E99)</f>
        <v>8969.5300000000007</v>
      </c>
      <c r="G99" s="7">
        <v>45803</v>
      </c>
    </row>
    <row r="100" spans="1:8" x14ac:dyDescent="0.3">
      <c r="A100" s="34" t="s">
        <v>18</v>
      </c>
      <c r="B100" s="34"/>
      <c r="C100" s="34"/>
      <c r="D100" s="34"/>
      <c r="E100" s="34"/>
      <c r="F100" s="8">
        <f>SUM(F97:F99)</f>
        <v>1221895.9400000002</v>
      </c>
      <c r="G100" s="1"/>
    </row>
    <row r="101" spans="1:8" x14ac:dyDescent="0.3">
      <c r="A101" s="1" t="s">
        <v>1</v>
      </c>
      <c r="B101" s="1" t="s">
        <v>19</v>
      </c>
      <c r="C101" s="1"/>
      <c r="D101" s="1"/>
      <c r="E101" s="1"/>
      <c r="F101" s="1"/>
      <c r="G101" s="1"/>
    </row>
    <row r="102" spans="1:8" x14ac:dyDescent="0.3">
      <c r="A102" s="1" t="s">
        <v>4</v>
      </c>
      <c r="B102" s="2">
        <v>20247708880</v>
      </c>
      <c r="C102" s="1"/>
      <c r="D102" s="1"/>
      <c r="E102" s="1"/>
      <c r="F102" s="1"/>
      <c r="G102" s="1"/>
    </row>
    <row r="103" spans="1:8" x14ac:dyDescent="0.3">
      <c r="A103" s="1" t="s">
        <v>5</v>
      </c>
      <c r="B103" s="1" t="s">
        <v>6</v>
      </c>
      <c r="C103" s="1"/>
      <c r="D103" s="1"/>
      <c r="E103" s="1"/>
      <c r="F103" s="1"/>
      <c r="G103" s="1"/>
    </row>
    <row r="104" spans="1:8" x14ac:dyDescent="0.3">
      <c r="A104" s="1"/>
      <c r="B104" s="1"/>
      <c r="C104" s="1"/>
      <c r="D104" s="1"/>
      <c r="E104" s="1"/>
      <c r="F104" s="1"/>
      <c r="G104" s="1"/>
    </row>
    <row r="105" spans="1:8" x14ac:dyDescent="0.3">
      <c r="A105" s="3" t="s">
        <v>7</v>
      </c>
      <c r="B105" s="3" t="s">
        <v>8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13</v>
      </c>
    </row>
    <row r="106" spans="1:8" x14ac:dyDescent="0.3">
      <c r="A106" s="4"/>
      <c r="B106" s="5"/>
      <c r="C106" s="6"/>
      <c r="D106" s="6"/>
      <c r="E106" s="6"/>
      <c r="F106" s="6"/>
      <c r="G106" s="10"/>
    </row>
    <row r="107" spans="1:8" x14ac:dyDescent="0.3">
      <c r="A107" s="34" t="s">
        <v>21</v>
      </c>
      <c r="B107" s="34"/>
      <c r="C107" s="34"/>
      <c r="D107" s="34"/>
      <c r="E107" s="34"/>
      <c r="F107" s="8">
        <f>SUM(F106:F106)</f>
        <v>0</v>
      </c>
      <c r="G107" s="10"/>
    </row>
    <row r="108" spans="1:8" x14ac:dyDescent="0.3">
      <c r="A108" s="28" t="s">
        <v>22</v>
      </c>
      <c r="B108" s="28"/>
      <c r="C108" s="28"/>
      <c r="D108" s="28"/>
      <c r="E108" s="28"/>
      <c r="F108" s="11">
        <f>+F100+F107</f>
        <v>1221895.9400000002</v>
      </c>
      <c r="G108" s="1"/>
    </row>
    <row r="110" spans="1:8" ht="15" thickBot="1" x14ac:dyDescent="0.35"/>
    <row r="111" spans="1:8" ht="15" thickBot="1" x14ac:dyDescent="0.35">
      <c r="A111" s="29" t="s">
        <v>0</v>
      </c>
      <c r="B111" s="30"/>
      <c r="C111" s="30"/>
      <c r="D111" s="30"/>
      <c r="E111" s="30"/>
      <c r="F111" s="30"/>
      <c r="G111" s="31"/>
    </row>
    <row r="112" spans="1:8" x14ac:dyDescent="0.3">
      <c r="A112" s="1" t="s">
        <v>1</v>
      </c>
      <c r="B112" s="1" t="s">
        <v>2</v>
      </c>
      <c r="C112" s="1"/>
      <c r="D112" s="1"/>
      <c r="E112" s="1"/>
      <c r="F112" s="32" t="s">
        <v>103</v>
      </c>
      <c r="G112" s="32"/>
    </row>
    <row r="113" spans="1:7" x14ac:dyDescent="0.3">
      <c r="A113" s="1" t="s">
        <v>4</v>
      </c>
      <c r="B113" s="2">
        <v>30716175061</v>
      </c>
      <c r="C113" s="1"/>
      <c r="D113" s="1"/>
      <c r="E113" s="1"/>
      <c r="F113" s="33"/>
      <c r="G113" s="33"/>
    </row>
    <row r="114" spans="1:7" x14ac:dyDescent="0.3">
      <c r="A114" s="1" t="s">
        <v>5</v>
      </c>
      <c r="B114" s="1" t="s">
        <v>6</v>
      </c>
      <c r="C114" s="1"/>
      <c r="D114" s="1"/>
      <c r="E114" s="1"/>
      <c r="F114" s="33"/>
      <c r="G114" s="33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13</v>
      </c>
    </row>
    <row r="117" spans="1:7" x14ac:dyDescent="0.3">
      <c r="A117" s="4" t="s">
        <v>104</v>
      </c>
      <c r="B117" s="5" t="s">
        <v>15</v>
      </c>
      <c r="C117" s="6">
        <v>4156450.5</v>
      </c>
      <c r="D117" s="6">
        <v>518991.04</v>
      </c>
      <c r="E117" s="6">
        <v>62339.22</v>
      </c>
      <c r="F117" s="6">
        <f t="shared" ref="F117:F119" si="5">SUM(C117:E117)</f>
        <v>4737780.76</v>
      </c>
      <c r="G117" s="7">
        <v>45834</v>
      </c>
    </row>
    <row r="118" spans="1:7" x14ac:dyDescent="0.3">
      <c r="A118" s="4" t="s">
        <v>105</v>
      </c>
      <c r="B118" s="5" t="s">
        <v>15</v>
      </c>
      <c r="C118" s="6">
        <v>4832249.82</v>
      </c>
      <c r="D118" s="6">
        <v>1526661.28</v>
      </c>
      <c r="E118" s="6">
        <v>84785.48</v>
      </c>
      <c r="F118" s="6">
        <f t="shared" si="5"/>
        <v>6443696.580000001</v>
      </c>
      <c r="G118" s="7">
        <v>45834</v>
      </c>
    </row>
    <row r="119" spans="1:7" x14ac:dyDescent="0.3">
      <c r="A119" s="4" t="s">
        <v>26</v>
      </c>
      <c r="B119" s="5" t="s">
        <v>15</v>
      </c>
      <c r="C119" s="6">
        <v>4014.99</v>
      </c>
      <c r="D119" s="6">
        <v>2243.56</v>
      </c>
      <c r="E119" s="6">
        <v>83.45</v>
      </c>
      <c r="F119" s="6">
        <f t="shared" si="5"/>
        <v>6341.9999999999991</v>
      </c>
      <c r="G119" s="7">
        <v>45834</v>
      </c>
    </row>
    <row r="120" spans="1:7" x14ac:dyDescent="0.3">
      <c r="A120" s="4" t="s">
        <v>27</v>
      </c>
      <c r="B120" s="5" t="s">
        <v>15</v>
      </c>
      <c r="C120" s="6">
        <v>2548.7600000000002</v>
      </c>
      <c r="D120" s="6">
        <v>6374.37</v>
      </c>
      <c r="E120" s="6">
        <v>118.97</v>
      </c>
      <c r="F120" s="6">
        <f>SUM(C120:E120)</f>
        <v>9042.1</v>
      </c>
      <c r="G120" s="7">
        <v>45834</v>
      </c>
    </row>
    <row r="121" spans="1:7" x14ac:dyDescent="0.3">
      <c r="A121" s="34" t="s">
        <v>18</v>
      </c>
      <c r="B121" s="34"/>
      <c r="C121" s="34"/>
      <c r="D121" s="34"/>
      <c r="E121" s="34"/>
      <c r="F121" s="8">
        <f>SUM(F119:F120)</f>
        <v>15384.099999999999</v>
      </c>
      <c r="G121" s="1"/>
    </row>
    <row r="122" spans="1:7" x14ac:dyDescent="0.3">
      <c r="A122" s="1" t="s">
        <v>1</v>
      </c>
      <c r="B122" s="1" t="s">
        <v>19</v>
      </c>
      <c r="C122" s="1"/>
      <c r="D122" s="1"/>
      <c r="E122" s="1"/>
      <c r="F122" s="1"/>
      <c r="G122" s="1"/>
    </row>
    <row r="123" spans="1:7" x14ac:dyDescent="0.3">
      <c r="A123" s="1" t="s">
        <v>4</v>
      </c>
      <c r="B123" s="2">
        <v>20247708880</v>
      </c>
      <c r="C123" s="1"/>
      <c r="D123" s="1"/>
      <c r="E123" s="1"/>
      <c r="F123" s="1"/>
      <c r="G123" s="1"/>
    </row>
    <row r="124" spans="1:7" x14ac:dyDescent="0.3">
      <c r="A124" s="1" t="s">
        <v>5</v>
      </c>
      <c r="B124" s="1" t="s">
        <v>6</v>
      </c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13</v>
      </c>
    </row>
    <row r="127" spans="1:7" x14ac:dyDescent="0.3">
      <c r="A127" s="4"/>
      <c r="B127" s="5"/>
      <c r="C127" s="6"/>
      <c r="D127" s="6"/>
      <c r="E127" s="6"/>
      <c r="F127" s="6"/>
      <c r="G127" s="10"/>
    </row>
    <row r="128" spans="1:7" x14ac:dyDescent="0.3">
      <c r="A128" s="34" t="s">
        <v>21</v>
      </c>
      <c r="B128" s="34"/>
      <c r="C128" s="34"/>
      <c r="D128" s="34"/>
      <c r="E128" s="34"/>
      <c r="F128" s="8">
        <f>SUM(F127:F127)</f>
        <v>0</v>
      </c>
      <c r="G128" s="10"/>
    </row>
    <row r="129" spans="1:7" x14ac:dyDescent="0.3">
      <c r="A129" s="28" t="s">
        <v>22</v>
      </c>
      <c r="B129" s="28"/>
      <c r="C129" s="28"/>
      <c r="D129" s="28"/>
      <c r="E129" s="28"/>
      <c r="F129" s="11">
        <f>+F121+F128</f>
        <v>15384.099999999999</v>
      </c>
      <c r="G129" s="1"/>
    </row>
    <row r="131" spans="1:7" ht="15" thickBot="1" x14ac:dyDescent="0.35"/>
    <row r="132" spans="1:7" ht="15" thickBot="1" x14ac:dyDescent="0.35">
      <c r="A132" s="29" t="s">
        <v>0</v>
      </c>
      <c r="B132" s="30"/>
      <c r="C132" s="30"/>
      <c r="D132" s="30"/>
      <c r="E132" s="30"/>
      <c r="F132" s="30"/>
      <c r="G132" s="31"/>
    </row>
    <row r="133" spans="1:7" x14ac:dyDescent="0.3">
      <c r="A133" s="1" t="s">
        <v>1</v>
      </c>
      <c r="B133" s="1" t="s">
        <v>2</v>
      </c>
      <c r="C133" s="1"/>
      <c r="D133" s="1"/>
      <c r="E133" s="1"/>
      <c r="F133" s="32" t="s">
        <v>106</v>
      </c>
      <c r="G133" s="32"/>
    </row>
    <row r="134" spans="1:7" x14ac:dyDescent="0.3">
      <c r="A134" s="1" t="s">
        <v>4</v>
      </c>
      <c r="B134" s="2">
        <v>30716175061</v>
      </c>
      <c r="C134" s="1"/>
      <c r="D134" s="1"/>
      <c r="E134" s="1"/>
      <c r="F134" s="33"/>
      <c r="G134" s="33"/>
    </row>
    <row r="135" spans="1:7" x14ac:dyDescent="0.3">
      <c r="A135" s="1" t="s">
        <v>5</v>
      </c>
      <c r="B135" s="1" t="s">
        <v>6</v>
      </c>
      <c r="C135" s="1"/>
      <c r="D135" s="1"/>
      <c r="E135" s="1"/>
      <c r="F135" s="33"/>
      <c r="G135" s="33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3" t="s">
        <v>7</v>
      </c>
      <c r="B137" s="3" t="s">
        <v>8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13</v>
      </c>
    </row>
    <row r="138" spans="1:7" x14ac:dyDescent="0.3">
      <c r="A138" s="4" t="s">
        <v>104</v>
      </c>
      <c r="B138" s="5" t="s">
        <v>15</v>
      </c>
      <c r="C138" s="6">
        <v>4322708.5199999996</v>
      </c>
      <c r="D138" s="6">
        <v>352733.02</v>
      </c>
      <c r="E138" s="6">
        <v>42858.21</v>
      </c>
      <c r="F138" s="6">
        <f t="shared" ref="F138:F140" si="6">SUM(C138:E138)</f>
        <v>4718299.7499999991</v>
      </c>
      <c r="G138" s="7">
        <v>45866</v>
      </c>
    </row>
    <row r="139" spans="1:7" x14ac:dyDescent="0.3">
      <c r="A139" s="4" t="s">
        <v>105</v>
      </c>
      <c r="B139" s="5" t="s">
        <v>15</v>
      </c>
      <c r="C139" s="6">
        <v>5025539.8099999996</v>
      </c>
      <c r="D139" s="6">
        <v>1333371.29</v>
      </c>
      <c r="E139" s="6">
        <v>58290.02</v>
      </c>
      <c r="F139" s="6">
        <f t="shared" si="6"/>
        <v>6417201.1199999992</v>
      </c>
      <c r="G139" s="7">
        <v>45866</v>
      </c>
    </row>
    <row r="140" spans="1:7" x14ac:dyDescent="0.3">
      <c r="A140" s="4" t="s">
        <v>26</v>
      </c>
      <c r="B140" s="5" t="s">
        <v>15</v>
      </c>
      <c r="C140" s="6">
        <v>4014.99</v>
      </c>
      <c r="D140" s="6">
        <v>2141.58</v>
      </c>
      <c r="E140" s="6">
        <v>56.43</v>
      </c>
      <c r="F140" s="6">
        <f t="shared" si="6"/>
        <v>6213</v>
      </c>
      <c r="G140" s="7">
        <v>45866</v>
      </c>
    </row>
    <row r="141" spans="1:7" x14ac:dyDescent="0.3">
      <c r="A141" s="4" t="s">
        <v>27</v>
      </c>
      <c r="B141" s="5" t="s">
        <v>15</v>
      </c>
      <c r="C141" s="6">
        <v>2548.7600000000002</v>
      </c>
      <c r="D141" s="6">
        <v>6445.98</v>
      </c>
      <c r="E141" s="6">
        <v>82.45</v>
      </c>
      <c r="F141" s="6">
        <f>SUM(C141:E141)</f>
        <v>9077.19</v>
      </c>
      <c r="G141" s="7">
        <v>45866</v>
      </c>
    </row>
    <row r="142" spans="1:7" x14ac:dyDescent="0.3">
      <c r="A142" s="34" t="s">
        <v>18</v>
      </c>
      <c r="B142" s="34"/>
      <c r="C142" s="34"/>
      <c r="D142" s="34"/>
      <c r="E142" s="34"/>
      <c r="F142" s="8">
        <f>SUM(F138:F141)</f>
        <v>11150791.059999997</v>
      </c>
      <c r="G142" s="1"/>
    </row>
    <row r="143" spans="1:7" x14ac:dyDescent="0.3">
      <c r="A143" s="1" t="s">
        <v>1</v>
      </c>
      <c r="B143" s="1" t="s">
        <v>19</v>
      </c>
      <c r="C143" s="1"/>
      <c r="D143" s="1"/>
      <c r="E143" s="1"/>
      <c r="F143" s="1"/>
      <c r="G143" s="1"/>
    </row>
    <row r="144" spans="1:7" x14ac:dyDescent="0.3">
      <c r="A144" s="1" t="s">
        <v>4</v>
      </c>
      <c r="B144" s="2">
        <v>20247708880</v>
      </c>
      <c r="C144" s="1"/>
      <c r="D144" s="1"/>
      <c r="E144" s="1"/>
      <c r="F144" s="1"/>
      <c r="G144" s="1"/>
    </row>
    <row r="145" spans="1:7" x14ac:dyDescent="0.3">
      <c r="A145" s="1" t="s">
        <v>5</v>
      </c>
      <c r="B145" s="1" t="s">
        <v>6</v>
      </c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  <row r="147" spans="1:7" x14ac:dyDescent="0.3">
      <c r="A147" s="3" t="s">
        <v>7</v>
      </c>
      <c r="B147" s="3" t="s">
        <v>8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13</v>
      </c>
    </row>
    <row r="148" spans="1:7" x14ac:dyDescent="0.3">
      <c r="A148" s="4"/>
      <c r="B148" s="5"/>
      <c r="C148" s="6"/>
      <c r="D148" s="6"/>
      <c r="E148" s="6"/>
      <c r="F148" s="6"/>
      <c r="G148" s="10"/>
    </row>
    <row r="149" spans="1:7" x14ac:dyDescent="0.3">
      <c r="A149" s="34" t="s">
        <v>21</v>
      </c>
      <c r="B149" s="34"/>
      <c r="C149" s="34"/>
      <c r="D149" s="34"/>
      <c r="E149" s="34"/>
      <c r="F149" s="8">
        <f>SUM(F148:F148)</f>
        <v>0</v>
      </c>
      <c r="G149" s="10"/>
    </row>
    <row r="150" spans="1:7" x14ac:dyDescent="0.3">
      <c r="A150" s="28" t="s">
        <v>22</v>
      </c>
      <c r="B150" s="28"/>
      <c r="C150" s="28"/>
      <c r="D150" s="28"/>
      <c r="E150" s="28"/>
      <c r="F150" s="11">
        <f>+F142+F149</f>
        <v>11150791.059999997</v>
      </c>
      <c r="G150" s="1"/>
    </row>
  </sheetData>
  <mergeCells count="35">
    <mergeCell ref="A24:G24"/>
    <mergeCell ref="A2:G2"/>
    <mergeCell ref="F3:G5"/>
    <mergeCell ref="A13:E13"/>
    <mergeCell ref="A20:E20"/>
    <mergeCell ref="A21:E21"/>
    <mergeCell ref="A78:E78"/>
    <mergeCell ref="F25:G27"/>
    <mergeCell ref="A34:E34"/>
    <mergeCell ref="A41:E41"/>
    <mergeCell ref="A42:E42"/>
    <mergeCell ref="A45:G45"/>
    <mergeCell ref="F46:G48"/>
    <mergeCell ref="A56:E56"/>
    <mergeCell ref="A63:E63"/>
    <mergeCell ref="A64:E64"/>
    <mergeCell ref="A67:G67"/>
    <mergeCell ref="F68:G70"/>
    <mergeCell ref="A129:E129"/>
    <mergeCell ref="A85:E85"/>
    <mergeCell ref="A86:E86"/>
    <mergeCell ref="A89:G89"/>
    <mergeCell ref="F90:G92"/>
    <mergeCell ref="A100:E100"/>
    <mergeCell ref="A107:E107"/>
    <mergeCell ref="A108:E108"/>
    <mergeCell ref="A111:G111"/>
    <mergeCell ref="F112:G114"/>
    <mergeCell ref="A121:E121"/>
    <mergeCell ref="A128:E128"/>
    <mergeCell ref="A132:G132"/>
    <mergeCell ref="F133:G135"/>
    <mergeCell ref="A142:E142"/>
    <mergeCell ref="A149:E149"/>
    <mergeCell ref="A150:E15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fitToHeight="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2:J20"/>
  <sheetViews>
    <sheetView workbookViewId="0">
      <selection activeCell="A2" sqref="A2:J20"/>
    </sheetView>
  </sheetViews>
  <sheetFormatPr baseColWidth="10" defaultRowHeight="14.4" x14ac:dyDescent="0.3"/>
  <cols>
    <col min="1" max="1" width="14.109375" bestFit="1" customWidth="1"/>
    <col min="2" max="3" width="30.77734375" customWidth="1"/>
    <col min="4" max="4" width="24.44140625" customWidth="1"/>
    <col min="5" max="5" width="18.44140625" bestFit="1" customWidth="1"/>
    <col min="6" max="6" width="18.44140625" customWidth="1"/>
    <col min="7" max="7" width="17.109375" bestFit="1" customWidth="1"/>
    <col min="8" max="8" width="18.44140625" bestFit="1" customWidth="1"/>
    <col min="9" max="9" width="18.44140625" customWidth="1"/>
    <col min="10" max="10" width="18.21875" bestFit="1" customWidth="1"/>
  </cols>
  <sheetData>
    <row r="2" spans="1:10" x14ac:dyDescent="0.3">
      <c r="A2" s="35" t="s">
        <v>53</v>
      </c>
      <c r="B2" s="36"/>
      <c r="C2" s="36"/>
      <c r="D2" s="36"/>
      <c r="E2" s="36"/>
      <c r="F2" s="36"/>
      <c r="G2" s="36"/>
      <c r="H2" s="36"/>
      <c r="I2" s="36"/>
      <c r="J2" s="37"/>
    </row>
    <row r="3" spans="1:10" ht="14.4" customHeight="1" x14ac:dyDescent="0.3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1:10" ht="14.4" customHeight="1" x14ac:dyDescent="0.3">
      <c r="A4" s="1" t="s">
        <v>4</v>
      </c>
      <c r="B4" s="2">
        <v>30716175061</v>
      </c>
      <c r="C4" s="2"/>
      <c r="D4" s="1"/>
      <c r="E4" s="1"/>
      <c r="F4" s="1"/>
      <c r="G4" s="1"/>
      <c r="H4" s="1"/>
      <c r="I4" s="1"/>
      <c r="J4" s="1"/>
    </row>
    <row r="5" spans="1:10" ht="14.4" customHeight="1" x14ac:dyDescent="0.3">
      <c r="A5" s="1" t="s">
        <v>5</v>
      </c>
      <c r="B5" s="1" t="s">
        <v>6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3" t="s">
        <v>7</v>
      </c>
      <c r="B6" s="3" t="s">
        <v>54</v>
      </c>
      <c r="C6" s="3" t="s">
        <v>55</v>
      </c>
      <c r="D6" s="3" t="s">
        <v>56</v>
      </c>
      <c r="E6" s="3" t="s">
        <v>9</v>
      </c>
      <c r="F6" s="3" t="s">
        <v>57</v>
      </c>
      <c r="G6" s="3" t="s">
        <v>58</v>
      </c>
      <c r="H6" s="3" t="s">
        <v>59</v>
      </c>
      <c r="I6" s="15" t="s">
        <v>60</v>
      </c>
      <c r="J6" s="3" t="s">
        <v>61</v>
      </c>
    </row>
    <row r="7" spans="1:10" s="23" customFormat="1" ht="45" customHeight="1" x14ac:dyDescent="0.3">
      <c r="A7" s="16" t="s">
        <v>107</v>
      </c>
      <c r="B7" s="17" t="s">
        <v>73</v>
      </c>
      <c r="C7" s="18" t="s">
        <v>79</v>
      </c>
      <c r="D7" s="19">
        <v>45797</v>
      </c>
      <c r="E7" s="20">
        <v>12974775.9</v>
      </c>
      <c r="F7" s="21">
        <v>3</v>
      </c>
      <c r="G7" s="21">
        <v>2</v>
      </c>
      <c r="H7" s="21">
        <f t="shared" ref="H7:H11" si="0">+F7-G7</f>
        <v>1</v>
      </c>
      <c r="I7" s="20">
        <v>4718299.75</v>
      </c>
      <c r="J7" s="22">
        <v>45870</v>
      </c>
    </row>
    <row r="8" spans="1:10" s="23" customFormat="1" ht="45" customHeight="1" x14ac:dyDescent="0.3">
      <c r="A8" s="16" t="s">
        <v>108</v>
      </c>
      <c r="B8" s="17" t="s">
        <v>73</v>
      </c>
      <c r="C8" s="18" t="s">
        <v>79</v>
      </c>
      <c r="D8" s="19">
        <v>45764</v>
      </c>
      <c r="E8" s="20">
        <v>42812926.100000001</v>
      </c>
      <c r="F8" s="21">
        <v>8</v>
      </c>
      <c r="G8" s="21">
        <v>3</v>
      </c>
      <c r="H8" s="21">
        <f t="shared" si="0"/>
        <v>5</v>
      </c>
      <c r="I8" s="20">
        <v>6417201.1200000001</v>
      </c>
      <c r="J8" s="22">
        <v>45992</v>
      </c>
    </row>
    <row r="9" spans="1:10" s="23" customFormat="1" ht="45" customHeight="1" x14ac:dyDescent="0.3">
      <c r="A9" s="16" t="s">
        <v>109</v>
      </c>
      <c r="B9" s="17" t="s">
        <v>73</v>
      </c>
      <c r="C9" s="18" t="s">
        <v>79</v>
      </c>
      <c r="D9" s="19">
        <v>45708</v>
      </c>
      <c r="E9" s="20">
        <v>16127375.43</v>
      </c>
      <c r="F9" s="21">
        <v>3</v>
      </c>
      <c r="G9" s="21">
        <v>3</v>
      </c>
      <c r="H9" s="21">
        <f t="shared" si="0"/>
        <v>0</v>
      </c>
      <c r="I9" s="20">
        <v>5847654.8700000001</v>
      </c>
      <c r="J9" s="22">
        <v>45778</v>
      </c>
    </row>
    <row r="10" spans="1:10" s="23" customFormat="1" ht="45" customHeight="1" x14ac:dyDescent="0.3">
      <c r="A10" s="16" t="s">
        <v>62</v>
      </c>
      <c r="B10" s="17" t="s">
        <v>63</v>
      </c>
      <c r="C10" s="18" t="s">
        <v>64</v>
      </c>
      <c r="D10" s="19">
        <v>45644</v>
      </c>
      <c r="E10" s="20">
        <v>15122182.08</v>
      </c>
      <c r="F10" s="21">
        <v>5</v>
      </c>
      <c r="G10" s="21">
        <v>5</v>
      </c>
      <c r="H10" s="21">
        <f t="shared" si="0"/>
        <v>0</v>
      </c>
      <c r="I10" s="20">
        <v>3146045.9</v>
      </c>
      <c r="J10" s="22">
        <v>45748</v>
      </c>
    </row>
    <row r="11" spans="1:10" s="23" customFormat="1" ht="45" customHeight="1" x14ac:dyDescent="0.3">
      <c r="A11" s="16" t="s">
        <v>68</v>
      </c>
      <c r="B11" s="17" t="s">
        <v>69</v>
      </c>
      <c r="C11" s="18" t="s">
        <v>67</v>
      </c>
      <c r="D11" s="19">
        <v>45639</v>
      </c>
      <c r="E11" s="20">
        <v>2137483.29</v>
      </c>
      <c r="F11" s="21">
        <v>2</v>
      </c>
      <c r="G11" s="21">
        <v>2</v>
      </c>
      <c r="H11" s="21">
        <f t="shared" si="0"/>
        <v>0</v>
      </c>
      <c r="I11" s="20">
        <v>1921352.68</v>
      </c>
      <c r="J11" s="22">
        <v>45658</v>
      </c>
    </row>
    <row r="12" spans="1:10" s="23" customFormat="1" ht="45" customHeight="1" x14ac:dyDescent="0.3">
      <c r="A12" s="16" t="s">
        <v>72</v>
      </c>
      <c r="B12" s="24" t="s">
        <v>73</v>
      </c>
      <c r="C12" s="18" t="s">
        <v>74</v>
      </c>
      <c r="D12" s="19">
        <v>45608</v>
      </c>
      <c r="E12" s="20">
        <v>6407205.96</v>
      </c>
      <c r="F12" s="21">
        <v>6</v>
      </c>
      <c r="G12" s="21">
        <v>6</v>
      </c>
      <c r="H12" s="21">
        <f>+F12-G12</f>
        <v>0</v>
      </c>
      <c r="I12" s="20">
        <v>1206481.07</v>
      </c>
      <c r="J12" s="22">
        <v>45778</v>
      </c>
    </row>
    <row r="13" spans="1:10" s="23" customFormat="1" ht="45" customHeight="1" x14ac:dyDescent="0.3">
      <c r="A13" s="16" t="s">
        <v>80</v>
      </c>
      <c r="B13" s="25" t="s">
        <v>81</v>
      </c>
      <c r="C13" s="25" t="s">
        <v>74</v>
      </c>
      <c r="D13" s="26">
        <v>44648</v>
      </c>
      <c r="E13" s="20">
        <v>240898.71</v>
      </c>
      <c r="F13" s="21">
        <v>60</v>
      </c>
      <c r="G13" s="21">
        <v>40</v>
      </c>
      <c r="H13" s="21">
        <f>+F13-G13</f>
        <v>20</v>
      </c>
      <c r="I13" s="20">
        <v>6213</v>
      </c>
      <c r="J13" s="22">
        <v>46447</v>
      </c>
    </row>
    <row r="14" spans="1:10" s="23" customFormat="1" ht="45" customHeight="1" x14ac:dyDescent="0.3">
      <c r="A14" s="16" t="s">
        <v>82</v>
      </c>
      <c r="B14" s="25" t="s">
        <v>83</v>
      </c>
      <c r="C14" s="25" t="s">
        <v>84</v>
      </c>
      <c r="D14" s="26">
        <v>44165</v>
      </c>
      <c r="E14" s="20">
        <v>305850.65999999997</v>
      </c>
      <c r="F14" s="21">
        <v>120</v>
      </c>
      <c r="G14" s="21">
        <v>56</v>
      </c>
      <c r="H14" s="21">
        <f>+F14-G14</f>
        <v>64</v>
      </c>
      <c r="I14" s="20">
        <v>9077.19</v>
      </c>
      <c r="J14" s="22">
        <v>11263</v>
      </c>
    </row>
    <row r="15" spans="1:10" ht="4.2" customHeight="1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</row>
    <row r="16" spans="1:10" x14ac:dyDescent="0.3">
      <c r="A16" s="1" t="s">
        <v>1</v>
      </c>
      <c r="B16" s="1" t="s">
        <v>19</v>
      </c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 t="s">
        <v>4</v>
      </c>
      <c r="B17" s="2">
        <v>20247708880</v>
      </c>
      <c r="C17" s="2"/>
      <c r="D17" s="1"/>
      <c r="E17" s="1"/>
      <c r="F17" s="1"/>
      <c r="G17" s="1"/>
      <c r="H17" s="1"/>
      <c r="I17" s="1"/>
      <c r="J17" s="1"/>
    </row>
    <row r="18" spans="1:10" x14ac:dyDescent="0.3">
      <c r="A18" s="1" t="s">
        <v>5</v>
      </c>
      <c r="B18" s="1" t="s">
        <v>6</v>
      </c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3" t="s">
        <v>7</v>
      </c>
      <c r="B19" s="3" t="s">
        <v>54</v>
      </c>
      <c r="C19" s="3" t="s">
        <v>55</v>
      </c>
      <c r="D19" s="3" t="s">
        <v>56</v>
      </c>
      <c r="E19" s="3" t="s">
        <v>9</v>
      </c>
      <c r="F19" s="3" t="s">
        <v>57</v>
      </c>
      <c r="G19" s="3" t="s">
        <v>58</v>
      </c>
      <c r="H19" s="3" t="s">
        <v>59</v>
      </c>
      <c r="I19" s="15" t="s">
        <v>60</v>
      </c>
      <c r="J19" s="3" t="s">
        <v>61</v>
      </c>
    </row>
    <row r="20" spans="1:10" s="23" customFormat="1" x14ac:dyDescent="0.3">
      <c r="A20" s="16"/>
      <c r="B20" s="17"/>
      <c r="C20" s="25"/>
      <c r="D20" s="19"/>
      <c r="E20" s="20"/>
      <c r="F20" s="21"/>
      <c r="G20" s="21"/>
      <c r="H20" s="21"/>
      <c r="I20" s="20"/>
      <c r="J20" s="22"/>
    </row>
  </sheetData>
  <mergeCells count="2">
    <mergeCell ref="A2:J2"/>
    <mergeCell ref="A15:J15"/>
  </mergeCells>
  <pageMargins left="0.7" right="0.7" top="0.75" bottom="0.75" header="0.3" footer="0.3"/>
  <pageSetup paperSize="9" scale="41" fitToHeight="0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G94"/>
  <sheetViews>
    <sheetView topLeftCell="A70" workbookViewId="0">
      <selection activeCell="A2" sqref="A2:G94"/>
    </sheetView>
  </sheetViews>
  <sheetFormatPr baseColWidth="10" defaultRowHeight="14.4" x14ac:dyDescent="0.3"/>
  <cols>
    <col min="1" max="1" width="14.109375" bestFit="1" customWidth="1"/>
    <col min="2" max="2" width="24.44140625" bestFit="1" customWidth="1"/>
    <col min="3" max="3" width="18.44140625" bestFit="1" customWidth="1"/>
    <col min="4" max="4" width="17.109375" bestFit="1" customWidth="1"/>
    <col min="5" max="5" width="18.44140625" bestFit="1" customWidth="1"/>
    <col min="6" max="6" width="15.88671875" customWidth="1"/>
    <col min="7" max="7" width="13.5546875" bestFit="1" customWidth="1"/>
  </cols>
  <sheetData>
    <row r="1" spans="1:7" ht="15" thickBot="1" x14ac:dyDescent="0.35"/>
    <row r="2" spans="1:7" ht="15" thickBot="1" x14ac:dyDescent="0.35">
      <c r="A2" s="29" t="s">
        <v>0</v>
      </c>
      <c r="B2" s="30"/>
      <c r="C2" s="30"/>
      <c r="D2" s="30"/>
      <c r="E2" s="30"/>
      <c r="F2" s="30"/>
      <c r="G2" s="31"/>
    </row>
    <row r="3" spans="1:7" x14ac:dyDescent="0.3">
      <c r="A3" s="1" t="s">
        <v>1</v>
      </c>
      <c r="B3" s="1" t="s">
        <v>2</v>
      </c>
      <c r="C3" s="1"/>
      <c r="D3" s="1"/>
      <c r="E3" s="1"/>
      <c r="F3" s="32" t="s">
        <v>110</v>
      </c>
      <c r="G3" s="32"/>
    </row>
    <row r="4" spans="1:7" x14ac:dyDescent="0.3">
      <c r="A4" s="1" t="s">
        <v>4</v>
      </c>
      <c r="B4" s="2">
        <v>30716175061</v>
      </c>
      <c r="C4" s="1"/>
      <c r="D4" s="1"/>
      <c r="E4" s="1"/>
      <c r="F4" s="33"/>
      <c r="G4" s="33"/>
    </row>
    <row r="5" spans="1:7" x14ac:dyDescent="0.3">
      <c r="A5" s="1" t="s">
        <v>5</v>
      </c>
      <c r="B5" s="1" t="s">
        <v>6</v>
      </c>
      <c r="C5" s="1"/>
      <c r="D5" s="1"/>
      <c r="E5" s="1"/>
      <c r="F5" s="33"/>
      <c r="G5" s="33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3">
      <c r="A8" s="4" t="s">
        <v>34</v>
      </c>
      <c r="B8" s="5" t="s">
        <v>15</v>
      </c>
      <c r="C8" s="6">
        <v>4014.99</v>
      </c>
      <c r="D8" s="6">
        <v>1529.7</v>
      </c>
      <c r="E8" s="6">
        <v>0</v>
      </c>
      <c r="F8" s="6">
        <f t="shared" ref="F8:F9" si="0">SUM(C8:E8)</f>
        <v>5544.69</v>
      </c>
      <c r="G8" s="7">
        <v>46038</v>
      </c>
    </row>
    <row r="9" spans="1:7" x14ac:dyDescent="0.3">
      <c r="A9" s="4" t="s">
        <v>35</v>
      </c>
      <c r="B9" s="5" t="s">
        <v>15</v>
      </c>
      <c r="C9" s="6">
        <v>2548.7600000000002</v>
      </c>
      <c r="D9" s="6">
        <v>6870.1</v>
      </c>
      <c r="E9" s="6">
        <v>0</v>
      </c>
      <c r="F9" s="6">
        <f t="shared" si="0"/>
        <v>9418.86</v>
      </c>
      <c r="G9" s="7">
        <v>46038</v>
      </c>
    </row>
    <row r="10" spans="1:7" x14ac:dyDescent="0.3">
      <c r="A10" s="34" t="s">
        <v>18</v>
      </c>
      <c r="B10" s="34"/>
      <c r="C10" s="34"/>
      <c r="D10" s="34"/>
      <c r="E10" s="34"/>
      <c r="F10" s="8">
        <f>SUM(F8:F9)</f>
        <v>14963.55</v>
      </c>
      <c r="G10" s="1"/>
    </row>
    <row r="11" spans="1:7" x14ac:dyDescent="0.3">
      <c r="A11" s="1" t="s">
        <v>1</v>
      </c>
      <c r="B11" s="1" t="s">
        <v>19</v>
      </c>
      <c r="C11" s="1"/>
      <c r="D11" s="1"/>
      <c r="E11" s="1"/>
      <c r="F11" s="1"/>
      <c r="G11" s="1"/>
    </row>
    <row r="12" spans="1:7" x14ac:dyDescent="0.3">
      <c r="A12" s="1" t="s">
        <v>4</v>
      </c>
      <c r="B12" s="2">
        <v>20247708880</v>
      </c>
      <c r="C12" s="1"/>
      <c r="D12" s="1"/>
      <c r="E12" s="1"/>
      <c r="F12" s="1"/>
      <c r="G12" s="1"/>
    </row>
    <row r="13" spans="1:7" x14ac:dyDescent="0.3">
      <c r="A13" s="1" t="s">
        <v>5</v>
      </c>
      <c r="B13" s="1" t="s">
        <v>6</v>
      </c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13</v>
      </c>
    </row>
    <row r="16" spans="1:7" x14ac:dyDescent="0.3">
      <c r="A16" s="4"/>
      <c r="B16" s="5"/>
      <c r="C16" s="6"/>
      <c r="D16" s="6"/>
      <c r="E16" s="6"/>
      <c r="F16" s="6"/>
      <c r="G16" s="10"/>
    </row>
    <row r="17" spans="1:7" x14ac:dyDescent="0.3">
      <c r="A17" s="34" t="s">
        <v>21</v>
      </c>
      <c r="B17" s="34"/>
      <c r="C17" s="34"/>
      <c r="D17" s="34"/>
      <c r="E17" s="34"/>
      <c r="F17" s="8">
        <f>SUM(F16:F16)</f>
        <v>0</v>
      </c>
      <c r="G17" s="10"/>
    </row>
    <row r="18" spans="1:7" x14ac:dyDescent="0.3">
      <c r="A18" s="28" t="s">
        <v>22</v>
      </c>
      <c r="B18" s="28"/>
      <c r="C18" s="28"/>
      <c r="D18" s="28"/>
      <c r="E18" s="28"/>
      <c r="F18" s="11">
        <f>+F10+F17</f>
        <v>14963.55</v>
      </c>
      <c r="G18" s="1"/>
    </row>
    <row r="20" spans="1:7" ht="15" thickBot="1" x14ac:dyDescent="0.35"/>
    <row r="21" spans="1:7" ht="15" thickBot="1" x14ac:dyDescent="0.35">
      <c r="A21" s="29" t="s">
        <v>0</v>
      </c>
      <c r="B21" s="30"/>
      <c r="C21" s="30"/>
      <c r="D21" s="30"/>
      <c r="E21" s="30"/>
      <c r="F21" s="30"/>
      <c r="G21" s="31"/>
    </row>
    <row r="22" spans="1:7" x14ac:dyDescent="0.3">
      <c r="A22" s="1" t="s">
        <v>1</v>
      </c>
      <c r="B22" s="1" t="s">
        <v>2</v>
      </c>
      <c r="C22" s="1"/>
      <c r="D22" s="1"/>
      <c r="E22" s="1"/>
      <c r="F22" s="32" t="s">
        <v>111</v>
      </c>
      <c r="G22" s="32"/>
    </row>
    <row r="23" spans="1:7" x14ac:dyDescent="0.3">
      <c r="A23" s="1" t="s">
        <v>4</v>
      </c>
      <c r="B23" s="2">
        <v>30716175061</v>
      </c>
      <c r="C23" s="1"/>
      <c r="D23" s="1"/>
      <c r="E23" s="1"/>
      <c r="F23" s="33"/>
      <c r="G23" s="33"/>
    </row>
    <row r="24" spans="1:7" x14ac:dyDescent="0.3">
      <c r="A24" s="1" t="s">
        <v>5</v>
      </c>
      <c r="B24" s="1" t="s">
        <v>6</v>
      </c>
      <c r="C24" s="1"/>
      <c r="D24" s="1"/>
      <c r="E24" s="1"/>
      <c r="F24" s="33"/>
      <c r="G24" s="33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13</v>
      </c>
    </row>
    <row r="27" spans="1:7" x14ac:dyDescent="0.3">
      <c r="A27" s="4" t="s">
        <v>34</v>
      </c>
      <c r="B27" s="5" t="s">
        <v>15</v>
      </c>
      <c r="C27" s="6">
        <v>4014.99</v>
      </c>
      <c r="D27" s="6">
        <v>1427.72</v>
      </c>
      <c r="E27" s="6">
        <v>0</v>
      </c>
      <c r="F27" s="6">
        <f t="shared" ref="F27:F28" si="1">SUM(C27:E27)</f>
        <v>5442.71</v>
      </c>
      <c r="G27" s="7">
        <v>46069</v>
      </c>
    </row>
    <row r="28" spans="1:7" x14ac:dyDescent="0.3">
      <c r="A28" s="4" t="s">
        <v>35</v>
      </c>
      <c r="B28" s="5" t="s">
        <v>15</v>
      </c>
      <c r="C28" s="6">
        <v>2548.7600000000002</v>
      </c>
      <c r="D28" s="6">
        <v>6938.91</v>
      </c>
      <c r="E28" s="6">
        <v>0</v>
      </c>
      <c r="F28" s="6">
        <f t="shared" si="1"/>
        <v>9487.67</v>
      </c>
      <c r="G28" s="7">
        <v>46069</v>
      </c>
    </row>
    <row r="29" spans="1:7" x14ac:dyDescent="0.3">
      <c r="A29" s="34" t="s">
        <v>18</v>
      </c>
      <c r="B29" s="34"/>
      <c r="C29" s="34"/>
      <c r="D29" s="34"/>
      <c r="E29" s="34"/>
      <c r="F29" s="8">
        <f>SUM(F27:F28)</f>
        <v>14930.380000000001</v>
      </c>
      <c r="G29" s="1"/>
    </row>
    <row r="30" spans="1:7" x14ac:dyDescent="0.3">
      <c r="A30" s="1" t="s">
        <v>1</v>
      </c>
      <c r="B30" s="1" t="s">
        <v>19</v>
      </c>
      <c r="C30" s="1"/>
      <c r="D30" s="1"/>
      <c r="E30" s="1"/>
      <c r="F30" s="1"/>
      <c r="G30" s="1"/>
    </row>
    <row r="31" spans="1:7" x14ac:dyDescent="0.3">
      <c r="A31" s="1" t="s">
        <v>4</v>
      </c>
      <c r="B31" s="2">
        <v>20247708880</v>
      </c>
      <c r="C31" s="1"/>
      <c r="D31" s="1"/>
      <c r="E31" s="1"/>
      <c r="F31" s="1"/>
      <c r="G31" s="1"/>
    </row>
    <row r="32" spans="1:7" x14ac:dyDescent="0.3">
      <c r="A32" s="1" t="s">
        <v>5</v>
      </c>
      <c r="B32" s="1" t="s">
        <v>6</v>
      </c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13</v>
      </c>
    </row>
    <row r="35" spans="1:7" x14ac:dyDescent="0.3">
      <c r="A35" s="4"/>
      <c r="B35" s="5"/>
      <c r="C35" s="6"/>
      <c r="D35" s="6"/>
      <c r="E35" s="6"/>
      <c r="F35" s="6"/>
      <c r="G35" s="10"/>
    </row>
    <row r="36" spans="1:7" x14ac:dyDescent="0.3">
      <c r="A36" s="34" t="s">
        <v>21</v>
      </c>
      <c r="B36" s="34"/>
      <c r="C36" s="34"/>
      <c r="D36" s="34"/>
      <c r="E36" s="34"/>
      <c r="F36" s="8">
        <f>SUM(F35:F35)</f>
        <v>0</v>
      </c>
      <c r="G36" s="10"/>
    </row>
    <row r="37" spans="1:7" x14ac:dyDescent="0.3">
      <c r="A37" s="28" t="s">
        <v>22</v>
      </c>
      <c r="B37" s="28"/>
      <c r="C37" s="28"/>
      <c r="D37" s="28"/>
      <c r="E37" s="28"/>
      <c r="F37" s="11">
        <f>+F29+F36</f>
        <v>14930.380000000001</v>
      </c>
      <c r="G37" s="1"/>
    </row>
    <row r="39" spans="1:7" ht="15" thickBot="1" x14ac:dyDescent="0.35"/>
    <row r="40" spans="1:7" ht="15" thickBot="1" x14ac:dyDescent="0.35">
      <c r="A40" s="29" t="s">
        <v>0</v>
      </c>
      <c r="B40" s="30"/>
      <c r="C40" s="30"/>
      <c r="D40" s="30"/>
      <c r="E40" s="30"/>
      <c r="F40" s="30"/>
      <c r="G40" s="31"/>
    </row>
    <row r="41" spans="1:7" x14ac:dyDescent="0.3">
      <c r="A41" s="1" t="s">
        <v>1</v>
      </c>
      <c r="B41" s="1" t="s">
        <v>2</v>
      </c>
      <c r="C41" s="1"/>
      <c r="D41" s="1"/>
      <c r="E41" s="1"/>
      <c r="F41" s="32" t="s">
        <v>112</v>
      </c>
      <c r="G41" s="32"/>
    </row>
    <row r="42" spans="1:7" x14ac:dyDescent="0.3">
      <c r="A42" s="1" t="s">
        <v>4</v>
      </c>
      <c r="B42" s="2">
        <v>30716175061</v>
      </c>
      <c r="C42" s="1"/>
      <c r="D42" s="1"/>
      <c r="E42" s="1"/>
      <c r="F42" s="33"/>
      <c r="G42" s="33"/>
    </row>
    <row r="43" spans="1:7" x14ac:dyDescent="0.3">
      <c r="A43" s="1" t="s">
        <v>5</v>
      </c>
      <c r="B43" s="1" t="s">
        <v>6</v>
      </c>
      <c r="C43" s="1"/>
      <c r="D43" s="1"/>
      <c r="E43" s="1"/>
      <c r="F43" s="33"/>
      <c r="G43" s="33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3" t="s">
        <v>7</v>
      </c>
      <c r="B45" s="3" t="s">
        <v>8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13</v>
      </c>
    </row>
    <row r="46" spans="1:7" x14ac:dyDescent="0.3">
      <c r="A46" s="4" t="s">
        <v>34</v>
      </c>
      <c r="B46" s="5" t="s">
        <v>15</v>
      </c>
      <c r="C46" s="6">
        <v>4014.99</v>
      </c>
      <c r="D46" s="6">
        <v>1325.74</v>
      </c>
      <c r="E46" s="6">
        <v>0</v>
      </c>
      <c r="F46" s="6">
        <f t="shared" ref="F46:F47" si="2">SUM(C46:E46)</f>
        <v>5340.73</v>
      </c>
      <c r="G46" s="7">
        <v>46097</v>
      </c>
    </row>
    <row r="47" spans="1:7" x14ac:dyDescent="0.3">
      <c r="A47" s="4" t="s">
        <v>35</v>
      </c>
      <c r="B47" s="5" t="s">
        <v>15</v>
      </c>
      <c r="C47" s="6">
        <v>2548.7600000000002</v>
      </c>
      <c r="D47" s="6">
        <v>7007.73</v>
      </c>
      <c r="E47" s="6">
        <v>0</v>
      </c>
      <c r="F47" s="6">
        <f t="shared" si="2"/>
        <v>9556.49</v>
      </c>
      <c r="G47" s="7">
        <v>46097</v>
      </c>
    </row>
    <row r="48" spans="1:7" x14ac:dyDescent="0.3">
      <c r="A48" s="34" t="s">
        <v>18</v>
      </c>
      <c r="B48" s="34"/>
      <c r="C48" s="34"/>
      <c r="D48" s="34"/>
      <c r="E48" s="34"/>
      <c r="F48" s="8">
        <f>SUM(F46:F47)</f>
        <v>14897.22</v>
      </c>
      <c r="G48" s="1"/>
    </row>
    <row r="49" spans="1:7" x14ac:dyDescent="0.3">
      <c r="A49" s="1" t="s">
        <v>1</v>
      </c>
      <c r="B49" s="1" t="s">
        <v>19</v>
      </c>
      <c r="C49" s="1"/>
      <c r="D49" s="1"/>
      <c r="E49" s="1"/>
      <c r="F49" s="1"/>
      <c r="G49" s="1"/>
    </row>
    <row r="50" spans="1:7" x14ac:dyDescent="0.3">
      <c r="A50" s="1" t="s">
        <v>4</v>
      </c>
      <c r="B50" s="2">
        <v>20247708880</v>
      </c>
      <c r="C50" s="1"/>
      <c r="D50" s="1"/>
      <c r="E50" s="1"/>
      <c r="F50" s="1"/>
      <c r="G50" s="1"/>
    </row>
    <row r="51" spans="1:7" x14ac:dyDescent="0.3">
      <c r="A51" s="1" t="s">
        <v>5</v>
      </c>
      <c r="B51" s="1" t="s">
        <v>6</v>
      </c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3" t="s">
        <v>7</v>
      </c>
      <c r="B53" s="3" t="s">
        <v>8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13</v>
      </c>
    </row>
    <row r="54" spans="1:7" x14ac:dyDescent="0.3">
      <c r="A54" s="4"/>
      <c r="B54" s="5"/>
      <c r="C54" s="6"/>
      <c r="D54" s="6"/>
      <c r="E54" s="6"/>
      <c r="F54" s="6"/>
      <c r="G54" s="10"/>
    </row>
    <row r="55" spans="1:7" x14ac:dyDescent="0.3">
      <c r="A55" s="34" t="s">
        <v>21</v>
      </c>
      <c r="B55" s="34"/>
      <c r="C55" s="34"/>
      <c r="D55" s="34"/>
      <c r="E55" s="34"/>
      <c r="F55" s="8">
        <f>SUM(F54:F54)</f>
        <v>0</v>
      </c>
      <c r="G55" s="10"/>
    </row>
    <row r="56" spans="1:7" x14ac:dyDescent="0.3">
      <c r="A56" s="28" t="s">
        <v>22</v>
      </c>
      <c r="B56" s="28"/>
      <c r="C56" s="28"/>
      <c r="D56" s="28"/>
      <c r="E56" s="28"/>
      <c r="F56" s="11">
        <f>+F48+F55</f>
        <v>14897.22</v>
      </c>
      <c r="G56" s="1"/>
    </row>
    <row r="58" spans="1:7" ht="15" thickBot="1" x14ac:dyDescent="0.35"/>
    <row r="59" spans="1:7" ht="15" thickBot="1" x14ac:dyDescent="0.35">
      <c r="A59" s="29" t="s">
        <v>0</v>
      </c>
      <c r="B59" s="30"/>
      <c r="C59" s="30"/>
      <c r="D59" s="30"/>
      <c r="E59" s="30"/>
      <c r="F59" s="30"/>
      <c r="G59" s="31"/>
    </row>
    <row r="60" spans="1:7" x14ac:dyDescent="0.3">
      <c r="A60" s="1" t="s">
        <v>1</v>
      </c>
      <c r="B60" s="1" t="s">
        <v>2</v>
      </c>
      <c r="C60" s="1"/>
      <c r="D60" s="1"/>
      <c r="E60" s="1"/>
      <c r="F60" s="32" t="s">
        <v>113</v>
      </c>
      <c r="G60" s="32"/>
    </row>
    <row r="61" spans="1:7" x14ac:dyDescent="0.3">
      <c r="A61" s="1" t="s">
        <v>4</v>
      </c>
      <c r="B61" s="2">
        <v>30716175061</v>
      </c>
      <c r="C61" s="1"/>
      <c r="D61" s="1"/>
      <c r="E61" s="1"/>
      <c r="F61" s="33"/>
      <c r="G61" s="33"/>
    </row>
    <row r="62" spans="1:7" x14ac:dyDescent="0.3">
      <c r="A62" s="1" t="s">
        <v>5</v>
      </c>
      <c r="B62" s="1" t="s">
        <v>6</v>
      </c>
      <c r="C62" s="1"/>
      <c r="D62" s="1"/>
      <c r="E62" s="1"/>
      <c r="F62" s="33"/>
      <c r="G62" s="33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</v>
      </c>
    </row>
    <row r="65" spans="1:7" x14ac:dyDescent="0.3">
      <c r="A65" s="4" t="s">
        <v>34</v>
      </c>
      <c r="B65" s="5" t="s">
        <v>15</v>
      </c>
      <c r="C65" s="6">
        <v>4014.99</v>
      </c>
      <c r="D65" s="6">
        <v>1031.04</v>
      </c>
      <c r="E65" s="6">
        <v>0</v>
      </c>
      <c r="F65" s="6">
        <f t="shared" ref="F65:F66" si="3">SUM(C65:E65)</f>
        <v>5046.03</v>
      </c>
      <c r="G65" s="7">
        <v>46128</v>
      </c>
    </row>
    <row r="66" spans="1:7" x14ac:dyDescent="0.3">
      <c r="A66" s="4" t="s">
        <v>35</v>
      </c>
      <c r="B66" s="5" t="s">
        <v>15</v>
      </c>
      <c r="C66" s="6">
        <v>2548.7600000000002</v>
      </c>
      <c r="D66" s="6">
        <v>7076.55</v>
      </c>
      <c r="E66" s="6">
        <v>0</v>
      </c>
      <c r="F66" s="6">
        <f t="shared" si="3"/>
        <v>9625.3100000000013</v>
      </c>
      <c r="G66" s="7">
        <v>46128</v>
      </c>
    </row>
    <row r="67" spans="1:7" x14ac:dyDescent="0.3">
      <c r="A67" s="34" t="s">
        <v>18</v>
      </c>
      <c r="B67" s="34"/>
      <c r="C67" s="34"/>
      <c r="D67" s="34"/>
      <c r="E67" s="34"/>
      <c r="F67" s="8">
        <f>SUM(F65:F66)</f>
        <v>14671.34</v>
      </c>
      <c r="G67" s="1"/>
    </row>
    <row r="68" spans="1:7" x14ac:dyDescent="0.3">
      <c r="A68" s="1" t="s">
        <v>1</v>
      </c>
      <c r="B68" s="1" t="s">
        <v>19</v>
      </c>
      <c r="C68" s="1"/>
      <c r="D68" s="1"/>
      <c r="E68" s="1"/>
      <c r="F68" s="1"/>
      <c r="G68" s="1"/>
    </row>
    <row r="69" spans="1:7" x14ac:dyDescent="0.3">
      <c r="A69" s="1" t="s">
        <v>4</v>
      </c>
      <c r="B69" s="2">
        <v>20247708880</v>
      </c>
      <c r="C69" s="1"/>
      <c r="D69" s="1"/>
      <c r="E69" s="1"/>
      <c r="F69" s="1"/>
      <c r="G69" s="1"/>
    </row>
    <row r="70" spans="1:7" x14ac:dyDescent="0.3">
      <c r="A70" s="1" t="s">
        <v>5</v>
      </c>
      <c r="B70" s="1" t="s">
        <v>6</v>
      </c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13</v>
      </c>
    </row>
    <row r="73" spans="1:7" x14ac:dyDescent="0.3">
      <c r="A73" s="4"/>
      <c r="B73" s="5"/>
      <c r="C73" s="6"/>
      <c r="D73" s="6"/>
      <c r="E73" s="6"/>
      <c r="F73" s="6"/>
      <c r="G73" s="10"/>
    </row>
    <row r="74" spans="1:7" x14ac:dyDescent="0.3">
      <c r="A74" s="34" t="s">
        <v>21</v>
      </c>
      <c r="B74" s="34"/>
      <c r="C74" s="34"/>
      <c r="D74" s="34"/>
      <c r="E74" s="34"/>
      <c r="F74" s="8">
        <f>SUM(F73:F73)</f>
        <v>0</v>
      </c>
      <c r="G74" s="10"/>
    </row>
    <row r="75" spans="1:7" x14ac:dyDescent="0.3">
      <c r="A75" s="28" t="s">
        <v>22</v>
      </c>
      <c r="B75" s="28"/>
      <c r="C75" s="28"/>
      <c r="D75" s="28"/>
      <c r="E75" s="28"/>
      <c r="F75" s="11">
        <f>+F67+F74</f>
        <v>14671.34</v>
      </c>
      <c r="G75" s="1"/>
    </row>
    <row r="77" spans="1:7" ht="15" thickBot="1" x14ac:dyDescent="0.35"/>
    <row r="78" spans="1:7" ht="15" thickBot="1" x14ac:dyDescent="0.35">
      <c r="A78" s="29" t="s">
        <v>0</v>
      </c>
      <c r="B78" s="30"/>
      <c r="C78" s="30"/>
      <c r="D78" s="30"/>
      <c r="E78" s="30"/>
      <c r="F78" s="30"/>
      <c r="G78" s="31"/>
    </row>
    <row r="79" spans="1:7" x14ac:dyDescent="0.3">
      <c r="A79" s="1" t="s">
        <v>1</v>
      </c>
      <c r="B79" s="1" t="s">
        <v>2</v>
      </c>
      <c r="C79" s="1"/>
      <c r="D79" s="1"/>
      <c r="E79" s="1"/>
      <c r="F79" s="32" t="s">
        <v>114</v>
      </c>
      <c r="G79" s="32"/>
    </row>
    <row r="80" spans="1:7" x14ac:dyDescent="0.3">
      <c r="A80" s="1" t="s">
        <v>4</v>
      </c>
      <c r="B80" s="2">
        <v>30716175061</v>
      </c>
      <c r="C80" s="1"/>
      <c r="D80" s="1"/>
      <c r="E80" s="1"/>
      <c r="F80" s="33"/>
      <c r="G80" s="33"/>
    </row>
    <row r="81" spans="1:7" x14ac:dyDescent="0.3">
      <c r="A81" s="1" t="s">
        <v>5</v>
      </c>
      <c r="B81" s="1" t="s">
        <v>6</v>
      </c>
      <c r="C81" s="1"/>
      <c r="D81" s="1"/>
      <c r="E81" s="1"/>
      <c r="F81" s="33"/>
      <c r="G81" s="33"/>
    </row>
    <row r="82" spans="1:7" x14ac:dyDescent="0.3">
      <c r="A82" s="1"/>
      <c r="B82" s="1"/>
      <c r="C82" s="1"/>
      <c r="D82" s="1"/>
      <c r="E82" s="1"/>
      <c r="F82" s="1"/>
      <c r="G82" s="1"/>
    </row>
    <row r="83" spans="1:7" x14ac:dyDescent="0.3">
      <c r="A83" s="3" t="s">
        <v>7</v>
      </c>
      <c r="B83" s="3" t="s">
        <v>8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13</v>
      </c>
    </row>
    <row r="84" spans="1:7" x14ac:dyDescent="0.3">
      <c r="A84" s="4" t="s">
        <v>34</v>
      </c>
      <c r="B84" s="5" t="s">
        <v>15</v>
      </c>
      <c r="C84" s="6">
        <v>4014.99</v>
      </c>
      <c r="D84" s="6">
        <v>945.12</v>
      </c>
      <c r="E84" s="6">
        <v>45.47</v>
      </c>
      <c r="F84" s="6">
        <f t="shared" ref="F84:F85" si="4">SUM(C84:E84)</f>
        <v>5005.58</v>
      </c>
      <c r="G84" s="7"/>
    </row>
    <row r="85" spans="1:7" x14ac:dyDescent="0.3">
      <c r="A85" s="4" t="s">
        <v>35</v>
      </c>
      <c r="B85" s="5" t="s">
        <v>15</v>
      </c>
      <c r="C85" s="6">
        <v>2548.7600000000002</v>
      </c>
      <c r="D85" s="6">
        <v>7145.36</v>
      </c>
      <c r="E85" s="6">
        <v>88.87</v>
      </c>
      <c r="F85" s="6">
        <f t="shared" si="4"/>
        <v>9782.99</v>
      </c>
      <c r="G85" s="7"/>
    </row>
    <row r="86" spans="1:7" x14ac:dyDescent="0.3">
      <c r="A86" s="34" t="s">
        <v>18</v>
      </c>
      <c r="B86" s="34"/>
      <c r="C86" s="34"/>
      <c r="D86" s="34"/>
      <c r="E86" s="34"/>
      <c r="F86" s="8">
        <f>SUM(F84:F85)</f>
        <v>14788.57</v>
      </c>
      <c r="G86" s="1"/>
    </row>
    <row r="87" spans="1:7" x14ac:dyDescent="0.3">
      <c r="A87" s="1" t="s">
        <v>1</v>
      </c>
      <c r="B87" s="1" t="s">
        <v>19</v>
      </c>
      <c r="C87" s="1"/>
      <c r="D87" s="1"/>
      <c r="E87" s="1"/>
      <c r="F87" s="1"/>
      <c r="G87" s="1"/>
    </row>
    <row r="88" spans="1:7" x14ac:dyDescent="0.3">
      <c r="A88" s="1" t="s">
        <v>4</v>
      </c>
      <c r="B88" s="2">
        <v>20247708880</v>
      </c>
      <c r="C88" s="1"/>
      <c r="D88" s="1"/>
      <c r="E88" s="1"/>
      <c r="F88" s="1"/>
      <c r="G88" s="1"/>
    </row>
    <row r="89" spans="1:7" x14ac:dyDescent="0.3">
      <c r="A89" s="1" t="s">
        <v>5</v>
      </c>
      <c r="B89" s="1" t="s">
        <v>6</v>
      </c>
      <c r="C89" s="1"/>
      <c r="D89" s="1"/>
      <c r="E89" s="1"/>
      <c r="F89" s="1"/>
      <c r="G89" s="1"/>
    </row>
    <row r="90" spans="1:7" x14ac:dyDescent="0.3">
      <c r="A90" s="1"/>
      <c r="B90" s="1"/>
      <c r="C90" s="1"/>
      <c r="D90" s="1"/>
      <c r="E90" s="1"/>
      <c r="F90" s="1"/>
      <c r="G90" s="1"/>
    </row>
    <row r="91" spans="1:7" x14ac:dyDescent="0.3">
      <c r="A91" s="3" t="s">
        <v>7</v>
      </c>
      <c r="B91" s="3" t="s">
        <v>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13</v>
      </c>
    </row>
    <row r="92" spans="1:7" x14ac:dyDescent="0.3">
      <c r="A92" s="4"/>
      <c r="B92" s="5"/>
      <c r="C92" s="6"/>
      <c r="D92" s="6"/>
      <c r="E92" s="6"/>
      <c r="F92" s="6"/>
      <c r="G92" s="10"/>
    </row>
    <row r="93" spans="1:7" x14ac:dyDescent="0.3">
      <c r="A93" s="34" t="s">
        <v>21</v>
      </c>
      <c r="B93" s="34"/>
      <c r="C93" s="34"/>
      <c r="D93" s="34"/>
      <c r="E93" s="34"/>
      <c r="F93" s="8">
        <f>SUM(F92:F92)</f>
        <v>0</v>
      </c>
      <c r="G93" s="10"/>
    </row>
    <row r="94" spans="1:7" x14ac:dyDescent="0.3">
      <c r="A94" s="28" t="s">
        <v>22</v>
      </c>
      <c r="B94" s="28"/>
      <c r="C94" s="28"/>
      <c r="D94" s="28"/>
      <c r="E94" s="28"/>
      <c r="F94" s="11">
        <f>+F86+F93</f>
        <v>14788.57</v>
      </c>
      <c r="G94" s="1"/>
    </row>
  </sheetData>
  <mergeCells count="25">
    <mergeCell ref="A74:E74"/>
    <mergeCell ref="A75:E75"/>
    <mergeCell ref="A78:G78"/>
    <mergeCell ref="F79:G81"/>
    <mergeCell ref="A86:E86"/>
    <mergeCell ref="A93:E93"/>
    <mergeCell ref="F41:G43"/>
    <mergeCell ref="A48:E48"/>
    <mergeCell ref="A55:E55"/>
    <mergeCell ref="A56:E56"/>
    <mergeCell ref="A59:G59"/>
    <mergeCell ref="F60:G62"/>
    <mergeCell ref="A2:G2"/>
    <mergeCell ref="F3:G5"/>
    <mergeCell ref="A10:E10"/>
    <mergeCell ref="A17:E17"/>
    <mergeCell ref="A18:E18"/>
    <mergeCell ref="A21:G21"/>
    <mergeCell ref="A94:E94"/>
    <mergeCell ref="A67:E67"/>
    <mergeCell ref="A37:E37"/>
    <mergeCell ref="F22:G24"/>
    <mergeCell ref="A29:E29"/>
    <mergeCell ref="A36:E36"/>
    <mergeCell ref="A40:G4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1" fitToHeight="0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2:J14"/>
  <sheetViews>
    <sheetView tabSelected="1" workbookViewId="0">
      <selection activeCell="A2" sqref="A2:J13"/>
    </sheetView>
  </sheetViews>
  <sheetFormatPr baseColWidth="10" defaultRowHeight="14.4" x14ac:dyDescent="0.3"/>
  <cols>
    <col min="1" max="1" width="14.109375" bestFit="1" customWidth="1"/>
    <col min="2" max="3" width="30.77734375" customWidth="1"/>
    <col min="4" max="4" width="24.44140625" customWidth="1"/>
    <col min="5" max="5" width="18.44140625" bestFit="1" customWidth="1"/>
    <col min="6" max="6" width="18.44140625" customWidth="1"/>
    <col min="7" max="7" width="17.109375" bestFit="1" customWidth="1"/>
    <col min="8" max="8" width="18.44140625" bestFit="1" customWidth="1"/>
    <col min="9" max="9" width="18.44140625" customWidth="1"/>
    <col min="10" max="10" width="18.21875" bestFit="1" customWidth="1"/>
  </cols>
  <sheetData>
    <row r="2" spans="1:10" x14ac:dyDescent="0.3">
      <c r="A2" s="35" t="s">
        <v>53</v>
      </c>
      <c r="B2" s="36"/>
      <c r="C2" s="36"/>
      <c r="D2" s="36"/>
      <c r="E2" s="36"/>
      <c r="F2" s="36"/>
      <c r="G2" s="36"/>
      <c r="H2" s="36"/>
      <c r="I2" s="36"/>
      <c r="J2" s="37"/>
    </row>
    <row r="3" spans="1:10" ht="14.4" customHeight="1" x14ac:dyDescent="0.3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1:10" ht="14.4" customHeight="1" x14ac:dyDescent="0.3">
      <c r="A4" s="1" t="s">
        <v>4</v>
      </c>
      <c r="B4" s="2">
        <v>30716175061</v>
      </c>
      <c r="C4" s="2"/>
      <c r="D4" s="1"/>
      <c r="E4" s="1"/>
      <c r="F4" s="1"/>
      <c r="G4" s="1"/>
      <c r="H4" s="1"/>
      <c r="I4" s="1"/>
      <c r="J4" s="1"/>
    </row>
    <row r="5" spans="1:10" ht="14.4" customHeight="1" x14ac:dyDescent="0.3">
      <c r="A5" s="1" t="s">
        <v>5</v>
      </c>
      <c r="B5" s="1" t="s">
        <v>6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3" t="s">
        <v>7</v>
      </c>
      <c r="B6" s="3" t="s">
        <v>54</v>
      </c>
      <c r="C6" s="3" t="s">
        <v>55</v>
      </c>
      <c r="D6" s="3" t="s">
        <v>56</v>
      </c>
      <c r="E6" s="3" t="s">
        <v>9</v>
      </c>
      <c r="F6" s="3" t="s">
        <v>57</v>
      </c>
      <c r="G6" s="3" t="s">
        <v>58</v>
      </c>
      <c r="H6" s="3" t="s">
        <v>59</v>
      </c>
      <c r="I6" s="15" t="s">
        <v>60</v>
      </c>
      <c r="J6" s="3" t="s">
        <v>61</v>
      </c>
    </row>
    <row r="7" spans="1:10" s="23" customFormat="1" ht="45" customHeight="1" x14ac:dyDescent="0.3">
      <c r="A7" s="16" t="s">
        <v>80</v>
      </c>
      <c r="B7" s="25" t="s">
        <v>81</v>
      </c>
      <c r="C7" s="25" t="s">
        <v>74</v>
      </c>
      <c r="D7" s="26">
        <v>44648</v>
      </c>
      <c r="E7" s="20">
        <v>240898.71</v>
      </c>
      <c r="F7" s="21">
        <v>60</v>
      </c>
      <c r="G7" s="21">
        <v>49</v>
      </c>
      <c r="H7" s="21">
        <f>+F7-G7</f>
        <v>11</v>
      </c>
      <c r="I7" s="20">
        <v>6213</v>
      </c>
      <c r="J7" s="22">
        <v>46447</v>
      </c>
    </row>
    <row r="8" spans="1:10" s="23" customFormat="1" ht="45" customHeight="1" x14ac:dyDescent="0.3">
      <c r="A8" s="16" t="s">
        <v>82</v>
      </c>
      <c r="B8" s="25" t="s">
        <v>83</v>
      </c>
      <c r="C8" s="25" t="s">
        <v>84</v>
      </c>
      <c r="D8" s="26">
        <v>44165</v>
      </c>
      <c r="E8" s="20">
        <v>305850.65999999997</v>
      </c>
      <c r="F8" s="21">
        <v>120</v>
      </c>
      <c r="G8" s="21">
        <v>65</v>
      </c>
      <c r="H8" s="21">
        <f>+F8-G8</f>
        <v>55</v>
      </c>
      <c r="I8" s="20">
        <v>9077.19</v>
      </c>
      <c r="J8" s="22">
        <v>11263</v>
      </c>
    </row>
    <row r="9" spans="1:10" ht="4.2" customHeight="1" x14ac:dyDescent="0.3">
      <c r="A9" s="38"/>
      <c r="B9" s="38"/>
      <c r="C9" s="38"/>
      <c r="D9" s="38"/>
      <c r="E9" s="38"/>
      <c r="F9" s="38"/>
      <c r="G9" s="38"/>
      <c r="H9" s="38"/>
      <c r="I9" s="38"/>
      <c r="J9" s="38"/>
    </row>
    <row r="10" spans="1:10" x14ac:dyDescent="0.3">
      <c r="A10" s="1" t="s">
        <v>1</v>
      </c>
      <c r="B10" s="1" t="s">
        <v>19</v>
      </c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 t="s">
        <v>4</v>
      </c>
      <c r="B11" s="2">
        <v>20247708880</v>
      </c>
      <c r="C11" s="2"/>
      <c r="D11" s="1"/>
      <c r="E11" s="1"/>
      <c r="F11" s="1"/>
      <c r="G11" s="1"/>
      <c r="H11" s="1"/>
      <c r="I11" s="1"/>
      <c r="J11" s="1"/>
    </row>
    <row r="12" spans="1:10" x14ac:dyDescent="0.3">
      <c r="A12" s="1" t="s">
        <v>5</v>
      </c>
      <c r="B12" s="1" t="s">
        <v>6</v>
      </c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3" t="s">
        <v>7</v>
      </c>
      <c r="B13" s="3" t="s">
        <v>54</v>
      </c>
      <c r="C13" s="3" t="s">
        <v>55</v>
      </c>
      <c r="D13" s="3" t="s">
        <v>56</v>
      </c>
      <c r="E13" s="3" t="s">
        <v>9</v>
      </c>
      <c r="F13" s="3" t="s">
        <v>57</v>
      </c>
      <c r="G13" s="3" t="s">
        <v>58</v>
      </c>
      <c r="H13" s="3" t="s">
        <v>59</v>
      </c>
      <c r="I13" s="15" t="s">
        <v>60</v>
      </c>
      <c r="J13" s="3" t="s">
        <v>61</v>
      </c>
    </row>
    <row r="14" spans="1:10" s="23" customFormat="1" x14ac:dyDescent="0.3">
      <c r="A14" s="16"/>
      <c r="B14" s="17"/>
      <c r="C14" s="25"/>
      <c r="D14" s="19"/>
      <c r="E14" s="20"/>
      <c r="F14" s="21"/>
      <c r="G14" s="21"/>
      <c r="H14" s="21"/>
      <c r="I14" s="20"/>
      <c r="J14" s="22"/>
    </row>
  </sheetData>
  <mergeCells count="2">
    <mergeCell ref="A2:J2"/>
    <mergeCell ref="A9:J9"/>
  </mergeCells>
  <pageMargins left="0.7" right="0.7" top="0.75" bottom="0.75" header="0.3" footer="0.3"/>
  <pageSetup paperSize="9" scale="62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2024</vt:lpstr>
      <vt:lpstr>PAGOS 2024 - DETALLES</vt:lpstr>
      <vt:lpstr>2025</vt:lpstr>
      <vt:lpstr>PAGOS 2025 - DETALLES</vt:lpstr>
      <vt:lpstr>2026</vt:lpstr>
      <vt:lpstr>PAGOS 2026 - DETALLES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2026-05-19T01:56:24Z</cp:lastPrinted>
  <dcterms:created xsi:type="dcterms:W3CDTF">2025-07-29T19:52:57Z</dcterms:created>
  <dcterms:modified xsi:type="dcterms:W3CDTF">2026-05-19T01:56:26Z</dcterms:modified>
</cp:coreProperties>
</file>