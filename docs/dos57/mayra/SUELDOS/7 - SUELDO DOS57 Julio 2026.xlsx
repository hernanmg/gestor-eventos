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DOS57\Sueldos Empleados - DOS57\2026\"/>
    </mc:Choice>
  </mc:AlternateContent>
  <bookViews>
    <workbookView xWindow="0" yWindow="0" windowWidth="23040" windowHeight="9072" firstSheet="14" activeTab="25"/>
  </bookViews>
  <sheets>
    <sheet name="EVENTOS" sheetId="1" r:id="rId1"/>
    <sheet name="VIAJES LUIS" sheetId="2" r:id="rId2"/>
    <sheet name="MAYRA" sheetId="3" r:id="rId3"/>
    <sheet name="ANDRE" sheetId="4" r:id="rId4"/>
    <sheet name="LORE" sheetId="5" r:id="rId5"/>
    <sheet name="JAZ" sheetId="6" r:id="rId6"/>
    <sheet name="FLOR" sheetId="7" r:id="rId7"/>
    <sheet name="FURIA" sheetId="8" r:id="rId8"/>
    <sheet name="MARIO" sheetId="9" r:id="rId9"/>
    <sheet name="FAUSTO" sheetId="10" r:id="rId10"/>
    <sheet name="MILTON" sheetId="11" r:id="rId11"/>
    <sheet name="CHARA" sheetId="12" r:id="rId12"/>
    <sheet name="TONI" sheetId="13" r:id="rId13"/>
    <sheet name="DAVID" sheetId="14" r:id="rId14"/>
    <sheet name="CARLOS" sheetId="15" r:id="rId15"/>
    <sheet name="POLA" sheetId="16" r:id="rId16"/>
    <sheet name="LUIS" sheetId="17" r:id="rId17"/>
    <sheet name="GERARDO" sheetId="18" r:id="rId18"/>
    <sheet name="LEANDRO" sheetId="19" r:id="rId19"/>
    <sheet name="PABLO" sheetId="20" r:id="rId20"/>
    <sheet name="CHOLI" sheetId="21" r:id="rId21"/>
    <sheet name="PEPO" sheetId="22" r:id="rId22"/>
    <sheet name="GONZA" sheetId="23" r:id="rId23"/>
    <sheet name="NICO" sheetId="24" r:id="rId24"/>
    <sheet name="SANTI" sheetId="25" r:id="rId25"/>
    <sheet name="TOTALES" sheetId="26" r:id="rId26"/>
  </sheets>
  <calcPr calcId="162913"/>
</workbook>
</file>

<file path=xl/calcChain.xml><?xml version="1.0" encoding="utf-8"?>
<calcChain xmlns="http://schemas.openxmlformats.org/spreadsheetml/2006/main">
  <c r="F10" i="26" l="1"/>
  <c r="F32" i="26"/>
  <c r="F8" i="26"/>
  <c r="F4" i="26"/>
  <c r="F5" i="26"/>
  <c r="F3" i="26"/>
  <c r="D10" i="3" l="1"/>
  <c r="G35" i="26"/>
  <c r="F35" i="26"/>
  <c r="E35" i="26"/>
  <c r="C23" i="26"/>
  <c r="D71" i="25"/>
  <c r="D54" i="25"/>
  <c r="E10" i="25" s="1"/>
  <c r="L14" i="25" s="1"/>
  <c r="H48" i="25"/>
  <c r="L29" i="25"/>
  <c r="L28" i="25"/>
  <c r="L27" i="25"/>
  <c r="L26" i="25"/>
  <c r="L25" i="25"/>
  <c r="L24" i="25"/>
  <c r="L23" i="25"/>
  <c r="L22" i="25"/>
  <c r="L20" i="25"/>
  <c r="L18" i="25"/>
  <c r="C8" i="25" s="1"/>
  <c r="J12" i="25"/>
  <c r="J13" i="25" s="1"/>
  <c r="J14" i="25" s="1"/>
  <c r="G12" i="25"/>
  <c r="L12" i="25" s="1"/>
  <c r="E12" i="25"/>
  <c r="C12" i="25"/>
  <c r="B12" i="25"/>
  <c r="L11" i="25"/>
  <c r="L10" i="25"/>
  <c r="L9" i="25"/>
  <c r="F8" i="25"/>
  <c r="A8" i="25"/>
  <c r="L7" i="25" s="1"/>
  <c r="K6" i="25"/>
  <c r="K5" i="25"/>
  <c r="A5" i="25"/>
  <c r="D71" i="24"/>
  <c r="H55" i="24"/>
  <c r="H54" i="24"/>
  <c r="D54" i="24"/>
  <c r="H46" i="24"/>
  <c r="J13" i="24"/>
  <c r="J14" i="24" s="1"/>
  <c r="J12" i="24"/>
  <c r="L10" i="24"/>
  <c r="C10" i="24"/>
  <c r="B10" i="24"/>
  <c r="L9" i="24"/>
  <c r="L8" i="24"/>
  <c r="G8" i="24"/>
  <c r="L12" i="24" s="1"/>
  <c r="D8" i="24"/>
  <c r="H5" i="24" s="1"/>
  <c r="B23" i="26" s="1"/>
  <c r="L7" i="24"/>
  <c r="L11" i="24" s="1"/>
  <c r="K6" i="24"/>
  <c r="K5" i="24"/>
  <c r="A5" i="24"/>
  <c r="D71" i="23"/>
  <c r="D54" i="23"/>
  <c r="H48" i="23"/>
  <c r="B12" i="23" s="1"/>
  <c r="C12" i="23" s="1"/>
  <c r="G12" i="23" s="1"/>
  <c r="L14" i="23" s="1"/>
  <c r="L35" i="23"/>
  <c r="G10" i="23" s="1"/>
  <c r="L33" i="23"/>
  <c r="L32" i="23"/>
  <c r="L31" i="23"/>
  <c r="L30" i="23"/>
  <c r="L29" i="23"/>
  <c r="L28" i="23"/>
  <c r="L27" i="23"/>
  <c r="L26" i="23"/>
  <c r="L24" i="23"/>
  <c r="L22" i="23"/>
  <c r="L20" i="23"/>
  <c r="L12" i="23"/>
  <c r="J12" i="23"/>
  <c r="J13" i="23" s="1"/>
  <c r="J14" i="23" s="1"/>
  <c r="E12" i="23"/>
  <c r="L11" i="23"/>
  <c r="L10" i="23"/>
  <c r="E10" i="23"/>
  <c r="L16" i="23" s="1"/>
  <c r="L9" i="23"/>
  <c r="L8" i="23"/>
  <c r="E8" i="23"/>
  <c r="A8" i="23"/>
  <c r="L7" i="23" s="1"/>
  <c r="K6" i="23"/>
  <c r="K5" i="23"/>
  <c r="A5" i="23"/>
  <c r="D74" i="22"/>
  <c r="H57" i="22"/>
  <c r="D57" i="22"/>
  <c r="H50" i="22"/>
  <c r="B14" i="22" s="1"/>
  <c r="C14" i="22" s="1"/>
  <c r="G14" i="22" s="1"/>
  <c r="L14" i="22"/>
  <c r="J13" i="22"/>
  <c r="J14" i="22" s="1"/>
  <c r="L12" i="22"/>
  <c r="J12" i="22"/>
  <c r="G12" i="22"/>
  <c r="E12" i="22"/>
  <c r="L13" i="22" s="1"/>
  <c r="C12" i="22"/>
  <c r="L11" i="22"/>
  <c r="L10" i="22"/>
  <c r="E10" i="22"/>
  <c r="L17" i="22" s="1"/>
  <c r="L9" i="22"/>
  <c r="L8" i="22"/>
  <c r="G8" i="22"/>
  <c r="E8" i="22"/>
  <c r="C8" i="22"/>
  <c r="L7" i="22"/>
  <c r="K6" i="22"/>
  <c r="K5" i="22"/>
  <c r="A5" i="22"/>
  <c r="D74" i="21"/>
  <c r="H57" i="21"/>
  <c r="D57" i="21"/>
  <c r="H51" i="21"/>
  <c r="L17" i="21"/>
  <c r="C14" i="21"/>
  <c r="G14" i="21" s="1"/>
  <c r="L15" i="21" s="1"/>
  <c r="B14" i="21"/>
  <c r="J13" i="21"/>
  <c r="J14" i="21" s="1"/>
  <c r="L12" i="21"/>
  <c r="J12" i="21"/>
  <c r="G12" i="21"/>
  <c r="L14" i="21" s="1"/>
  <c r="E12" i="21"/>
  <c r="C12" i="21"/>
  <c r="L11" i="21"/>
  <c r="L10" i="21"/>
  <c r="E10" i="21"/>
  <c r="L9" i="21"/>
  <c r="G8" i="21"/>
  <c r="E8" i="21"/>
  <c r="C8" i="21"/>
  <c r="L8" i="21" s="1"/>
  <c r="L7" i="21"/>
  <c r="K6" i="21"/>
  <c r="K5" i="21"/>
  <c r="A5" i="21"/>
  <c r="D72" i="20"/>
  <c r="H55" i="20"/>
  <c r="D55" i="20"/>
  <c r="E10" i="20" s="1"/>
  <c r="L15" i="20" s="1"/>
  <c r="H48" i="20"/>
  <c r="B12" i="20" s="1"/>
  <c r="C12" i="20" s="1"/>
  <c r="G12" i="20" s="1"/>
  <c r="L32" i="20"/>
  <c r="L31" i="20"/>
  <c r="L30" i="20"/>
  <c r="L29" i="20"/>
  <c r="L28" i="20"/>
  <c r="L27" i="20"/>
  <c r="L26" i="20"/>
  <c r="L25" i="20"/>
  <c r="J13" i="20"/>
  <c r="J14" i="20" s="1"/>
  <c r="L12" i="20"/>
  <c r="J12" i="20"/>
  <c r="L11" i="20"/>
  <c r="L9" i="20"/>
  <c r="L8" i="20"/>
  <c r="G8" i="20"/>
  <c r="L10" i="20" s="1"/>
  <c r="E8" i="20"/>
  <c r="C8" i="20"/>
  <c r="L7" i="20"/>
  <c r="K6" i="20"/>
  <c r="K5" i="20"/>
  <c r="A5" i="20"/>
  <c r="D73" i="19"/>
  <c r="H60" i="19"/>
  <c r="E10" i="19" s="1"/>
  <c r="L14" i="19" s="1"/>
  <c r="D56" i="19"/>
  <c r="H49" i="19"/>
  <c r="L29" i="19"/>
  <c r="L28" i="19"/>
  <c r="L27" i="19"/>
  <c r="L26" i="19"/>
  <c r="L25" i="19"/>
  <c r="L24" i="19"/>
  <c r="L23" i="19"/>
  <c r="L22" i="19"/>
  <c r="L20" i="19"/>
  <c r="L18" i="19"/>
  <c r="C8" i="19" s="1"/>
  <c r="L12" i="19"/>
  <c r="J12" i="19"/>
  <c r="J13" i="19" s="1"/>
  <c r="J14" i="19" s="1"/>
  <c r="E12" i="19"/>
  <c r="C12" i="19"/>
  <c r="B12" i="19"/>
  <c r="L11" i="19"/>
  <c r="B10" i="19"/>
  <c r="L10" i="19" s="1"/>
  <c r="L9" i="19"/>
  <c r="F8" i="19"/>
  <c r="A8" i="19"/>
  <c r="L7" i="19" s="1"/>
  <c r="K6" i="19"/>
  <c r="K5" i="19"/>
  <c r="A5" i="19"/>
  <c r="D71" i="18"/>
  <c r="H54" i="18"/>
  <c r="D54" i="18"/>
  <c r="H48" i="18"/>
  <c r="L32" i="18"/>
  <c r="L31" i="18"/>
  <c r="L30" i="18"/>
  <c r="L29" i="18"/>
  <c r="L28" i="18"/>
  <c r="L27" i="18"/>
  <c r="L26" i="18"/>
  <c r="L25" i="18"/>
  <c r="L23" i="18"/>
  <c r="L21" i="18"/>
  <c r="L19" i="18"/>
  <c r="C8" i="18" s="1"/>
  <c r="L12" i="18"/>
  <c r="J12" i="18"/>
  <c r="J13" i="18" s="1"/>
  <c r="J14" i="18" s="1"/>
  <c r="G12" i="18"/>
  <c r="L13" i="18" s="1"/>
  <c r="E12" i="18"/>
  <c r="C12" i="18"/>
  <c r="B12" i="18"/>
  <c r="E10" i="18"/>
  <c r="L15" i="18" s="1"/>
  <c r="B10" i="18"/>
  <c r="L11" i="18" s="1"/>
  <c r="L9" i="18"/>
  <c r="G8" i="18"/>
  <c r="L10" i="18" s="1"/>
  <c r="E8" i="18"/>
  <c r="A8" i="18"/>
  <c r="L7" i="18"/>
  <c r="K6" i="18"/>
  <c r="K5" i="18"/>
  <c r="A5" i="18"/>
  <c r="D72" i="17"/>
  <c r="H55" i="17"/>
  <c r="D55" i="17"/>
  <c r="H48" i="17"/>
  <c r="J12" i="17"/>
  <c r="J13" i="17" s="1"/>
  <c r="J14" i="17" s="1"/>
  <c r="A10" i="17" s="1"/>
  <c r="D10" i="17"/>
  <c r="L13" i="17" s="1"/>
  <c r="L9" i="17"/>
  <c r="L8" i="17"/>
  <c r="L7" i="17"/>
  <c r="K6" i="17"/>
  <c r="K5" i="17"/>
  <c r="A5" i="17"/>
  <c r="D71" i="16"/>
  <c r="H54" i="16"/>
  <c r="D54" i="16"/>
  <c r="H48" i="16"/>
  <c r="B12" i="16" s="1"/>
  <c r="C12" i="16" s="1"/>
  <c r="G12" i="16" s="1"/>
  <c r="L14" i="16" s="1"/>
  <c r="L35" i="16"/>
  <c r="L33" i="16"/>
  <c r="L32" i="16"/>
  <c r="L31" i="16"/>
  <c r="L30" i="16"/>
  <c r="B10" i="16" s="1"/>
  <c r="L11" i="16" s="1"/>
  <c r="L29" i="16"/>
  <c r="L28" i="16"/>
  <c r="L27" i="16"/>
  <c r="L26" i="16"/>
  <c r="L24" i="16"/>
  <c r="L22" i="16"/>
  <c r="E8" i="16" s="1"/>
  <c r="L9" i="16" s="1"/>
  <c r="L20" i="16"/>
  <c r="L13" i="16"/>
  <c r="J13" i="16"/>
  <c r="J14" i="16" s="1"/>
  <c r="L12" i="16"/>
  <c r="J12" i="16"/>
  <c r="E12" i="16"/>
  <c r="L10" i="16"/>
  <c r="G10" i="16"/>
  <c r="E10" i="16"/>
  <c r="L16" i="16" s="1"/>
  <c r="G8" i="16"/>
  <c r="C8" i="16"/>
  <c r="L8" i="16" s="1"/>
  <c r="A8" i="16"/>
  <c r="K6" i="16"/>
  <c r="K5" i="16"/>
  <c r="A5" i="16"/>
  <c r="D73" i="15"/>
  <c r="H56" i="15"/>
  <c r="D56" i="15"/>
  <c r="H48" i="15"/>
  <c r="L35" i="15"/>
  <c r="L33" i="15"/>
  <c r="L32" i="15"/>
  <c r="L31" i="15"/>
  <c r="L30" i="15"/>
  <c r="L29" i="15"/>
  <c r="L28" i="15"/>
  <c r="L27" i="15"/>
  <c r="L26" i="15"/>
  <c r="L24" i="15"/>
  <c r="L22" i="15"/>
  <c r="L20" i="15"/>
  <c r="L12" i="15"/>
  <c r="J12" i="15"/>
  <c r="J13" i="15" s="1"/>
  <c r="J14" i="15" s="1"/>
  <c r="E12" i="15"/>
  <c r="B12" i="15"/>
  <c r="C12" i="15" s="1"/>
  <c r="G12" i="15" s="1"/>
  <c r="L14" i="15" s="1"/>
  <c r="G10" i="15"/>
  <c r="L13" i="15" s="1"/>
  <c r="E10" i="15"/>
  <c r="L16" i="15" s="1"/>
  <c r="B10" i="15"/>
  <c r="L11" i="15" s="1"/>
  <c r="L9" i="15"/>
  <c r="L8" i="15"/>
  <c r="G8" i="15"/>
  <c r="L10" i="15" s="1"/>
  <c r="E8" i="15"/>
  <c r="C8" i="15"/>
  <c r="A8" i="15"/>
  <c r="L7" i="15" s="1"/>
  <c r="K6" i="15"/>
  <c r="K5" i="15"/>
  <c r="A5" i="15"/>
  <c r="D73" i="14"/>
  <c r="H56" i="14"/>
  <c r="D56" i="14"/>
  <c r="E10" i="14" s="1"/>
  <c r="L16" i="14" s="1"/>
  <c r="H48" i="14"/>
  <c r="B12" i="14" s="1"/>
  <c r="C12" i="14" s="1"/>
  <c r="G12" i="14" s="1"/>
  <c r="L14" i="14" s="1"/>
  <c r="L13" i="14"/>
  <c r="J13" i="14"/>
  <c r="J14" i="14" s="1"/>
  <c r="L12" i="14"/>
  <c r="J12" i="14"/>
  <c r="L11" i="14"/>
  <c r="G10" i="14"/>
  <c r="L9" i="14"/>
  <c r="G8" i="14"/>
  <c r="L10" i="14" s="1"/>
  <c r="C8" i="14"/>
  <c r="L8" i="14" s="1"/>
  <c r="L7" i="14"/>
  <c r="K6" i="14"/>
  <c r="K5" i="14"/>
  <c r="A5" i="14"/>
  <c r="D71" i="13"/>
  <c r="H54" i="13"/>
  <c r="E10" i="13" s="1"/>
  <c r="L16" i="13" s="1"/>
  <c r="D54" i="13"/>
  <c r="H48" i="13"/>
  <c r="B12" i="13" s="1"/>
  <c r="C12" i="13" s="1"/>
  <c r="G12" i="13" s="1"/>
  <c r="L14" i="13" s="1"/>
  <c r="L37" i="13"/>
  <c r="L35" i="13"/>
  <c r="L33" i="13"/>
  <c r="L32" i="13"/>
  <c r="B10" i="13" s="1"/>
  <c r="L11" i="13" s="1"/>
  <c r="L31" i="13"/>
  <c r="L30" i="13"/>
  <c r="L29" i="13"/>
  <c r="L28" i="13"/>
  <c r="L27" i="13"/>
  <c r="L26" i="13"/>
  <c r="L24" i="13"/>
  <c r="L22" i="13"/>
  <c r="E8" i="13" s="1"/>
  <c r="L9" i="13" s="1"/>
  <c r="L20" i="13"/>
  <c r="L13" i="13"/>
  <c r="J13" i="13"/>
  <c r="J14" i="13" s="1"/>
  <c r="L12" i="13"/>
  <c r="J12" i="13"/>
  <c r="E12" i="13"/>
  <c r="L10" i="13"/>
  <c r="G10" i="13"/>
  <c r="G8" i="13"/>
  <c r="C8" i="13"/>
  <c r="L8" i="13" s="1"/>
  <c r="A8" i="13"/>
  <c r="K6" i="13"/>
  <c r="K5" i="13"/>
  <c r="A5" i="13"/>
  <c r="D74" i="12"/>
  <c r="H57" i="12"/>
  <c r="E10" i="12" s="1"/>
  <c r="L17" i="12" s="1"/>
  <c r="D57" i="12"/>
  <c r="H50" i="12"/>
  <c r="L38" i="12"/>
  <c r="L36" i="12"/>
  <c r="L34" i="12"/>
  <c r="L33" i="12"/>
  <c r="L32" i="12"/>
  <c r="L31" i="12"/>
  <c r="L30" i="12"/>
  <c r="L29" i="12"/>
  <c r="L28" i="12"/>
  <c r="B10" i="12" s="1"/>
  <c r="L11" i="12" s="1"/>
  <c r="L27" i="12"/>
  <c r="L25" i="12"/>
  <c r="L23" i="12"/>
  <c r="L21" i="12"/>
  <c r="F14" i="12"/>
  <c r="L15" i="12" s="1"/>
  <c r="J13" i="12"/>
  <c r="J14" i="12" s="1"/>
  <c r="L12" i="12"/>
  <c r="J12" i="12"/>
  <c r="E12" i="12"/>
  <c r="C12" i="12"/>
  <c r="G12" i="12" s="1"/>
  <c r="L13" i="12" s="1"/>
  <c r="B12" i="12"/>
  <c r="L10" i="12"/>
  <c r="L8" i="12"/>
  <c r="E8" i="12"/>
  <c r="L9" i="12" s="1"/>
  <c r="A8" i="12"/>
  <c r="K6" i="12"/>
  <c r="K5" i="12"/>
  <c r="A5" i="12"/>
  <c r="D74" i="11"/>
  <c r="H57" i="11"/>
  <c r="E10" i="11" s="1"/>
  <c r="L17" i="11" s="1"/>
  <c r="D57" i="11"/>
  <c r="H50" i="11"/>
  <c r="L38" i="11"/>
  <c r="L36" i="11"/>
  <c r="L34" i="11"/>
  <c r="L33" i="11"/>
  <c r="L32" i="11"/>
  <c r="L31" i="11"/>
  <c r="L30" i="11"/>
  <c r="L29" i="11"/>
  <c r="L28" i="11"/>
  <c r="B10" i="11" s="1"/>
  <c r="L11" i="11" s="1"/>
  <c r="L27" i="11"/>
  <c r="L25" i="11"/>
  <c r="L23" i="11"/>
  <c r="L21" i="11"/>
  <c r="C8" i="11" s="1"/>
  <c r="F14" i="11"/>
  <c r="L15" i="11" s="1"/>
  <c r="J13" i="11"/>
  <c r="J14" i="11" s="1"/>
  <c r="L12" i="11"/>
  <c r="J12" i="11"/>
  <c r="E12" i="11"/>
  <c r="C12" i="11"/>
  <c r="G12" i="11" s="1"/>
  <c r="L13" i="11" s="1"/>
  <c r="B12" i="11"/>
  <c r="G8" i="11"/>
  <c r="L10" i="11" s="1"/>
  <c r="E8" i="11"/>
  <c r="L9" i="11" s="1"/>
  <c r="A8" i="11"/>
  <c r="L7" i="11"/>
  <c r="K6" i="11"/>
  <c r="K5" i="11"/>
  <c r="A5" i="11"/>
  <c r="D73" i="10"/>
  <c r="H56" i="10"/>
  <c r="D56" i="10"/>
  <c r="E10" i="10" s="1"/>
  <c r="L17" i="10" s="1"/>
  <c r="H50" i="10"/>
  <c r="B12" i="10" s="1"/>
  <c r="C12" i="10" s="1"/>
  <c r="G12" i="10" s="1"/>
  <c r="L13" i="10" s="1"/>
  <c r="L38" i="10"/>
  <c r="L36" i="10"/>
  <c r="L34" i="10"/>
  <c r="L33" i="10"/>
  <c r="L32" i="10"/>
  <c r="L31" i="10"/>
  <c r="L30" i="10"/>
  <c r="L29" i="10"/>
  <c r="L28" i="10"/>
  <c r="L27" i="10"/>
  <c r="L25" i="10"/>
  <c r="L23" i="10"/>
  <c r="E8" i="10" s="1"/>
  <c r="L21" i="10"/>
  <c r="F14" i="10"/>
  <c r="L15" i="10" s="1"/>
  <c r="L12" i="10"/>
  <c r="J12" i="10"/>
  <c r="J13" i="10" s="1"/>
  <c r="J14" i="10" s="1"/>
  <c r="E12" i="10"/>
  <c r="L10" i="10"/>
  <c r="B10" i="10"/>
  <c r="L11" i="10" s="1"/>
  <c r="L8" i="10"/>
  <c r="A8" i="10"/>
  <c r="L7" i="10"/>
  <c r="K6" i="10"/>
  <c r="K5" i="10"/>
  <c r="A5" i="10"/>
  <c r="D76" i="9"/>
  <c r="H60" i="9"/>
  <c r="D59" i="9"/>
  <c r="H50" i="9"/>
  <c r="B14" i="9" s="1"/>
  <c r="C14" i="9" s="1"/>
  <c r="G14" i="9" s="1"/>
  <c r="L16" i="9" s="1"/>
  <c r="L40" i="9"/>
  <c r="L39" i="9"/>
  <c r="L28" i="9"/>
  <c r="H8" i="9" s="1"/>
  <c r="L11" i="9" s="1"/>
  <c r="L26" i="9"/>
  <c r="G8" i="9" s="1"/>
  <c r="L10" i="9" s="1"/>
  <c r="L24" i="9"/>
  <c r="L22" i="9"/>
  <c r="L15" i="9"/>
  <c r="E14" i="9"/>
  <c r="L13" i="9"/>
  <c r="J13" i="9"/>
  <c r="J14" i="9" s="1"/>
  <c r="L12" i="9"/>
  <c r="J12" i="9"/>
  <c r="E12" i="9"/>
  <c r="A12" i="9"/>
  <c r="L14" i="9" s="1"/>
  <c r="E10" i="9"/>
  <c r="L18" i="9" s="1"/>
  <c r="L9" i="9"/>
  <c r="L8" i="9"/>
  <c r="E8" i="9"/>
  <c r="C8" i="9"/>
  <c r="A8" i="9"/>
  <c r="L7" i="9"/>
  <c r="K6" i="9"/>
  <c r="K5" i="9"/>
  <c r="A5" i="9"/>
  <c r="D71" i="8"/>
  <c r="H54" i="8"/>
  <c r="D54" i="8"/>
  <c r="H48" i="8"/>
  <c r="B12" i="8" s="1"/>
  <c r="C12" i="8" s="1"/>
  <c r="G12" i="8" s="1"/>
  <c r="L14" i="8" s="1"/>
  <c r="L35" i="8"/>
  <c r="L33" i="8"/>
  <c r="L32" i="8"/>
  <c r="L31" i="8"/>
  <c r="L30" i="8"/>
  <c r="L29" i="8"/>
  <c r="L28" i="8"/>
  <c r="L27" i="8"/>
  <c r="L26" i="8"/>
  <c r="L24" i="8"/>
  <c r="L22" i="8"/>
  <c r="L20" i="8"/>
  <c r="J14" i="8"/>
  <c r="J13" i="8"/>
  <c r="L12" i="8"/>
  <c r="J12" i="8"/>
  <c r="E12" i="8"/>
  <c r="L10" i="8"/>
  <c r="E10" i="8"/>
  <c r="L16" i="8" s="1"/>
  <c r="B10" i="8"/>
  <c r="L11" i="8" s="1"/>
  <c r="L9" i="8"/>
  <c r="L8" i="8"/>
  <c r="E8" i="8"/>
  <c r="A8" i="8"/>
  <c r="L7" i="8"/>
  <c r="K6" i="8"/>
  <c r="K5" i="8"/>
  <c r="A5" i="8"/>
  <c r="D73" i="7"/>
  <c r="H56" i="7"/>
  <c r="D56" i="7"/>
  <c r="E10" i="7" s="1"/>
  <c r="L17" i="7" s="1"/>
  <c r="H50" i="7"/>
  <c r="B14" i="7" s="1"/>
  <c r="C14" i="7" s="1"/>
  <c r="L15" i="7"/>
  <c r="J13" i="7"/>
  <c r="J14" i="7" s="1"/>
  <c r="L12" i="7"/>
  <c r="J12" i="7"/>
  <c r="E12" i="7"/>
  <c r="L14" i="7" s="1"/>
  <c r="A12" i="7"/>
  <c r="L13" i="7" s="1"/>
  <c r="L11" i="7"/>
  <c r="L10" i="7"/>
  <c r="L9" i="7"/>
  <c r="L8" i="7"/>
  <c r="E8" i="7"/>
  <c r="H5" i="7" s="1"/>
  <c r="L7" i="7"/>
  <c r="K6" i="7"/>
  <c r="K5" i="7"/>
  <c r="A5" i="7"/>
  <c r="D76" i="6"/>
  <c r="H59" i="6"/>
  <c r="E10" i="6" s="1"/>
  <c r="L16" i="6" s="1"/>
  <c r="D59" i="6"/>
  <c r="L58" i="6"/>
  <c r="H48" i="6"/>
  <c r="B12" i="6" s="1"/>
  <c r="C12" i="6" s="1"/>
  <c r="G12" i="6" s="1"/>
  <c r="L14" i="6" s="1"/>
  <c r="L35" i="6"/>
  <c r="L33" i="6"/>
  <c r="L32" i="6"/>
  <c r="L31" i="6"/>
  <c r="L30" i="6"/>
  <c r="L29" i="6"/>
  <c r="L28" i="6"/>
  <c r="L27" i="6"/>
  <c r="L26" i="6"/>
  <c r="L24" i="6"/>
  <c r="L22" i="6"/>
  <c r="L20" i="6"/>
  <c r="C8" i="6" s="1"/>
  <c r="L8" i="6" s="1"/>
  <c r="L13" i="6"/>
  <c r="J13" i="6"/>
  <c r="J14" i="6" s="1"/>
  <c r="L12" i="6"/>
  <c r="J12" i="6"/>
  <c r="E12" i="6"/>
  <c r="L10" i="6"/>
  <c r="B10" i="6"/>
  <c r="L11" i="6" s="1"/>
  <c r="G8" i="6"/>
  <c r="E8" i="6"/>
  <c r="L9" i="6" s="1"/>
  <c r="A8" i="6"/>
  <c r="L7" i="6" s="1"/>
  <c r="K6" i="6"/>
  <c r="K5" i="6"/>
  <c r="A5" i="6"/>
  <c r="D71" i="5"/>
  <c r="H54" i="5"/>
  <c r="D54" i="5"/>
  <c r="E10" i="5" s="1"/>
  <c r="L15" i="5" s="1"/>
  <c r="H48" i="5"/>
  <c r="L32" i="5"/>
  <c r="L31" i="5"/>
  <c r="L30" i="5"/>
  <c r="L29" i="5"/>
  <c r="L28" i="5"/>
  <c r="L27" i="5"/>
  <c r="L26" i="5"/>
  <c r="L25" i="5"/>
  <c r="L23" i="5"/>
  <c r="L21" i="5"/>
  <c r="L19" i="5"/>
  <c r="L12" i="5"/>
  <c r="J12" i="5"/>
  <c r="J13" i="5" s="1"/>
  <c r="J14" i="5" s="1"/>
  <c r="E12" i="5"/>
  <c r="C12" i="5"/>
  <c r="G12" i="5" s="1"/>
  <c r="L13" i="5" s="1"/>
  <c r="B12" i="5"/>
  <c r="B10" i="5"/>
  <c r="L11" i="5" s="1"/>
  <c r="G8" i="5"/>
  <c r="L10" i="5" s="1"/>
  <c r="E8" i="5"/>
  <c r="L9" i="5" s="1"/>
  <c r="C8" i="5"/>
  <c r="L8" i="5" s="1"/>
  <c r="A8" i="5"/>
  <c r="H5" i="5" s="1"/>
  <c r="L7" i="5"/>
  <c r="K6" i="5"/>
  <c r="K5" i="5"/>
  <c r="A5" i="5"/>
  <c r="D72" i="4"/>
  <c r="H55" i="4"/>
  <c r="E10" i="4" s="1"/>
  <c r="L15" i="4" s="1"/>
  <c r="D55" i="4"/>
  <c r="H48" i="4"/>
  <c r="L32" i="4"/>
  <c r="L31" i="4"/>
  <c r="L30" i="4"/>
  <c r="L29" i="4"/>
  <c r="L28" i="4"/>
  <c r="L27" i="4"/>
  <c r="L26" i="4"/>
  <c r="L25" i="4"/>
  <c r="L23" i="4"/>
  <c r="G8" i="4" s="1"/>
  <c r="L10" i="4" s="1"/>
  <c r="L21" i="4"/>
  <c r="L19" i="4"/>
  <c r="L12" i="4"/>
  <c r="J12" i="4"/>
  <c r="J13" i="4" s="1"/>
  <c r="J14" i="4" s="1"/>
  <c r="E12" i="4"/>
  <c r="B12" i="4"/>
  <c r="C12" i="4" s="1"/>
  <c r="G12" i="4" s="1"/>
  <c r="L13" i="4" s="1"/>
  <c r="B10" i="4"/>
  <c r="L11" i="4" s="1"/>
  <c r="L9" i="4"/>
  <c r="E8" i="4"/>
  <c r="C8" i="4"/>
  <c r="L8" i="4" s="1"/>
  <c r="A8" i="4"/>
  <c r="L7" i="4" s="1"/>
  <c r="K6" i="4"/>
  <c r="K5" i="4"/>
  <c r="A5" i="4"/>
  <c r="I54" i="3"/>
  <c r="D54" i="3"/>
  <c r="I47" i="3"/>
  <c r="M31" i="3"/>
  <c r="M30" i="3"/>
  <c r="M29" i="3"/>
  <c r="M28" i="3"/>
  <c r="M27" i="3"/>
  <c r="M26" i="3"/>
  <c r="M25" i="3"/>
  <c r="G12" i="3" s="1"/>
  <c r="M24" i="3"/>
  <c r="M22" i="3"/>
  <c r="M20" i="3"/>
  <c r="B12" i="3" s="1"/>
  <c r="M18" i="3"/>
  <c r="A12" i="3" s="1"/>
  <c r="M8" i="3" s="1"/>
  <c r="K12" i="3"/>
  <c r="K13" i="3" s="1"/>
  <c r="K14" i="3" s="1"/>
  <c r="M12" i="3" s="1"/>
  <c r="D12" i="3"/>
  <c r="M11" i="3" s="1"/>
  <c r="F10" i="3"/>
  <c r="B10" i="3"/>
  <c r="F8" i="3"/>
  <c r="M14" i="3" s="1"/>
  <c r="B8" i="3"/>
  <c r="H8" i="3" s="1"/>
  <c r="M7" i="3"/>
  <c r="I6" i="3"/>
  <c r="K36" i="2"/>
  <c r="J36" i="2"/>
  <c r="H11" i="17" s="1"/>
  <c r="G12" i="17" s="1"/>
  <c r="I36" i="2"/>
  <c r="F11" i="17" s="1"/>
  <c r="E12" i="17" s="1"/>
  <c r="H36" i="2"/>
  <c r="D11" i="17" s="1"/>
  <c r="C12" i="17" s="1"/>
  <c r="N18" i="1"/>
  <c r="M18" i="1"/>
  <c r="L18" i="1"/>
  <c r="K18" i="1"/>
  <c r="J18" i="1"/>
  <c r="I18" i="1"/>
  <c r="E13" i="12" s="1"/>
  <c r="C14" i="12" s="1"/>
  <c r="L14" i="12" s="1"/>
  <c r="H18" i="1"/>
  <c r="E13" i="11" s="1"/>
  <c r="C14" i="11" s="1"/>
  <c r="L14" i="11" s="1"/>
  <c r="G18" i="1"/>
  <c r="E13" i="10" s="1"/>
  <c r="C14" i="10" s="1"/>
  <c r="L14" i="10" s="1"/>
  <c r="F18" i="1"/>
  <c r="H9" i="8" s="1"/>
  <c r="L13" i="21" l="1"/>
  <c r="L15" i="22"/>
  <c r="H5" i="22"/>
  <c r="L14" i="5"/>
  <c r="L16" i="5" s="1"/>
  <c r="H5" i="9"/>
  <c r="L8" i="18"/>
  <c r="H5" i="18"/>
  <c r="L16" i="10"/>
  <c r="L18" i="10" s="1"/>
  <c r="H5" i="11"/>
  <c r="L8" i="11"/>
  <c r="L15" i="15"/>
  <c r="L17" i="15" s="1"/>
  <c r="H5" i="16"/>
  <c r="L13" i="20"/>
  <c r="H5" i="20"/>
  <c r="M13" i="3"/>
  <c r="M15" i="3" s="1"/>
  <c r="L15" i="6"/>
  <c r="L17" i="6" s="1"/>
  <c r="H5" i="10"/>
  <c r="L9" i="10"/>
  <c r="H5" i="14"/>
  <c r="H5" i="17"/>
  <c r="L10" i="17"/>
  <c r="L14" i="18"/>
  <c r="L16" i="18" s="1"/>
  <c r="L13" i="23"/>
  <c r="L15" i="23" s="1"/>
  <c r="L17" i="23" s="1"/>
  <c r="H5" i="23"/>
  <c r="B6" i="26"/>
  <c r="G17" i="7"/>
  <c r="C6" i="26" s="1"/>
  <c r="L16" i="7"/>
  <c r="L18" i="7" s="1"/>
  <c r="H5" i="13"/>
  <c r="H5" i="19"/>
  <c r="L8" i="19"/>
  <c r="L13" i="19" s="1"/>
  <c r="L15" i="19" s="1"/>
  <c r="L13" i="25"/>
  <c r="L15" i="25" s="1"/>
  <c r="L12" i="17"/>
  <c r="L14" i="17" s="1"/>
  <c r="L14" i="4"/>
  <c r="L16" i="4" s="1"/>
  <c r="G10" i="8"/>
  <c r="L17" i="9"/>
  <c r="L19" i="9" s="1"/>
  <c r="H5" i="12"/>
  <c r="L14" i="20"/>
  <c r="L16" i="20" s="1"/>
  <c r="L16" i="22"/>
  <c r="L18" i="22" s="1"/>
  <c r="G15" i="5"/>
  <c r="C4" i="26" s="1"/>
  <c r="B4" i="26"/>
  <c r="H10" i="3"/>
  <c r="C32" i="26" s="1"/>
  <c r="C33" i="26" s="1"/>
  <c r="M9" i="3"/>
  <c r="L11" i="17"/>
  <c r="M10" i="3"/>
  <c r="I5" i="3"/>
  <c r="B32" i="26" s="1"/>
  <c r="B33" i="26" s="1"/>
  <c r="L16" i="11"/>
  <c r="L18" i="11" s="1"/>
  <c r="L15" i="14"/>
  <c r="L17" i="14" s="1"/>
  <c r="L16" i="21"/>
  <c r="L18" i="21" s="1"/>
  <c r="L8" i="25"/>
  <c r="H5" i="25"/>
  <c r="H5" i="6"/>
  <c r="H5" i="15"/>
  <c r="H5" i="21"/>
  <c r="L7" i="12"/>
  <c r="L16" i="12" s="1"/>
  <c r="L18" i="12" s="1"/>
  <c r="L7" i="13"/>
  <c r="L15" i="13" s="1"/>
  <c r="L17" i="13" s="1"/>
  <c r="L7" i="16"/>
  <c r="L15" i="16" s="1"/>
  <c r="L17" i="16" s="1"/>
  <c r="H5" i="4"/>
  <c r="H14" i="3" l="1"/>
  <c r="B11" i="26"/>
  <c r="G17" i="12"/>
  <c r="C11" i="26" s="1"/>
  <c r="B19" i="26"/>
  <c r="G15" i="20"/>
  <c r="C19" i="26" s="1"/>
  <c r="B17" i="26"/>
  <c r="G15" i="18"/>
  <c r="C17" i="26" s="1"/>
  <c r="B20" i="26"/>
  <c r="G17" i="21"/>
  <c r="C20" i="26" s="1"/>
  <c r="B10" i="26"/>
  <c r="G17" i="11"/>
  <c r="C10" i="26" s="1"/>
  <c r="B18" i="26"/>
  <c r="G15" i="19"/>
  <c r="C18" i="26" s="1"/>
  <c r="B22" i="26"/>
  <c r="G15" i="23"/>
  <c r="C22" i="26" s="1"/>
  <c r="G15" i="4"/>
  <c r="C3" i="26" s="1"/>
  <c r="B3" i="26"/>
  <c r="L13" i="8"/>
  <c r="L15" i="8" s="1"/>
  <c r="L17" i="8" s="1"/>
  <c r="H5" i="8"/>
  <c r="G15" i="13"/>
  <c r="C12" i="26" s="1"/>
  <c r="B12" i="26"/>
  <c r="B16" i="26"/>
  <c r="G15" i="17"/>
  <c r="C16" i="26" s="1"/>
  <c r="G17" i="9"/>
  <c r="C8" i="26" s="1"/>
  <c r="B8" i="26"/>
  <c r="B14" i="26"/>
  <c r="G15" i="15"/>
  <c r="C14" i="26" s="1"/>
  <c r="B24" i="26"/>
  <c r="G15" i="25"/>
  <c r="C24" i="26" s="1"/>
  <c r="B13" i="26"/>
  <c r="G15" i="14"/>
  <c r="C13" i="26" s="1"/>
  <c r="G15" i="16"/>
  <c r="C15" i="26" s="1"/>
  <c r="B15" i="26"/>
  <c r="G17" i="22"/>
  <c r="C21" i="26" s="1"/>
  <c r="B21" i="26"/>
  <c r="B5" i="26"/>
  <c r="G15" i="6"/>
  <c r="C5" i="26" s="1"/>
  <c r="G17" i="10"/>
  <c r="C9" i="26" s="1"/>
  <c r="B9" i="26"/>
  <c r="G15" i="8" l="1"/>
  <c r="C7" i="26" s="1"/>
  <c r="C25" i="26" s="1"/>
  <c r="C35" i="26" s="1"/>
  <c r="B7" i="26"/>
  <c r="B25" i="26" s="1"/>
  <c r="B35" i="26" s="1"/>
</calcChain>
</file>

<file path=xl/comments1.xml><?xml version="1.0" encoding="utf-8"?>
<comments xmlns="http://schemas.openxmlformats.org/spreadsheetml/2006/main">
  <authors>
    <author/>
  </authors>
  <commentList>
    <comment ref="C4" authorId="0" shapeId="0">
      <text>
        <r>
          <rPr>
            <sz val="11"/>
            <rFont val="Calibri"/>
            <scheme val="minor"/>
          </rPr>
          <t>VALLADO
LAYHER
CEREMONIAL
TODO
VARIOS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H52" authorId="0" shapeId="0">
      <text>
        <r>
          <rPr>
            <sz val="11"/>
            <rFont val="Calibri"/>
            <scheme val="minor"/>
          </rPr>
          <t xml:space="preserve">$1,980 DOLARES A DESCONTAR A RAZÓN DE $300 DOLARES MENSUALES - APROX $1,450 (LA TASA) POR $450,000
</t>
        </r>
      </text>
    </comment>
    <comment ref="H53" authorId="0" shapeId="0">
      <text>
        <r>
          <rPr>
            <sz val="11"/>
            <rFont val="Calibri"/>
            <scheme val="minor"/>
          </rPr>
          <t>Este descuento de la fecha 6/3/2026 - Aplica un monto de USD 312,5 (Tasa $1,440)</t>
        </r>
      </text>
    </comment>
    <comment ref="H54" authorId="0" shapeId="0">
      <text>
        <r>
          <rPr>
            <sz val="11"/>
            <rFont val="Calibri"/>
            <scheme val="minor"/>
          </rPr>
          <t xml:space="preserve">Este descuento de la fecha 6/3/2026 - Aplica un monto de USD $319,14 (Tasa $1.410)
</t>
        </r>
      </text>
    </comment>
    <comment ref="H55" authorId="0" shapeId="0">
      <text>
        <r>
          <rPr>
            <sz val="11"/>
            <rFont val="Calibri"/>
            <scheme val="minor"/>
          </rPr>
          <t xml:space="preserve">Este descuento de la fecha 6/5/2026 - Aplica un monto de USD $316,90 (Tasa $1.420)
</t>
        </r>
      </text>
    </comment>
    <comment ref="H56" authorId="0" shapeId="0">
      <text>
        <r>
          <rPr>
            <sz val="11"/>
            <rFont val="Calibri"/>
            <scheme val="minor"/>
          </rPr>
          <t xml:space="preserve">Este descuento de la fecha 8/6/2026 - Aplica un monto de USD $316,90 (Tasa $1.435)
</t>
        </r>
      </text>
    </comment>
    <comment ref="H57" authorId="0" shapeId="0">
      <text>
        <r>
          <rPr>
            <sz val="11"/>
            <rFont val="Calibri"/>
            <scheme val="minor"/>
          </rPr>
          <t xml:space="preserve">Este descuento de la fecha 8/6/2026 - Aplica un monto de USD $296,05 (Tasa $1.520)
</t>
        </r>
      </text>
    </comment>
    <comment ref="H58" authorId="0" shapeId="0">
      <text>
        <r>
          <rPr>
            <sz val="11"/>
            <rFont val="Calibri"/>
            <scheme val="minor"/>
          </rPr>
          <t xml:space="preserve">Este descuento de la fecha 8/8/2026 - Aplica un monto de USD $290,32 (Tasa $1.550)
</t>
        </r>
      </text>
    </comment>
  </commentList>
</comments>
</file>

<file path=xl/comments3.xml><?xml version="1.0" encoding="utf-8"?>
<comments xmlns="http://schemas.openxmlformats.org/spreadsheetml/2006/main">
  <authors>
    <author>Matias Lorenzati</author>
  </authors>
  <commentList>
    <comment ref="C10" authorId="0" shapeId="0">
      <text>
        <r>
          <rPr>
            <b/>
            <sz val="9"/>
            <color indexed="81"/>
            <rFont val="Tahoma"/>
            <charset val="1"/>
          </rPr>
          <t>Plaza musica - Q Lokura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rFont val="Calibri"/>
            <scheme val="minor"/>
          </rPr>
          <t xml:space="preserve">PAGO DE 1 FRANCO X DOMINGO
</t>
        </r>
      </text>
    </comment>
  </commentList>
</comments>
</file>

<file path=xl/sharedStrings.xml><?xml version="1.0" encoding="utf-8"?>
<sst xmlns="http://schemas.openxmlformats.org/spreadsheetml/2006/main" count="4911" uniqueCount="642">
  <si>
    <t>PLANILLA EVENTOS - DOS57 SRL - JULIO 2026</t>
  </si>
  <si>
    <t>DATOS EVENTOS</t>
  </si>
  <si>
    <t>CARGA AUTOMÁTICA EN PLANILLA</t>
  </si>
  <si>
    <t>CARGA MANUAL EN PLANILLA</t>
  </si>
  <si>
    <t>ITEM</t>
  </si>
  <si>
    <t>FECHA</t>
  </si>
  <si>
    <t>CALIFICACION</t>
  </si>
  <si>
    <t>NOMBRE DEL EVENTO</t>
  </si>
  <si>
    <t>LUGAR</t>
  </si>
  <si>
    <t>FURIA</t>
  </si>
  <si>
    <t xml:space="preserve">FAUSTO </t>
  </si>
  <si>
    <t>MILTON</t>
  </si>
  <si>
    <t>CHARA</t>
  </si>
  <si>
    <t>CHOLI</t>
  </si>
  <si>
    <t>PEPO</t>
  </si>
  <si>
    <t>MARIO</t>
  </si>
  <si>
    <t>JAZ</t>
  </si>
  <si>
    <t>FLOR</t>
  </si>
  <si>
    <t>LAYHER</t>
  </si>
  <si>
    <t>LOS PUMAS VS ESCOCIA</t>
  </si>
  <si>
    <t>ESTADIO MARIO ALBERTO KEMPES</t>
  </si>
  <si>
    <t>VALLADO</t>
  </si>
  <si>
    <t>FERIA</t>
  </si>
  <si>
    <t>VILLA LIBERTADOR</t>
  </si>
  <si>
    <t>VARIOS</t>
  </si>
  <si>
    <t>CORDOBA CERCA TUYO</t>
  </si>
  <si>
    <t>PLAZA VACA ECHADA</t>
  </si>
  <si>
    <t>FIESTA PRIVADA</t>
  </si>
  <si>
    <t>SALA DEL REY</t>
  </si>
  <si>
    <t>LA KONGA</t>
  </si>
  <si>
    <t>AL RESCOLDO</t>
  </si>
  <si>
    <t>ALTA PEÑA</t>
  </si>
  <si>
    <t>CHATEAU PARK</t>
  </si>
  <si>
    <t>ANIVERSARIO SANTIAGO DEL ESTERO</t>
  </si>
  <si>
    <t>SANTIAGO DEL ESTERO</t>
  </si>
  <si>
    <t>MOMENTS</t>
  </si>
  <si>
    <t>FORJA</t>
  </si>
  <si>
    <t>Q LOKURA</t>
  </si>
  <si>
    <t>PLAZA DE LA MÚSICA</t>
  </si>
  <si>
    <t>CIUDAD DE LOS CUARTETOS</t>
  </si>
  <si>
    <t>TALLERES VS VELEZ</t>
  </si>
  <si>
    <t>TOTALES</t>
  </si>
  <si>
    <t>Nombre</t>
  </si>
  <si>
    <t>LUIS LEDESMA</t>
  </si>
  <si>
    <t>Mes</t>
  </si>
  <si>
    <t>JULIO</t>
  </si>
  <si>
    <t>DIA</t>
  </si>
  <si>
    <t>EVENTO</t>
  </si>
  <si>
    <t>RECORRIDO</t>
  </si>
  <si>
    <t>EJIDO</t>
  </si>
  <si>
    <t>VUELTAS</t>
  </si>
  <si>
    <t>OBSERVACION</t>
  </si>
  <si>
    <t>INICIO</t>
  </si>
  <si>
    <t>DESTINO</t>
  </si>
  <si>
    <t>FINAL</t>
  </si>
  <si>
    <t>PROVINCIAL</t>
  </si>
  <si>
    <t>NACIONAL</t>
  </si>
  <si>
    <t>NACIONAL +1000</t>
  </si>
  <si>
    <t>MIERCOLES</t>
  </si>
  <si>
    <t>VACACIONES</t>
  </si>
  <si>
    <t>JUEVES</t>
  </si>
  <si>
    <t>VIERNES</t>
  </si>
  <si>
    <t>SÁBADO</t>
  </si>
  <si>
    <t>DOMINGO</t>
  </si>
  <si>
    <t>LUNES</t>
  </si>
  <si>
    <t>KEMPES</t>
  </si>
  <si>
    <t>MARTES</t>
  </si>
  <si>
    <t>LIBRE</t>
  </si>
  <si>
    <t>MIÉRCOLES</t>
  </si>
  <si>
    <t>POLO</t>
  </si>
  <si>
    <t>CAMINO DE LAS SIERRAS</t>
  </si>
  <si>
    <t>BUSQUEDA ADOQUINES</t>
  </si>
  <si>
    <t>CABALEN/RIO CUARTO</t>
  </si>
  <si>
    <t>ANIVERSARIO SGO DEL ESTERO</t>
  </si>
  <si>
    <t>SGO DEL ESTERO</t>
  </si>
  <si>
    <t>LOS CEDROS</t>
  </si>
  <si>
    <t>REGRESO CBA COLECTIVO</t>
  </si>
  <si>
    <t>KEMPES + FORJA</t>
  </si>
  <si>
    <t>VIAJE MB CON TATI</t>
  </si>
  <si>
    <t>REGRESA PERLA-POLO</t>
  </si>
  <si>
    <t>CARPETA</t>
  </si>
  <si>
    <t>TOTAL</t>
  </si>
  <si>
    <t>AUMENTO</t>
  </si>
  <si>
    <t>FEBRERO/MARZO</t>
  </si>
  <si>
    <t>SUELDO JULIO 2026</t>
  </si>
  <si>
    <t xml:space="preserve">SUELDO </t>
  </si>
  <si>
    <t>AGUINALDOS</t>
  </si>
  <si>
    <t>MAYRA ONTIVERO</t>
  </si>
  <si>
    <t>Nombre: MAYRA ONTIVERO    DNI: 32787676</t>
  </si>
  <si>
    <t>Escalafon:</t>
  </si>
  <si>
    <t>ADM</t>
  </si>
  <si>
    <t>SUELDO ACORDADO</t>
  </si>
  <si>
    <t>Mes: JULIO 2026</t>
  </si>
  <si>
    <t>SUELDO ENJOY</t>
  </si>
  <si>
    <t>SUELDO BASICO</t>
  </si>
  <si>
    <t>EXTRAS</t>
  </si>
  <si>
    <t>VALES/DESCUENTOS/MULTAS</t>
  </si>
  <si>
    <t>SUB TOTAL ENJOY</t>
  </si>
  <si>
    <t>AGOSTO</t>
  </si>
  <si>
    <t>Sueldo Basico</t>
  </si>
  <si>
    <t>SEPTIEMBRE</t>
  </si>
  <si>
    <t>Viatico</t>
  </si>
  <si>
    <t>SUELDO DOS57</t>
  </si>
  <si>
    <t>SUB TOTAL DOS57</t>
  </si>
  <si>
    <t>OCTUBRE</t>
  </si>
  <si>
    <t>Premio Presentismo</t>
  </si>
  <si>
    <t>NOVIEMBRE</t>
  </si>
  <si>
    <t>Antigüedad</t>
  </si>
  <si>
    <t>VIATICOS</t>
  </si>
  <si>
    <t>PREMIO PRESENTISMO</t>
  </si>
  <si>
    <t>TELEFONO</t>
  </si>
  <si>
    <t>ANTIGÜEDAD</t>
  </si>
  <si>
    <t>VACACIONES/AGUINALDOS/ EXTRAS</t>
  </si>
  <si>
    <t>DICIEMBRE</t>
  </si>
  <si>
    <t>Telefono</t>
  </si>
  <si>
    <t>Vacas/Aguinaldos/Extras</t>
  </si>
  <si>
    <t>% DEL ACUERDO</t>
  </si>
  <si>
    <t>TIPO DE SEGURO</t>
  </si>
  <si>
    <t>INICIO DEL ACUERDO</t>
  </si>
  <si>
    <t>VIGENCIA DEL ACUERDO</t>
  </si>
  <si>
    <t>IMPORTE TOTAL A COBRAR</t>
  </si>
  <si>
    <t>6 MESES</t>
  </si>
  <si>
    <t>Total</t>
  </si>
  <si>
    <t xml:space="preserve">17,1% Básico + Viático + Teléfono + Presentismo + Antigüedad </t>
  </si>
  <si>
    <t>ART</t>
  </si>
  <si>
    <t>9 MESES</t>
  </si>
  <si>
    <t>Vales</t>
  </si>
  <si>
    <t>Convocatoria</t>
  </si>
  <si>
    <t>Dia</t>
  </si>
  <si>
    <t>Fecha</t>
  </si>
  <si>
    <t>Inicio de Actividades</t>
  </si>
  <si>
    <t>Fin de Actividades</t>
  </si>
  <si>
    <t>Hrs 
trabajadas</t>
  </si>
  <si>
    <t>A cobrar</t>
  </si>
  <si>
    <t>9:00 a. m.</t>
  </si>
  <si>
    <t>9:16 a. m.</t>
  </si>
  <si>
    <t>6:02 p. m.</t>
  </si>
  <si>
    <t>VIÁTICO</t>
  </si>
  <si>
    <t>9:00 a. m.</t>
  </si>
  <si>
    <t>5:36 p. m.</t>
  </si>
  <si>
    <t>1 Cat</t>
  </si>
  <si>
    <t>9:37 a. m.</t>
  </si>
  <si>
    <t>6:04 p. m.</t>
  </si>
  <si>
    <t>TELÉFONO</t>
  </si>
  <si>
    <t>HOME OFFICE</t>
  </si>
  <si>
    <t>1:00 p. m.</t>
  </si>
  <si>
    <t>9:06 a. m.</t>
  </si>
  <si>
    <t>6:21 p. m.</t>
  </si>
  <si>
    <t>6:08 p. m.</t>
  </si>
  <si>
    <t>1 Años</t>
  </si>
  <si>
    <t>9:14 a. m.</t>
  </si>
  <si>
    <t>6:12 p. m.</t>
  </si>
  <si>
    <t>2 Años</t>
  </si>
  <si>
    <t>3 Años</t>
  </si>
  <si>
    <t>4 Años</t>
  </si>
  <si>
    <t>5 Años</t>
  </si>
  <si>
    <t>6 Años</t>
  </si>
  <si>
    <t>7 Años</t>
  </si>
  <si>
    <t>8 Años</t>
  </si>
  <si>
    <t>7:00 p. m.</t>
  </si>
  <si>
    <t>NEPER</t>
  </si>
  <si>
    <t>NO LLEGADA TARDE- AUTORIZO MATIAS</t>
  </si>
  <si>
    <t>9:12 a. m.</t>
  </si>
  <si>
    <t>9:15 a. m.</t>
  </si>
  <si>
    <t>6:24 p. m.</t>
  </si>
  <si>
    <t>9:11 a. m.</t>
  </si>
  <si>
    <t>6:00 p. m.</t>
  </si>
  <si>
    <t>9:05 a. m.</t>
  </si>
  <si>
    <t>6:09 p. m.</t>
  </si>
  <si>
    <t>9:19 a. m.</t>
  </si>
  <si>
    <t>6:10 p. m.</t>
  </si>
  <si>
    <t>ENJOY</t>
  </si>
  <si>
    <t>DOS57</t>
  </si>
  <si>
    <t>DETALLE DE PRESTAMOS / DESCUENTOS / MULTAS</t>
  </si>
  <si>
    <t>DETALLE</t>
  </si>
  <si>
    <t>MONTO</t>
  </si>
  <si>
    <t>IMPORTE</t>
  </si>
  <si>
    <t>RECARGA MATAFUEGO</t>
  </si>
  <si>
    <t>PENDIENTE A PAGAR PRESTAMOS</t>
  </si>
  <si>
    <t>Nombre:</t>
  </si>
  <si>
    <t>ANDREA OLIVETTO</t>
  </si>
  <si>
    <t>DNI:</t>
  </si>
  <si>
    <t xml:space="preserve"> PREMIO INCENTIVO</t>
  </si>
  <si>
    <t xml:space="preserve">VIATICO </t>
  </si>
  <si>
    <t>Premio Incentivo</t>
  </si>
  <si>
    <t>VACACIONES/AGUINALDOS/EXTRAS</t>
  </si>
  <si>
    <t>HRS ACORDADAS</t>
  </si>
  <si>
    <t>HRS TRABAJADAS</t>
  </si>
  <si>
    <t xml:space="preserve"> HRS EXTRAS TRABAJADAS</t>
  </si>
  <si>
    <t>VALOR HRS EXTRAS</t>
  </si>
  <si>
    <t>IMPORTE HRS EXTRAS TRABAJADAS</t>
  </si>
  <si>
    <t>Hrs Extras</t>
  </si>
  <si>
    <t>17,1% Básico + Premio Incentivo + Viatico + Presentismo + Hs Extra + Antigüedad</t>
  </si>
  <si>
    <t>8:49 a. m.</t>
  </si>
  <si>
    <t>8:48 a. m.</t>
  </si>
  <si>
    <t>6:30 p. m.</t>
  </si>
  <si>
    <t>PREMIO INCENTIVO</t>
  </si>
  <si>
    <t>9:03 a. m.</t>
  </si>
  <si>
    <t>5:51 p. m.</t>
  </si>
  <si>
    <t>8:55 a. m.</t>
  </si>
  <si>
    <t>6:22 p. m.</t>
  </si>
  <si>
    <t>9:09 a. m.</t>
  </si>
  <si>
    <t>6:25 p. m.</t>
  </si>
  <si>
    <t>6:35 p. m.</t>
  </si>
  <si>
    <t>8:57 a. m.</t>
  </si>
  <si>
    <t>7:14 p. m.</t>
  </si>
  <si>
    <t>VACACIONES-POLO</t>
  </si>
  <si>
    <t>6:34 p. m.</t>
  </si>
  <si>
    <t>8:43 a. m.</t>
  </si>
  <si>
    <t>5:50 p. m.</t>
  </si>
  <si>
    <t>8:59 a. m.</t>
  </si>
  <si>
    <t>6:41 p. m.</t>
  </si>
  <si>
    <t>REUNION NEPER</t>
  </si>
  <si>
    <t>8:52 a. m.</t>
  </si>
  <si>
    <t>6:14 p. m.</t>
  </si>
  <si>
    <t>6:37 p. m.</t>
  </si>
  <si>
    <t>9:13 a. m.</t>
  </si>
  <si>
    <t>6:40 p. m.</t>
  </si>
  <si>
    <t>6:11 p. m.</t>
  </si>
  <si>
    <t>8:47 a. m.</t>
  </si>
  <si>
    <t>5:33 p. m.</t>
  </si>
  <si>
    <t>8:23 a. m.</t>
  </si>
  <si>
    <t>7:05 p. m.</t>
  </si>
  <si>
    <t>6:49 p. m.</t>
  </si>
  <si>
    <t>9:08 a. m.</t>
  </si>
  <si>
    <t>6:31 p. m.</t>
  </si>
  <si>
    <t>VALES</t>
  </si>
  <si>
    <t>ADELANTO MULTAS</t>
  </si>
  <si>
    <t>ADELANTO</t>
  </si>
  <si>
    <t>PENDIENTE DE PAGO</t>
  </si>
  <si>
    <t>HRS PENDIENTES</t>
  </si>
  <si>
    <t>MES</t>
  </si>
  <si>
    <t>HRS</t>
  </si>
  <si>
    <t>ACUMULADO 2024</t>
  </si>
  <si>
    <t>ENERO</t>
  </si>
  <si>
    <t>FEBRERO</t>
  </si>
  <si>
    <t>MARZO</t>
  </si>
  <si>
    <t>ABRIL</t>
  </si>
  <si>
    <t>MAYO</t>
  </si>
  <si>
    <t>JUNIO</t>
  </si>
  <si>
    <t xml:space="preserve">HERRERA LORENA </t>
  </si>
  <si>
    <t>6:36 p. m.</t>
  </si>
  <si>
    <t>8:53 a. m.</t>
  </si>
  <si>
    <t>8:51 a. m.</t>
  </si>
  <si>
    <t>8:46 a. m.</t>
  </si>
  <si>
    <t>6:28 p. m.</t>
  </si>
  <si>
    <t>8:41 a. m.</t>
  </si>
  <si>
    <t>6:07 p. m.</t>
  </si>
  <si>
    <t>6:48 p. m.</t>
  </si>
  <si>
    <t>6:39 p. m.</t>
  </si>
  <si>
    <t>8:50 a. m.</t>
  </si>
  <si>
    <t>4:30 p. m.</t>
  </si>
  <si>
    <t>8:01 a. m.</t>
  </si>
  <si>
    <t>7:04 p. m.</t>
  </si>
  <si>
    <t>8:54 a. m.</t>
  </si>
  <si>
    <t>8:56 a. m.</t>
  </si>
  <si>
    <t>6:32 p. m.</t>
  </si>
  <si>
    <t>JAZMIN VALDIVIA</t>
  </si>
  <si>
    <t>PREMIO CASA</t>
  </si>
  <si>
    <t>Premio Casa</t>
  </si>
  <si>
    <t>17,1% Básico + Premio Incentivo + Viatico + Presentismo + Hs Extra + Antigüedad + Premio Casa</t>
  </si>
  <si>
    <t>Hrs trabajadas</t>
  </si>
  <si>
    <t>6:43 p. m.</t>
  </si>
  <si>
    <t>1 Cat (X Show)</t>
  </si>
  <si>
    <t>6:18 p. m.</t>
  </si>
  <si>
    <t>6:26 p. m.</t>
  </si>
  <si>
    <t>9:22 a. m.</t>
  </si>
  <si>
    <t>6:53 p. m.</t>
  </si>
  <si>
    <t>9:18 a. m.</t>
  </si>
  <si>
    <t>6:20 p. m.</t>
  </si>
  <si>
    <t>6:15 p. m.</t>
  </si>
  <si>
    <t>11:00 a. m.</t>
  </si>
  <si>
    <t>10:17 a. m.</t>
  </si>
  <si>
    <t>RESUMEN DEVOLUCIÓN DOLARES MATI</t>
  </si>
  <si>
    <t>PRÉSTAMO USD PASAJES ITALIA</t>
  </si>
  <si>
    <t>PRÉSTAMO PASAJE ITALIA</t>
  </si>
  <si>
    <t>CUOTA 1</t>
  </si>
  <si>
    <t>CUOTA 1 PRÉSTAMO USD $312,50</t>
  </si>
  <si>
    <t>CUOTA 2</t>
  </si>
  <si>
    <t>CUOTA 2 PRÉSTAMO USD $319,14</t>
  </si>
  <si>
    <t>CUOTA 3</t>
  </si>
  <si>
    <t>CUOTA 3 PRÉSTAMO USD $</t>
  </si>
  <si>
    <t>CUOTA 4</t>
  </si>
  <si>
    <t>CUOTA 4 PRÉSTAMO USD $</t>
  </si>
  <si>
    <t>CUOTA 5</t>
  </si>
  <si>
    <t>CUOTA 5 PRÉSTAMO USD $</t>
  </si>
  <si>
    <t>CUOTA 6</t>
  </si>
  <si>
    <t>CUOTA 6 PRÉSTAMO USD $</t>
  </si>
  <si>
    <t>SEPTIEMBRE/OCTUBRE</t>
  </si>
  <si>
    <t>FLORENCIA GOMEZ</t>
  </si>
  <si>
    <t>AP</t>
  </si>
  <si>
    <t>PREMIO PRODUCCIÓN 1</t>
  </si>
  <si>
    <t>PREMIO PRODUCCIÓN 2</t>
  </si>
  <si>
    <t>Premio Producción 1</t>
  </si>
  <si>
    <t>Premio Producción 2</t>
  </si>
  <si>
    <t>14,5% + 20,5% Extraordinario - Básico + Hs. Extra + Produccion Show + Viatico // 14,5% Presentismo + Premio + Telefono</t>
  </si>
  <si>
    <t>6:05 p. m.</t>
  </si>
  <si>
    <t>9:30 a. m.</t>
  </si>
  <si>
    <t>9:29 a. m.</t>
  </si>
  <si>
    <t>3:46 p. m.</t>
  </si>
  <si>
    <t>6:06 p. m.</t>
  </si>
  <si>
    <t>11:20 a. m.</t>
  </si>
  <si>
    <t>NO LLEGADA TARDE-AUTORIZO MATIAS</t>
  </si>
  <si>
    <t>9:40 a. m.</t>
  </si>
  <si>
    <t>6:42 p. m.</t>
  </si>
  <si>
    <t>9:17 a. m.</t>
  </si>
  <si>
    <t>8:02 a. m.</t>
  </si>
  <si>
    <t>6:23 p. m.</t>
  </si>
  <si>
    <t>9:20 a. m.</t>
  </si>
  <si>
    <t>PREMIO PRODUCCION</t>
  </si>
  <si>
    <t>1 Cat (X Show hasta 7 días)</t>
  </si>
  <si>
    <t>2 Cat (X Show + 7 días)</t>
  </si>
  <si>
    <t>6:51 p. m.</t>
  </si>
  <si>
    <t>9:43 a. m.</t>
  </si>
  <si>
    <t>8:13 a. m.</t>
  </si>
  <si>
    <t>6:13 p. m.</t>
  </si>
  <si>
    <t>8:26 a. m.</t>
  </si>
  <si>
    <t>7:59 a. m.</t>
  </si>
  <si>
    <t>9:38 a. m.</t>
  </si>
  <si>
    <t>JUAN VESSONI</t>
  </si>
  <si>
    <t>PREMIO PRODUCCIÓN</t>
  </si>
  <si>
    <t>Premio Producción</t>
  </si>
  <si>
    <t>17,1% Básico + Premio Incentivo + Viatico + Presentismo + Hs Extra + Antigüedad + Premio Producción</t>
  </si>
  <si>
    <t>5:30 p. m.</t>
  </si>
  <si>
    <t>5:40 p. m.</t>
  </si>
  <si>
    <t>11:00 a. m.</t>
  </si>
  <si>
    <t>7:42 a. m.</t>
  </si>
  <si>
    <t>6:19 p. m.</t>
  </si>
  <si>
    <t>9:44 a. m.</t>
  </si>
  <si>
    <t>5:48 p. m.</t>
  </si>
  <si>
    <t>8:05 a. m.</t>
  </si>
  <si>
    <t>6:59 p. m.</t>
  </si>
  <si>
    <t>8:00 a. m.</t>
  </si>
  <si>
    <t>8:12 a. m.</t>
  </si>
  <si>
    <t>7:30 a. m.</t>
  </si>
  <si>
    <t>8:00 a. m.</t>
  </si>
  <si>
    <t>6:30 a. m.</t>
  </si>
  <si>
    <t>6:44 a. m.</t>
  </si>
  <si>
    <t>6:19 a. m.</t>
  </si>
  <si>
    <t>7:31 a. m.</t>
  </si>
  <si>
    <t>6:01 p. m.</t>
  </si>
  <si>
    <t>6:17 p. m.</t>
  </si>
  <si>
    <t>9:02 a. m.</t>
  </si>
  <si>
    <t>6:29 p. m.</t>
  </si>
  <si>
    <t>AGOSTO/SEPTIEMBRE</t>
  </si>
  <si>
    <t>MARIO LOPEZ</t>
  </si>
  <si>
    <t>Teléfono</t>
  </si>
  <si>
    <t>X</t>
  </si>
  <si>
    <t>8:00 p. m.</t>
  </si>
  <si>
    <t>AVANZADA RIO CUARTO/MANEJO CAMIONETA VECK</t>
  </si>
  <si>
    <t>7:00 a. m.</t>
  </si>
  <si>
    <t>8:05 p. m.</t>
  </si>
  <si>
    <t>Viaje Sgo del Estero/ Camioneta Veck</t>
  </si>
  <si>
    <t>7:00 a. m.</t>
  </si>
  <si>
    <t>3:00 p. m.</t>
  </si>
  <si>
    <t>Debio esperar guardia en el predio</t>
  </si>
  <si>
    <t>9:00 p. m.</t>
  </si>
  <si>
    <t>Sgo del Estero</t>
  </si>
  <si>
    <t>9:20 p. m.</t>
  </si>
  <si>
    <t>2:00 a. m.</t>
  </si>
  <si>
    <t>Sgo del Estero/Guardia</t>
  </si>
  <si>
    <t>7:30 p. m.</t>
  </si>
  <si>
    <t>1:00 a. m.</t>
  </si>
  <si>
    <t>Sgo del Estero/Regreso Cba camioneta Veck</t>
  </si>
  <si>
    <t>MULTA LA ANGOSTURA</t>
  </si>
  <si>
    <t>PRÉSTAMO CORPO</t>
  </si>
  <si>
    <t>CUOTA 1 - PRÉSTAMO CORPO</t>
  </si>
  <si>
    <t>CUOTA 2 - PRÉSTAMO CORPO</t>
  </si>
  <si>
    <t>PENALIDAD SAN BLAS GRUA</t>
  </si>
  <si>
    <t>CUOTA 3 - PRÉSTAMO CORPO</t>
  </si>
  <si>
    <t>DENIS CELIZ</t>
  </si>
  <si>
    <t>PREMIOS COMPLEMENTARIOS</t>
  </si>
  <si>
    <t>PREMIO GUARDIAS</t>
  </si>
  <si>
    <t>Premio Guardias</t>
  </si>
  <si>
    <t>17,1% Básico + Premio Incentivo + Viatico + Presentismo + Hs Extra + Antigüedad + Premio Producción + Premio Guardias</t>
  </si>
  <si>
    <t>9:01 a. m.</t>
  </si>
  <si>
    <t>5:59 p. m.</t>
  </si>
  <si>
    <t>8:30 p. m.</t>
  </si>
  <si>
    <t>KEMPES/GUARDIA</t>
  </si>
  <si>
    <t>7:31 p. m.</t>
  </si>
  <si>
    <t>9:54 a. m.</t>
  </si>
  <si>
    <t>9:26 a. m.</t>
  </si>
  <si>
    <t>2:05 p. m.</t>
  </si>
  <si>
    <t>9:24 a. m.</t>
  </si>
  <si>
    <t>9:10 a. m.</t>
  </si>
  <si>
    <t>9:04 a. m.</t>
  </si>
  <si>
    <t>7:02 p. m.</t>
  </si>
  <si>
    <t>5:53 p. m.</t>
  </si>
  <si>
    <t>2:09 p. m.</t>
  </si>
  <si>
    <t>10:45 a. m.</t>
  </si>
  <si>
    <t>8:01 p. m.</t>
  </si>
  <si>
    <t>8:16 a. m.</t>
  </si>
  <si>
    <t>12:02 a. m.</t>
  </si>
  <si>
    <t>9:45 p. m.</t>
  </si>
  <si>
    <t>4:00 p. m.</t>
  </si>
  <si>
    <t>3:53 p. m.</t>
  </si>
  <si>
    <t>5:34 a. m.</t>
  </si>
  <si>
    <t>GUARDIA FORJA</t>
  </si>
  <si>
    <t>1:00 p. m.</t>
  </si>
  <si>
    <t>1:04 p. m.</t>
  </si>
  <si>
    <t>7:55 p. m.</t>
  </si>
  <si>
    <t>8:06 a. m.</t>
  </si>
  <si>
    <t>8:13 p. m.</t>
  </si>
  <si>
    <t>8:03 p. m.</t>
  </si>
  <si>
    <t>7:53 a. m.</t>
  </si>
  <si>
    <t>7:16 p. m.</t>
  </si>
  <si>
    <t>FRANCO</t>
  </si>
  <si>
    <t>MULTA - HLW156</t>
  </si>
  <si>
    <t>MILTON DIAZ</t>
  </si>
  <si>
    <t>5:32 p. m.</t>
  </si>
  <si>
    <t>GUARDIA KEMPES</t>
  </si>
  <si>
    <t>6:03 p. m.</t>
  </si>
  <si>
    <t>12:00 p. m.</t>
  </si>
  <si>
    <t>VIAJE SGO DEL ESTERO/Camioneta Veck</t>
  </si>
  <si>
    <t>2:00 p. m.</t>
  </si>
  <si>
    <t>4:00 p. m.</t>
  </si>
  <si>
    <t>SGO DEL ESTERO/Guardia</t>
  </si>
  <si>
    <t>1:30 p. m.</t>
  </si>
  <si>
    <t>SGO DEL ESTERO/Regreso Cba Sprinter</t>
  </si>
  <si>
    <t>FABRIZIO SOSA</t>
  </si>
  <si>
    <t>PREMIO VALLADO</t>
  </si>
  <si>
    <t>Premio Vallado</t>
  </si>
  <si>
    <t>17,1% Básico + Premio Incentivo + Viatico + Presentismo + Hs Extra + Antigüedad + Premio Vallado + Premio Guardias</t>
  </si>
  <si>
    <t>9:21 a. m.</t>
  </si>
  <si>
    <t>9:31 a. m.</t>
  </si>
  <si>
    <t>8:39 p. m.</t>
  </si>
  <si>
    <t>7:25 p. m.</t>
  </si>
  <si>
    <t>5:55 p. m.</t>
  </si>
  <si>
    <t>1:32 p. m.</t>
  </si>
  <si>
    <t>7:09 p. m.</t>
  </si>
  <si>
    <t>6:58 p. m.</t>
  </si>
  <si>
    <t>8:08 a. m.</t>
  </si>
  <si>
    <t>8:04 p. m.</t>
  </si>
  <si>
    <t>8:10 a. m.</t>
  </si>
  <si>
    <t>11:54 p. m.</t>
  </si>
  <si>
    <t>8:07 a. m.</t>
  </si>
  <si>
    <t>7:48 a. m.</t>
  </si>
  <si>
    <t>7:45 p. m.</t>
  </si>
  <si>
    <t>8:04 a. m.</t>
  </si>
  <si>
    <t>8:15 a. m.</t>
  </si>
  <si>
    <t>8:06 p. m.</t>
  </si>
  <si>
    <t>ANTONIO VELEZ</t>
  </si>
  <si>
    <t>PREMIO DEPÓSITO</t>
  </si>
  <si>
    <t>Premio Depósito</t>
  </si>
  <si>
    <t>17,1% Básico + Premio Incentivo + Viatico + Presentismo + Hs Extra + Antigüedad + Premio Guardias // 17,1% + 25% (Excepción) Premio Depósito</t>
  </si>
  <si>
    <t>2:58 p. m.</t>
  </si>
  <si>
    <t>4:25 p. m.</t>
  </si>
  <si>
    <t xml:space="preserve">1 Cat </t>
  </si>
  <si>
    <t>DAVID AGUIRRE</t>
  </si>
  <si>
    <t>PREMIO PRODUCCION SHOW</t>
  </si>
  <si>
    <t>PREMIO CONTROL PARQUE AUT</t>
  </si>
  <si>
    <t>Premio Producción Show</t>
  </si>
  <si>
    <t>Premio Control Parque Automotor</t>
  </si>
  <si>
    <t>11,5% + 7,5% (Excepción) Básico + Premio + Viatico + Guardia // 11,5% + 15% (Excepción) Presentismo + Hs Extra // 11,5% + 65% (Excepción) Deposito</t>
  </si>
  <si>
    <t>8:36 a. m.</t>
  </si>
  <si>
    <t>6:33 p. m.</t>
  </si>
  <si>
    <t>4:23 p. m.</t>
  </si>
  <si>
    <t>PREMIO PARQUE AUTOMOTOR</t>
  </si>
  <si>
    <t>8:45 a. m.</t>
  </si>
  <si>
    <t>12:46 a. m.</t>
  </si>
  <si>
    <t>VIAJE SGO DEL ESTERO</t>
  </si>
  <si>
    <t>10:00 a. m.</t>
  </si>
  <si>
    <t>9:35 a. m.</t>
  </si>
  <si>
    <t>7:36 a. m.</t>
  </si>
  <si>
    <t>7:56 a. m.</t>
  </si>
  <si>
    <t>7:44 a. m.</t>
  </si>
  <si>
    <t>6:45 a. m.</t>
  </si>
  <si>
    <t>7:49 a. m.</t>
  </si>
  <si>
    <t>ENERO/FEBRERO</t>
  </si>
  <si>
    <t>CARLOS CARRIZO</t>
  </si>
  <si>
    <t>PREMIO JEFE HERRERÍA</t>
  </si>
  <si>
    <t>Premio Jefe Herrería</t>
  </si>
  <si>
    <t>16,8% (IPC) + 8,2% (Excepción) Básico + Hs Extra + Premio Herreria // 16,8% (IPC) Viático + Premio Incentivo + Antigüedad + Presentismo + 16,8% (IPC) + 18,2% (Excepción)</t>
  </si>
  <si>
    <t>5:29 p. m.</t>
  </si>
  <si>
    <t>1:25 p. m.</t>
  </si>
  <si>
    <t>1:20 p. m.</t>
  </si>
  <si>
    <t>7:55 a. m.</t>
  </si>
  <si>
    <t>8:58 a. m.</t>
  </si>
  <si>
    <t>DAMIAN SANTILLAN</t>
  </si>
  <si>
    <t>PREMIO HERRERÍA</t>
  </si>
  <si>
    <t>Premio Herrería</t>
  </si>
  <si>
    <t>17,1% Básico + Premio Incentivo + Viatico + Presentismo + Hs Extra + Antigüedad + Premio Herrería</t>
  </si>
  <si>
    <t>2:36 p. m.</t>
  </si>
  <si>
    <t>1:47 p. m.</t>
  </si>
  <si>
    <t>6:54 p. m.</t>
  </si>
  <si>
    <t>7:51 a. m.</t>
  </si>
  <si>
    <t>7:35 a. m.</t>
  </si>
  <si>
    <t>PREMIOS VIAJES</t>
  </si>
  <si>
    <t>NACIONAL + 1.000</t>
  </si>
  <si>
    <t>Premios Viajes</t>
  </si>
  <si>
    <t>10% - 15% Basico</t>
  </si>
  <si>
    <t>2:00 p. m.</t>
  </si>
  <si>
    <t>1:41 p. m.</t>
  </si>
  <si>
    <t>9:06 p. m.</t>
  </si>
  <si>
    <t>VIAJE SGO ESTERO</t>
  </si>
  <si>
    <t>9:34 p. m.</t>
  </si>
  <si>
    <t>REGRESO CBA</t>
  </si>
  <si>
    <t>7:34 p. m.</t>
  </si>
  <si>
    <t>3:30 a. m.</t>
  </si>
  <si>
    <t>7:30 a. m.</t>
  </si>
  <si>
    <t>7:50 a. m.</t>
  </si>
  <si>
    <t>Rescoldo</t>
  </si>
  <si>
    <t>10:00 p. m.</t>
  </si>
  <si>
    <t>Viaje Sgo Estero</t>
  </si>
  <si>
    <t>3:20 p. m.</t>
  </si>
  <si>
    <t>Regreso Cba Colectivo</t>
  </si>
  <si>
    <t>7:21 p. m.</t>
  </si>
  <si>
    <t>7:18 a. m.</t>
  </si>
  <si>
    <t>6:00 a. m.</t>
  </si>
  <si>
    <t>12:30 p. m.</t>
  </si>
  <si>
    <t>1:15 a. m.</t>
  </si>
  <si>
    <t>Viaje MB con Tati/Regreso Cba Perla</t>
  </si>
  <si>
    <t>7:14 a. m.</t>
  </si>
  <si>
    <t>1:34 a. m.</t>
  </si>
  <si>
    <t>Viaje Sgo/Regreso Cba</t>
  </si>
  <si>
    <t>7:52 a. m.</t>
  </si>
  <si>
    <t>12:40 a. m.</t>
  </si>
  <si>
    <t>DIF. DE CAJA STGO DEL ESTERO</t>
  </si>
  <si>
    <t>GERARDO MACHADO</t>
  </si>
  <si>
    <t>3:26 p. m.</t>
  </si>
  <si>
    <t>3:08 p. m.</t>
  </si>
  <si>
    <t>12:30 a. m.</t>
  </si>
  <si>
    <t>11:30 a. m.</t>
  </si>
  <si>
    <t>VIAJE BS AS</t>
  </si>
  <si>
    <t>x</t>
  </si>
  <si>
    <t>7:50 p. m.</t>
  </si>
  <si>
    <t>7:28 a. m.</t>
  </si>
  <si>
    <t>3:15 p. m.</t>
  </si>
  <si>
    <t>VIAJE SGO ESTERO/REGRESO CAMION</t>
  </si>
  <si>
    <t>6:46 p. m.</t>
  </si>
  <si>
    <t>9:51 p. m.</t>
  </si>
  <si>
    <t>7:33 p. m.</t>
  </si>
  <si>
    <t>7:36 p. m.</t>
  </si>
  <si>
    <t>7:08 p. m.</t>
  </si>
  <si>
    <t>9:32 p. m.</t>
  </si>
  <si>
    <t>Viaje Sgo Colectivo/Regreso Cba Sprinter</t>
  </si>
  <si>
    <t>8:03 a. m.</t>
  </si>
  <si>
    <t>7:46 p. m.</t>
  </si>
  <si>
    <t>LEANDRO NAVARRO</t>
  </si>
  <si>
    <t>8:42 a. m.</t>
  </si>
  <si>
    <t>8:23 p. m.</t>
  </si>
  <si>
    <t>8:37 a. m.</t>
  </si>
  <si>
    <t>7:01 a. m.</t>
  </si>
  <si>
    <t>9:50 a. m.</t>
  </si>
  <si>
    <t>9:25 p. m.</t>
  </si>
  <si>
    <t>8:25 a. m.</t>
  </si>
  <si>
    <t>12:20 a. m.</t>
  </si>
  <si>
    <t>VIAJE MINA CLAVERO</t>
  </si>
  <si>
    <t>8:39 a. m.</t>
  </si>
  <si>
    <t>5:52 p. m.</t>
  </si>
  <si>
    <t>MULTA DORMI</t>
  </si>
  <si>
    <t>MECÁNICO</t>
  </si>
  <si>
    <t>CUOTA 1 - MECANICO</t>
  </si>
  <si>
    <t>CUOTA 2 - MECANICO</t>
  </si>
  <si>
    <t>TORRE DE ILUMINACIÓN</t>
  </si>
  <si>
    <t>CUOTA 1 - TORRE ILUMINACION</t>
  </si>
  <si>
    <t>CUOTA 2 - TORRE ILUMINACION</t>
  </si>
  <si>
    <t>PABLO VESSONI</t>
  </si>
  <si>
    <t>Básico + Premio Incentivo + Viatico + Presentismo + Hs Extra + Antigüedad</t>
  </si>
  <si>
    <t>5:00 p. m.</t>
  </si>
  <si>
    <t>3:27 p. m.</t>
  </si>
  <si>
    <t>3:23 p. m.</t>
  </si>
  <si>
    <t>4:55 p. m.</t>
  </si>
  <si>
    <t>7:54 a. m.</t>
  </si>
  <si>
    <t>7:23 a. m.</t>
  </si>
  <si>
    <t>3:03 p. m.</t>
  </si>
  <si>
    <t>6:16 a. m.</t>
  </si>
  <si>
    <t>6:18 a. m.</t>
  </si>
  <si>
    <t>8:38 a. m.</t>
  </si>
  <si>
    <t>RODRIGO FERNANDEZ</t>
  </si>
  <si>
    <t>KEDDER</t>
  </si>
  <si>
    <t>CASETTE</t>
  </si>
  <si>
    <t>Premios Complem. (Kedder/Casette)</t>
  </si>
  <si>
    <t>Según IPC Básico (15%) Y 7,5% (Excepcion) - Presentismo + Viático // Premio Según IPC Básico (15%) + 15% (Excepcion) Basico + Hs Extra + Premios Complementarios</t>
  </si>
  <si>
    <t>8:44 a. m.</t>
  </si>
  <si>
    <t>3:47 p. m.</t>
  </si>
  <si>
    <t>8:11 a. m.</t>
  </si>
  <si>
    <t>4:26 p. m.</t>
  </si>
  <si>
    <t>7:17 p. m.</t>
  </si>
  <si>
    <t>3:00 a. m.</t>
  </si>
  <si>
    <t>GUARDIA</t>
  </si>
  <si>
    <t>SGO DEL ESTERO/Regreso Cba camioneta Veck</t>
  </si>
  <si>
    <t>JOSE LUIS PEREZ STRIPPOLI</t>
  </si>
  <si>
    <t>7:29 p. m.</t>
  </si>
  <si>
    <t>9:07 a. m.</t>
  </si>
  <si>
    <t>7:32 p. m.</t>
  </si>
  <si>
    <t>6:41 a. m.</t>
  </si>
  <si>
    <t>7:18 p. m.</t>
  </si>
  <si>
    <t>6:55 a. m.</t>
  </si>
  <si>
    <t>3:11 p. m.</t>
  </si>
  <si>
    <t>SGO DEL ESTERO/GUARDIA</t>
  </si>
  <si>
    <t>GONZALO CATALANO</t>
  </si>
  <si>
    <t>PREMIO GUARDIA</t>
  </si>
  <si>
    <t>Premio Guardia</t>
  </si>
  <si>
    <t>16,8% (IPC) Básico + Viático + Premio Incentivo + Antigüedad + Presentismo + Guardias // 16,8% (IPC) + 8,2% (Excepción) Hs Extra</t>
  </si>
  <si>
    <t>10:10 a. m.</t>
  </si>
  <si>
    <t>10:00 a. m.</t>
  </si>
  <si>
    <t>9:42 a. m.</t>
  </si>
  <si>
    <t>5:31 p. m.</t>
  </si>
  <si>
    <t>9:23 a. m.</t>
  </si>
  <si>
    <t>9:28 a. m.</t>
  </si>
  <si>
    <t>8:20 a. m.</t>
  </si>
  <si>
    <t>5:41 p. m.</t>
  </si>
  <si>
    <t>7:47 p. m.</t>
  </si>
  <si>
    <t>8:29 a. m.</t>
  </si>
  <si>
    <t>8:31 a. m.</t>
  </si>
  <si>
    <t>9:30 p. m.</t>
  </si>
  <si>
    <t>Kempes-Talleres</t>
  </si>
  <si>
    <t>11:35 p. m.</t>
  </si>
  <si>
    <t>Kempes-Talleres//Guardia</t>
  </si>
  <si>
    <t>NICOLAS BIBILONI</t>
  </si>
  <si>
    <t>15,5% + 4,5% (Excepcion) Basico + Hs Extra</t>
  </si>
  <si>
    <t>SANTIAGO BIBILONI</t>
  </si>
  <si>
    <t>7:13 p. m.</t>
  </si>
  <si>
    <t>NO LLEGADA TARDE/AUTORIZO MATIAS (reunion Neper)</t>
  </si>
  <si>
    <t>SUELDOS JULIO 2026</t>
  </si>
  <si>
    <t xml:space="preserve">NOMBRE </t>
  </si>
  <si>
    <t>SUELDO FINAL</t>
  </si>
  <si>
    <t>A COBRAR</t>
  </si>
  <si>
    <t>EFECTIVO</t>
  </si>
  <si>
    <t>TRANSFERENCIA</t>
  </si>
  <si>
    <t>SALDOS / FALTANTES</t>
  </si>
  <si>
    <t>ANDREA</t>
  </si>
  <si>
    <t xml:space="preserve">LORE </t>
  </si>
  <si>
    <t>FAUSTO</t>
  </si>
  <si>
    <t>TONI</t>
  </si>
  <si>
    <t>DAVID</t>
  </si>
  <si>
    <t>CARLOS</t>
  </si>
  <si>
    <t>POLA</t>
  </si>
  <si>
    <t>LUIS</t>
  </si>
  <si>
    <t>GERARDO</t>
  </si>
  <si>
    <t>LEANDRO</t>
  </si>
  <si>
    <t>PABLO</t>
  </si>
  <si>
    <t>GONZA</t>
  </si>
  <si>
    <t>NICO</t>
  </si>
  <si>
    <t>SANTI</t>
  </si>
  <si>
    <t xml:space="preserve">Totales </t>
  </si>
  <si>
    <t>SUELDOS JULIO 2026 - DIRECTORES</t>
  </si>
  <si>
    <t>POLLO</t>
  </si>
  <si>
    <t>VECKY</t>
  </si>
  <si>
    <t>MAYRA</t>
  </si>
  <si>
    <t>ABRIL/MAYO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</si>
</sst>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164" formatCode="_-&quot;$&quot;\ * #,##0.00_-;\-&quot;$&quot;\ * #,##0.00_-;_-&quot;$&quot;\ * &quot;-&quot;??_-;_-@"/>
    <numFmt numFmtId="165" formatCode="mmmm\-yyyy"/>
    <numFmt numFmtId="166" formatCode="_ &quot;$&quot;\ * #,##0.00_ ;_ &quot;$&quot;\ * \-#,##0.00_ ;_ &quot;$&quot;\ * &quot;-&quot;??_ ;_ @_ "/>
    <numFmt numFmtId="167" formatCode="[$-2C0A]d&quot; de &quot;mmmm&quot; de &quot;yyyy"/>
    <numFmt numFmtId="168" formatCode="&quot;$&quot;\ #,##0.00"/>
    <numFmt numFmtId="169" formatCode="_-[$$-2C0A]\ * #,##0.00_-;\-[$$-2C0A]\ * #,##0.00_-;_-[$$-2C0A]\ * &quot;-&quot;??_-;_-@"/>
    <numFmt numFmtId="170" formatCode="_-[$USD]\ * #,##0.00_-;\-[$USD]\ * #,##0.00_-;_-[$USD]\ * &quot;-&quot;??_-;_-@"/>
  </numFmts>
  <fonts count="37">
    <font>
      <sz val="11"/>
      <name val="Calibri"/>
      <scheme val="minor"/>
    </font>
    <font>
      <b/>
      <sz val="18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sz val="12"/>
      <color rgb="FF091B3A"/>
      <name val="Calibri"/>
    </font>
    <font>
      <sz val="11"/>
      <color rgb="FF091B3A"/>
      <name val="Calibri"/>
    </font>
    <font>
      <sz val="11"/>
      <name val="Calibri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b/>
      <sz val="9"/>
      <name val="Calibri"/>
    </font>
    <font>
      <b/>
      <sz val="8"/>
      <name val="Calibri"/>
    </font>
    <font>
      <b/>
      <sz val="9"/>
      <name val="Aptos Narrow"/>
    </font>
    <font>
      <sz val="11"/>
      <color rgb="FFFF0000"/>
      <name val="Calibri"/>
    </font>
    <font>
      <b/>
      <sz val="11"/>
      <color rgb="FF000000"/>
      <name val="Calibri"/>
    </font>
    <font>
      <sz val="9"/>
      <name val="Calibri"/>
    </font>
    <font>
      <sz val="10"/>
      <name val="Calibri"/>
    </font>
    <font>
      <b/>
      <sz val="10"/>
      <name val="Calibri"/>
    </font>
    <font>
      <sz val="10"/>
      <color rgb="FF000000"/>
      <name val="Calibri"/>
    </font>
    <font>
      <sz val="9"/>
      <color rgb="FFFF0000"/>
      <name val="Calibri"/>
    </font>
    <font>
      <b/>
      <sz val="11"/>
      <color rgb="FFFF0000"/>
      <name val="Calibri"/>
    </font>
    <font>
      <sz val="10"/>
      <color rgb="FFFF0000"/>
      <name val="Calibri"/>
    </font>
    <font>
      <b/>
      <sz val="12"/>
      <color rgb="FFFFFFFF"/>
      <name val="Calibri"/>
    </font>
    <font>
      <sz val="11"/>
      <color rgb="FF000000"/>
      <name val="Calibri"/>
    </font>
    <font>
      <sz val="8"/>
      <name val="Arial"/>
    </font>
    <font>
      <sz val="9"/>
      <color rgb="FF000000"/>
      <name val="Calibri"/>
    </font>
    <font>
      <sz val="11"/>
      <name val="Arial"/>
    </font>
    <font>
      <sz val="9"/>
      <name val="Calibri"/>
    </font>
    <font>
      <b/>
      <sz val="11"/>
      <name val="Calibri"/>
    </font>
    <font>
      <sz val="10"/>
      <name val="Calibri"/>
    </font>
    <font>
      <b/>
      <sz val="26"/>
      <color rgb="FFFF0000"/>
      <name val="Calibri"/>
    </font>
    <font>
      <b/>
      <sz val="36"/>
      <name val="Calibri"/>
    </font>
    <font>
      <sz val="9"/>
      <name val="Arial"/>
    </font>
    <font>
      <b/>
      <sz val="26"/>
      <name val="Calibri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  <fill>
      <patternFill patternType="solid">
        <fgColor rgb="FF7F7F7F"/>
        <bgColor rgb="FF7F7F7F"/>
      </patternFill>
    </fill>
    <fill>
      <patternFill patternType="solid">
        <fgColor rgb="FFED01CB"/>
        <bgColor rgb="FFED01CB"/>
      </patternFill>
    </fill>
    <fill>
      <patternFill patternType="solid">
        <fgColor rgb="FFF4B083"/>
        <bgColor rgb="FFF4B083"/>
      </patternFill>
    </fill>
    <fill>
      <patternFill patternType="solid">
        <fgColor rgb="FFDAE9F8"/>
        <bgColor rgb="FFDAE9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83E28E"/>
        <bgColor rgb="FF83E28E"/>
      </patternFill>
    </fill>
    <fill>
      <patternFill patternType="solid">
        <fgColor rgb="FFF7C7AC"/>
        <bgColor rgb="FFF7C7AC"/>
      </patternFill>
    </fill>
    <fill>
      <patternFill patternType="solid">
        <fgColor rgb="FF94DCF8"/>
        <bgColor rgb="FF94DCF8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002060"/>
        <bgColor rgb="FF002060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CCCCCC"/>
        <bgColor rgb="FFCCCCCC"/>
      </patternFill>
    </fill>
    <fill>
      <patternFill patternType="solid">
        <fgColor rgb="FFFBE4D5"/>
        <bgColor rgb="FFFBE4D5"/>
      </patternFill>
    </fill>
    <fill>
      <patternFill patternType="solid">
        <fgColor theme="1" tint="4.9989318521683403E-2"/>
        <bgColor indexed="64"/>
      </patternFill>
    </fill>
  </fills>
  <borders count="1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8">
    <xf numFmtId="0" fontId="0" fillId="0" borderId="0" xfId="0" applyFont="1" applyAlignment="1"/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1" fontId="5" fillId="4" borderId="22" xfId="0" applyNumberFormat="1" applyFont="1" applyFill="1" applyBorder="1" applyAlignment="1">
      <alignment horizontal="center" vertical="center"/>
    </xf>
    <xf numFmtId="1" fontId="5" fillId="5" borderId="22" xfId="0" applyNumberFormat="1" applyFont="1" applyFill="1" applyBorder="1" applyAlignment="1">
      <alignment horizontal="center" vertical="center"/>
    </xf>
    <xf numFmtId="1" fontId="5" fillId="6" borderId="22" xfId="0" applyNumberFormat="1" applyFont="1" applyFill="1" applyBorder="1" applyAlignment="1">
      <alignment horizontal="center" vertical="center"/>
    </xf>
    <xf numFmtId="1" fontId="5" fillId="2" borderId="23" xfId="0" applyNumberFormat="1" applyFont="1" applyFill="1" applyBorder="1" applyAlignment="1">
      <alignment horizontal="center" vertical="center"/>
    </xf>
    <xf numFmtId="1" fontId="5" fillId="7" borderId="23" xfId="0" applyNumberFormat="1" applyFont="1" applyFill="1" applyBorder="1" applyAlignment="1">
      <alignment horizontal="center" vertical="center"/>
    </xf>
    <xf numFmtId="1" fontId="5" fillId="8" borderId="23" xfId="0" applyNumberFormat="1" applyFont="1" applyFill="1" applyBorder="1" applyAlignment="1">
      <alignment horizontal="center" vertical="center"/>
    </xf>
    <xf numFmtId="1" fontId="5" fillId="9" borderId="22" xfId="0" applyNumberFormat="1" applyFont="1" applyFill="1" applyBorder="1" applyAlignment="1">
      <alignment horizontal="center" vertical="center"/>
    </xf>
    <xf numFmtId="1" fontId="5" fillId="10" borderId="22" xfId="0" applyNumberFormat="1" applyFont="1" applyFill="1" applyBorder="1" applyAlignment="1">
      <alignment horizontal="center" vertical="center"/>
    </xf>
    <xf numFmtId="1" fontId="5" fillId="11" borderId="2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27" xfId="0" applyFont="1" applyBorder="1" applyAlignment="1">
      <alignment wrapText="1"/>
    </xf>
    <xf numFmtId="0" fontId="12" fillId="14" borderId="30" xfId="0" applyFont="1" applyFill="1" applyBorder="1" applyAlignment="1">
      <alignment horizontal="center" wrapText="1"/>
    </xf>
    <xf numFmtId="0" fontId="13" fillId="14" borderId="30" xfId="0" applyFont="1" applyFill="1" applyBorder="1" applyAlignment="1">
      <alignment horizontal="center" wrapText="1"/>
    </xf>
    <xf numFmtId="0" fontId="10" fillId="16" borderId="30" xfId="0" applyFont="1" applyFill="1" applyBorder="1" applyAlignment="1">
      <alignment horizontal="center" wrapText="1"/>
    </xf>
    <xf numFmtId="0" fontId="14" fillId="17" borderId="30" xfId="0" applyFont="1" applyFill="1" applyBorder="1" applyAlignment="1">
      <alignment horizontal="center" wrapText="1"/>
    </xf>
    <xf numFmtId="0" fontId="14" fillId="18" borderId="30" xfId="0" applyFont="1" applyFill="1" applyBorder="1" applyAlignment="1">
      <alignment horizontal="center" wrapText="1"/>
    </xf>
    <xf numFmtId="0" fontId="5" fillId="14" borderId="15" xfId="0" applyFont="1" applyFill="1" applyBorder="1" applyAlignment="1">
      <alignment horizontal="center" wrapText="1"/>
    </xf>
    <xf numFmtId="0" fontId="10" fillId="19" borderId="16" xfId="0" applyFont="1" applyFill="1" applyBorder="1" applyAlignment="1">
      <alignment horizontal="center" wrapText="1"/>
    </xf>
    <xf numFmtId="14" fontId="10" fillId="19" borderId="16" xfId="0" applyNumberFormat="1" applyFont="1" applyFill="1" applyBorder="1" applyAlignment="1">
      <alignment horizontal="center" wrapText="1"/>
    </xf>
    <xf numFmtId="0" fontId="5" fillId="19" borderId="16" xfId="0" applyFont="1" applyFill="1" applyBorder="1" applyAlignment="1">
      <alignment horizontal="center" wrapText="1"/>
    </xf>
    <xf numFmtId="0" fontId="5" fillId="19" borderId="16" xfId="0" applyFont="1" applyFill="1" applyBorder="1" applyAlignment="1">
      <alignment wrapText="1"/>
    </xf>
    <xf numFmtId="0" fontId="5" fillId="19" borderId="31" xfId="0" applyFont="1" applyFill="1" applyBorder="1" applyAlignment="1">
      <alignment wrapText="1"/>
    </xf>
    <xf numFmtId="0" fontId="5" fillId="14" borderId="17" xfId="0" applyFont="1" applyFill="1" applyBorder="1" applyAlignment="1">
      <alignment horizontal="center" wrapText="1"/>
    </xf>
    <xf numFmtId="0" fontId="10" fillId="19" borderId="18" xfId="0" applyFont="1" applyFill="1" applyBorder="1" applyAlignment="1">
      <alignment horizontal="center" wrapText="1"/>
    </xf>
    <xf numFmtId="14" fontId="10" fillId="19" borderId="18" xfId="0" applyNumberFormat="1" applyFont="1" applyFill="1" applyBorder="1" applyAlignment="1">
      <alignment horizontal="center" wrapText="1"/>
    </xf>
    <xf numFmtId="0" fontId="5" fillId="19" borderId="18" xfId="0" applyFont="1" applyFill="1" applyBorder="1" applyAlignment="1">
      <alignment horizontal="center" wrapText="1"/>
    </xf>
    <xf numFmtId="0" fontId="5" fillId="19" borderId="18" xfId="0" applyFont="1" applyFill="1" applyBorder="1" applyAlignment="1">
      <alignment wrapText="1"/>
    </xf>
    <xf numFmtId="0" fontId="5" fillId="19" borderId="32" xfId="0" applyFont="1" applyFill="1" applyBorder="1" applyAlignment="1">
      <alignment wrapText="1"/>
    </xf>
    <xf numFmtId="0" fontId="10" fillId="14" borderId="18" xfId="0" applyFont="1" applyFill="1" applyBorder="1" applyAlignment="1">
      <alignment horizontal="center" wrapText="1"/>
    </xf>
    <xf numFmtId="14" fontId="10" fillId="14" borderId="18" xfId="0" applyNumberFormat="1" applyFont="1" applyFill="1" applyBorder="1" applyAlignment="1">
      <alignment horizontal="center" wrapText="1"/>
    </xf>
    <xf numFmtId="0" fontId="5" fillId="14" borderId="18" xfId="0" applyFont="1" applyFill="1" applyBorder="1" applyAlignment="1">
      <alignment horizontal="center" wrapText="1"/>
    </xf>
    <xf numFmtId="0" fontId="5" fillId="14" borderId="18" xfId="0" applyFont="1" applyFill="1" applyBorder="1" applyAlignment="1">
      <alignment wrapText="1"/>
    </xf>
    <xf numFmtId="0" fontId="5" fillId="14" borderId="32" xfId="0" applyFont="1" applyFill="1" applyBorder="1" applyAlignment="1">
      <alignment wrapText="1"/>
    </xf>
    <xf numFmtId="0" fontId="5" fillId="14" borderId="17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14" fontId="10" fillId="13" borderId="18" xfId="0" applyNumberFormat="1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horizontal="center" vertical="center" wrapText="1"/>
    </xf>
    <xf numFmtId="0" fontId="5" fillId="13" borderId="18" xfId="0" applyFont="1" applyFill="1" applyBorder="1" applyAlignment="1">
      <alignment wrapText="1"/>
    </xf>
    <xf numFmtId="0" fontId="5" fillId="13" borderId="32" xfId="0" applyFont="1" applyFill="1" applyBorder="1" applyAlignment="1">
      <alignment wrapText="1"/>
    </xf>
    <xf numFmtId="0" fontId="10" fillId="14" borderId="18" xfId="0" applyFont="1" applyFill="1" applyBorder="1" applyAlignment="1">
      <alignment horizontal="center" vertical="center" wrapText="1"/>
    </xf>
    <xf numFmtId="14" fontId="10" fillId="14" borderId="18" xfId="0" applyNumberFormat="1" applyFont="1" applyFill="1" applyBorder="1" applyAlignment="1">
      <alignment horizontal="center" vertical="center" wrapText="1"/>
    </xf>
    <xf numFmtId="0" fontId="5" fillId="14" borderId="18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wrapText="1"/>
    </xf>
    <xf numFmtId="14" fontId="10" fillId="13" borderId="18" xfId="0" applyNumberFormat="1" applyFont="1" applyFill="1" applyBorder="1" applyAlignment="1">
      <alignment horizontal="center" wrapText="1"/>
    </xf>
    <xf numFmtId="0" fontId="5" fillId="13" borderId="18" xfId="0" applyFont="1" applyFill="1" applyBorder="1" applyAlignment="1">
      <alignment horizontal="center" wrapText="1"/>
    </xf>
    <xf numFmtId="0" fontId="5" fillId="14" borderId="18" xfId="0" applyFont="1" applyFill="1" applyBorder="1" applyAlignment="1">
      <alignment vertical="center" wrapText="1"/>
    </xf>
    <xf numFmtId="0" fontId="5" fillId="14" borderId="32" xfId="0" applyFont="1" applyFill="1" applyBorder="1" applyAlignment="1">
      <alignment vertical="center" wrapText="1"/>
    </xf>
    <xf numFmtId="0" fontId="5" fillId="20" borderId="18" xfId="0" applyFont="1" applyFill="1" applyBorder="1" applyAlignment="1">
      <alignment horizontal="center" wrapText="1"/>
    </xf>
    <xf numFmtId="0" fontId="10" fillId="15" borderId="18" xfId="0" applyFont="1" applyFill="1" applyBorder="1" applyAlignment="1">
      <alignment horizontal="center" wrapText="1"/>
    </xf>
    <xf numFmtId="14" fontId="10" fillId="15" borderId="18" xfId="0" applyNumberFormat="1" applyFont="1" applyFill="1" applyBorder="1" applyAlignment="1">
      <alignment horizontal="center" wrapText="1"/>
    </xf>
    <xf numFmtId="0" fontId="5" fillId="15" borderId="18" xfId="0" applyFont="1" applyFill="1" applyBorder="1" applyAlignment="1">
      <alignment horizontal="center" wrapText="1"/>
    </xf>
    <xf numFmtId="0" fontId="5" fillId="15" borderId="18" xfId="0" applyFont="1" applyFill="1" applyBorder="1" applyAlignment="1">
      <alignment wrapText="1"/>
    </xf>
    <xf numFmtId="0" fontId="5" fillId="15" borderId="32" xfId="0" applyFont="1" applyFill="1" applyBorder="1" applyAlignment="1">
      <alignment wrapText="1"/>
    </xf>
    <xf numFmtId="0" fontId="10" fillId="17" borderId="18" xfId="0" applyFont="1" applyFill="1" applyBorder="1" applyAlignment="1">
      <alignment horizontal="center" wrapText="1"/>
    </xf>
    <xf numFmtId="14" fontId="10" fillId="17" borderId="18" xfId="0" applyNumberFormat="1" applyFont="1" applyFill="1" applyBorder="1" applyAlignment="1">
      <alignment horizontal="center" wrapText="1"/>
    </xf>
    <xf numFmtId="0" fontId="5" fillId="17" borderId="18" xfId="0" applyFont="1" applyFill="1" applyBorder="1" applyAlignment="1">
      <alignment horizontal="center" wrapText="1"/>
    </xf>
    <xf numFmtId="0" fontId="5" fillId="17" borderId="18" xfId="0" applyFont="1" applyFill="1" applyBorder="1" applyAlignment="1">
      <alignment wrapText="1"/>
    </xf>
    <xf numFmtId="0" fontId="5" fillId="17" borderId="32" xfId="0" applyFont="1" applyFill="1" applyBorder="1" applyAlignment="1">
      <alignment wrapText="1"/>
    </xf>
    <xf numFmtId="0" fontId="5" fillId="14" borderId="12" xfId="0" applyFont="1" applyFill="1" applyBorder="1" applyAlignment="1">
      <alignment horizontal="center" wrapText="1"/>
    </xf>
    <xf numFmtId="0" fontId="10" fillId="17" borderId="13" xfId="0" applyFont="1" applyFill="1" applyBorder="1" applyAlignment="1">
      <alignment horizontal="center" wrapText="1"/>
    </xf>
    <xf numFmtId="14" fontId="10" fillId="17" borderId="13" xfId="0" applyNumberFormat="1" applyFont="1" applyFill="1" applyBorder="1" applyAlignment="1">
      <alignment horizontal="center" wrapText="1"/>
    </xf>
    <xf numFmtId="0" fontId="5" fillId="17" borderId="13" xfId="0" applyFont="1" applyFill="1" applyBorder="1" applyAlignment="1">
      <alignment horizontal="center" wrapText="1"/>
    </xf>
    <xf numFmtId="0" fontId="5" fillId="17" borderId="13" xfId="0" applyFont="1" applyFill="1" applyBorder="1" applyAlignment="1">
      <alignment wrapText="1"/>
    </xf>
    <xf numFmtId="0" fontId="5" fillId="17" borderId="14" xfId="0" applyFont="1" applyFill="1" applyBorder="1" applyAlignment="1">
      <alignment wrapText="1"/>
    </xf>
    <xf numFmtId="0" fontId="10" fillId="17" borderId="30" xfId="0" applyFont="1" applyFill="1" applyBorder="1" applyAlignment="1">
      <alignment horizontal="center" wrapText="1"/>
    </xf>
    <xf numFmtId="0" fontId="10" fillId="18" borderId="30" xfId="0" applyFont="1" applyFill="1" applyBorder="1" applyAlignment="1">
      <alignment horizontal="center" wrapText="1"/>
    </xf>
    <xf numFmtId="0" fontId="10" fillId="15" borderId="30" xfId="0" applyFont="1" applyFill="1" applyBorder="1" applyAlignment="1">
      <alignment horizontal="center" wrapText="1"/>
    </xf>
    <xf numFmtId="0" fontId="5" fillId="13" borderId="30" xfId="0" applyFont="1" applyFill="1" applyBorder="1" applyAlignment="1">
      <alignment wrapText="1"/>
    </xf>
    <xf numFmtId="0" fontId="5" fillId="0" borderId="0" xfId="0" applyFont="1"/>
    <xf numFmtId="164" fontId="16" fillId="2" borderId="37" xfId="0" applyNumberFormat="1" applyFont="1" applyFill="1" applyBorder="1" applyAlignment="1">
      <alignment horizontal="center"/>
    </xf>
    <xf numFmtId="0" fontId="10" fillId="2" borderId="37" xfId="0" applyFont="1" applyFill="1" applyBorder="1" applyAlignment="1">
      <alignment horizontal="center"/>
    </xf>
    <xf numFmtId="164" fontId="11" fillId="23" borderId="40" xfId="0" applyNumberFormat="1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164" fontId="11" fillId="25" borderId="49" xfId="0" applyNumberFormat="1" applyFont="1" applyFill="1" applyBorder="1" applyAlignment="1">
      <alignment horizontal="center" vertical="center"/>
    </xf>
    <xf numFmtId="0" fontId="5" fillId="26" borderId="37" xfId="0" applyFont="1" applyFill="1" applyBorder="1"/>
    <xf numFmtId="164" fontId="5" fillId="26" borderId="37" xfId="0" applyNumberFormat="1" applyFont="1" applyFill="1" applyBorder="1"/>
    <xf numFmtId="17" fontId="10" fillId="22" borderId="37" xfId="0" applyNumberFormat="1" applyFont="1" applyFill="1" applyBorder="1" applyAlignment="1">
      <alignment horizontal="center"/>
    </xf>
    <xf numFmtId="165" fontId="10" fillId="22" borderId="37" xfId="0" applyNumberFormat="1" applyFont="1" applyFill="1" applyBorder="1" applyAlignment="1">
      <alignment horizontal="center"/>
    </xf>
    <xf numFmtId="0" fontId="10" fillId="27" borderId="51" xfId="0" applyFont="1" applyFill="1" applyBorder="1"/>
    <xf numFmtId="9" fontId="10" fillId="27" borderId="52" xfId="0" applyNumberFormat="1" applyFont="1" applyFill="1" applyBorder="1" applyAlignment="1">
      <alignment horizontal="center"/>
    </xf>
    <xf numFmtId="164" fontId="5" fillId="0" borderId="0" xfId="0" applyNumberFormat="1" applyFont="1"/>
    <xf numFmtId="0" fontId="10" fillId="27" borderId="53" xfId="0" applyFont="1" applyFill="1" applyBorder="1" applyAlignment="1">
      <alignment horizontal="center"/>
    </xf>
    <xf numFmtId="0" fontId="10" fillId="27" borderId="51" xfId="0" applyFont="1" applyFill="1" applyBorder="1" applyAlignment="1">
      <alignment horizontal="center"/>
    </xf>
    <xf numFmtId="0" fontId="11" fillId="27" borderId="18" xfId="0" applyFont="1" applyFill="1" applyBorder="1" applyAlignment="1">
      <alignment horizontal="center"/>
    </xf>
    <xf numFmtId="164" fontId="5" fillId="0" borderId="4" xfId="0" applyNumberFormat="1" applyFont="1" applyBorder="1" applyAlignment="1">
      <alignment vertical="center"/>
    </xf>
    <xf numFmtId="165" fontId="5" fillId="0" borderId="18" xfId="0" applyNumberFormat="1" applyFont="1" applyBorder="1" applyAlignment="1">
      <alignment horizontal="center"/>
    </xf>
    <xf numFmtId="164" fontId="5" fillId="0" borderId="10" xfId="0" applyNumberFormat="1" applyFont="1" applyBorder="1"/>
    <xf numFmtId="0" fontId="10" fillId="20" borderId="37" xfId="0" applyFont="1" applyFill="1" applyBorder="1"/>
    <xf numFmtId="164" fontId="10" fillId="20" borderId="37" xfId="0" applyNumberFormat="1" applyFont="1" applyFill="1" applyBorder="1"/>
    <xf numFmtId="9" fontId="17" fillId="0" borderId="50" xfId="0" applyNumberFormat="1" applyFont="1" applyBorder="1" applyAlignment="1">
      <alignment horizontal="center" wrapText="1"/>
    </xf>
    <xf numFmtId="164" fontId="5" fillId="5" borderId="37" xfId="0" applyNumberFormat="1" applyFont="1" applyFill="1" applyBorder="1"/>
    <xf numFmtId="0" fontId="10" fillId="28" borderId="61" xfId="0" applyFont="1" applyFill="1" applyBorder="1" applyAlignment="1">
      <alignment horizontal="center" vertical="center" wrapText="1"/>
    </xf>
    <xf numFmtId="0" fontId="10" fillId="28" borderId="64" xfId="0" applyFont="1" applyFill="1" applyBorder="1" applyAlignment="1">
      <alignment horizontal="center" vertical="center" wrapText="1"/>
    </xf>
    <xf numFmtId="0" fontId="10" fillId="28" borderId="65" xfId="0" applyFont="1" applyFill="1" applyBorder="1" applyAlignment="1">
      <alignment horizontal="center" vertical="center"/>
    </xf>
    <xf numFmtId="0" fontId="10" fillId="2" borderId="37" xfId="0" applyFont="1" applyFill="1" applyBorder="1"/>
    <xf numFmtId="164" fontId="10" fillId="2" borderId="37" xfId="0" applyNumberFormat="1" applyFont="1" applyFill="1" applyBorder="1"/>
    <xf numFmtId="0" fontId="18" fillId="5" borderId="15" xfId="0" applyFont="1" applyFill="1" applyBorder="1" applyAlignment="1">
      <alignment horizontal="center" wrapText="1"/>
    </xf>
    <xf numFmtId="14" fontId="10" fillId="5" borderId="16" xfId="0" applyNumberFormat="1" applyFont="1" applyFill="1" applyBorder="1" applyAlignment="1">
      <alignment horizontal="center" wrapText="1"/>
    </xf>
    <xf numFmtId="2" fontId="18" fillId="5" borderId="31" xfId="0" applyNumberFormat="1" applyFont="1" applyFill="1" applyBorder="1" applyAlignment="1">
      <alignment horizontal="right" wrapText="1"/>
    </xf>
    <xf numFmtId="0" fontId="18" fillId="0" borderId="17" xfId="0" applyFont="1" applyBorder="1" applyAlignment="1">
      <alignment horizontal="center" wrapText="1"/>
    </xf>
    <xf numFmtId="14" fontId="10" fillId="0" borderId="18" xfId="0" applyNumberFormat="1" applyFont="1" applyBorder="1" applyAlignment="1">
      <alignment horizontal="center" wrapText="1"/>
    </xf>
    <xf numFmtId="2" fontId="18" fillId="0" borderId="32" xfId="0" applyNumberFormat="1" applyFont="1" applyBorder="1" applyAlignment="1">
      <alignment horizontal="right" wrapText="1"/>
    </xf>
    <xf numFmtId="0" fontId="10" fillId="29" borderId="68" xfId="0" applyFont="1" applyFill="1" applyBorder="1" applyAlignment="1">
      <alignment horizontal="left"/>
    </xf>
    <xf numFmtId="0" fontId="10" fillId="0" borderId="5" xfId="0" applyFont="1" applyBorder="1"/>
    <xf numFmtId="0" fontId="5" fillId="0" borderId="18" xfId="0" applyFont="1" applyBorder="1" applyAlignment="1">
      <alignment horizontal="center"/>
    </xf>
    <xf numFmtId="164" fontId="5" fillId="0" borderId="18" xfId="0" applyNumberFormat="1" applyFont="1" applyBorder="1"/>
    <xf numFmtId="0" fontId="18" fillId="29" borderId="17" xfId="0" applyFont="1" applyFill="1" applyBorder="1" applyAlignment="1">
      <alignment horizontal="center" wrapText="1"/>
    </xf>
    <xf numFmtId="14" fontId="10" fillId="29" borderId="18" xfId="0" applyNumberFormat="1" applyFont="1" applyFill="1" applyBorder="1" applyAlignment="1">
      <alignment horizontal="center" wrapText="1"/>
    </xf>
    <xf numFmtId="2" fontId="18" fillId="29" borderId="32" xfId="0" applyNumberFormat="1" applyFont="1" applyFill="1" applyBorder="1" applyAlignment="1">
      <alignment horizontal="right" wrapText="1"/>
    </xf>
    <xf numFmtId="0" fontId="18" fillId="7" borderId="17" xfId="0" applyFont="1" applyFill="1" applyBorder="1" applyAlignment="1">
      <alignment horizontal="center" wrapText="1"/>
    </xf>
    <xf numFmtId="0" fontId="10" fillId="29" borderId="37" xfId="0" applyFont="1" applyFill="1" applyBorder="1" applyAlignment="1">
      <alignment horizontal="left"/>
    </xf>
    <xf numFmtId="0" fontId="18" fillId="5" borderId="17" xfId="0" applyFont="1" applyFill="1" applyBorder="1" applyAlignment="1">
      <alignment horizontal="center" wrapText="1"/>
    </xf>
    <xf numFmtId="14" fontId="10" fillId="5" borderId="18" xfId="0" applyNumberFormat="1" applyFont="1" applyFill="1" applyBorder="1" applyAlignment="1">
      <alignment horizontal="center" wrapText="1"/>
    </xf>
    <xf numFmtId="2" fontId="18" fillId="5" borderId="32" xfId="0" applyNumberFormat="1" applyFont="1" applyFill="1" applyBorder="1" applyAlignment="1">
      <alignment horizontal="right" wrapText="1"/>
    </xf>
    <xf numFmtId="0" fontId="20" fillId="0" borderId="0" xfId="0" applyFont="1"/>
    <xf numFmtId="0" fontId="18" fillId="7" borderId="12" xfId="0" applyFont="1" applyFill="1" applyBorder="1" applyAlignment="1">
      <alignment horizontal="center" wrapText="1"/>
    </xf>
    <xf numFmtId="14" fontId="10" fillId="0" borderId="13" xfId="0" applyNumberFormat="1" applyFont="1" applyBorder="1" applyAlignment="1">
      <alignment horizontal="center" wrapText="1"/>
    </xf>
    <xf numFmtId="2" fontId="18" fillId="0" borderId="14" xfId="0" applyNumberFormat="1" applyFont="1" applyBorder="1" applyAlignment="1">
      <alignment horizontal="right" wrapText="1"/>
    </xf>
    <xf numFmtId="9" fontId="17" fillId="0" borderId="0" xfId="0" applyNumberFormat="1" applyFont="1" applyAlignment="1">
      <alignment horizontal="center" wrapText="1"/>
    </xf>
    <xf numFmtId="0" fontId="8" fillId="0" borderId="0" xfId="0" applyFont="1"/>
    <xf numFmtId="167" fontId="5" fillId="0" borderId="0" xfId="0" applyNumberFormat="1" applyFont="1" applyAlignment="1">
      <alignment horizontal="center"/>
    </xf>
    <xf numFmtId="2" fontId="19" fillId="26" borderId="73" xfId="0" applyNumberFormat="1" applyFont="1" applyFill="1" applyBorder="1"/>
    <xf numFmtId="0" fontId="5" fillId="29" borderId="74" xfId="0" applyFont="1" applyFill="1" applyBorder="1" applyAlignment="1">
      <alignment horizontal="center" vertical="center"/>
    </xf>
    <xf numFmtId="168" fontId="5" fillId="29" borderId="74" xfId="0" applyNumberFormat="1" applyFont="1" applyFill="1" applyBorder="1" applyAlignment="1">
      <alignment horizontal="center" vertical="center"/>
    </xf>
    <xf numFmtId="14" fontId="5" fillId="0" borderId="75" xfId="0" applyNumberFormat="1" applyFont="1" applyBorder="1" applyAlignment="1">
      <alignment horizontal="center"/>
    </xf>
    <xf numFmtId="169" fontId="8" fillId="0" borderId="77" xfId="0" applyNumberFormat="1" applyFont="1" applyBorder="1" applyAlignment="1">
      <alignment horizontal="center" vertical="center"/>
    </xf>
    <xf numFmtId="14" fontId="5" fillId="0" borderId="78" xfId="0" applyNumberFormat="1" applyFont="1" applyBorder="1" applyAlignment="1">
      <alignment horizontal="center" wrapText="1"/>
    </xf>
    <xf numFmtId="164" fontId="5" fillId="0" borderId="79" xfId="0" applyNumberFormat="1" applyFont="1" applyBorder="1" applyAlignment="1">
      <alignment horizontal="right" vertical="center" wrapText="1"/>
    </xf>
    <xf numFmtId="14" fontId="5" fillId="0" borderId="17" xfId="0" applyNumberFormat="1" applyFont="1" applyBorder="1" applyAlignment="1">
      <alignment horizontal="right"/>
    </xf>
    <xf numFmtId="170" fontId="15" fillId="0" borderId="51" xfId="0" applyNumberFormat="1" applyFont="1" applyBorder="1" applyAlignment="1">
      <alignment horizontal="center" vertical="center"/>
    </xf>
    <xf numFmtId="166" fontId="10" fillId="27" borderId="81" xfId="0" applyNumberFormat="1" applyFont="1" applyFill="1" applyBorder="1" applyAlignment="1">
      <alignment horizontal="center" vertical="center"/>
    </xf>
    <xf numFmtId="166" fontId="10" fillId="27" borderId="73" xfId="0" applyNumberFormat="1" applyFont="1" applyFill="1" applyBorder="1" applyAlignment="1">
      <alignment horizontal="center" vertical="center"/>
    </xf>
    <xf numFmtId="166" fontId="10" fillId="23" borderId="83" xfId="0" applyNumberFormat="1" applyFont="1" applyFill="1" applyBorder="1" applyAlignment="1">
      <alignment horizontal="center"/>
    </xf>
    <xf numFmtId="164" fontId="11" fillId="11" borderId="31" xfId="0" applyNumberFormat="1" applyFont="1" applyFill="1" applyBorder="1" applyAlignment="1">
      <alignment vertical="center"/>
    </xf>
    <xf numFmtId="0" fontId="11" fillId="24" borderId="17" xfId="0" applyFont="1" applyFill="1" applyBorder="1" applyAlignment="1">
      <alignment vertical="center"/>
    </xf>
    <xf numFmtId="0" fontId="11" fillId="24" borderId="18" xfId="0" applyFont="1" applyFill="1" applyBorder="1" applyAlignment="1">
      <alignment vertical="center"/>
    </xf>
    <xf numFmtId="3" fontId="11" fillId="24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0" fontId="11" fillId="2" borderId="1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10" fillId="22" borderId="37" xfId="0" applyNumberFormat="1" applyFont="1" applyFill="1" applyBorder="1" applyAlignment="1">
      <alignment horizontal="center"/>
    </xf>
    <xf numFmtId="0" fontId="12" fillId="27" borderId="17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165" fontId="5" fillId="0" borderId="17" xfId="0" applyNumberFormat="1" applyFont="1" applyBorder="1" applyAlignment="1">
      <alignment horizontal="center"/>
    </xf>
    <xf numFmtId="0" fontId="10" fillId="27" borderId="17" xfId="0" applyFont="1" applyFill="1" applyBorder="1" applyAlignment="1">
      <alignment horizontal="center"/>
    </xf>
    <xf numFmtId="0" fontId="10" fillId="27" borderId="18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0" fontId="10" fillId="28" borderId="87" xfId="0" applyFont="1" applyFill="1" applyBorder="1" applyAlignment="1">
      <alignment horizontal="center" vertical="center" wrapText="1"/>
    </xf>
    <xf numFmtId="0" fontId="10" fillId="28" borderId="88" xfId="0" applyFont="1" applyFill="1" applyBorder="1" applyAlignment="1">
      <alignment horizontal="center" vertical="center" wrapText="1"/>
    </xf>
    <xf numFmtId="0" fontId="10" fillId="28" borderId="91" xfId="0" applyFont="1" applyFill="1" applyBorder="1" applyAlignment="1">
      <alignment horizontal="center" vertical="center"/>
    </xf>
    <xf numFmtId="0" fontId="17" fillId="14" borderId="15" xfId="0" applyFont="1" applyFill="1" applyBorder="1" applyAlignment="1">
      <alignment horizontal="center" wrapText="1"/>
    </xf>
    <xf numFmtId="0" fontId="10" fillId="14" borderId="16" xfId="0" applyFont="1" applyFill="1" applyBorder="1" applyAlignment="1">
      <alignment horizontal="center" wrapText="1"/>
    </xf>
    <xf numFmtId="14" fontId="10" fillId="14" borderId="16" xfId="0" applyNumberFormat="1" applyFont="1" applyFill="1" applyBorder="1" applyAlignment="1">
      <alignment horizontal="center" wrapText="1"/>
    </xf>
    <xf numFmtId="2" fontId="18" fillId="14" borderId="31" xfId="0" applyNumberFormat="1" applyFont="1" applyFill="1" applyBorder="1" applyAlignment="1">
      <alignment horizontal="right" wrapText="1"/>
    </xf>
    <xf numFmtId="0" fontId="17" fillId="14" borderId="17" xfId="0" applyFont="1" applyFill="1" applyBorder="1" applyAlignment="1">
      <alignment horizontal="center" wrapText="1"/>
    </xf>
    <xf numFmtId="2" fontId="18" fillId="14" borderId="32" xfId="0" applyNumberFormat="1" applyFont="1" applyFill="1" applyBorder="1" applyAlignment="1">
      <alignment horizontal="right" wrapText="1"/>
    </xf>
    <xf numFmtId="0" fontId="17" fillId="13" borderId="17" xfId="0" applyFont="1" applyFill="1" applyBorder="1" applyAlignment="1">
      <alignment horizontal="center" wrapText="1"/>
    </xf>
    <xf numFmtId="2" fontId="18" fillId="13" borderId="32" xfId="0" applyNumberFormat="1" applyFont="1" applyFill="1" applyBorder="1" applyAlignment="1">
      <alignment horizontal="right" wrapText="1"/>
    </xf>
    <xf numFmtId="0" fontId="17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22" fillId="0" borderId="18" xfId="0" applyFont="1" applyBorder="1" applyAlignment="1">
      <alignment horizontal="center" wrapText="1"/>
    </xf>
    <xf numFmtId="14" fontId="22" fillId="0" borderId="18" xfId="0" applyNumberFormat="1" applyFont="1" applyBorder="1" applyAlignment="1">
      <alignment horizontal="center" wrapText="1"/>
    </xf>
    <xf numFmtId="2" fontId="23" fillId="0" borderId="32" xfId="0" applyNumberFormat="1" applyFont="1" applyBorder="1" applyAlignment="1">
      <alignment horizontal="right" wrapText="1"/>
    </xf>
    <xf numFmtId="0" fontId="17" fillId="29" borderId="17" xfId="0" applyFont="1" applyFill="1" applyBorder="1" applyAlignment="1">
      <alignment horizontal="center" wrapText="1"/>
    </xf>
    <xf numFmtId="0" fontId="10" fillId="29" borderId="18" xfId="0" applyFont="1" applyFill="1" applyBorder="1" applyAlignment="1">
      <alignment horizontal="center" wrapText="1"/>
    </xf>
    <xf numFmtId="0" fontId="17" fillId="14" borderId="12" xfId="0" applyFont="1" applyFill="1" applyBorder="1" applyAlignment="1">
      <alignment horizontal="center" wrapText="1"/>
    </xf>
    <xf numFmtId="0" fontId="10" fillId="14" borderId="13" xfId="0" applyFont="1" applyFill="1" applyBorder="1" applyAlignment="1">
      <alignment horizontal="center" wrapText="1"/>
    </xf>
    <xf numFmtId="14" fontId="10" fillId="14" borderId="13" xfId="0" applyNumberFormat="1" applyFont="1" applyFill="1" applyBorder="1" applyAlignment="1">
      <alignment horizontal="center" wrapText="1"/>
    </xf>
    <xf numFmtId="2" fontId="18" fillId="14" borderId="14" xfId="0" applyNumberFormat="1" applyFont="1" applyFill="1" applyBorder="1" applyAlignment="1">
      <alignment horizontal="right" wrapText="1"/>
    </xf>
    <xf numFmtId="18" fontId="18" fillId="0" borderId="9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19" fillId="0" borderId="36" xfId="0" applyNumberFormat="1" applyFont="1" applyBorder="1" applyAlignment="1">
      <alignment horizontal="right"/>
    </xf>
    <xf numFmtId="0" fontId="5" fillId="29" borderId="93" xfId="0" applyFont="1" applyFill="1" applyBorder="1" applyAlignment="1">
      <alignment horizontal="center" vertical="center"/>
    </xf>
    <xf numFmtId="168" fontId="5" fillId="29" borderId="49" xfId="0" applyNumberFormat="1" applyFont="1" applyFill="1" applyBorder="1" applyAlignment="1">
      <alignment horizontal="center" vertical="center"/>
    </xf>
    <xf numFmtId="168" fontId="5" fillId="29" borderId="93" xfId="0" applyNumberFormat="1" applyFont="1" applyFill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wrapText="1"/>
    </xf>
    <xf numFmtId="8" fontId="5" fillId="0" borderId="31" xfId="0" applyNumberFormat="1" applyFont="1" applyBorder="1" applyAlignment="1">
      <alignment horizontal="right" wrapText="1"/>
    </xf>
    <xf numFmtId="14" fontId="5" fillId="0" borderId="17" xfId="0" applyNumberFormat="1" applyFont="1" applyBorder="1" applyAlignment="1">
      <alignment horizontal="center" wrapText="1"/>
    </xf>
    <xf numFmtId="8" fontId="5" fillId="0" borderId="32" xfId="0" applyNumberFormat="1" applyFont="1" applyBorder="1" applyAlignment="1">
      <alignment horizontal="right" wrapText="1"/>
    </xf>
    <xf numFmtId="14" fontId="5" fillId="0" borderId="12" xfId="0" applyNumberFormat="1" applyFont="1" applyBorder="1" applyAlignment="1">
      <alignment horizontal="center" wrapText="1"/>
    </xf>
    <xf numFmtId="8" fontId="5" fillId="0" borderId="14" xfId="0" applyNumberFormat="1" applyFont="1" applyBorder="1" applyAlignment="1">
      <alignment horizontal="right" wrapText="1"/>
    </xf>
    <xf numFmtId="166" fontId="10" fillId="27" borderId="95" xfId="0" applyNumberFormat="1" applyFont="1" applyFill="1" applyBorder="1" applyAlignment="1">
      <alignment horizontal="center" vertical="center"/>
    </xf>
    <xf numFmtId="166" fontId="10" fillId="23" borderId="74" xfId="0" applyNumberFormat="1" applyFont="1" applyFill="1" applyBorder="1" applyAlignment="1">
      <alignment horizontal="center"/>
    </xf>
    <xf numFmtId="168" fontId="5" fillId="29" borderId="31" xfId="0" applyNumberFormat="1" applyFont="1" applyFill="1" applyBorder="1" applyAlignment="1">
      <alignment horizontal="center" vertical="center"/>
    </xf>
    <xf numFmtId="2" fontId="5" fillId="0" borderId="32" xfId="0" applyNumberFormat="1" applyFont="1" applyBorder="1"/>
    <xf numFmtId="2" fontId="5" fillId="0" borderId="14" xfId="0" applyNumberFormat="1" applyFont="1" applyBorder="1"/>
    <xf numFmtId="2" fontId="19" fillId="26" borderId="74" xfId="0" applyNumberFormat="1" applyFont="1" applyFill="1" applyBorder="1" applyAlignment="1">
      <alignment horizontal="right"/>
    </xf>
    <xf numFmtId="3" fontId="24" fillId="24" borderId="81" xfId="0" applyNumberFormat="1" applyFont="1" applyFill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14" fontId="10" fillId="0" borderId="16" xfId="0" applyNumberFormat="1" applyFont="1" applyBorder="1" applyAlignment="1">
      <alignment horizontal="center" wrapText="1"/>
    </xf>
    <xf numFmtId="2" fontId="18" fillId="0" borderId="31" xfId="0" applyNumberFormat="1" applyFont="1" applyBorder="1" applyAlignment="1">
      <alignment horizontal="right" wrapText="1"/>
    </xf>
    <xf numFmtId="0" fontId="25" fillId="0" borderId="0" xfId="0" applyFont="1"/>
    <xf numFmtId="0" fontId="17" fillId="5" borderId="17" xfId="0" applyFont="1" applyFill="1" applyBorder="1" applyAlignment="1">
      <alignment horizontal="center" wrapText="1"/>
    </xf>
    <xf numFmtId="0" fontId="10" fillId="5" borderId="18" xfId="0" applyFont="1" applyFill="1" applyBorder="1" applyAlignment="1">
      <alignment horizontal="center" wrapText="1"/>
    </xf>
    <xf numFmtId="169" fontId="5" fillId="0" borderId="31" xfId="0" applyNumberFormat="1" applyFont="1" applyBorder="1" applyAlignment="1">
      <alignment horizontal="right" wrapText="1"/>
    </xf>
    <xf numFmtId="14" fontId="5" fillId="0" borderId="12" xfId="0" applyNumberFormat="1" applyFont="1" applyBorder="1" applyAlignment="1">
      <alignment horizontal="center"/>
    </xf>
    <xf numFmtId="166" fontId="5" fillId="0" borderId="14" xfId="0" applyNumberFormat="1" applyFont="1" applyBorder="1" applyAlignment="1">
      <alignment horizontal="center"/>
    </xf>
    <xf numFmtId="3" fontId="11" fillId="24" borderId="81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10" fillId="29" borderId="18" xfId="0" applyFont="1" applyFill="1" applyBorder="1" applyAlignment="1">
      <alignment horizontal="left"/>
    </xf>
    <xf numFmtId="0" fontId="10" fillId="0" borderId="10" xfId="0" applyFont="1" applyBorder="1"/>
    <xf numFmtId="0" fontId="17" fillId="7" borderId="17" xfId="0" applyFont="1" applyFill="1" applyBorder="1" applyAlignment="1">
      <alignment horizontal="center" wrapText="1"/>
    </xf>
    <xf numFmtId="14" fontId="5" fillId="30" borderId="17" xfId="0" applyNumberFormat="1" applyFont="1" applyFill="1" applyBorder="1" applyAlignment="1">
      <alignment horizontal="center" vertical="center"/>
    </xf>
    <xf numFmtId="0" fontId="5" fillId="30" borderId="18" xfId="0" applyFont="1" applyFill="1" applyBorder="1" applyAlignment="1">
      <alignment horizontal="center" vertical="center"/>
    </xf>
    <xf numFmtId="169" fontId="5" fillId="30" borderId="32" xfId="0" applyNumberFormat="1" applyFont="1" applyFill="1" applyBorder="1"/>
    <xf numFmtId="14" fontId="5" fillId="0" borderId="15" xfId="0" applyNumberFormat="1" applyFont="1" applyBorder="1" applyAlignment="1">
      <alignment horizontal="center" vertical="center" wrapText="1"/>
    </xf>
    <xf numFmtId="164" fontId="5" fillId="0" borderId="31" xfId="0" applyNumberFormat="1" applyFont="1" applyBorder="1" applyAlignment="1">
      <alignment horizontal="right" vertical="center" wrapText="1"/>
    </xf>
    <xf numFmtId="14" fontId="5" fillId="30" borderId="15" xfId="0" applyNumberFormat="1" applyFont="1" applyFill="1" applyBorder="1" applyAlignment="1">
      <alignment horizontal="center" vertical="center" wrapText="1"/>
    </xf>
    <xf numFmtId="164" fontId="5" fillId="30" borderId="31" xfId="0" applyNumberFormat="1" applyFont="1" applyFill="1" applyBorder="1" applyAlignment="1">
      <alignment horizontal="right" vertical="center" wrapText="1"/>
    </xf>
    <xf numFmtId="14" fontId="5" fillId="2" borderId="17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9" fontId="5" fillId="2" borderId="32" xfId="0" applyNumberFormat="1" applyFont="1" applyFill="1" applyBorder="1"/>
    <xf numFmtId="14" fontId="5" fillId="2" borderId="17" xfId="0" applyNumberFormat="1" applyFont="1" applyFill="1" applyBorder="1" applyAlignment="1">
      <alignment horizontal="center" wrapText="1"/>
    </xf>
    <xf numFmtId="8" fontId="5" fillId="2" borderId="32" xfId="0" applyNumberFormat="1" applyFont="1" applyFill="1" applyBorder="1" applyAlignment="1">
      <alignment horizontal="right" wrapText="1"/>
    </xf>
    <xf numFmtId="14" fontId="5" fillId="2" borderId="101" xfId="0" applyNumberFormat="1" applyFont="1" applyFill="1" applyBorder="1" applyAlignment="1">
      <alignment horizontal="center" vertical="center"/>
    </xf>
    <xf numFmtId="0" fontId="5" fillId="2" borderId="102" xfId="0" applyFont="1" applyFill="1" applyBorder="1" applyAlignment="1">
      <alignment horizontal="center" vertical="center"/>
    </xf>
    <xf numFmtId="169" fontId="5" fillId="2" borderId="103" xfId="0" applyNumberFormat="1" applyFont="1" applyFill="1" applyBorder="1"/>
    <xf numFmtId="169" fontId="5" fillId="2" borderId="32" xfId="0" applyNumberFormat="1" applyFont="1" applyFill="1" applyBorder="1" applyAlignment="1"/>
    <xf numFmtId="8" fontId="5" fillId="0" borderId="14" xfId="0" applyNumberFormat="1" applyFont="1" applyBorder="1" applyAlignment="1">
      <alignment horizontal="right" vertical="center" wrapText="1"/>
    </xf>
    <xf numFmtId="14" fontId="5" fillId="2" borderId="12" xfId="0" applyNumberFormat="1" applyFont="1" applyFill="1" applyBorder="1" applyAlignment="1">
      <alignment horizontal="center" wrapText="1"/>
    </xf>
    <xf numFmtId="8" fontId="5" fillId="2" borderId="14" xfId="0" applyNumberFormat="1" applyFont="1" applyFill="1" applyBorder="1" applyAlignment="1">
      <alignment horizontal="right" wrapText="1"/>
    </xf>
    <xf numFmtId="164" fontId="11" fillId="11" borderId="40" xfId="0" applyNumberFormat="1" applyFont="1" applyFill="1" applyBorder="1" applyAlignment="1">
      <alignment vertical="center"/>
    </xf>
    <xf numFmtId="0" fontId="11" fillId="24" borderId="101" xfId="0" applyFont="1" applyFill="1" applyBorder="1" applyAlignment="1">
      <alignment vertical="center"/>
    </xf>
    <xf numFmtId="0" fontId="11" fillId="24" borderId="102" xfId="0" applyFont="1" applyFill="1" applyBorder="1" applyAlignment="1">
      <alignment vertical="center"/>
    </xf>
    <xf numFmtId="3" fontId="11" fillId="24" borderId="102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wrapText="1"/>
    </xf>
    <xf numFmtId="0" fontId="26" fillId="0" borderId="0" xfId="0" applyFont="1"/>
    <xf numFmtId="0" fontId="17" fillId="7" borderId="12" xfId="0" applyFont="1" applyFill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1" fontId="10" fillId="2" borderId="32" xfId="0" applyNumberFormat="1" applyFont="1" applyFill="1" applyBorder="1" applyAlignment="1">
      <alignment horizontal="center"/>
    </xf>
    <xf numFmtId="0" fontId="27" fillId="0" borderId="0" xfId="0" applyFont="1"/>
    <xf numFmtId="0" fontId="18" fillId="14" borderId="17" xfId="0" applyFont="1" applyFill="1" applyBorder="1" applyAlignment="1">
      <alignment horizontal="center" wrapText="1"/>
    </xf>
    <xf numFmtId="0" fontId="18" fillId="31" borderId="17" xfId="0" applyFont="1" applyFill="1" applyBorder="1" applyAlignment="1">
      <alignment horizontal="center" wrapText="1"/>
    </xf>
    <xf numFmtId="0" fontId="10" fillId="27" borderId="16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164" fontId="5" fillId="0" borderId="32" xfId="0" applyNumberFormat="1" applyFont="1" applyBorder="1"/>
    <xf numFmtId="0" fontId="18" fillId="14" borderId="12" xfId="0" applyFont="1" applyFill="1" applyBorder="1" applyAlignment="1">
      <alignment horizontal="center" wrapText="1"/>
    </xf>
    <xf numFmtId="169" fontId="5" fillId="0" borderId="31" xfId="0" applyNumberFormat="1" applyFont="1" applyBorder="1" applyAlignment="1">
      <alignment horizontal="right" vertical="center" wrapText="1"/>
    </xf>
    <xf numFmtId="14" fontId="5" fillId="0" borderId="17" xfId="0" applyNumberFormat="1" applyFont="1" applyBorder="1" applyAlignment="1">
      <alignment horizontal="center" vertical="center" wrapText="1"/>
    </xf>
    <xf numFmtId="164" fontId="5" fillId="0" borderId="32" xfId="0" applyNumberFormat="1" applyFont="1" applyBorder="1" applyAlignment="1">
      <alignment horizontal="right" vertical="center" wrapText="1"/>
    </xf>
    <xf numFmtId="14" fontId="5" fillId="30" borderId="17" xfId="0" applyNumberFormat="1" applyFont="1" applyFill="1" applyBorder="1" applyAlignment="1">
      <alignment horizontal="center" vertical="center" wrapText="1"/>
    </xf>
    <xf numFmtId="169" fontId="5" fillId="30" borderId="32" xfId="0" applyNumberFormat="1" applyFont="1" applyFill="1" applyBorder="1" applyAlignment="1">
      <alignment horizontal="right" vertical="center" wrapText="1"/>
    </xf>
    <xf numFmtId="14" fontId="5" fillId="2" borderId="17" xfId="0" applyNumberFormat="1" applyFont="1" applyFill="1" applyBorder="1" applyAlignment="1">
      <alignment horizontal="center" vertical="center" wrapText="1"/>
    </xf>
    <xf numFmtId="169" fontId="5" fillId="2" borderId="32" xfId="0" applyNumberFormat="1" applyFont="1" applyFill="1" applyBorder="1" applyAlignment="1">
      <alignment horizontal="right" vertical="center" wrapText="1"/>
    </xf>
    <xf numFmtId="14" fontId="5" fillId="2" borderId="101" xfId="0" applyNumberFormat="1" applyFont="1" applyFill="1" applyBorder="1" applyAlignment="1">
      <alignment horizontal="center" vertical="center" wrapText="1"/>
    </xf>
    <xf numFmtId="169" fontId="5" fillId="2" borderId="103" xfId="0" applyNumberFormat="1" applyFont="1" applyFill="1" applyBorder="1" applyAlignment="1">
      <alignment horizontal="right" vertical="center" wrapText="1"/>
    </xf>
    <xf numFmtId="14" fontId="5" fillId="2" borderId="12" xfId="0" applyNumberFormat="1" applyFont="1" applyFill="1" applyBorder="1" applyAlignment="1">
      <alignment horizontal="center"/>
    </xf>
    <xf numFmtId="169" fontId="5" fillId="2" borderId="14" xfId="0" applyNumberFormat="1" applyFont="1" applyFill="1" applyBorder="1" applyAlignment="1">
      <alignment horizontal="right" vertical="center" wrapText="1"/>
    </xf>
    <xf numFmtId="1" fontId="3" fillId="2" borderId="40" xfId="0" applyNumberFormat="1" applyFont="1" applyFill="1" applyBorder="1" applyAlignment="1">
      <alignment horizontal="center" vertical="center"/>
    </xf>
    <xf numFmtId="1" fontId="10" fillId="2" borderId="18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30" borderId="37" xfId="0" applyFont="1" applyFill="1" applyBorder="1"/>
    <xf numFmtId="0" fontId="17" fillId="5" borderId="12" xfId="0" applyFont="1" applyFill="1" applyBorder="1" applyAlignment="1">
      <alignment horizontal="center" wrapText="1"/>
    </xf>
    <xf numFmtId="0" fontId="10" fillId="5" borderId="13" xfId="0" applyFont="1" applyFill="1" applyBorder="1" applyAlignment="1">
      <alignment horizontal="center" wrapText="1"/>
    </xf>
    <xf numFmtId="14" fontId="10" fillId="5" borderId="13" xfId="0" applyNumberFormat="1" applyFont="1" applyFill="1" applyBorder="1" applyAlignment="1">
      <alignment horizontal="center" wrapText="1"/>
    </xf>
    <xf numFmtId="2" fontId="18" fillId="5" borderId="14" xfId="0" applyNumberFormat="1" applyFont="1" applyFill="1" applyBorder="1" applyAlignment="1">
      <alignment horizontal="right" wrapText="1"/>
    </xf>
    <xf numFmtId="8" fontId="5" fillId="0" borderId="31" xfId="0" applyNumberFormat="1" applyFont="1" applyBorder="1" applyAlignment="1">
      <alignment horizontal="right" vertical="center" wrapText="1"/>
    </xf>
    <xf numFmtId="169" fontId="5" fillId="0" borderId="14" xfId="0" applyNumberFormat="1" applyFont="1" applyBorder="1" applyAlignment="1">
      <alignment horizontal="right"/>
    </xf>
    <xf numFmtId="0" fontId="29" fillId="29" borderId="17" xfId="0" applyFont="1" applyFill="1" applyBorder="1" applyAlignment="1">
      <alignment horizontal="center" wrapText="1"/>
    </xf>
    <xf numFmtId="0" fontId="30" fillId="29" borderId="18" xfId="0" applyFont="1" applyFill="1" applyBorder="1" applyAlignment="1">
      <alignment horizontal="center" wrapText="1"/>
    </xf>
    <xf numFmtId="14" fontId="30" fillId="29" borderId="18" xfId="0" applyNumberFormat="1" applyFont="1" applyFill="1" applyBorder="1" applyAlignment="1">
      <alignment horizontal="center" wrapText="1"/>
    </xf>
    <xf numFmtId="2" fontId="31" fillId="29" borderId="32" xfId="0" applyNumberFormat="1" applyFont="1" applyFill="1" applyBorder="1" applyAlignment="1">
      <alignment horizontal="right" wrapText="1"/>
    </xf>
    <xf numFmtId="0" fontId="31" fillId="29" borderId="17" xfId="0" applyFont="1" applyFill="1" applyBorder="1" applyAlignment="1">
      <alignment horizontal="center" wrapText="1"/>
    </xf>
    <xf numFmtId="0" fontId="18" fillId="5" borderId="12" xfId="0" applyFont="1" applyFill="1" applyBorder="1" applyAlignment="1">
      <alignment horizontal="center" wrapText="1"/>
    </xf>
    <xf numFmtId="8" fontId="5" fillId="0" borderId="31" xfId="0" applyNumberFormat="1" applyFont="1" applyBorder="1" applyAlignment="1">
      <alignment horizontal="right" wrapText="1"/>
    </xf>
    <xf numFmtId="14" fontId="5" fillId="0" borderId="107" xfId="0" applyNumberFormat="1" applyFont="1" applyBorder="1" applyAlignment="1">
      <alignment horizontal="center" wrapText="1"/>
    </xf>
    <xf numFmtId="169" fontId="5" fillId="0" borderId="108" xfId="0" applyNumberFormat="1" applyFont="1" applyBorder="1" applyAlignment="1">
      <alignment horizontal="right" wrapText="1"/>
    </xf>
    <xf numFmtId="8" fontId="5" fillId="0" borderId="108" xfId="0" applyNumberFormat="1" applyFont="1" applyBorder="1" applyAlignment="1">
      <alignment horizontal="right" wrapText="1"/>
    </xf>
    <xf numFmtId="169" fontId="5" fillId="0" borderId="14" xfId="0" applyNumberFormat="1" applyFont="1" applyBorder="1" applyAlignment="1">
      <alignment horizontal="center"/>
    </xf>
    <xf numFmtId="0" fontId="20" fillId="30" borderId="37" xfId="0" applyFont="1" applyFill="1" applyBorder="1"/>
    <xf numFmtId="14" fontId="5" fillId="0" borderId="17" xfId="0" applyNumberFormat="1" applyFont="1" applyBorder="1" applyAlignment="1">
      <alignment horizontal="center"/>
    </xf>
    <xf numFmtId="169" fontId="5" fillId="0" borderId="32" xfId="0" applyNumberFormat="1" applyFont="1" applyBorder="1" applyAlignment="1">
      <alignment horizontal="center"/>
    </xf>
    <xf numFmtId="166" fontId="5" fillId="0" borderId="32" xfId="0" applyNumberFormat="1" applyFont="1" applyBorder="1" applyAlignment="1">
      <alignment horizontal="center"/>
    </xf>
    <xf numFmtId="0" fontId="17" fillId="0" borderId="12" xfId="0" applyFont="1" applyBorder="1" applyAlignment="1">
      <alignment horizontal="center" wrapText="1"/>
    </xf>
    <xf numFmtId="0" fontId="18" fillId="13" borderId="17" xfId="0" applyFont="1" applyFill="1" applyBorder="1" applyAlignment="1">
      <alignment horizontal="center" wrapText="1"/>
    </xf>
    <xf numFmtId="169" fontId="5" fillId="0" borderId="32" xfId="0" applyNumberFormat="1" applyFont="1" applyBorder="1" applyAlignment="1">
      <alignment horizontal="right" vertical="center" wrapText="1"/>
    </xf>
    <xf numFmtId="3" fontId="24" fillId="24" borderId="109" xfId="0" applyNumberFormat="1" applyFont="1" applyFill="1" applyBorder="1" applyAlignment="1">
      <alignment horizontal="center" vertical="center"/>
    </xf>
    <xf numFmtId="8" fontId="5" fillId="0" borderId="32" xfId="0" applyNumberFormat="1" applyFont="1" applyBorder="1" applyAlignment="1">
      <alignment horizontal="right" vertical="center" wrapText="1"/>
    </xf>
    <xf numFmtId="169" fontId="10" fillId="27" borderId="73" xfId="0" applyNumberFormat="1" applyFont="1" applyFill="1" applyBorder="1" applyAlignment="1">
      <alignment horizontal="center" vertical="center"/>
    </xf>
    <xf numFmtId="169" fontId="10" fillId="23" borderId="74" xfId="0" applyNumberFormat="1" applyFont="1" applyFill="1" applyBorder="1" applyAlignment="1">
      <alignment horizontal="center"/>
    </xf>
    <xf numFmtId="3" fontId="11" fillId="24" borderId="109" xfId="0" applyNumberFormat="1" applyFont="1" applyFill="1" applyBorder="1" applyAlignment="1">
      <alignment horizontal="center" vertical="center"/>
    </xf>
    <xf numFmtId="1" fontId="3" fillId="2" borderId="49" xfId="0" applyNumberFormat="1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/>
    </xf>
    <xf numFmtId="169" fontId="8" fillId="0" borderId="32" xfId="0" applyNumberFormat="1" applyFont="1" applyBorder="1"/>
    <xf numFmtId="0" fontId="12" fillId="27" borderId="18" xfId="0" applyFont="1" applyFill="1" applyBorder="1" applyAlignment="1">
      <alignment horizontal="center" vertical="center"/>
    </xf>
    <xf numFmtId="0" fontId="17" fillId="32" borderId="17" xfId="0" applyFont="1" applyFill="1" applyBorder="1" applyAlignment="1">
      <alignment horizontal="center" wrapText="1"/>
    </xf>
    <xf numFmtId="0" fontId="10" fillId="32" borderId="18" xfId="0" applyFont="1" applyFill="1" applyBorder="1" applyAlignment="1">
      <alignment horizontal="center" wrapText="1"/>
    </xf>
    <xf numFmtId="14" fontId="10" fillId="32" borderId="18" xfId="0" applyNumberFormat="1" applyFont="1" applyFill="1" applyBorder="1" applyAlignment="1">
      <alignment horizontal="center" wrapText="1"/>
    </xf>
    <xf numFmtId="2" fontId="18" fillId="32" borderId="32" xfId="0" applyNumberFormat="1" applyFont="1" applyFill="1" applyBorder="1" applyAlignment="1">
      <alignment horizontal="right" wrapText="1"/>
    </xf>
    <xf numFmtId="0" fontId="17" fillId="32" borderId="12" xfId="0" applyFont="1" applyFill="1" applyBorder="1" applyAlignment="1">
      <alignment horizontal="center" wrapText="1"/>
    </xf>
    <xf numFmtId="0" fontId="10" fillId="32" borderId="13" xfId="0" applyFont="1" applyFill="1" applyBorder="1" applyAlignment="1">
      <alignment horizontal="center" wrapText="1"/>
    </xf>
    <xf numFmtId="14" fontId="10" fillId="32" borderId="13" xfId="0" applyNumberFormat="1" applyFont="1" applyFill="1" applyBorder="1" applyAlignment="1">
      <alignment horizontal="center" wrapText="1"/>
    </xf>
    <xf numFmtId="2" fontId="18" fillId="32" borderId="14" xfId="0" applyNumberFormat="1" applyFont="1" applyFill="1" applyBorder="1" applyAlignment="1">
      <alignment horizontal="right" wrapText="1"/>
    </xf>
    <xf numFmtId="164" fontId="5" fillId="0" borderId="31" xfId="0" applyNumberFormat="1" applyFont="1" applyBorder="1" applyAlignment="1">
      <alignment horizontal="right" wrapText="1"/>
    </xf>
    <xf numFmtId="164" fontId="5" fillId="0" borderId="108" xfId="0" applyNumberFormat="1" applyFont="1" applyBorder="1" applyAlignment="1">
      <alignment horizontal="right" wrapText="1"/>
    </xf>
    <xf numFmtId="0" fontId="5" fillId="0" borderId="110" xfId="0" applyFont="1" applyBorder="1" applyAlignment="1">
      <alignment horizontal="center" wrapText="1"/>
    </xf>
    <xf numFmtId="0" fontId="5" fillId="0" borderId="111" xfId="0" applyFont="1" applyBorder="1" applyAlignment="1">
      <alignment horizontal="center" wrapText="1"/>
    </xf>
    <xf numFmtId="164" fontId="11" fillId="11" borderId="113" xfId="0" applyNumberFormat="1" applyFont="1" applyFill="1" applyBorder="1" applyAlignment="1">
      <alignment vertical="center"/>
    </xf>
    <xf numFmtId="2" fontId="18" fillId="14" borderId="114" xfId="0" applyNumberFormat="1" applyFont="1" applyFill="1" applyBorder="1" applyAlignment="1">
      <alignment horizontal="right" wrapText="1"/>
    </xf>
    <xf numFmtId="2" fontId="18" fillId="14" borderId="115" xfId="0" applyNumberFormat="1" applyFont="1" applyFill="1" applyBorder="1" applyAlignment="1">
      <alignment horizontal="right" wrapText="1"/>
    </xf>
    <xf numFmtId="2" fontId="18" fillId="29" borderId="115" xfId="0" applyNumberFormat="1" applyFont="1" applyFill="1" applyBorder="1" applyAlignment="1">
      <alignment horizontal="right" wrapText="1"/>
    </xf>
    <xf numFmtId="2" fontId="18" fillId="13" borderId="115" xfId="0" applyNumberFormat="1" applyFont="1" applyFill="1" applyBorder="1" applyAlignment="1">
      <alignment horizontal="right" wrapText="1"/>
    </xf>
    <xf numFmtId="2" fontId="18" fillId="5" borderId="115" xfId="0" applyNumberFormat="1" applyFont="1" applyFill="1" applyBorder="1" applyAlignment="1">
      <alignment horizontal="right" wrapText="1"/>
    </xf>
    <xf numFmtId="2" fontId="18" fillId="14" borderId="116" xfId="0" applyNumberFormat="1" applyFont="1" applyFill="1" applyBorder="1" applyAlignment="1">
      <alignment horizontal="right" wrapText="1"/>
    </xf>
    <xf numFmtId="169" fontId="5" fillId="0" borderId="14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29" borderId="17" xfId="0" applyFont="1" applyFill="1" applyBorder="1" applyAlignment="1">
      <alignment wrapText="1"/>
    </xf>
    <xf numFmtId="14" fontId="5" fillId="2" borderId="15" xfId="0" applyNumberFormat="1" applyFont="1" applyFill="1" applyBorder="1" applyAlignment="1">
      <alignment horizontal="center" vertical="center" wrapText="1"/>
    </xf>
    <xf numFmtId="169" fontId="5" fillId="2" borderId="31" xfId="0" applyNumberFormat="1" applyFont="1" applyFill="1" applyBorder="1" applyAlignment="1">
      <alignment horizontal="right" vertical="center" wrapText="1"/>
    </xf>
    <xf numFmtId="0" fontId="34" fillId="0" borderId="0" xfId="0" applyFont="1"/>
    <xf numFmtId="16" fontId="5" fillId="0" borderId="12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69" fontId="5" fillId="0" borderId="32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vertical="center" wrapText="1"/>
    </xf>
    <xf numFmtId="169" fontId="5" fillId="0" borderId="14" xfId="0" applyNumberFormat="1" applyFont="1" applyBorder="1" applyAlignment="1">
      <alignment horizontal="right" vertical="center" wrapText="1"/>
    </xf>
    <xf numFmtId="0" fontId="10" fillId="27" borderId="18" xfId="0" applyFont="1" applyFill="1" applyBorder="1"/>
    <xf numFmtId="167" fontId="5" fillId="0" borderId="12" xfId="0" applyNumberFormat="1" applyFont="1" applyBorder="1" applyAlignment="1">
      <alignment horizontal="center"/>
    </xf>
    <xf numFmtId="0" fontId="20" fillId="0" borderId="0" xfId="0" applyFont="1" applyAlignment="1">
      <alignment wrapText="1"/>
    </xf>
    <xf numFmtId="0" fontId="34" fillId="30" borderId="37" xfId="0" applyFont="1" applyFill="1" applyBorder="1"/>
    <xf numFmtId="14" fontId="10" fillId="0" borderId="15" xfId="0" applyNumberFormat="1" applyFont="1" applyBorder="1" applyAlignment="1">
      <alignment horizontal="center" wrapText="1"/>
    </xf>
    <xf numFmtId="8" fontId="10" fillId="0" borderId="31" xfId="0" applyNumberFormat="1" applyFont="1" applyBorder="1" applyAlignment="1">
      <alignment horizontal="right" wrapText="1"/>
    </xf>
    <xf numFmtId="0" fontId="12" fillId="27" borderId="16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5" fillId="14" borderId="15" xfId="0" applyFont="1" applyFill="1" applyBorder="1" applyAlignment="1">
      <alignment wrapText="1"/>
    </xf>
    <xf numFmtId="0" fontId="5" fillId="14" borderId="17" xfId="0" applyFont="1" applyFill="1" applyBorder="1" applyAlignment="1">
      <alignment wrapText="1"/>
    </xf>
    <xf numFmtId="0" fontId="5" fillId="13" borderId="17" xfId="0" applyFont="1" applyFill="1" applyBorder="1" applyAlignment="1">
      <alignment wrapText="1"/>
    </xf>
    <xf numFmtId="0" fontId="5" fillId="14" borderId="12" xfId="0" applyFont="1" applyFill="1" applyBorder="1" applyAlignment="1">
      <alignment wrapText="1"/>
    </xf>
    <xf numFmtId="14" fontId="15" fillId="0" borderId="17" xfId="0" applyNumberFormat="1" applyFont="1" applyBorder="1" applyAlignment="1">
      <alignment horizontal="center" vertical="center" wrapText="1"/>
    </xf>
    <xf numFmtId="8" fontId="15" fillId="0" borderId="32" xfId="0" applyNumberFormat="1" applyFont="1" applyBorder="1" applyAlignment="1">
      <alignment horizontal="right" vertical="center" wrapText="1"/>
    </xf>
    <xf numFmtId="0" fontId="17" fillId="5" borderId="15" xfId="0" applyFont="1" applyFill="1" applyBorder="1" applyAlignment="1">
      <alignment horizontal="center" wrapText="1"/>
    </xf>
    <xf numFmtId="0" fontId="10" fillId="5" borderId="16" xfId="0" applyFont="1" applyFill="1" applyBorder="1" applyAlignment="1">
      <alignment horizontal="center" wrapText="1"/>
    </xf>
    <xf numFmtId="0" fontId="10" fillId="29" borderId="37" xfId="0" applyFont="1" applyFill="1" applyBorder="1" applyAlignment="1">
      <alignment horizontal="center"/>
    </xf>
    <xf numFmtId="0" fontId="10" fillId="20" borderId="74" xfId="0" applyFont="1" applyFill="1" applyBorder="1" applyAlignment="1">
      <alignment horizontal="center"/>
    </xf>
    <xf numFmtId="164" fontId="5" fillId="0" borderId="18" xfId="0" applyNumberFormat="1" applyFont="1" applyBorder="1" applyAlignment="1">
      <alignment horizontal="left" vertical="top"/>
    </xf>
    <xf numFmtId="164" fontId="10" fillId="0" borderId="18" xfId="0" applyNumberFormat="1" applyFont="1" applyBorder="1"/>
    <xf numFmtId="164" fontId="5" fillId="0" borderId="37" xfId="0" applyNumberFormat="1" applyFont="1" applyBorder="1"/>
    <xf numFmtId="164" fontId="5" fillId="0" borderId="15" xfId="0" applyNumberFormat="1" applyFont="1" applyBorder="1"/>
    <xf numFmtId="169" fontId="8" fillId="0" borderId="16" xfId="0" applyNumberFormat="1" applyFont="1" applyBorder="1"/>
    <xf numFmtId="169" fontId="5" fillId="0" borderId="31" xfId="0" applyNumberFormat="1" applyFont="1" applyBorder="1"/>
    <xf numFmtId="164" fontId="5" fillId="0" borderId="17" xfId="0" applyNumberFormat="1" applyFont="1" applyBorder="1"/>
    <xf numFmtId="169" fontId="8" fillId="0" borderId="18" xfId="0" applyNumberFormat="1" applyFont="1" applyBorder="1"/>
    <xf numFmtId="169" fontId="5" fillId="0" borderId="32" xfId="0" applyNumberFormat="1" applyFont="1" applyBorder="1"/>
    <xf numFmtId="164" fontId="5" fillId="0" borderId="9" xfId="0" applyNumberFormat="1" applyFont="1" applyBorder="1"/>
    <xf numFmtId="169" fontId="5" fillId="0" borderId="18" xfId="0" applyNumberFormat="1" applyFont="1" applyBorder="1"/>
    <xf numFmtId="164" fontId="5" fillId="0" borderId="18" xfId="0" applyNumberFormat="1" applyFont="1" applyBorder="1" applyAlignment="1">
      <alignment horizontal="left" vertical="top"/>
    </xf>
    <xf numFmtId="164" fontId="10" fillId="0" borderId="18" xfId="0" applyNumberFormat="1" applyFont="1" applyBorder="1"/>
    <xf numFmtId="164" fontId="8" fillId="0" borderId="18" xfId="0" applyNumberFormat="1" applyFont="1" applyBorder="1" applyAlignment="1">
      <alignment horizontal="left" vertical="top"/>
    </xf>
    <xf numFmtId="164" fontId="30" fillId="0" borderId="18" xfId="0" applyNumberFormat="1" applyFont="1" applyBorder="1"/>
    <xf numFmtId="164" fontId="10" fillId="0" borderId="0" xfId="0" applyNumberFormat="1" applyFont="1"/>
    <xf numFmtId="169" fontId="5" fillId="0" borderId="13" xfId="0" applyNumberFormat="1" applyFont="1" applyBorder="1"/>
    <xf numFmtId="169" fontId="5" fillId="0" borderId="14" xfId="0" applyNumberFormat="1" applyFont="1" applyBorder="1"/>
    <xf numFmtId="0" fontId="10" fillId="25" borderId="18" xfId="0" applyFont="1" applyFill="1" applyBorder="1"/>
    <xf numFmtId="164" fontId="10" fillId="25" borderId="18" xfId="0" applyNumberFormat="1" applyFont="1" applyFill="1" applyBorder="1"/>
    <xf numFmtId="164" fontId="10" fillId="25" borderId="51" xfId="0" applyNumberFormat="1" applyFont="1" applyFill="1" applyBorder="1"/>
    <xf numFmtId="0" fontId="10" fillId="20" borderId="119" xfId="0" applyFont="1" applyFill="1" applyBorder="1" applyAlignment="1">
      <alignment horizontal="center"/>
    </xf>
    <xf numFmtId="0" fontId="10" fillId="20" borderId="120" xfId="0" applyFont="1" applyFill="1" applyBorder="1" applyAlignment="1">
      <alignment horizontal="center"/>
    </xf>
    <xf numFmtId="0" fontId="10" fillId="20" borderId="83" xfId="0" applyFont="1" applyFill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169" fontId="5" fillId="0" borderId="78" xfId="0" applyNumberFormat="1" applyFont="1" applyBorder="1"/>
    <xf numFmtId="164" fontId="5" fillId="0" borderId="18" xfId="0" applyNumberFormat="1" applyFont="1" applyBorder="1" applyAlignment="1">
      <alignment horizontal="center"/>
    </xf>
    <xf numFmtId="169" fontId="5" fillId="0" borderId="79" xfId="0" applyNumberFormat="1" applyFont="1" applyBorder="1"/>
    <xf numFmtId="169" fontId="5" fillId="0" borderId="17" xfId="0" applyNumberFormat="1" applyFont="1" applyBorder="1"/>
    <xf numFmtId="169" fontId="5" fillId="0" borderId="12" xfId="0" applyNumberFormat="1" applyFont="1" applyBorder="1"/>
    <xf numFmtId="164" fontId="5" fillId="0" borderId="13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9" xfId="0" applyFont="1" applyBorder="1" applyAlignment="1">
      <alignment horizontal="right" vertical="center"/>
    </xf>
    <xf numFmtId="0" fontId="2" fillId="0" borderId="20" xfId="0" applyFont="1" applyBorder="1"/>
    <xf numFmtId="0" fontId="2" fillId="0" borderId="21" xfId="0" applyFont="1" applyBorder="1"/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3" fillId="2" borderId="7" xfId="0" applyFont="1" applyFill="1" applyBorder="1" applyAlignment="1">
      <alignment horizontal="center" vertical="center"/>
    </xf>
    <xf numFmtId="0" fontId="5" fillId="14" borderId="33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11" fillId="21" borderId="24" xfId="0" applyFont="1" applyFill="1" applyBorder="1" applyAlignment="1">
      <alignment horizontal="center" wrapText="1"/>
    </xf>
    <xf numFmtId="0" fontId="2" fillId="0" borderId="26" xfId="0" applyFont="1" applyBorder="1"/>
    <xf numFmtId="0" fontId="2" fillId="0" borderId="25" xfId="0" applyFont="1" applyBorder="1"/>
    <xf numFmtId="0" fontId="10" fillId="13" borderId="28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5" fillId="13" borderId="28" xfId="0" applyFont="1" applyFill="1" applyBorder="1" applyAlignment="1">
      <alignment horizontal="center" vertical="center" wrapText="1"/>
    </xf>
    <xf numFmtId="0" fontId="11" fillId="14" borderId="24" xfId="0" applyFont="1" applyFill="1" applyBorder="1" applyAlignment="1">
      <alignment horizontal="center" wrapText="1"/>
    </xf>
    <xf numFmtId="0" fontId="11" fillId="15" borderId="28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3" fillId="12" borderId="24" xfId="0" applyFont="1" applyFill="1" applyBorder="1" applyAlignment="1">
      <alignment horizontal="center" wrapText="1"/>
    </xf>
    <xf numFmtId="0" fontId="9" fillId="12" borderId="24" xfId="0" applyFont="1" applyFill="1" applyBorder="1" applyAlignment="1">
      <alignment horizontal="center" wrapText="1"/>
    </xf>
    <xf numFmtId="0" fontId="10" fillId="27" borderId="10" xfId="0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0" fontId="10" fillId="20" borderId="55" xfId="0" applyFont="1" applyFill="1" applyBorder="1" applyAlignment="1">
      <alignment horizontal="center"/>
    </xf>
    <xf numFmtId="0" fontId="2" fillId="0" borderId="56" xfId="0" applyFont="1" applyBorder="1"/>
    <xf numFmtId="164" fontId="11" fillId="0" borderId="59" xfId="0" applyNumberFormat="1" applyFont="1" applyBorder="1" applyAlignment="1">
      <alignment horizontal="center"/>
    </xf>
    <xf numFmtId="0" fontId="2" fillId="0" borderId="60" xfId="0" applyFont="1" applyBorder="1"/>
    <xf numFmtId="0" fontId="11" fillId="23" borderId="24" xfId="0" applyFont="1" applyFill="1" applyBorder="1" applyAlignment="1">
      <alignment horizontal="center" vertical="center"/>
    </xf>
    <xf numFmtId="0" fontId="2" fillId="0" borderId="39" xfId="0" applyFont="1" applyBorder="1"/>
    <xf numFmtId="0" fontId="10" fillId="2" borderId="41" xfId="0" applyFont="1" applyFill="1" applyBorder="1" applyAlignment="1">
      <alignment horizontal="center" vertical="center"/>
    </xf>
    <xf numFmtId="0" fontId="2" fillId="0" borderId="42" xfId="0" applyFont="1" applyBorder="1"/>
    <xf numFmtId="0" fontId="10" fillId="5" borderId="41" xfId="0" applyFont="1" applyFill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2" fillId="0" borderId="58" xfId="0" applyFont="1" applyBorder="1"/>
    <xf numFmtId="0" fontId="10" fillId="28" borderId="62" xfId="0" applyFont="1" applyFill="1" applyBorder="1" applyAlignment="1">
      <alignment horizontal="center" vertical="center" wrapText="1"/>
    </xf>
    <xf numFmtId="0" fontId="2" fillId="0" borderId="63" xfId="0" applyFont="1" applyBorder="1"/>
    <xf numFmtId="0" fontId="19" fillId="5" borderId="66" xfId="0" applyFont="1" applyFill="1" applyBorder="1" applyAlignment="1">
      <alignment horizontal="center"/>
    </xf>
    <xf numFmtId="0" fontId="2" fillId="0" borderId="67" xfId="0" applyFont="1" applyBorder="1"/>
    <xf numFmtId="0" fontId="19" fillId="0" borderId="10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" fillId="0" borderId="35" xfId="0" applyFont="1" applyBorder="1"/>
    <xf numFmtId="0" fontId="0" fillId="0" borderId="0" xfId="0" applyFont="1" applyAlignment="1"/>
    <xf numFmtId="0" fontId="2" fillId="0" borderId="36" xfId="0" applyFont="1" applyBorder="1"/>
    <xf numFmtId="0" fontId="2" fillId="0" borderId="19" xfId="0" applyFont="1" applyBorder="1"/>
    <xf numFmtId="0" fontId="2" fillId="0" borderId="38" xfId="0" applyFont="1" applyBorder="1"/>
    <xf numFmtId="0" fontId="11" fillId="22" borderId="24" xfId="0" applyFont="1" applyFill="1" applyBorder="1" applyAlignment="1">
      <alignment horizontal="center" vertical="center"/>
    </xf>
    <xf numFmtId="0" fontId="11" fillId="24" borderId="43" xfId="0" applyFont="1" applyFill="1" applyBorder="1" applyAlignment="1">
      <alignment horizontal="left" vertical="center"/>
    </xf>
    <xf numFmtId="0" fontId="2" fillId="0" borderId="44" xfId="0" applyFont="1" applyBorder="1"/>
    <xf numFmtId="0" fontId="2" fillId="0" borderId="45" xfId="0" applyFont="1" applyBorder="1"/>
    <xf numFmtId="0" fontId="11" fillId="25" borderId="47" xfId="0" applyFont="1" applyFill="1" applyBorder="1" applyAlignment="1">
      <alignment horizontal="left" vertical="center"/>
    </xf>
    <xf numFmtId="0" fontId="2" fillId="0" borderId="48" xfId="0" applyFont="1" applyBorder="1"/>
    <xf numFmtId="0" fontId="10" fillId="27" borderId="54" xfId="0" applyFont="1" applyFill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0" fontId="12" fillId="27" borderId="10" xfId="0" applyFont="1" applyFill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wrapText="1"/>
    </xf>
    <xf numFmtId="0" fontId="5" fillId="29" borderId="10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0" fontId="5" fillId="0" borderId="10" xfId="0" applyFont="1" applyBorder="1" applyAlignment="1">
      <alignment wrapText="1"/>
    </xf>
    <xf numFmtId="0" fontId="19" fillId="29" borderId="10" xfId="0" applyFont="1" applyFill="1" applyBorder="1" applyAlignment="1">
      <alignment horizontal="center"/>
    </xf>
    <xf numFmtId="0" fontId="5" fillId="5" borderId="66" xfId="0" applyFont="1" applyFill="1" applyBorder="1" applyAlignment="1">
      <alignment wrapText="1"/>
    </xf>
    <xf numFmtId="167" fontId="5" fillId="0" borderId="57" xfId="0" applyNumberFormat="1" applyFont="1" applyBorder="1" applyAlignment="1">
      <alignment horizontal="center"/>
    </xf>
    <xf numFmtId="0" fontId="5" fillId="0" borderId="55" xfId="0" applyFont="1" applyBorder="1" applyAlignment="1">
      <alignment horizontal="center" vertical="center"/>
    </xf>
    <xf numFmtId="0" fontId="2" fillId="0" borderId="76" xfId="0" applyFont="1" applyBorder="1"/>
    <xf numFmtId="0" fontId="5" fillId="0" borderId="10" xfId="0" applyFont="1" applyBorder="1" applyAlignment="1">
      <alignment horizontal="center" vertical="center"/>
    </xf>
    <xf numFmtId="0" fontId="19" fillId="5" borderId="10" xfId="0" applyFont="1" applyFill="1" applyBorder="1" applyAlignment="1">
      <alignment horizontal="center"/>
    </xf>
    <xf numFmtId="0" fontId="18" fillId="0" borderId="69" xfId="0" applyFont="1" applyBorder="1" applyAlignment="1">
      <alignment horizontal="center" wrapText="1"/>
    </xf>
    <xf numFmtId="0" fontId="2" fillId="0" borderId="70" xfId="0" applyFont="1" applyBorder="1"/>
    <xf numFmtId="14" fontId="10" fillId="27" borderId="71" xfId="0" applyNumberFormat="1" applyFont="1" applyFill="1" applyBorder="1" applyAlignment="1">
      <alignment horizontal="center"/>
    </xf>
    <xf numFmtId="0" fontId="2" fillId="0" borderId="82" xfId="0" applyFont="1" applyBorder="1"/>
    <xf numFmtId="0" fontId="2" fillId="0" borderId="72" xfId="0" applyFont="1" applyBorder="1"/>
    <xf numFmtId="0" fontId="10" fillId="26" borderId="71" xfId="0" applyFont="1" applyFill="1" applyBorder="1" applyAlignment="1">
      <alignment horizontal="center"/>
    </xf>
    <xf numFmtId="0" fontId="10" fillId="23" borderId="24" xfId="0" applyFont="1" applyFill="1" applyBorder="1" applyAlignment="1">
      <alignment horizontal="right"/>
    </xf>
    <xf numFmtId="0" fontId="5" fillId="0" borderId="10" xfId="0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168" fontId="5" fillId="29" borderId="24" xfId="0" applyNumberFormat="1" applyFont="1" applyFill="1" applyBorder="1" applyAlignment="1">
      <alignment horizontal="center" vertical="center"/>
    </xf>
    <xf numFmtId="0" fontId="10" fillId="26" borderId="24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/>
    </xf>
    <xf numFmtId="0" fontId="10" fillId="27" borderId="24" xfId="0" applyFont="1" applyFill="1" applyBorder="1" applyAlignment="1">
      <alignment horizontal="center" vertical="center"/>
    </xf>
    <xf numFmtId="0" fontId="2" fillId="0" borderId="80" xfId="0" applyFont="1" applyBorder="1"/>
    <xf numFmtId="0" fontId="5" fillId="29" borderId="24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0" fillId="20" borderId="86" xfId="0" applyNumberFormat="1" applyFont="1" applyFill="1" applyBorder="1" applyAlignment="1">
      <alignment horizontal="right"/>
    </xf>
    <xf numFmtId="0" fontId="11" fillId="22" borderId="43" xfId="0" applyFont="1" applyFill="1" applyBorder="1" applyAlignment="1">
      <alignment horizontal="center" vertical="center"/>
    </xf>
    <xf numFmtId="0" fontId="11" fillId="11" borderId="66" xfId="0" applyFont="1" applyFill="1" applyBorder="1" applyAlignment="1">
      <alignment horizontal="center" vertical="center"/>
    </xf>
    <xf numFmtId="0" fontId="11" fillId="24" borderId="10" xfId="0" applyFont="1" applyFill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/>
    </xf>
    <xf numFmtId="0" fontId="10" fillId="27" borderId="7" xfId="0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right"/>
    </xf>
    <xf numFmtId="0" fontId="19" fillId="27" borderId="10" xfId="0" applyFont="1" applyFill="1" applyBorder="1" applyAlignment="1">
      <alignment horizontal="center"/>
    </xf>
    <xf numFmtId="0" fontId="10" fillId="20" borderId="24" xfId="0" applyFont="1" applyFill="1" applyBorder="1" applyAlignment="1">
      <alignment horizontal="right"/>
    </xf>
    <xf numFmtId="0" fontId="18" fillId="14" borderId="10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5" fillId="13" borderId="10" xfId="0" applyFont="1" applyFill="1" applyBorder="1" applyAlignment="1">
      <alignment wrapText="1"/>
    </xf>
    <xf numFmtId="2" fontId="8" fillId="0" borderId="10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66" xfId="0" applyFont="1" applyBorder="1" applyAlignment="1">
      <alignment horizontal="center" wrapText="1"/>
    </xf>
    <xf numFmtId="0" fontId="5" fillId="0" borderId="69" xfId="0" applyFont="1" applyBorder="1" applyAlignment="1">
      <alignment horizontal="center" wrapText="1"/>
    </xf>
    <xf numFmtId="0" fontId="18" fillId="14" borderId="69" xfId="0" applyFont="1" applyFill="1" applyBorder="1" applyAlignment="1">
      <alignment horizontal="center" wrapText="1"/>
    </xf>
    <xf numFmtId="9" fontId="18" fillId="0" borderId="69" xfId="0" applyNumberFormat="1" applyFont="1" applyBorder="1" applyAlignment="1">
      <alignment horizontal="center" vertical="center" wrapText="1"/>
    </xf>
    <xf numFmtId="0" fontId="2" fillId="0" borderId="84" xfId="0" applyFont="1" applyBorder="1"/>
    <xf numFmtId="0" fontId="2" fillId="0" borderId="85" xfId="0" applyFont="1" applyBorder="1"/>
    <xf numFmtId="0" fontId="10" fillId="26" borderId="24" xfId="0" applyFont="1" applyFill="1" applyBorder="1" applyAlignment="1">
      <alignment horizontal="center"/>
    </xf>
    <xf numFmtId="14" fontId="10" fillId="27" borderId="96" xfId="0" applyNumberFormat="1" applyFont="1" applyFill="1" applyBorder="1" applyAlignment="1">
      <alignment horizontal="right"/>
    </xf>
    <xf numFmtId="0" fontId="10" fillId="28" borderId="89" xfId="0" applyFont="1" applyFill="1" applyBorder="1" applyAlignment="1">
      <alignment horizontal="center" vertical="center" wrapText="1"/>
    </xf>
    <xf numFmtId="0" fontId="2" fillId="0" borderId="90" xfId="0" applyFont="1" applyBorder="1"/>
    <xf numFmtId="0" fontId="18" fillId="14" borderId="66" xfId="0" applyFont="1" applyFill="1" applyBorder="1" applyAlignment="1">
      <alignment horizontal="center" wrapText="1"/>
    </xf>
    <xf numFmtId="0" fontId="10" fillId="27" borderId="24" xfId="0" applyFont="1" applyFill="1" applyBorder="1" applyAlignment="1">
      <alignment horizontal="right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99" xfId="0" applyNumberFormat="1" applyFont="1" applyBorder="1" applyAlignment="1">
      <alignment horizontal="center" vertical="center"/>
    </xf>
    <xf numFmtId="0" fontId="10" fillId="27" borderId="71" xfId="0" applyFont="1" applyFill="1" applyBorder="1" applyAlignment="1">
      <alignment horizontal="right" vertical="center"/>
    </xf>
    <xf numFmtId="0" fontId="2" fillId="0" borderId="94" xfId="0" applyFont="1" applyBorder="1"/>
    <xf numFmtId="0" fontId="10" fillId="26" borderId="47" xfId="0" applyFont="1" applyFill="1" applyBorder="1" applyAlignment="1">
      <alignment horizontal="center" vertical="center"/>
    </xf>
    <xf numFmtId="0" fontId="2" fillId="0" borderId="97" xfId="0" applyFont="1" applyBorder="1"/>
    <xf numFmtId="0" fontId="2" fillId="0" borderId="98" xfId="0" applyFont="1" applyBorder="1"/>
    <xf numFmtId="0" fontId="5" fillId="29" borderId="43" xfId="0" applyFont="1" applyFill="1" applyBorder="1" applyAlignment="1">
      <alignment horizontal="center" vertical="center"/>
    </xf>
    <xf numFmtId="0" fontId="24" fillId="24" borderId="86" xfId="0" applyFont="1" applyFill="1" applyBorder="1" applyAlignment="1">
      <alignment horizontal="center" vertical="center"/>
    </xf>
    <xf numFmtId="0" fontId="5" fillId="0" borderId="66" xfId="0" applyFont="1" applyBorder="1" applyAlignment="1">
      <alignment wrapText="1"/>
    </xf>
    <xf numFmtId="168" fontId="5" fillId="29" borderId="47" xfId="0" applyNumberFormat="1" applyFont="1" applyFill="1" applyBorder="1" applyAlignment="1">
      <alignment horizontal="center" vertical="center"/>
    </xf>
    <xf numFmtId="0" fontId="10" fillId="26" borderId="100" xfId="0" applyFont="1" applyFill="1" applyBorder="1" applyAlignment="1">
      <alignment horizontal="center" vertical="center"/>
    </xf>
    <xf numFmtId="0" fontId="5" fillId="29" borderId="4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left" vertical="center"/>
    </xf>
    <xf numFmtId="0" fontId="11" fillId="24" borderId="86" xfId="0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/>
    </xf>
    <xf numFmtId="167" fontId="5" fillId="0" borderId="69" xfId="0" applyNumberFormat="1" applyFont="1" applyBorder="1" applyAlignment="1">
      <alignment horizontal="center"/>
    </xf>
    <xf numFmtId="0" fontId="5" fillId="2" borderId="10" xfId="0" applyFont="1" applyFill="1" applyBorder="1" applyAlignment="1">
      <alignment horizontal="center" wrapText="1"/>
    </xf>
    <xf numFmtId="9" fontId="17" fillId="0" borderId="69" xfId="0" applyNumberFormat="1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14" fontId="10" fillId="27" borderId="99" xfId="0" applyNumberFormat="1" applyFont="1" applyFill="1" applyBorder="1" applyAlignment="1">
      <alignment horizontal="center"/>
    </xf>
    <xf numFmtId="0" fontId="5" fillId="0" borderId="69" xfId="0" applyFont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wrapText="1"/>
    </xf>
    <xf numFmtId="0" fontId="5" fillId="30" borderId="66" xfId="0" applyFont="1" applyFill="1" applyBorder="1" applyAlignment="1">
      <alignment horizontal="center" vertical="center" wrapText="1"/>
    </xf>
    <xf numFmtId="0" fontId="18" fillId="29" borderId="10" xfId="0" applyFont="1" applyFill="1" applyBorder="1" applyAlignment="1">
      <alignment horizontal="center" wrapText="1"/>
    </xf>
    <xf numFmtId="0" fontId="18" fillId="0" borderId="66" xfId="0" applyFont="1" applyBorder="1" applyAlignment="1">
      <alignment horizontal="center" wrapText="1"/>
    </xf>
    <xf numFmtId="0" fontId="10" fillId="27" borderId="66" xfId="0" applyFont="1" applyFill="1" applyBorder="1" applyAlignment="1">
      <alignment horizontal="center"/>
    </xf>
    <xf numFmtId="164" fontId="5" fillId="33" borderId="10" xfId="0" applyNumberFormat="1" applyFont="1" applyFill="1" applyBorder="1" applyAlignment="1">
      <alignment horizontal="center"/>
    </xf>
    <xf numFmtId="0" fontId="2" fillId="33" borderId="11" xfId="0" applyFont="1" applyFill="1" applyBorder="1"/>
    <xf numFmtId="1" fontId="10" fillId="2" borderId="10" xfId="0" applyNumberFormat="1" applyFont="1" applyFill="1" applyBorder="1" applyAlignment="1">
      <alignment horizontal="center"/>
    </xf>
    <xf numFmtId="169" fontId="5" fillId="0" borderId="7" xfId="0" applyNumberFormat="1" applyFont="1" applyBorder="1" applyAlignment="1">
      <alignment horizontal="center"/>
    </xf>
    <xf numFmtId="0" fontId="11" fillId="11" borderId="24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left" vertical="center"/>
    </xf>
    <xf numFmtId="0" fontId="10" fillId="27" borderId="43" xfId="0" applyFont="1" applyFill="1" applyBorder="1" applyAlignment="1">
      <alignment horizontal="center"/>
    </xf>
    <xf numFmtId="0" fontId="11" fillId="24" borderId="62" xfId="0" applyFont="1" applyFill="1" applyBorder="1" applyAlignment="1">
      <alignment horizontal="center" vertical="center"/>
    </xf>
    <xf numFmtId="164" fontId="5" fillId="33" borderId="10" xfId="0" applyNumberFormat="1" applyFont="1" applyFill="1" applyBorder="1" applyAlignment="1">
      <alignment horizontal="right"/>
    </xf>
    <xf numFmtId="0" fontId="2" fillId="33" borderId="9" xfId="0" applyFont="1" applyFill="1" applyBorder="1"/>
    <xf numFmtId="164" fontId="8" fillId="33" borderId="10" xfId="0" applyNumberFormat="1" applyFont="1" applyFill="1" applyBorder="1" applyAlignment="1">
      <alignment horizontal="center"/>
    </xf>
    <xf numFmtId="0" fontId="5" fillId="2" borderId="6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30" borderId="10" xfId="0" applyFont="1" applyFill="1" applyBorder="1" applyAlignment="1">
      <alignment horizontal="center" vertical="center" wrapText="1"/>
    </xf>
    <xf numFmtId="14" fontId="10" fillId="27" borderId="24" xfId="0" applyNumberFormat="1" applyFont="1" applyFill="1" applyBorder="1" applyAlignment="1">
      <alignment horizontal="right"/>
    </xf>
    <xf numFmtId="9" fontId="17" fillId="0" borderId="57" xfId="0" applyNumberFormat="1" applyFont="1" applyBorder="1" applyAlignment="1">
      <alignment horizontal="center" vertical="center" wrapText="1"/>
    </xf>
    <xf numFmtId="0" fontId="2" fillId="0" borderId="105" xfId="0" applyFont="1" applyBorder="1"/>
    <xf numFmtId="0" fontId="2" fillId="0" borderId="106" xfId="0" applyFont="1" applyBorder="1"/>
    <xf numFmtId="0" fontId="19" fillId="27" borderId="50" xfId="0" applyFont="1" applyFill="1" applyBorder="1" applyAlignment="1">
      <alignment horizontal="center" vertical="center" wrapText="1"/>
    </xf>
    <xf numFmtId="0" fontId="2" fillId="0" borderId="104" xfId="0" applyFont="1" applyBorder="1"/>
    <xf numFmtId="0" fontId="28" fillId="0" borderId="66" xfId="0" applyFont="1" applyBorder="1" applyAlignment="1">
      <alignment horizontal="center" vertical="center" wrapText="1"/>
    </xf>
    <xf numFmtId="0" fontId="5" fillId="5" borderId="69" xfId="0" applyFont="1" applyFill="1" applyBorder="1" applyAlignment="1">
      <alignment wrapText="1"/>
    </xf>
    <xf numFmtId="0" fontId="31" fillId="29" borderId="10" xfId="0" applyFont="1" applyFill="1" applyBorder="1" applyAlignment="1">
      <alignment horizontal="center" wrapText="1"/>
    </xf>
    <xf numFmtId="0" fontId="8" fillId="29" borderId="10" xfId="0" applyFont="1" applyFill="1" applyBorder="1" applyAlignment="1">
      <alignment wrapText="1"/>
    </xf>
    <xf numFmtId="0" fontId="5" fillId="0" borderId="69" xfId="0" applyFont="1" applyBorder="1" applyAlignment="1">
      <alignment wrapText="1"/>
    </xf>
    <xf numFmtId="167" fontId="5" fillId="0" borderId="99" xfId="0" applyNumberFormat="1" applyFont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32" fillId="0" borderId="1" xfId="0" applyFont="1" applyFill="1" applyBorder="1" applyAlignment="1">
      <alignment horizontal="right"/>
    </xf>
    <xf numFmtId="0" fontId="2" fillId="0" borderId="2" xfId="0" applyFont="1" applyFill="1" applyBorder="1"/>
    <xf numFmtId="0" fontId="2" fillId="0" borderId="3" xfId="0" applyFont="1" applyFill="1" applyBorder="1"/>
    <xf numFmtId="0" fontId="2" fillId="0" borderId="35" xfId="0" applyFont="1" applyFill="1" applyBorder="1"/>
    <xf numFmtId="0" fontId="0" fillId="0" borderId="0" xfId="0" applyFont="1" applyFill="1" applyAlignment="1"/>
    <xf numFmtId="0" fontId="2" fillId="0" borderId="36" xfId="0" applyFont="1" applyFill="1" applyBorder="1"/>
    <xf numFmtId="0" fontId="2" fillId="0" borderId="19" xfId="0" applyFont="1" applyFill="1" applyBorder="1"/>
    <xf numFmtId="0" fontId="2" fillId="0" borderId="20" xfId="0" applyFont="1" applyFill="1" applyBorder="1"/>
    <xf numFmtId="0" fontId="2" fillId="0" borderId="38" xfId="0" applyFont="1" applyFill="1" applyBorder="1"/>
    <xf numFmtId="0" fontId="33" fillId="0" borderId="1" xfId="0" applyFont="1" applyBorder="1" applyAlignment="1">
      <alignment horizontal="right" vertical="center"/>
    </xf>
    <xf numFmtId="0" fontId="24" fillId="24" borderId="62" xfId="0" applyFont="1" applyFill="1" applyBorder="1" applyAlignment="1">
      <alignment horizontal="center" vertical="center"/>
    </xf>
    <xf numFmtId="0" fontId="5" fillId="32" borderId="69" xfId="0" applyFont="1" applyFill="1" applyBorder="1" applyAlignment="1">
      <alignment wrapText="1"/>
    </xf>
    <xf numFmtId="0" fontId="5" fillId="32" borderId="10" xfId="0" applyFont="1" applyFill="1" applyBorder="1" applyAlignment="1">
      <alignment wrapText="1"/>
    </xf>
    <xf numFmtId="0" fontId="12" fillId="27" borderId="7" xfId="0" applyFont="1" applyFill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9" fontId="5" fillId="0" borderId="69" xfId="0" applyNumberFormat="1" applyFont="1" applyBorder="1" applyAlignment="1">
      <alignment horizontal="center" vertical="center" wrapText="1"/>
    </xf>
    <xf numFmtId="167" fontId="2" fillId="0" borderId="69" xfId="0" applyNumberFormat="1" applyFon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0" fontId="2" fillId="0" borderId="112" xfId="0" applyFont="1" applyBorder="1"/>
    <xf numFmtId="0" fontId="10" fillId="27" borderId="55" xfId="0" applyFont="1" applyFill="1" applyBorder="1" applyAlignment="1">
      <alignment horizontal="center"/>
    </xf>
    <xf numFmtId="0" fontId="2" fillId="0" borderId="117" xfId="0" applyFont="1" applyBorder="1"/>
    <xf numFmtId="0" fontId="5" fillId="2" borderId="66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right"/>
    </xf>
    <xf numFmtId="0" fontId="10" fillId="0" borderId="66" xfId="0" applyFont="1" applyBorder="1" applyAlignment="1">
      <alignment horizontal="center" wrapText="1"/>
    </xf>
    <xf numFmtId="0" fontId="5" fillId="14" borderId="10" xfId="0" applyFont="1" applyFill="1" applyBorder="1" applyAlignment="1">
      <alignment wrapText="1"/>
    </xf>
    <xf numFmtId="0" fontId="12" fillId="27" borderId="66" xfId="0" applyFont="1" applyFill="1" applyBorder="1" applyAlignment="1">
      <alignment horizontal="center"/>
    </xf>
    <xf numFmtId="0" fontId="19" fillId="27" borderId="66" xfId="0" applyFont="1" applyFill="1" applyBorder="1" applyAlignment="1">
      <alignment horizontal="center"/>
    </xf>
    <xf numFmtId="0" fontId="5" fillId="14" borderId="66" xfId="0" applyFont="1" applyFill="1" applyBorder="1" applyAlignment="1">
      <alignment wrapText="1"/>
    </xf>
    <xf numFmtId="0" fontId="15" fillId="0" borderId="10" xfId="0" applyFont="1" applyBorder="1" applyAlignment="1">
      <alignment horizontal="center" vertical="center" wrapText="1"/>
    </xf>
    <xf numFmtId="0" fontId="10" fillId="28" borderId="86" xfId="0" applyFont="1" applyFill="1" applyBorder="1" applyAlignment="1">
      <alignment horizontal="center" vertical="center" wrapText="1"/>
    </xf>
    <xf numFmtId="0" fontId="10" fillId="29" borderId="41" xfId="0" applyFont="1" applyFill="1" applyBorder="1" applyAlignment="1">
      <alignment horizontal="center"/>
    </xf>
    <xf numFmtId="0" fontId="2" fillId="0" borderId="118" xfId="0" applyFont="1" applyBorder="1"/>
  </cellXfs>
  <cellStyles count="1">
    <cellStyle name="Normal" xfId="0" builtinId="0"/>
  </cellStyles>
  <dxfs count="3"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none"/>
      </fill>
    </dxf>
  </dxfs>
  <tableStyles count="1">
    <tableStyle name="EVENTOS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24900" cy="6381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34350" cy="6096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05775" cy="609600"/>
    <xdr:pic>
      <xdr:nvPicPr>
        <xdr:cNvPr id="2" name="image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382000" cy="609600"/>
    <xdr:pic>
      <xdr:nvPicPr>
        <xdr:cNvPr id="2" name="image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772525" cy="609600"/>
    <xdr:pic>
      <xdr:nvPicPr>
        <xdr:cNvPr id="2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382000" cy="609600"/>
    <xdr:pic>
      <xdr:nvPicPr>
        <xdr:cNvPr id="2" name="image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715375" cy="609600"/>
    <xdr:pic>
      <xdr:nvPicPr>
        <xdr:cNvPr id="2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096250" cy="609600"/>
    <xdr:pic>
      <xdr:nvPicPr>
        <xdr:cNvPr id="2" name="image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15300" cy="609600"/>
    <xdr:pic>
      <xdr:nvPicPr>
        <xdr:cNvPr id="2" name="image9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43875" cy="609600"/>
    <xdr:pic>
      <xdr:nvPicPr>
        <xdr:cNvPr id="2" name="image1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382000" cy="609600"/>
    <xdr:pic>
      <xdr:nvPicPr>
        <xdr:cNvPr id="2" name="image1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448674" cy="609600"/>
    <xdr:pic>
      <xdr:nvPicPr>
        <xdr:cNvPr id="2" name="image1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6675"/>
          <a:ext cx="8448674" cy="6096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8410575" cy="609600"/>
    <xdr:pic>
      <xdr:nvPicPr>
        <xdr:cNvPr id="2" name="image1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382000" cy="609600"/>
    <xdr:pic>
      <xdr:nvPicPr>
        <xdr:cNvPr id="2" name="image14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15300" cy="609600"/>
    <xdr:pic>
      <xdr:nvPicPr>
        <xdr:cNvPr id="2" name="image1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6675"/>
          <a:ext cx="8115300" cy="6096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34350" cy="609600"/>
    <xdr:pic>
      <xdr:nvPicPr>
        <xdr:cNvPr id="2" name="image16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24825" cy="609600"/>
    <xdr:pic>
      <xdr:nvPicPr>
        <xdr:cNvPr id="2" name="image1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34350" cy="609600"/>
    <xdr:pic>
      <xdr:nvPicPr>
        <xdr:cNvPr id="2" name="image18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782050" cy="609600"/>
    <xdr:pic>
      <xdr:nvPicPr>
        <xdr:cNvPr id="2" name="image19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782050" cy="609600"/>
    <xdr:pic>
      <xdr:nvPicPr>
        <xdr:cNvPr id="2" name="image20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8143875" cy="609600"/>
    <xdr:pic>
      <xdr:nvPicPr>
        <xdr:cNvPr id="2" name="image2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296275" cy="609600"/>
    <xdr:pic>
      <xdr:nvPicPr>
        <xdr:cNvPr id="2" name="image2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66675</xdr:rowOff>
    </xdr:from>
    <xdr:ext cx="8124825" cy="609600"/>
    <xdr:pic>
      <xdr:nvPicPr>
        <xdr:cNvPr id="2" name="image2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4:N17">
  <tableColumns count="14">
    <tableColumn id="1" name="ITEM"/>
    <tableColumn id="2" name="FECHA"/>
    <tableColumn id="3" name="CALIFICACION"/>
    <tableColumn id="4" name="NOMBRE DEL EVENTO"/>
    <tableColumn id="5" name="LUGAR"/>
    <tableColumn id="6" name="FURIA"/>
    <tableColumn id="7" name="FAUSTO "/>
    <tableColumn id="8" name="MILTON"/>
    <tableColumn id="9" name="CHARA"/>
    <tableColumn id="10" name="CHOLI"/>
    <tableColumn id="11" name="PEPO"/>
    <tableColumn id="12" name="MARIO"/>
    <tableColumn id="13" name="JAZ"/>
    <tableColumn id="14" name="FLOR"/>
  </tableColumns>
  <tableStyleInfo name="EVENTOS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N137"/>
  <sheetViews>
    <sheetView workbookViewId="0">
      <pane ySplit="4" topLeftCell="A5" activePane="bottomLeft" state="frozen"/>
      <selection pane="bottomLeft" activeCell="D5" sqref="D5"/>
    </sheetView>
  </sheetViews>
  <sheetFormatPr baseColWidth="10" defaultColWidth="14.44140625" defaultRowHeight="15" customHeight="1"/>
  <cols>
    <col min="1" max="1" width="7.33203125" customWidth="1"/>
    <col min="2" max="3" width="15.6640625" customWidth="1"/>
    <col min="4" max="4" width="46.5546875" customWidth="1"/>
    <col min="5" max="5" width="33.109375" customWidth="1"/>
    <col min="6" max="14" width="11.5546875" customWidth="1"/>
  </cols>
  <sheetData>
    <row r="1" spans="1:14" ht="27" customHeight="1">
      <c r="A1" s="394" t="s">
        <v>0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6"/>
    </row>
    <row r="2" spans="1:14" ht="27" customHeight="1">
      <c r="A2" s="397"/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9"/>
    </row>
    <row r="3" spans="1:14" ht="30.75" customHeight="1">
      <c r="A3" s="407" t="s">
        <v>1</v>
      </c>
      <c r="B3" s="404"/>
      <c r="C3" s="404"/>
      <c r="D3" s="404"/>
      <c r="E3" s="405"/>
      <c r="F3" s="403" t="s">
        <v>2</v>
      </c>
      <c r="G3" s="404"/>
      <c r="H3" s="404"/>
      <c r="I3" s="405"/>
      <c r="J3" s="403" t="s">
        <v>3</v>
      </c>
      <c r="K3" s="404"/>
      <c r="L3" s="404"/>
      <c r="M3" s="404"/>
      <c r="N3" s="406"/>
    </row>
    <row r="4" spans="1:14" ht="27" customHeight="1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3" t="s">
        <v>9</v>
      </c>
      <c r="G4" s="4" t="s">
        <v>10</v>
      </c>
      <c r="H4" s="5" t="s">
        <v>11</v>
      </c>
      <c r="I4" s="6" t="s">
        <v>12</v>
      </c>
      <c r="J4" s="7" t="s">
        <v>13</v>
      </c>
      <c r="K4" s="8" t="s">
        <v>14</v>
      </c>
      <c r="L4" s="9" t="s">
        <v>15</v>
      </c>
      <c r="M4" s="10" t="s">
        <v>16</v>
      </c>
      <c r="N4" s="11" t="s">
        <v>17</v>
      </c>
    </row>
    <row r="5" spans="1:14" ht="30" customHeight="1">
      <c r="A5" s="12">
        <v>1</v>
      </c>
      <c r="B5" s="13">
        <v>46207</v>
      </c>
      <c r="C5" s="14" t="s">
        <v>18</v>
      </c>
      <c r="D5" s="15" t="s">
        <v>19</v>
      </c>
      <c r="E5" s="15" t="s">
        <v>20</v>
      </c>
      <c r="F5" s="16">
        <v>1</v>
      </c>
      <c r="G5" s="16"/>
      <c r="H5" s="16">
        <v>1</v>
      </c>
      <c r="I5" s="16">
        <v>1</v>
      </c>
      <c r="J5" s="16"/>
      <c r="K5" s="16"/>
      <c r="L5" s="16"/>
      <c r="M5" s="16"/>
      <c r="N5" s="16"/>
    </row>
    <row r="6" spans="1:14" ht="30" customHeight="1">
      <c r="A6" s="17">
        <v>2</v>
      </c>
      <c r="B6" s="18">
        <v>46213</v>
      </c>
      <c r="C6" s="19" t="s">
        <v>21</v>
      </c>
      <c r="D6" s="19" t="s">
        <v>22</v>
      </c>
      <c r="E6" s="19" t="s">
        <v>23</v>
      </c>
      <c r="F6" s="20"/>
      <c r="G6" s="20"/>
      <c r="H6" s="20"/>
      <c r="I6" s="20"/>
      <c r="J6" s="20"/>
      <c r="K6" s="20"/>
      <c r="L6" s="20"/>
      <c r="M6" s="20"/>
      <c r="N6" s="20"/>
    </row>
    <row r="7" spans="1:14" ht="30" customHeight="1">
      <c r="A7" s="17">
        <v>3</v>
      </c>
      <c r="B7" s="18">
        <v>46214</v>
      </c>
      <c r="C7" s="19" t="s">
        <v>24</v>
      </c>
      <c r="D7" s="19" t="s">
        <v>25</v>
      </c>
      <c r="E7" s="19" t="s">
        <v>26</v>
      </c>
      <c r="F7" s="20"/>
      <c r="G7" s="20"/>
      <c r="H7" s="20"/>
      <c r="I7" s="20"/>
      <c r="J7" s="20"/>
      <c r="K7" s="20"/>
      <c r="L7" s="20"/>
      <c r="M7" s="20"/>
      <c r="N7" s="20"/>
    </row>
    <row r="8" spans="1:14" ht="30" customHeight="1">
      <c r="A8" s="17">
        <v>4</v>
      </c>
      <c r="B8" s="18">
        <v>46219</v>
      </c>
      <c r="C8" s="19" t="s">
        <v>21</v>
      </c>
      <c r="D8" s="19" t="s">
        <v>27</v>
      </c>
      <c r="E8" s="19" t="s">
        <v>28</v>
      </c>
      <c r="F8" s="20"/>
      <c r="G8" s="20"/>
      <c r="H8" s="20"/>
      <c r="I8" s="20"/>
      <c r="J8" s="20"/>
      <c r="K8" s="20"/>
      <c r="L8" s="20"/>
      <c r="M8" s="20"/>
      <c r="N8" s="20"/>
    </row>
    <row r="9" spans="1:14" ht="30" customHeight="1">
      <c r="A9" s="17">
        <v>5</v>
      </c>
      <c r="B9" s="18">
        <v>46221</v>
      </c>
      <c r="C9" s="19" t="s">
        <v>18</v>
      </c>
      <c r="D9" s="19" t="s">
        <v>29</v>
      </c>
      <c r="E9" s="19" t="s">
        <v>30</v>
      </c>
      <c r="F9" s="20"/>
      <c r="G9" s="20"/>
      <c r="H9" s="20"/>
      <c r="I9" s="20"/>
      <c r="J9" s="20"/>
      <c r="K9" s="20"/>
      <c r="L9" s="20"/>
      <c r="M9" s="20"/>
      <c r="N9" s="20"/>
    </row>
    <row r="10" spans="1:14" ht="30" customHeight="1">
      <c r="A10" s="17">
        <v>6</v>
      </c>
      <c r="B10" s="18">
        <v>46221</v>
      </c>
      <c r="C10" s="19" t="s">
        <v>21</v>
      </c>
      <c r="D10" s="19" t="s">
        <v>22</v>
      </c>
      <c r="E10" s="19" t="s">
        <v>23</v>
      </c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30" customHeight="1">
      <c r="A11" s="17">
        <v>7</v>
      </c>
      <c r="B11" s="18">
        <v>46228</v>
      </c>
      <c r="C11" s="19" t="s">
        <v>18</v>
      </c>
      <c r="D11" s="19" t="s">
        <v>31</v>
      </c>
      <c r="E11" s="19" t="s">
        <v>32</v>
      </c>
      <c r="F11" s="20"/>
      <c r="G11" s="20">
        <v>1</v>
      </c>
      <c r="H11" s="20"/>
      <c r="I11" s="20">
        <v>1</v>
      </c>
      <c r="J11" s="20"/>
      <c r="K11" s="20"/>
      <c r="L11" s="20"/>
      <c r="M11" s="20"/>
      <c r="N11" s="20"/>
    </row>
    <row r="12" spans="1:14" ht="30" customHeight="1">
      <c r="A12" s="17">
        <v>8</v>
      </c>
      <c r="B12" s="18">
        <v>46228</v>
      </c>
      <c r="C12" s="19" t="s">
        <v>18</v>
      </c>
      <c r="D12" s="19" t="s">
        <v>33</v>
      </c>
      <c r="E12" s="19" t="s">
        <v>34</v>
      </c>
      <c r="F12" s="20"/>
      <c r="G12" s="20"/>
      <c r="H12" s="20">
        <v>1</v>
      </c>
      <c r="I12" s="20"/>
      <c r="J12" s="20">
        <v>1</v>
      </c>
      <c r="K12" s="20">
        <v>1</v>
      </c>
      <c r="L12" s="20">
        <v>1</v>
      </c>
      <c r="M12" s="20"/>
      <c r="N12" s="20"/>
    </row>
    <row r="13" spans="1:14" ht="30" customHeight="1">
      <c r="A13" s="17">
        <v>9</v>
      </c>
      <c r="B13" s="18">
        <v>46228</v>
      </c>
      <c r="C13" s="19" t="s">
        <v>18</v>
      </c>
      <c r="D13" s="19" t="s">
        <v>35</v>
      </c>
      <c r="E13" s="19" t="s">
        <v>36</v>
      </c>
      <c r="F13" s="20"/>
      <c r="G13" s="20">
        <v>1</v>
      </c>
      <c r="H13" s="20"/>
      <c r="I13" s="20"/>
      <c r="J13" s="20"/>
      <c r="K13" s="20"/>
      <c r="L13" s="20"/>
      <c r="M13" s="20"/>
      <c r="N13" s="20"/>
    </row>
    <row r="14" spans="1:14" ht="30" customHeight="1">
      <c r="A14" s="17">
        <v>10</v>
      </c>
      <c r="B14" s="18">
        <v>46228</v>
      </c>
      <c r="C14" s="19" t="s">
        <v>18</v>
      </c>
      <c r="D14" s="19" t="s">
        <v>37</v>
      </c>
      <c r="E14" s="19" t="s">
        <v>38</v>
      </c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30" customHeight="1">
      <c r="A15" s="21">
        <v>11</v>
      </c>
      <c r="B15" s="18">
        <v>46228</v>
      </c>
      <c r="C15" s="19" t="s">
        <v>18</v>
      </c>
      <c r="D15" s="19" t="s">
        <v>25</v>
      </c>
      <c r="E15" s="19" t="s">
        <v>39</v>
      </c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30" customHeight="1">
      <c r="A16" s="17">
        <v>12</v>
      </c>
      <c r="B16" s="18">
        <v>46234</v>
      </c>
      <c r="C16" s="19" t="s">
        <v>21</v>
      </c>
      <c r="D16" s="19" t="s">
        <v>40</v>
      </c>
      <c r="E16" s="19" t="s">
        <v>20</v>
      </c>
      <c r="F16" s="20"/>
      <c r="G16" s="20"/>
      <c r="H16" s="20"/>
      <c r="I16" s="20">
        <v>1</v>
      </c>
      <c r="J16" s="20"/>
      <c r="K16" s="20"/>
      <c r="L16" s="20"/>
      <c r="M16" s="20"/>
      <c r="N16" s="20"/>
    </row>
    <row r="17" spans="1:14" ht="30" customHeight="1">
      <c r="A17" s="17">
        <v>13</v>
      </c>
      <c r="B17" s="18">
        <v>46234</v>
      </c>
      <c r="C17" s="19" t="s">
        <v>21</v>
      </c>
      <c r="D17" s="19" t="s">
        <v>22</v>
      </c>
      <c r="E17" s="19" t="s">
        <v>23</v>
      </c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30" customHeight="1">
      <c r="A18" s="400" t="s">
        <v>41</v>
      </c>
      <c r="B18" s="401"/>
      <c r="C18" s="401"/>
      <c r="D18" s="401"/>
      <c r="E18" s="402"/>
      <c r="F18" s="22">
        <f>SUBTOTAL(109,EVENTOS!$F$5:$F$17)</f>
        <v>1</v>
      </c>
      <c r="G18" s="23">
        <f>SUBTOTAL(109,EVENTOS!$G$5:$G$17)</f>
        <v>2</v>
      </c>
      <c r="H18" s="24">
        <f>SUM(EVENTOS!$H$5:$H$17)</f>
        <v>2</v>
      </c>
      <c r="I18" s="25">
        <f>SUM(EVENTOS!$I$5:$I$17)</f>
        <v>3</v>
      </c>
      <c r="J18" s="26">
        <f>SUM(EVENTOS!$J$5:$J$17)</f>
        <v>1</v>
      </c>
      <c r="K18" s="27">
        <f>SUM(EVENTOS!$K$5:$K$17)</f>
        <v>1</v>
      </c>
      <c r="L18" s="28">
        <f>SUM(EVENTOS!$L$5:$L$17)</f>
        <v>1</v>
      </c>
      <c r="M18" s="29">
        <f>SUM(EVENTOS!$M$5:$M$17)</f>
        <v>0</v>
      </c>
      <c r="N18" s="30">
        <f>SUM(EVENTOS!$N$5:$N$17)</f>
        <v>0</v>
      </c>
    </row>
    <row r="19" spans="1:14" ht="30" customHeight="1">
      <c r="A19" s="31"/>
      <c r="B19" s="31"/>
      <c r="C19" s="31"/>
      <c r="D19" s="31"/>
      <c r="E19" s="32"/>
      <c r="F19" s="31"/>
      <c r="G19" s="31"/>
      <c r="H19" s="31"/>
      <c r="I19" s="31"/>
      <c r="J19" s="31"/>
      <c r="K19" s="31"/>
      <c r="L19" s="31"/>
      <c r="M19" s="31"/>
      <c r="N19" s="31"/>
    </row>
    <row r="20" spans="1:14" ht="30" customHeight="1">
      <c r="A20" s="31"/>
      <c r="B20" s="31"/>
      <c r="C20" s="31"/>
      <c r="D20" s="31"/>
      <c r="E20" s="32"/>
      <c r="F20" s="31"/>
      <c r="G20" s="31"/>
      <c r="H20" s="31"/>
      <c r="I20" s="31"/>
      <c r="J20" s="31"/>
      <c r="K20" s="31"/>
      <c r="L20" s="31"/>
      <c r="M20" s="31"/>
      <c r="N20" s="31"/>
    </row>
    <row r="21" spans="1:14" ht="30" customHeight="1">
      <c r="A21" s="31"/>
      <c r="B21" s="31"/>
      <c r="C21" s="31"/>
      <c r="D21" s="31"/>
      <c r="E21" s="32"/>
      <c r="F21" s="31"/>
      <c r="G21" s="31"/>
      <c r="H21" s="31"/>
      <c r="I21" s="31"/>
      <c r="J21" s="31"/>
      <c r="K21" s="31"/>
      <c r="L21" s="31"/>
      <c r="M21" s="31"/>
      <c r="N21" s="31"/>
    </row>
    <row r="22" spans="1:14" ht="30" customHeight="1">
      <c r="A22" s="31"/>
      <c r="B22" s="31"/>
      <c r="C22" s="31"/>
      <c r="D22" s="31"/>
      <c r="E22" s="32"/>
      <c r="F22" s="31"/>
      <c r="G22" s="31"/>
      <c r="H22" s="31"/>
      <c r="I22" s="31"/>
      <c r="J22" s="31"/>
      <c r="K22" s="31"/>
      <c r="L22" s="31"/>
      <c r="M22" s="31"/>
      <c r="N22" s="31"/>
    </row>
    <row r="23" spans="1:14" ht="3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 ht="3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</row>
    <row r="25" spans="1:14" ht="3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 ht="3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</row>
    <row r="27" spans="1:14" ht="3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ht="3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  <row r="29" spans="1:14" ht="3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</row>
    <row r="30" spans="1:14" ht="30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 ht="30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</row>
    <row r="32" spans="1:14" ht="30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4" ht="30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  <row r="34" spans="1:14" ht="30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 ht="30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</row>
    <row r="36" spans="1:14" ht="30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</row>
    <row r="37" spans="1:14" ht="30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</row>
    <row r="38" spans="1:14" ht="30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</row>
    <row r="39" spans="1:14" ht="30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</row>
    <row r="40" spans="1:14" ht="30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14" ht="3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</row>
    <row r="42" spans="1:14" ht="30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spans="1:14" ht="3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spans="1:14" ht="3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</row>
    <row r="45" spans="1:14" ht="3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4" ht="3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</row>
    <row r="47" spans="1:14" ht="3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1:14" ht="3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</row>
    <row r="49" spans="1:14" ht="3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</row>
    <row r="50" spans="1:14" ht="3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1:14" ht="3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1:14" ht="3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1:14" ht="3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 ht="3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</row>
    <row r="55" spans="1:14" ht="3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 ht="3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 ht="30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 ht="30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</row>
    <row r="59" spans="1:14" ht="30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</row>
    <row r="60" spans="1:14" ht="30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</row>
    <row r="61" spans="1:14" ht="3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</row>
    <row r="62" spans="1:14" ht="3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</row>
    <row r="63" spans="1:14" ht="3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</row>
    <row r="64" spans="1:14" ht="3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</row>
    <row r="65" spans="1:14" ht="3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</row>
    <row r="66" spans="1:14" ht="3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spans="1:14" ht="3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spans="1:14" ht="3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1:14" ht="3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1:14" ht="3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1:14" ht="3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1:14" ht="3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1:14" ht="3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spans="1:14" ht="3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spans="1:14" ht="3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spans="1:14" ht="3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spans="1:14" ht="3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1:14" ht="3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spans="1:14" ht="3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spans="1:14" ht="3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4" ht="3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 spans="1:14" ht="3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spans="1:14" ht="3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spans="1:14" ht="3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spans="1:14" ht="3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 spans="1:14" ht="3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spans="1:14" ht="3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 spans="1:14" ht="3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spans="1:14" ht="3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spans="1:14" ht="3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 spans="1:14" ht="3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1:14" ht="3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 spans="1:14" ht="3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 spans="1:14" ht="3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spans="1:14" ht="3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6" spans="1:14" ht="3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 spans="1:14" ht="3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 spans="1:14" ht="3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spans="1:14" ht="3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1:14" ht="3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spans="1:14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spans="1:14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  <row r="103" spans="1:14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</row>
    <row r="104" spans="1:14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</row>
    <row r="105" spans="1:14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</row>
    <row r="106" spans="1:14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 spans="1:14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 spans="1:14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</row>
    <row r="109" spans="1:14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 spans="1:14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</row>
    <row r="111" spans="1:14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</row>
    <row r="112" spans="1:14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</row>
    <row r="113" spans="1:14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</row>
    <row r="114" spans="1:14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</row>
    <row r="115" spans="1:14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</row>
    <row r="116" spans="1:14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1:14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</row>
    <row r="118" spans="1:14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</row>
    <row r="119" spans="1:14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4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</row>
    <row r="121" spans="1:14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4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4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4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4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4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4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4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1:14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1:14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1:14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1:14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1:14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1:14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1:14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1:14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</sheetData>
  <mergeCells count="5">
    <mergeCell ref="A1:N2"/>
    <mergeCell ref="A18:E18"/>
    <mergeCell ref="F3:I3"/>
    <mergeCell ref="J3:N3"/>
    <mergeCell ref="A3:E3"/>
  </mergeCell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100"/>
  <sheetViews>
    <sheetView workbookViewId="0">
      <pane ySplit="1" topLeftCell="A20" activePane="bottomLeft" state="frozen"/>
      <selection pane="bottomLeft" activeCell="I36" sqref="H36:I36"/>
    </sheetView>
  </sheetViews>
  <sheetFormatPr baseColWidth="10" defaultColWidth="14.44140625" defaultRowHeight="15" customHeight="1"/>
  <cols>
    <col min="1" max="1" width="7.33203125" customWidth="1"/>
    <col min="2" max="3" width="15.6640625" customWidth="1"/>
    <col min="4" max="4" width="40.6640625" customWidth="1"/>
    <col min="5" max="5" width="15.6640625" customWidth="1"/>
    <col min="6" max="6" width="26" customWidth="1"/>
    <col min="7" max="7" width="15.6640625" customWidth="1"/>
    <col min="8" max="11" width="11.5546875" customWidth="1"/>
    <col min="12" max="12" width="14.88671875" customWidth="1"/>
    <col min="13" max="26" width="11.5546875" customWidth="1"/>
  </cols>
  <sheetData>
    <row r="1" spans="1:26" ht="30" customHeight="1">
      <c r="A1" s="419" t="s">
        <v>42</v>
      </c>
      <c r="B1" s="412"/>
      <c r="C1" s="420" t="s">
        <v>43</v>
      </c>
      <c r="D1" s="411"/>
      <c r="E1" s="411"/>
      <c r="F1" s="411"/>
      <c r="G1" s="411"/>
      <c r="H1" s="411"/>
      <c r="I1" s="411"/>
      <c r="J1" s="411"/>
      <c r="K1" s="411"/>
      <c r="L1" s="41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30" customHeight="1">
      <c r="A2" s="419" t="s">
        <v>44</v>
      </c>
      <c r="B2" s="412"/>
      <c r="C2" s="420" t="s">
        <v>45</v>
      </c>
      <c r="D2" s="411"/>
      <c r="E2" s="411"/>
      <c r="F2" s="411"/>
      <c r="G2" s="411"/>
      <c r="H2" s="411"/>
      <c r="I2" s="411"/>
      <c r="J2" s="411"/>
      <c r="K2" s="411"/>
      <c r="L2" s="412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30" customHeight="1">
      <c r="A3" s="413" t="s">
        <v>4</v>
      </c>
      <c r="B3" s="413" t="s">
        <v>46</v>
      </c>
      <c r="C3" s="413" t="s">
        <v>5</v>
      </c>
      <c r="D3" s="415" t="s">
        <v>47</v>
      </c>
      <c r="E3" s="416" t="s">
        <v>48</v>
      </c>
      <c r="F3" s="411"/>
      <c r="G3" s="412"/>
      <c r="H3" s="416" t="s">
        <v>49</v>
      </c>
      <c r="I3" s="411"/>
      <c r="J3" s="412"/>
      <c r="K3" s="417" t="s">
        <v>50</v>
      </c>
      <c r="L3" s="418" t="s">
        <v>51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30" customHeight="1">
      <c r="A4" s="414"/>
      <c r="B4" s="414"/>
      <c r="C4" s="414"/>
      <c r="D4" s="414"/>
      <c r="E4" s="34" t="s">
        <v>52</v>
      </c>
      <c r="F4" s="34" t="s">
        <v>53</v>
      </c>
      <c r="G4" s="35" t="s">
        <v>54</v>
      </c>
      <c r="H4" s="36" t="s">
        <v>55</v>
      </c>
      <c r="I4" s="37" t="s">
        <v>56</v>
      </c>
      <c r="J4" s="38" t="s">
        <v>57</v>
      </c>
      <c r="K4" s="414"/>
      <c r="L4" s="414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4.75" customHeight="1">
      <c r="A5" s="39">
        <v>1</v>
      </c>
      <c r="B5" s="40" t="s">
        <v>58</v>
      </c>
      <c r="C5" s="41">
        <v>46204</v>
      </c>
      <c r="D5" s="42" t="s">
        <v>59</v>
      </c>
      <c r="E5" s="43"/>
      <c r="F5" s="43"/>
      <c r="G5" s="43"/>
      <c r="H5" s="43"/>
      <c r="I5" s="43"/>
      <c r="J5" s="43"/>
      <c r="K5" s="43"/>
      <c r="L5" s="44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4.75" customHeight="1">
      <c r="A6" s="45">
        <v>2</v>
      </c>
      <c r="B6" s="46" t="s">
        <v>60</v>
      </c>
      <c r="C6" s="47">
        <v>46205</v>
      </c>
      <c r="D6" s="48" t="s">
        <v>59</v>
      </c>
      <c r="E6" s="49"/>
      <c r="F6" s="49"/>
      <c r="G6" s="49"/>
      <c r="H6" s="49"/>
      <c r="I6" s="49"/>
      <c r="J6" s="49"/>
      <c r="K6" s="49"/>
      <c r="L6" s="50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4.75" customHeight="1">
      <c r="A7" s="45">
        <v>3</v>
      </c>
      <c r="B7" s="46" t="s">
        <v>61</v>
      </c>
      <c r="C7" s="47">
        <v>46206</v>
      </c>
      <c r="D7" s="48" t="s">
        <v>59</v>
      </c>
      <c r="E7" s="49"/>
      <c r="F7" s="49"/>
      <c r="G7" s="49"/>
      <c r="H7" s="49"/>
      <c r="I7" s="49"/>
      <c r="J7" s="49"/>
      <c r="K7" s="49"/>
      <c r="L7" s="50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4.75" customHeight="1">
      <c r="A8" s="45">
        <v>4</v>
      </c>
      <c r="B8" s="46" t="s">
        <v>62</v>
      </c>
      <c r="C8" s="47">
        <v>46207</v>
      </c>
      <c r="D8" s="48" t="s">
        <v>59</v>
      </c>
      <c r="E8" s="49"/>
      <c r="F8" s="49"/>
      <c r="G8" s="49"/>
      <c r="H8" s="49"/>
      <c r="I8" s="49"/>
      <c r="J8" s="49"/>
      <c r="K8" s="49"/>
      <c r="L8" s="50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4.75" customHeight="1">
      <c r="A9" s="45">
        <v>5</v>
      </c>
      <c r="B9" s="46" t="s">
        <v>63</v>
      </c>
      <c r="C9" s="47">
        <v>46208</v>
      </c>
      <c r="D9" s="48" t="s">
        <v>59</v>
      </c>
      <c r="E9" s="49"/>
      <c r="F9" s="49"/>
      <c r="G9" s="49"/>
      <c r="H9" s="49"/>
      <c r="I9" s="49"/>
      <c r="J9" s="49"/>
      <c r="K9" s="49"/>
      <c r="L9" s="50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4.75" customHeight="1">
      <c r="A10" s="45">
        <v>6</v>
      </c>
      <c r="B10" s="51" t="s">
        <v>64</v>
      </c>
      <c r="C10" s="52">
        <v>46209</v>
      </c>
      <c r="D10" s="53" t="s">
        <v>65</v>
      </c>
      <c r="E10" s="54"/>
      <c r="F10" s="54"/>
      <c r="G10" s="54"/>
      <c r="H10" s="54"/>
      <c r="I10" s="54"/>
      <c r="J10" s="54"/>
      <c r="K10" s="54"/>
      <c r="L10" s="55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4.75" customHeight="1">
      <c r="A11" s="56">
        <v>7</v>
      </c>
      <c r="B11" s="57" t="s">
        <v>66</v>
      </c>
      <c r="C11" s="58">
        <v>46210</v>
      </c>
      <c r="D11" s="59" t="s">
        <v>67</v>
      </c>
      <c r="E11" s="60"/>
      <c r="F11" s="60"/>
      <c r="G11" s="60"/>
      <c r="H11" s="60"/>
      <c r="I11" s="60"/>
      <c r="J11" s="60"/>
      <c r="K11" s="60"/>
      <c r="L11" s="6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4.75" customHeight="1">
      <c r="A12" s="45">
        <v>8</v>
      </c>
      <c r="B12" s="51" t="s">
        <v>68</v>
      </c>
      <c r="C12" s="52">
        <v>46211</v>
      </c>
      <c r="D12" s="53" t="s">
        <v>69</v>
      </c>
      <c r="E12" s="54"/>
      <c r="F12" s="54"/>
      <c r="G12" s="54"/>
      <c r="H12" s="54"/>
      <c r="I12" s="54"/>
      <c r="J12" s="54"/>
      <c r="K12" s="54"/>
      <c r="L12" s="55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4.75" customHeight="1">
      <c r="A13" s="45">
        <v>9</v>
      </c>
      <c r="B13" s="51" t="s">
        <v>60</v>
      </c>
      <c r="C13" s="52">
        <v>46212</v>
      </c>
      <c r="D13" s="53" t="s">
        <v>69</v>
      </c>
      <c r="E13" s="54"/>
      <c r="F13" s="54"/>
      <c r="G13" s="54"/>
      <c r="H13" s="54"/>
      <c r="I13" s="54"/>
      <c r="J13" s="54"/>
      <c r="K13" s="54"/>
      <c r="L13" s="55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4.75" customHeight="1">
      <c r="A14" s="56">
        <v>10</v>
      </c>
      <c r="B14" s="62" t="s">
        <v>61</v>
      </c>
      <c r="C14" s="63">
        <v>46213</v>
      </c>
      <c r="D14" s="64" t="s">
        <v>70</v>
      </c>
      <c r="E14" s="54"/>
      <c r="F14" s="54"/>
      <c r="G14" s="54"/>
      <c r="H14" s="54"/>
      <c r="I14" s="54"/>
      <c r="J14" s="54"/>
      <c r="K14" s="54"/>
      <c r="L14" s="55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4.75" customHeight="1">
      <c r="A15" s="45">
        <v>11</v>
      </c>
      <c r="B15" s="65" t="s">
        <v>62</v>
      </c>
      <c r="C15" s="66">
        <v>46214</v>
      </c>
      <c r="D15" s="67" t="s">
        <v>67</v>
      </c>
      <c r="E15" s="60"/>
      <c r="F15" s="60"/>
      <c r="G15" s="60"/>
      <c r="H15" s="60"/>
      <c r="I15" s="60"/>
      <c r="J15" s="60"/>
      <c r="K15" s="60"/>
      <c r="L15" s="6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4.75" customHeight="1">
      <c r="A16" s="45">
        <v>12</v>
      </c>
      <c r="B16" s="65" t="s">
        <v>63</v>
      </c>
      <c r="C16" s="66">
        <v>46215</v>
      </c>
      <c r="D16" s="67" t="s">
        <v>67</v>
      </c>
      <c r="E16" s="60"/>
      <c r="F16" s="60"/>
      <c r="G16" s="60"/>
      <c r="H16" s="60"/>
      <c r="I16" s="60"/>
      <c r="J16" s="60"/>
      <c r="K16" s="60"/>
      <c r="L16" s="6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24.75" customHeight="1">
      <c r="A17" s="56">
        <v>13</v>
      </c>
      <c r="B17" s="62" t="s">
        <v>64</v>
      </c>
      <c r="C17" s="63">
        <v>46216</v>
      </c>
      <c r="D17" s="64" t="s">
        <v>70</v>
      </c>
      <c r="E17" s="54"/>
      <c r="F17" s="54"/>
      <c r="G17" s="54"/>
      <c r="H17" s="54"/>
      <c r="I17" s="54"/>
      <c r="J17" s="54"/>
      <c r="K17" s="54"/>
      <c r="L17" s="55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24.75" customHeight="1">
      <c r="A18" s="56">
        <v>14</v>
      </c>
      <c r="B18" s="62" t="s">
        <v>66</v>
      </c>
      <c r="C18" s="63">
        <v>46217</v>
      </c>
      <c r="D18" s="64" t="s">
        <v>71</v>
      </c>
      <c r="E18" s="64" t="s">
        <v>69</v>
      </c>
      <c r="F18" s="64" t="s">
        <v>72</v>
      </c>
      <c r="G18" s="64" t="s">
        <v>69</v>
      </c>
      <c r="H18" s="64">
        <v>1</v>
      </c>
      <c r="I18" s="68"/>
      <c r="J18" s="68"/>
      <c r="K18" s="64">
        <v>1</v>
      </c>
      <c r="L18" s="69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24.75" customHeight="1">
      <c r="A19" s="45">
        <v>15</v>
      </c>
      <c r="B19" s="65" t="s">
        <v>68</v>
      </c>
      <c r="C19" s="66">
        <v>46218</v>
      </c>
      <c r="D19" s="67" t="s">
        <v>67</v>
      </c>
      <c r="E19" s="60"/>
      <c r="F19" s="60"/>
      <c r="G19" s="60"/>
      <c r="H19" s="60"/>
      <c r="I19" s="60"/>
      <c r="J19" s="60"/>
      <c r="K19" s="60"/>
      <c r="L19" s="6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24.75" customHeight="1">
      <c r="A20" s="45">
        <v>16</v>
      </c>
      <c r="B20" s="51" t="s">
        <v>60</v>
      </c>
      <c r="C20" s="52">
        <v>46219</v>
      </c>
      <c r="D20" s="53" t="s">
        <v>69</v>
      </c>
      <c r="E20" s="54"/>
      <c r="F20" s="54"/>
      <c r="G20" s="54"/>
      <c r="H20" s="54"/>
      <c r="I20" s="54"/>
      <c r="J20" s="54"/>
      <c r="K20" s="54"/>
      <c r="L20" s="55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24.75" customHeight="1">
      <c r="A21" s="45">
        <v>17</v>
      </c>
      <c r="B21" s="51" t="s">
        <v>61</v>
      </c>
      <c r="C21" s="52">
        <v>46220</v>
      </c>
      <c r="D21" s="408" t="s">
        <v>73</v>
      </c>
      <c r="E21" s="53" t="s">
        <v>69</v>
      </c>
      <c r="F21" s="53" t="s">
        <v>74</v>
      </c>
      <c r="G21" s="54"/>
      <c r="H21" s="54"/>
      <c r="I21" s="408">
        <v>1</v>
      </c>
      <c r="J21" s="54"/>
      <c r="K21" s="408">
        <v>1</v>
      </c>
      <c r="L21" s="55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24.75" customHeight="1">
      <c r="A22" s="45">
        <v>18</v>
      </c>
      <c r="B22" s="51" t="s">
        <v>62</v>
      </c>
      <c r="C22" s="52">
        <v>46221</v>
      </c>
      <c r="D22" s="409"/>
      <c r="E22" s="54"/>
      <c r="F22" s="54"/>
      <c r="G22" s="53" t="s">
        <v>69</v>
      </c>
      <c r="H22" s="54"/>
      <c r="I22" s="409"/>
      <c r="J22" s="54"/>
      <c r="K22" s="409"/>
      <c r="L22" s="55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24.75" customHeight="1">
      <c r="A23" s="45">
        <v>19</v>
      </c>
      <c r="B23" s="51" t="s">
        <v>63</v>
      </c>
      <c r="C23" s="52">
        <v>46222</v>
      </c>
      <c r="D23" s="408" t="s">
        <v>73</v>
      </c>
      <c r="E23" s="53" t="s">
        <v>69</v>
      </c>
      <c r="F23" s="53" t="s">
        <v>74</v>
      </c>
      <c r="G23" s="54"/>
      <c r="H23" s="54"/>
      <c r="I23" s="408">
        <v>1</v>
      </c>
      <c r="J23" s="54"/>
      <c r="K23" s="408">
        <v>1</v>
      </c>
      <c r="L23" s="55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24.75" customHeight="1">
      <c r="A24" s="45">
        <v>20</v>
      </c>
      <c r="B24" s="51" t="s">
        <v>64</v>
      </c>
      <c r="C24" s="52">
        <v>46223</v>
      </c>
      <c r="D24" s="409"/>
      <c r="E24" s="54"/>
      <c r="F24" s="54"/>
      <c r="G24" s="53" t="s">
        <v>69</v>
      </c>
      <c r="H24" s="54"/>
      <c r="I24" s="409"/>
      <c r="J24" s="54"/>
      <c r="K24" s="409"/>
      <c r="L24" s="55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24.75" customHeight="1">
      <c r="A25" s="45">
        <v>21</v>
      </c>
      <c r="B25" s="51" t="s">
        <v>66</v>
      </c>
      <c r="C25" s="52">
        <v>46224</v>
      </c>
      <c r="D25" s="53" t="s">
        <v>30</v>
      </c>
      <c r="E25" s="53" t="s">
        <v>69</v>
      </c>
      <c r="F25" s="53" t="s">
        <v>75</v>
      </c>
      <c r="G25" s="53" t="s">
        <v>69</v>
      </c>
      <c r="H25" s="53">
        <v>1</v>
      </c>
      <c r="I25" s="54"/>
      <c r="J25" s="54"/>
      <c r="K25" s="53">
        <v>1</v>
      </c>
      <c r="L25" s="55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24.75" customHeight="1">
      <c r="A26" s="45">
        <v>22</v>
      </c>
      <c r="B26" s="51" t="s">
        <v>68</v>
      </c>
      <c r="C26" s="52">
        <v>46225</v>
      </c>
      <c r="D26" s="408" t="s">
        <v>73</v>
      </c>
      <c r="E26" s="53" t="s">
        <v>69</v>
      </c>
      <c r="F26" s="53" t="s">
        <v>74</v>
      </c>
      <c r="G26" s="54"/>
      <c r="H26" s="54"/>
      <c r="I26" s="54"/>
      <c r="J26" s="54"/>
      <c r="K26" s="54"/>
      <c r="L26" s="55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56">
        <v>23</v>
      </c>
      <c r="B27" s="51" t="s">
        <v>60</v>
      </c>
      <c r="C27" s="52">
        <v>46226</v>
      </c>
      <c r="D27" s="409"/>
      <c r="E27" s="54"/>
      <c r="F27" s="54"/>
      <c r="G27" s="70" t="s">
        <v>76</v>
      </c>
      <c r="H27" s="54"/>
      <c r="I27" s="54"/>
      <c r="J27" s="54"/>
      <c r="K27" s="54"/>
      <c r="L27" s="55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24.75" customHeight="1">
      <c r="A28" s="45">
        <v>24</v>
      </c>
      <c r="B28" s="51" t="s">
        <v>61</v>
      </c>
      <c r="C28" s="52">
        <v>46227</v>
      </c>
      <c r="D28" s="53" t="s">
        <v>65</v>
      </c>
      <c r="E28" s="54"/>
      <c r="F28" s="54"/>
      <c r="G28" s="54"/>
      <c r="H28" s="54"/>
      <c r="I28" s="54"/>
      <c r="J28" s="54"/>
      <c r="K28" s="54"/>
      <c r="L28" s="55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24.75" customHeight="1">
      <c r="A29" s="45">
        <v>25</v>
      </c>
      <c r="B29" s="51" t="s">
        <v>62</v>
      </c>
      <c r="C29" s="52">
        <v>46228</v>
      </c>
      <c r="D29" s="53" t="s">
        <v>77</v>
      </c>
      <c r="E29" s="54"/>
      <c r="F29" s="54"/>
      <c r="G29" s="54"/>
      <c r="H29" s="54"/>
      <c r="I29" s="54"/>
      <c r="J29" s="54"/>
      <c r="K29" s="54"/>
      <c r="L29" s="55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45">
        <v>26</v>
      </c>
      <c r="B30" s="51" t="s">
        <v>63</v>
      </c>
      <c r="C30" s="52">
        <v>46229</v>
      </c>
      <c r="D30" s="53" t="s">
        <v>73</v>
      </c>
      <c r="E30" s="70" t="s">
        <v>78</v>
      </c>
      <c r="F30" s="64" t="s">
        <v>74</v>
      </c>
      <c r="G30" s="64" t="s">
        <v>79</v>
      </c>
      <c r="H30" s="54"/>
      <c r="I30" s="53">
        <v>1</v>
      </c>
      <c r="J30" s="53"/>
      <c r="K30" s="53">
        <v>1</v>
      </c>
      <c r="L30" s="55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24.75" customHeight="1">
      <c r="A31" s="45">
        <v>27</v>
      </c>
      <c r="B31" s="51" t="s">
        <v>64</v>
      </c>
      <c r="C31" s="52">
        <v>46230</v>
      </c>
      <c r="D31" s="53" t="s">
        <v>73</v>
      </c>
      <c r="E31" s="53" t="s">
        <v>69</v>
      </c>
      <c r="F31" s="53" t="s">
        <v>74</v>
      </c>
      <c r="G31" s="53" t="s">
        <v>69</v>
      </c>
      <c r="H31" s="54"/>
      <c r="I31" s="53">
        <v>1</v>
      </c>
      <c r="J31" s="53"/>
      <c r="K31" s="53">
        <v>1</v>
      </c>
      <c r="L31" s="55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24.75" customHeight="1">
      <c r="A32" s="45">
        <v>28</v>
      </c>
      <c r="B32" s="51" t="s">
        <v>66</v>
      </c>
      <c r="C32" s="52">
        <v>46231</v>
      </c>
      <c r="D32" s="53" t="s">
        <v>73</v>
      </c>
      <c r="E32" s="53" t="s">
        <v>69</v>
      </c>
      <c r="F32" s="53" t="s">
        <v>74</v>
      </c>
      <c r="G32" s="53" t="s">
        <v>69</v>
      </c>
      <c r="H32" s="54"/>
      <c r="I32" s="53">
        <v>1</v>
      </c>
      <c r="J32" s="53"/>
      <c r="K32" s="53">
        <v>1</v>
      </c>
      <c r="L32" s="55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24.75" customHeight="1">
      <c r="A33" s="45">
        <v>29</v>
      </c>
      <c r="B33" s="71" t="s">
        <v>68</v>
      </c>
      <c r="C33" s="72">
        <v>46232</v>
      </c>
      <c r="D33" s="73" t="s">
        <v>67</v>
      </c>
      <c r="E33" s="74"/>
      <c r="F33" s="74"/>
      <c r="G33" s="74"/>
      <c r="H33" s="74"/>
      <c r="I33" s="74"/>
      <c r="J33" s="74"/>
      <c r="K33" s="74"/>
      <c r="L33" s="75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24.75" customHeight="1">
      <c r="A34" s="45">
        <v>30</v>
      </c>
      <c r="B34" s="76" t="s">
        <v>60</v>
      </c>
      <c r="C34" s="77">
        <v>46233</v>
      </c>
      <c r="D34" s="78" t="s">
        <v>80</v>
      </c>
      <c r="E34" s="79"/>
      <c r="F34" s="79"/>
      <c r="G34" s="79"/>
      <c r="H34" s="79"/>
      <c r="I34" s="79"/>
      <c r="J34" s="79"/>
      <c r="K34" s="79"/>
      <c r="L34" s="80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24.75" customHeight="1">
      <c r="A35" s="81">
        <v>31</v>
      </c>
      <c r="B35" s="82" t="s">
        <v>61</v>
      </c>
      <c r="C35" s="83">
        <v>46234</v>
      </c>
      <c r="D35" s="84" t="s">
        <v>80</v>
      </c>
      <c r="E35" s="85"/>
      <c r="F35" s="85"/>
      <c r="G35" s="85"/>
      <c r="H35" s="85"/>
      <c r="I35" s="85"/>
      <c r="J35" s="85"/>
      <c r="K35" s="85"/>
      <c r="L35" s="86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30" customHeight="1">
      <c r="A36" s="410" t="s">
        <v>81</v>
      </c>
      <c r="B36" s="411"/>
      <c r="C36" s="411"/>
      <c r="D36" s="411"/>
      <c r="E36" s="411"/>
      <c r="F36" s="411"/>
      <c r="G36" s="412"/>
      <c r="H36" s="36">
        <f t="shared" ref="H36:K36" si="0">SUM(H5:H35)</f>
        <v>2</v>
      </c>
      <c r="I36" s="87">
        <f t="shared" si="0"/>
        <v>5</v>
      </c>
      <c r="J36" s="88">
        <f t="shared" si="0"/>
        <v>0</v>
      </c>
      <c r="K36" s="89">
        <f t="shared" si="0"/>
        <v>7</v>
      </c>
      <c r="L36" s="9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1"/>
      <c r="B37" s="31"/>
      <c r="C37" s="31"/>
      <c r="D37" s="31"/>
      <c r="E37" s="31"/>
    </row>
    <row r="38" spans="1:26" ht="14.25" customHeight="1">
      <c r="A38" s="31"/>
      <c r="B38" s="31"/>
      <c r="C38" s="31"/>
      <c r="D38" s="31"/>
      <c r="E38" s="31"/>
    </row>
    <row r="39" spans="1:26" ht="14.25" customHeight="1">
      <c r="A39" s="31"/>
      <c r="B39" s="31"/>
      <c r="C39" s="31"/>
      <c r="D39" s="31"/>
      <c r="E39" s="31"/>
    </row>
    <row r="40" spans="1:26" ht="14.25" customHeight="1">
      <c r="A40" s="31"/>
      <c r="B40" s="31"/>
      <c r="C40" s="31"/>
      <c r="D40" s="31"/>
      <c r="E40" s="31"/>
    </row>
    <row r="41" spans="1:26" ht="14.25" customHeight="1">
      <c r="A41" s="31"/>
      <c r="B41" s="31"/>
      <c r="C41" s="31"/>
      <c r="D41" s="31"/>
      <c r="E41" s="31"/>
    </row>
    <row r="42" spans="1:26" ht="14.25" customHeight="1">
      <c r="A42" s="31"/>
      <c r="B42" s="31"/>
      <c r="C42" s="31"/>
      <c r="D42" s="31"/>
      <c r="E42" s="31"/>
    </row>
    <row r="43" spans="1:26" ht="14.25" customHeight="1">
      <c r="A43" s="31"/>
      <c r="B43" s="31"/>
      <c r="C43" s="31"/>
      <c r="D43" s="31"/>
      <c r="E43" s="31"/>
    </row>
    <row r="44" spans="1:26" ht="14.25" customHeight="1">
      <c r="A44" s="31"/>
      <c r="B44" s="31"/>
      <c r="C44" s="31"/>
      <c r="D44" s="31"/>
      <c r="E44" s="31"/>
    </row>
    <row r="45" spans="1:26" ht="14.25" customHeight="1">
      <c r="A45" s="31"/>
      <c r="B45" s="31"/>
      <c r="C45" s="31"/>
      <c r="D45" s="31"/>
      <c r="E45" s="31"/>
    </row>
    <row r="46" spans="1:26" ht="14.25" customHeight="1">
      <c r="A46" s="31"/>
      <c r="B46" s="31"/>
      <c r="C46" s="31"/>
      <c r="D46" s="31"/>
      <c r="E46" s="31"/>
    </row>
    <row r="47" spans="1:26" ht="14.25" customHeight="1">
      <c r="A47" s="31"/>
      <c r="B47" s="31"/>
      <c r="C47" s="31"/>
      <c r="D47" s="31"/>
      <c r="E47" s="31"/>
    </row>
    <row r="48" spans="1:26" ht="14.25" customHeight="1">
      <c r="A48" s="31"/>
      <c r="B48" s="31"/>
      <c r="C48" s="31"/>
      <c r="D48" s="31"/>
      <c r="E48" s="31"/>
    </row>
    <row r="49" spans="1:5" ht="14.25" customHeight="1">
      <c r="A49" s="31"/>
      <c r="B49" s="31"/>
      <c r="C49" s="31"/>
      <c r="D49" s="31"/>
      <c r="E49" s="31"/>
    </row>
    <row r="50" spans="1:5" ht="14.25" customHeight="1">
      <c r="A50" s="31"/>
      <c r="B50" s="31"/>
      <c r="C50" s="31"/>
      <c r="D50" s="31"/>
      <c r="E50" s="31"/>
    </row>
    <row r="51" spans="1:5" ht="14.25" customHeight="1">
      <c r="A51" s="31"/>
      <c r="B51" s="31"/>
      <c r="C51" s="31"/>
      <c r="D51" s="31"/>
      <c r="E51" s="31"/>
    </row>
    <row r="52" spans="1:5" ht="14.25" customHeight="1">
      <c r="A52" s="31"/>
      <c r="B52" s="31"/>
      <c r="C52" s="31"/>
      <c r="D52" s="31"/>
      <c r="E52" s="31"/>
    </row>
    <row r="53" spans="1:5" ht="14.25" customHeight="1">
      <c r="A53" s="31"/>
      <c r="B53" s="31"/>
      <c r="C53" s="31"/>
      <c r="D53" s="31"/>
      <c r="E53" s="31"/>
    </row>
    <row r="54" spans="1:5" ht="14.25" customHeight="1">
      <c r="A54" s="31"/>
      <c r="B54" s="31"/>
      <c r="C54" s="31"/>
      <c r="D54" s="31"/>
      <c r="E54" s="31"/>
    </row>
    <row r="55" spans="1:5" ht="14.25" customHeight="1">
      <c r="A55" s="31"/>
      <c r="B55" s="31"/>
      <c r="C55" s="31"/>
      <c r="D55" s="31"/>
      <c r="E55" s="31"/>
    </row>
    <row r="56" spans="1:5" ht="14.25" customHeight="1">
      <c r="A56" s="31"/>
      <c r="B56" s="31"/>
      <c r="C56" s="31"/>
      <c r="D56" s="31"/>
      <c r="E56" s="31"/>
    </row>
    <row r="57" spans="1:5" ht="14.25" customHeight="1">
      <c r="A57" s="31"/>
      <c r="B57" s="31"/>
      <c r="C57" s="31"/>
      <c r="D57" s="31"/>
      <c r="E57" s="31"/>
    </row>
    <row r="58" spans="1:5" ht="14.25" customHeight="1">
      <c r="A58" s="31"/>
      <c r="B58" s="31"/>
      <c r="C58" s="31"/>
      <c r="D58" s="31"/>
      <c r="E58" s="31"/>
    </row>
    <row r="59" spans="1:5" ht="14.25" customHeight="1">
      <c r="A59" s="31"/>
      <c r="B59" s="31"/>
      <c r="C59" s="31"/>
      <c r="D59" s="31"/>
      <c r="E59" s="31"/>
    </row>
    <row r="60" spans="1:5" ht="14.25" customHeight="1">
      <c r="A60" s="31"/>
      <c r="B60" s="31"/>
      <c r="C60" s="31"/>
      <c r="D60" s="31"/>
      <c r="E60" s="31"/>
    </row>
    <row r="61" spans="1:5" ht="14.25" customHeight="1">
      <c r="A61" s="31"/>
      <c r="B61" s="31"/>
      <c r="C61" s="31"/>
      <c r="D61" s="31"/>
      <c r="E61" s="31"/>
    </row>
    <row r="62" spans="1:5" ht="14.25" customHeight="1">
      <c r="A62" s="31"/>
      <c r="B62" s="31"/>
      <c r="C62" s="31"/>
      <c r="D62" s="31"/>
      <c r="E62" s="31"/>
    </row>
    <row r="63" spans="1:5" ht="14.25" customHeight="1">
      <c r="A63" s="31"/>
      <c r="B63" s="31"/>
      <c r="C63" s="31"/>
      <c r="D63" s="31"/>
      <c r="E63" s="31"/>
    </row>
    <row r="64" spans="1:5" ht="14.25" customHeight="1">
      <c r="A64" s="31"/>
      <c r="B64" s="31"/>
      <c r="C64" s="31"/>
      <c r="D64" s="31"/>
      <c r="E64" s="31"/>
    </row>
    <row r="65" spans="1:5" ht="14.25" customHeight="1">
      <c r="A65" s="31"/>
      <c r="B65" s="31"/>
      <c r="C65" s="31"/>
      <c r="D65" s="31"/>
      <c r="E65" s="31"/>
    </row>
    <row r="66" spans="1:5" ht="14.25" customHeight="1">
      <c r="A66" s="31"/>
      <c r="B66" s="31"/>
      <c r="C66" s="31"/>
      <c r="D66" s="31"/>
      <c r="E66" s="31"/>
    </row>
    <row r="67" spans="1:5" ht="14.25" customHeight="1">
      <c r="A67" s="31"/>
      <c r="B67" s="31"/>
      <c r="C67" s="31"/>
      <c r="D67" s="31"/>
      <c r="E67" s="31"/>
    </row>
    <row r="68" spans="1:5" ht="14.25" customHeight="1">
      <c r="A68" s="31"/>
      <c r="B68" s="31"/>
      <c r="C68" s="31"/>
      <c r="D68" s="31"/>
      <c r="E68" s="31"/>
    </row>
    <row r="69" spans="1:5" ht="14.25" customHeight="1">
      <c r="A69" s="31"/>
      <c r="B69" s="31"/>
      <c r="C69" s="31"/>
      <c r="D69" s="31"/>
      <c r="E69" s="31"/>
    </row>
    <row r="70" spans="1:5" ht="14.25" customHeight="1">
      <c r="A70" s="31"/>
      <c r="B70" s="31"/>
      <c r="C70" s="31"/>
      <c r="D70" s="31"/>
      <c r="E70" s="31"/>
    </row>
    <row r="71" spans="1:5" ht="14.25" customHeight="1">
      <c r="A71" s="31"/>
      <c r="B71" s="31"/>
      <c r="C71" s="31"/>
      <c r="D71" s="31"/>
      <c r="E71" s="31"/>
    </row>
    <row r="72" spans="1:5" ht="14.25" customHeight="1">
      <c r="A72" s="31"/>
      <c r="B72" s="31"/>
      <c r="C72" s="31"/>
      <c r="D72" s="31"/>
      <c r="E72" s="31"/>
    </row>
    <row r="73" spans="1:5" ht="14.25" customHeight="1">
      <c r="A73" s="31"/>
      <c r="B73" s="31"/>
      <c r="C73" s="31"/>
      <c r="D73" s="31"/>
      <c r="E73" s="31"/>
    </row>
    <row r="74" spans="1:5" ht="14.25" customHeight="1">
      <c r="A74" s="31"/>
      <c r="B74" s="31"/>
      <c r="C74" s="31"/>
      <c r="D74" s="31"/>
      <c r="E74" s="31"/>
    </row>
    <row r="75" spans="1:5" ht="14.25" customHeight="1">
      <c r="A75" s="31"/>
      <c r="B75" s="31"/>
      <c r="C75" s="31"/>
      <c r="D75" s="31"/>
      <c r="E75" s="31"/>
    </row>
    <row r="76" spans="1:5" ht="14.25" customHeight="1">
      <c r="A76" s="31"/>
      <c r="B76" s="31"/>
      <c r="C76" s="31"/>
      <c r="D76" s="31"/>
      <c r="E76" s="31"/>
    </row>
    <row r="77" spans="1:5" ht="14.25" customHeight="1">
      <c r="A77" s="31"/>
      <c r="B77" s="31"/>
      <c r="C77" s="31"/>
      <c r="D77" s="31"/>
      <c r="E77" s="31"/>
    </row>
    <row r="78" spans="1:5" ht="14.25" customHeight="1">
      <c r="A78" s="31"/>
      <c r="B78" s="31"/>
      <c r="C78" s="31"/>
      <c r="D78" s="31"/>
      <c r="E78" s="31"/>
    </row>
    <row r="79" spans="1:5" ht="14.25" customHeight="1">
      <c r="A79" s="31"/>
      <c r="B79" s="31"/>
      <c r="C79" s="31"/>
      <c r="D79" s="31"/>
      <c r="E79" s="31"/>
    </row>
    <row r="80" spans="1:5" ht="14.25" customHeight="1">
      <c r="A80" s="31"/>
      <c r="B80" s="31"/>
      <c r="C80" s="31"/>
      <c r="D80" s="31"/>
      <c r="E80" s="31"/>
    </row>
    <row r="81" spans="1:5" ht="14.25" customHeight="1">
      <c r="A81" s="31"/>
      <c r="B81" s="31"/>
      <c r="C81" s="31"/>
      <c r="D81" s="31"/>
      <c r="E81" s="31"/>
    </row>
    <row r="82" spans="1:5" ht="14.25" customHeight="1">
      <c r="A82" s="31"/>
      <c r="B82" s="31"/>
      <c r="C82" s="31"/>
      <c r="D82" s="31"/>
      <c r="E82" s="31"/>
    </row>
    <row r="83" spans="1:5" ht="14.25" customHeight="1">
      <c r="A83" s="31"/>
      <c r="B83" s="31"/>
      <c r="C83" s="31"/>
      <c r="D83" s="31"/>
      <c r="E83" s="31"/>
    </row>
    <row r="84" spans="1:5" ht="14.25" customHeight="1">
      <c r="A84" s="31"/>
      <c r="B84" s="31"/>
      <c r="C84" s="31"/>
      <c r="D84" s="31"/>
      <c r="E84" s="31"/>
    </row>
    <row r="85" spans="1:5" ht="14.25" customHeight="1">
      <c r="A85" s="31"/>
      <c r="B85" s="31"/>
      <c r="C85" s="31"/>
      <c r="D85" s="31"/>
      <c r="E85" s="31"/>
    </row>
    <row r="86" spans="1:5" ht="14.25" customHeight="1">
      <c r="A86" s="31"/>
      <c r="B86" s="31"/>
      <c r="C86" s="31"/>
      <c r="D86" s="31"/>
      <c r="E86" s="31"/>
    </row>
    <row r="87" spans="1:5" ht="14.25" customHeight="1">
      <c r="A87" s="31"/>
      <c r="B87" s="31"/>
      <c r="C87" s="31"/>
      <c r="D87" s="31"/>
      <c r="E87" s="31"/>
    </row>
    <row r="88" spans="1:5" ht="14.25" customHeight="1">
      <c r="A88" s="31"/>
      <c r="B88" s="31"/>
      <c r="C88" s="31"/>
      <c r="D88" s="31"/>
      <c r="E88" s="31"/>
    </row>
    <row r="89" spans="1:5" ht="14.25" customHeight="1">
      <c r="A89" s="31"/>
      <c r="B89" s="31"/>
      <c r="C89" s="31"/>
      <c r="D89" s="31"/>
      <c r="E89" s="31"/>
    </row>
    <row r="90" spans="1:5" ht="14.25" customHeight="1">
      <c r="A90" s="31"/>
      <c r="B90" s="31"/>
      <c r="C90" s="31"/>
      <c r="D90" s="31"/>
      <c r="E90" s="31"/>
    </row>
    <row r="91" spans="1:5" ht="14.25" customHeight="1">
      <c r="A91" s="31"/>
      <c r="B91" s="31"/>
      <c r="C91" s="31"/>
      <c r="D91" s="31"/>
      <c r="E91" s="31"/>
    </row>
    <row r="92" spans="1:5" ht="14.25" customHeight="1">
      <c r="A92" s="31"/>
      <c r="B92" s="31"/>
      <c r="C92" s="31"/>
      <c r="D92" s="31"/>
      <c r="E92" s="31"/>
    </row>
    <row r="93" spans="1:5" ht="14.25" customHeight="1">
      <c r="A93" s="31"/>
      <c r="B93" s="31"/>
      <c r="C93" s="31"/>
      <c r="D93" s="31"/>
      <c r="E93" s="31"/>
    </row>
    <row r="94" spans="1:5" ht="14.25" customHeight="1">
      <c r="A94" s="31"/>
      <c r="B94" s="31"/>
      <c r="C94" s="31"/>
      <c r="D94" s="31"/>
      <c r="E94" s="31"/>
    </row>
    <row r="95" spans="1:5" ht="14.25" customHeight="1">
      <c r="A95" s="31"/>
      <c r="B95" s="31"/>
      <c r="C95" s="31"/>
      <c r="D95" s="31"/>
      <c r="E95" s="31"/>
    </row>
    <row r="96" spans="1:5" ht="14.25" customHeight="1">
      <c r="A96" s="31"/>
      <c r="B96" s="31"/>
      <c r="C96" s="31"/>
      <c r="D96" s="31"/>
      <c r="E96" s="31"/>
    </row>
    <row r="97" spans="1:5" ht="14.25" customHeight="1">
      <c r="A97" s="31"/>
      <c r="B97" s="31"/>
      <c r="C97" s="31"/>
      <c r="D97" s="31"/>
      <c r="E97" s="31"/>
    </row>
    <row r="98" spans="1:5" ht="14.25" customHeight="1">
      <c r="A98" s="31"/>
      <c r="B98" s="31"/>
      <c r="C98" s="31"/>
      <c r="D98" s="31"/>
      <c r="E98" s="31"/>
    </row>
    <row r="99" spans="1:5" ht="14.25" customHeight="1">
      <c r="A99" s="31"/>
      <c r="B99" s="31"/>
      <c r="C99" s="31"/>
      <c r="D99" s="31"/>
      <c r="E99" s="31"/>
    </row>
    <row r="100" spans="1:5" ht="14.25" customHeight="1">
      <c r="A100" s="31"/>
      <c r="B100" s="31"/>
      <c r="C100" s="31"/>
      <c r="D100" s="31"/>
      <c r="E100" s="31"/>
    </row>
  </sheetData>
  <mergeCells count="20">
    <mergeCell ref="L3:L4"/>
    <mergeCell ref="D21:D22"/>
    <mergeCell ref="A1:B1"/>
    <mergeCell ref="C1:L1"/>
    <mergeCell ref="A2:B2"/>
    <mergeCell ref="C2:L2"/>
    <mergeCell ref="A3:A4"/>
    <mergeCell ref="B3:B4"/>
    <mergeCell ref="K21:K22"/>
    <mergeCell ref="K23:K24"/>
    <mergeCell ref="A36:G36"/>
    <mergeCell ref="C3:C4"/>
    <mergeCell ref="D3:D4"/>
    <mergeCell ref="E3:G3"/>
    <mergeCell ref="H3:J3"/>
    <mergeCell ref="D26:D27"/>
    <mergeCell ref="I21:I22"/>
    <mergeCell ref="I23:I24"/>
    <mergeCell ref="D23:D24"/>
    <mergeCell ref="K3:K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01CB"/>
    <pageSetUpPr fitToPage="1"/>
  </sheetPr>
  <dimension ref="A1:M255"/>
  <sheetViews>
    <sheetView workbookViewId="0">
      <selection activeCell="G12" activeCellId="3" sqref="A12 B12:C12 D12:E12 G12"/>
    </sheetView>
  </sheetViews>
  <sheetFormatPr baseColWidth="10" defaultColWidth="14.44140625" defaultRowHeight="15" customHeight="1"/>
  <cols>
    <col min="1" max="1" width="23.44140625" customWidth="1"/>
    <col min="2" max="2" width="15.33203125" customWidth="1"/>
    <col min="3" max="3" width="11.33203125" customWidth="1"/>
    <col min="4" max="5" width="12.6640625" customWidth="1"/>
    <col min="6" max="6" width="12.44140625" customWidth="1"/>
    <col min="7" max="7" width="12.6640625" customWidth="1"/>
    <col min="8" max="8" width="11.33203125" customWidth="1"/>
    <col min="9" max="9" width="20.88671875" customWidth="1"/>
    <col min="10" max="10" width="21.6640625" customWidth="1"/>
    <col min="11" max="11" width="20.6640625" customWidth="1"/>
    <col min="12" max="12" width="21.33203125" customWidth="1"/>
    <col min="13" max="13" width="17.33203125" customWidth="1"/>
  </cols>
  <sheetData>
    <row r="1" spans="1:13" ht="14.25" customHeight="1">
      <c r="A1" s="439"/>
      <c r="B1" s="395"/>
      <c r="C1" s="395"/>
      <c r="D1" s="395"/>
      <c r="E1" s="395"/>
      <c r="F1" s="395"/>
      <c r="G1" s="395"/>
      <c r="H1" s="395"/>
      <c r="I1" s="396"/>
      <c r="J1" s="91"/>
      <c r="K1" s="91"/>
      <c r="L1" s="91"/>
      <c r="M1" s="91"/>
    </row>
    <row r="2" spans="1:13" ht="14.25" customHeight="1">
      <c r="A2" s="440"/>
      <c r="B2" s="441"/>
      <c r="C2" s="441"/>
      <c r="D2" s="441"/>
      <c r="E2" s="441"/>
      <c r="F2" s="441"/>
      <c r="G2" s="441"/>
      <c r="H2" s="441"/>
      <c r="I2" s="442"/>
      <c r="J2" s="92" t="s">
        <v>82</v>
      </c>
      <c r="K2" s="91"/>
      <c r="L2" s="91"/>
      <c r="M2" s="91"/>
    </row>
    <row r="3" spans="1:13" ht="14.25" customHeight="1">
      <c r="A3" s="440"/>
      <c r="B3" s="441"/>
      <c r="C3" s="441"/>
      <c r="D3" s="441"/>
      <c r="E3" s="441"/>
      <c r="F3" s="441"/>
      <c r="G3" s="441"/>
      <c r="H3" s="441"/>
      <c r="I3" s="442"/>
      <c r="J3" s="93" t="s">
        <v>83</v>
      </c>
      <c r="K3" s="91"/>
      <c r="L3" s="91"/>
      <c r="M3" s="91"/>
    </row>
    <row r="4" spans="1:13" ht="12.75" customHeight="1">
      <c r="A4" s="443"/>
      <c r="B4" s="401"/>
      <c r="C4" s="401"/>
      <c r="D4" s="401"/>
      <c r="E4" s="401"/>
      <c r="F4" s="401"/>
      <c r="G4" s="401"/>
      <c r="H4" s="401"/>
      <c r="I4" s="444"/>
      <c r="J4" s="91"/>
      <c r="K4" s="91"/>
      <c r="L4" s="91"/>
      <c r="M4" s="91"/>
    </row>
    <row r="5" spans="1:13" ht="19.5" customHeight="1">
      <c r="A5" s="445" t="s">
        <v>84</v>
      </c>
      <c r="B5" s="411"/>
      <c r="C5" s="411"/>
      <c r="D5" s="411"/>
      <c r="E5" s="411"/>
      <c r="F5" s="412"/>
      <c r="G5" s="427" t="s">
        <v>85</v>
      </c>
      <c r="H5" s="428"/>
      <c r="I5" s="94">
        <f>+I6+D12+G12+B12+H12+A12+D8</f>
        <v>2979079.8684100001</v>
      </c>
      <c r="J5" s="431" t="s">
        <v>86</v>
      </c>
      <c r="K5" s="430"/>
      <c r="L5" s="429" t="s">
        <v>87</v>
      </c>
      <c r="M5" s="430"/>
    </row>
    <row r="6" spans="1:13" ht="19.5" customHeight="1">
      <c r="A6" s="446" t="s">
        <v>88</v>
      </c>
      <c r="B6" s="447"/>
      <c r="C6" s="448"/>
      <c r="D6" s="95" t="s">
        <v>89</v>
      </c>
      <c r="E6" s="96" t="s">
        <v>90</v>
      </c>
      <c r="F6" s="97">
        <v>1</v>
      </c>
      <c r="G6" s="449" t="s">
        <v>91</v>
      </c>
      <c r="H6" s="450"/>
      <c r="I6" s="98">
        <f>2279462.98*17.1%+2279462.98</f>
        <v>2669251.14958</v>
      </c>
      <c r="J6" s="99" t="s">
        <v>45</v>
      </c>
      <c r="K6" s="100">
        <v>2669251.15</v>
      </c>
      <c r="L6" s="101" t="s">
        <v>92</v>
      </c>
      <c r="M6" s="102"/>
    </row>
    <row r="7" spans="1:13" ht="19.5" customHeight="1">
      <c r="A7" s="454" t="s">
        <v>93</v>
      </c>
      <c r="B7" s="103" t="s">
        <v>94</v>
      </c>
      <c r="C7" s="104">
        <v>0.32</v>
      </c>
      <c r="D7" s="421" t="s">
        <v>95</v>
      </c>
      <c r="E7" s="405"/>
      <c r="F7" s="453" t="s">
        <v>96</v>
      </c>
      <c r="G7" s="405"/>
      <c r="H7" s="421" t="s">
        <v>97</v>
      </c>
      <c r="I7" s="406"/>
      <c r="J7" s="99" t="s">
        <v>98</v>
      </c>
      <c r="K7" s="100"/>
      <c r="L7" t="s">
        <v>99</v>
      </c>
      <c r="M7" s="105">
        <f>+I6</f>
        <v>2669251.14958</v>
      </c>
    </row>
    <row r="8" spans="1:13" ht="19.5" customHeight="1">
      <c r="A8" s="397"/>
      <c r="B8" s="422">
        <f>+I6*32%</f>
        <v>854160.36786560004</v>
      </c>
      <c r="C8" s="405"/>
      <c r="D8" s="422">
        <v>0</v>
      </c>
      <c r="E8" s="406"/>
      <c r="F8" s="422">
        <f>+D54</f>
        <v>0</v>
      </c>
      <c r="G8" s="405"/>
      <c r="H8" s="422">
        <f>+B8+D8-F8</f>
        <v>854160.36786560004</v>
      </c>
      <c r="I8" s="406"/>
      <c r="J8" s="99" t="s">
        <v>100</v>
      </c>
      <c r="K8" s="100"/>
      <c r="L8" t="s">
        <v>101</v>
      </c>
      <c r="M8" s="105">
        <f>+A12</f>
        <v>87734.715899999996</v>
      </c>
    </row>
    <row r="9" spans="1:13" ht="19.5" customHeight="1">
      <c r="A9" s="454" t="s">
        <v>102</v>
      </c>
      <c r="B9" s="103" t="s">
        <v>94</v>
      </c>
      <c r="C9" s="104">
        <v>0.68</v>
      </c>
      <c r="D9" s="421" t="s">
        <v>95</v>
      </c>
      <c r="E9" s="405"/>
      <c r="F9" s="453" t="s">
        <v>96</v>
      </c>
      <c r="G9" s="405"/>
      <c r="H9" s="421" t="s">
        <v>103</v>
      </c>
      <c r="I9" s="406"/>
      <c r="J9" s="99" t="s">
        <v>104</v>
      </c>
      <c r="K9" s="100"/>
      <c r="L9" t="s">
        <v>105</v>
      </c>
      <c r="M9" s="105">
        <f>+B12</f>
        <v>154806.63326999999</v>
      </c>
    </row>
    <row r="10" spans="1:13" ht="19.5" customHeight="1">
      <c r="A10" s="397"/>
      <c r="B10" s="422">
        <f>+I6*68%</f>
        <v>1815090.7817144</v>
      </c>
      <c r="C10" s="405"/>
      <c r="D10" s="422">
        <f>+B12+D12+G12+A12+H12</f>
        <v>309828.71882999997</v>
      </c>
      <c r="E10" s="405"/>
      <c r="F10" s="452">
        <f>+I54</f>
        <v>12000</v>
      </c>
      <c r="G10" s="405"/>
      <c r="H10" s="422">
        <f>+B10+D10-F10</f>
        <v>2112919.5005444</v>
      </c>
      <c r="I10" s="406"/>
      <c r="J10" s="99" t="s">
        <v>106</v>
      </c>
      <c r="K10" s="100"/>
      <c r="L10" s="91" t="s">
        <v>107</v>
      </c>
      <c r="M10" s="105">
        <f>+G12</f>
        <v>23420</v>
      </c>
    </row>
    <row r="11" spans="1:13" ht="19.5" customHeight="1">
      <c r="A11" s="106" t="s">
        <v>108</v>
      </c>
      <c r="B11" s="421" t="s">
        <v>109</v>
      </c>
      <c r="C11" s="405"/>
      <c r="D11" s="421" t="s">
        <v>110</v>
      </c>
      <c r="E11" s="405"/>
      <c r="F11" s="107" t="s">
        <v>111</v>
      </c>
      <c r="G11" s="108">
        <v>2</v>
      </c>
      <c r="H11" s="451" t="s">
        <v>112</v>
      </c>
      <c r="I11" s="406"/>
      <c r="J11" s="99" t="s">
        <v>113</v>
      </c>
      <c r="K11" s="100"/>
      <c r="L11" s="91" t="s">
        <v>114</v>
      </c>
      <c r="M11" s="105">
        <f>D12</f>
        <v>43867.369659999997</v>
      </c>
    </row>
    <row r="12" spans="1:13" ht="19.5" customHeight="1">
      <c r="A12" s="109">
        <f>+M18</f>
        <v>87734.715899999996</v>
      </c>
      <c r="B12" s="422">
        <f>+M20</f>
        <v>154806.63326999999</v>
      </c>
      <c r="C12" s="405"/>
      <c r="D12" s="422">
        <f>+M22</f>
        <v>43867.369659999997</v>
      </c>
      <c r="E12" s="405"/>
      <c r="F12" s="110">
        <v>45323</v>
      </c>
      <c r="G12" s="111">
        <f>+M25</f>
        <v>23420</v>
      </c>
      <c r="H12" s="422"/>
      <c r="I12" s="406"/>
      <c r="J12" s="99" t="s">
        <v>81</v>
      </c>
      <c r="K12" s="100">
        <f>SUM(K6:K11)</f>
        <v>2669251.15</v>
      </c>
      <c r="L12" s="91" t="s">
        <v>115</v>
      </c>
      <c r="M12" s="105">
        <f>+H12</f>
        <v>0</v>
      </c>
    </row>
    <row r="13" spans="1:13" ht="19.5" customHeight="1">
      <c r="A13" s="106" t="s">
        <v>116</v>
      </c>
      <c r="B13" s="421" t="s">
        <v>117</v>
      </c>
      <c r="C13" s="405"/>
      <c r="D13" s="451" t="s">
        <v>118</v>
      </c>
      <c r="E13" s="405"/>
      <c r="F13" s="421" t="s">
        <v>119</v>
      </c>
      <c r="G13" s="405"/>
      <c r="H13" s="423" t="s">
        <v>120</v>
      </c>
      <c r="I13" s="424"/>
      <c r="J13" s="99" t="s">
        <v>121</v>
      </c>
      <c r="K13" s="100">
        <f>+K12/6</f>
        <v>444875.19166666665</v>
      </c>
      <c r="L13" s="112" t="s">
        <v>122</v>
      </c>
      <c r="M13" s="113">
        <f>SUM(M7:M12)</f>
        <v>2979079.8684100001</v>
      </c>
    </row>
    <row r="14" spans="1:13" ht="14.25" customHeight="1">
      <c r="A14" s="114" t="s">
        <v>123</v>
      </c>
      <c r="B14" s="432" t="s">
        <v>124</v>
      </c>
      <c r="C14" s="433"/>
      <c r="D14" s="461">
        <v>46143</v>
      </c>
      <c r="E14" s="433"/>
      <c r="F14" s="432" t="s">
        <v>125</v>
      </c>
      <c r="G14" s="433"/>
      <c r="H14" s="425">
        <f>+H8+H10</f>
        <v>2967079.8684100001</v>
      </c>
      <c r="I14" s="426"/>
      <c r="J14" s="99" t="s">
        <v>86</v>
      </c>
      <c r="K14" s="115">
        <f>+K13/2</f>
        <v>222437.59583333333</v>
      </c>
      <c r="L14" t="s">
        <v>126</v>
      </c>
      <c r="M14" s="105">
        <f>+F8+F10</f>
        <v>12000</v>
      </c>
    </row>
    <row r="15" spans="1:13" ht="24.75" customHeight="1">
      <c r="A15" s="116" t="s">
        <v>127</v>
      </c>
      <c r="B15" s="434" t="s">
        <v>128</v>
      </c>
      <c r="C15" s="435"/>
      <c r="D15" s="117" t="s">
        <v>129</v>
      </c>
      <c r="E15" s="434" t="s">
        <v>130</v>
      </c>
      <c r="F15" s="435"/>
      <c r="G15" s="434" t="s">
        <v>131</v>
      </c>
      <c r="H15" s="435"/>
      <c r="I15" s="118" t="s">
        <v>132</v>
      </c>
      <c r="J15" s="91"/>
      <c r="K15" s="91"/>
      <c r="L15" s="119" t="s">
        <v>133</v>
      </c>
      <c r="M15" s="120">
        <f>+M13-M14</f>
        <v>2967079.8684100001</v>
      </c>
    </row>
    <row r="16" spans="1:13" ht="15" customHeight="1">
      <c r="A16" s="121" t="s">
        <v>67</v>
      </c>
      <c r="B16" s="436" t="s">
        <v>68</v>
      </c>
      <c r="C16" s="437"/>
      <c r="D16" s="122">
        <v>46204</v>
      </c>
      <c r="E16" s="460"/>
      <c r="F16" s="437"/>
      <c r="G16" s="460"/>
      <c r="H16" s="437"/>
      <c r="I16" s="123">
        <v>0</v>
      </c>
      <c r="J16" s="91"/>
      <c r="K16" s="91"/>
    </row>
    <row r="17" spans="1:13" ht="15" customHeight="1">
      <c r="A17" s="124" t="s">
        <v>134</v>
      </c>
      <c r="B17" s="438" t="s">
        <v>60</v>
      </c>
      <c r="C17" s="405"/>
      <c r="D17" s="125">
        <v>46205</v>
      </c>
      <c r="E17" s="455" t="s">
        <v>135</v>
      </c>
      <c r="F17" s="405"/>
      <c r="G17" s="455" t="s">
        <v>136</v>
      </c>
      <c r="H17" s="405"/>
      <c r="I17" s="126">
        <v>8.77</v>
      </c>
      <c r="J17" s="91"/>
      <c r="K17" s="91"/>
      <c r="L17" s="127" t="s">
        <v>137</v>
      </c>
      <c r="M17" s="128"/>
    </row>
    <row r="18" spans="1:13" ht="15" customHeight="1">
      <c r="A18" s="124" t="s">
        <v>134</v>
      </c>
      <c r="B18" s="438" t="s">
        <v>61</v>
      </c>
      <c r="C18" s="405"/>
      <c r="D18" s="125">
        <v>46206</v>
      </c>
      <c r="E18" s="455" t="s">
        <v>138</v>
      </c>
      <c r="F18" s="405"/>
      <c r="G18" s="455" t="s">
        <v>139</v>
      </c>
      <c r="H18" s="405"/>
      <c r="I18" s="126">
        <v>8.6</v>
      </c>
      <c r="J18" s="91"/>
      <c r="K18" s="91"/>
      <c r="L18" s="129" t="s">
        <v>140</v>
      </c>
      <c r="M18" s="130">
        <f>74922.9*17.1%+74922.9</f>
        <v>87734.715899999996</v>
      </c>
    </row>
    <row r="19" spans="1:13" ht="15" customHeight="1">
      <c r="A19" s="131" t="s">
        <v>67</v>
      </c>
      <c r="B19" s="459" t="s">
        <v>62</v>
      </c>
      <c r="C19" s="405"/>
      <c r="D19" s="132">
        <v>46207</v>
      </c>
      <c r="E19" s="456"/>
      <c r="F19" s="405"/>
      <c r="G19" s="456"/>
      <c r="H19" s="405"/>
      <c r="I19" s="133">
        <v>0</v>
      </c>
      <c r="J19" s="91"/>
      <c r="K19" s="91"/>
      <c r="L19" s="127" t="s">
        <v>109</v>
      </c>
      <c r="M19" s="128"/>
    </row>
    <row r="20" spans="1:13" ht="15" customHeight="1">
      <c r="A20" s="131" t="s">
        <v>67</v>
      </c>
      <c r="B20" s="459" t="s">
        <v>63</v>
      </c>
      <c r="C20" s="405"/>
      <c r="D20" s="132">
        <v>46208</v>
      </c>
      <c r="E20" s="456"/>
      <c r="F20" s="405"/>
      <c r="G20" s="456"/>
      <c r="H20" s="405"/>
      <c r="I20" s="133">
        <v>0</v>
      </c>
      <c r="J20" s="91"/>
      <c r="K20" s="91"/>
      <c r="L20" s="129" t="s">
        <v>140</v>
      </c>
      <c r="M20" s="130">
        <f>132200.37*17.1%+132200.37</f>
        <v>154806.63326999999</v>
      </c>
    </row>
    <row r="21" spans="1:13" ht="15" customHeight="1">
      <c r="A21" s="134" t="s">
        <v>134</v>
      </c>
      <c r="B21" s="438" t="s">
        <v>64</v>
      </c>
      <c r="C21" s="405"/>
      <c r="D21" s="125">
        <v>46209</v>
      </c>
      <c r="E21" s="455" t="s">
        <v>141</v>
      </c>
      <c r="F21" s="405"/>
      <c r="G21" s="455" t="s">
        <v>142</v>
      </c>
      <c r="H21" s="405"/>
      <c r="I21" s="126">
        <v>8.4499999999999993</v>
      </c>
      <c r="J21" s="91"/>
      <c r="K21" s="91"/>
      <c r="L21" s="127" t="s">
        <v>143</v>
      </c>
      <c r="M21" s="128"/>
    </row>
    <row r="22" spans="1:13" ht="15" customHeight="1">
      <c r="A22" s="124" t="s">
        <v>144</v>
      </c>
      <c r="B22" s="438" t="s">
        <v>66</v>
      </c>
      <c r="C22" s="405"/>
      <c r="D22" s="125">
        <v>46210</v>
      </c>
      <c r="E22" s="455" t="s">
        <v>138</v>
      </c>
      <c r="F22" s="405"/>
      <c r="G22" s="455" t="s">
        <v>145</v>
      </c>
      <c r="H22" s="405"/>
      <c r="I22" s="126">
        <v>4</v>
      </c>
      <c r="J22" s="91"/>
      <c r="K22" s="91"/>
      <c r="L22" s="129" t="s">
        <v>140</v>
      </c>
      <c r="M22" s="130">
        <f>37461.46*17.1%+37461.46</f>
        <v>43867.369659999997</v>
      </c>
    </row>
    <row r="23" spans="1:13" ht="15" customHeight="1">
      <c r="A23" s="124" t="s">
        <v>134</v>
      </c>
      <c r="B23" s="438" t="s">
        <v>68</v>
      </c>
      <c r="C23" s="405"/>
      <c r="D23" s="125">
        <v>46211</v>
      </c>
      <c r="E23" s="455" t="s">
        <v>146</v>
      </c>
      <c r="F23" s="405"/>
      <c r="G23" s="455" t="s">
        <v>147</v>
      </c>
      <c r="H23" s="405"/>
      <c r="I23" s="126">
        <v>9.25</v>
      </c>
      <c r="J23" s="91"/>
      <c r="K23" s="91"/>
      <c r="L23" s="135" t="s">
        <v>111</v>
      </c>
      <c r="M23" s="91"/>
    </row>
    <row r="24" spans="1:13" ht="15" customHeight="1">
      <c r="A24" s="124" t="s">
        <v>134</v>
      </c>
      <c r="B24" s="438" t="s">
        <v>60</v>
      </c>
      <c r="C24" s="405"/>
      <c r="D24" s="125">
        <v>46212</v>
      </c>
      <c r="E24" s="455" t="s">
        <v>138</v>
      </c>
      <c r="F24" s="405"/>
      <c r="G24" s="455" t="s">
        <v>148</v>
      </c>
      <c r="H24" s="405"/>
      <c r="I24" s="126">
        <v>9.1300000000000008</v>
      </c>
      <c r="J24" s="91"/>
      <c r="K24" s="91"/>
      <c r="L24" s="129" t="s">
        <v>149</v>
      </c>
      <c r="M24" s="130">
        <f>12500*17.1%+12500</f>
        <v>14637.5</v>
      </c>
    </row>
    <row r="25" spans="1:13" ht="15" customHeight="1">
      <c r="A25" s="124" t="s">
        <v>134</v>
      </c>
      <c r="B25" s="438" t="s">
        <v>61</v>
      </c>
      <c r="C25" s="405"/>
      <c r="D25" s="125">
        <v>46213</v>
      </c>
      <c r="E25" s="455" t="s">
        <v>150</v>
      </c>
      <c r="F25" s="405"/>
      <c r="G25" s="455" t="s">
        <v>151</v>
      </c>
      <c r="H25" s="405"/>
      <c r="I25" s="126">
        <v>8.9700000000000006</v>
      </c>
      <c r="J25" s="91"/>
      <c r="K25" s="91"/>
      <c r="L25" s="129" t="s">
        <v>152</v>
      </c>
      <c r="M25" s="130">
        <f>20000*17.1%+20000</f>
        <v>23420</v>
      </c>
    </row>
    <row r="26" spans="1:13" ht="15" customHeight="1">
      <c r="A26" s="131" t="s">
        <v>67</v>
      </c>
      <c r="B26" s="459" t="s">
        <v>62</v>
      </c>
      <c r="C26" s="405"/>
      <c r="D26" s="132">
        <v>46214</v>
      </c>
      <c r="E26" s="456"/>
      <c r="F26" s="405"/>
      <c r="G26" s="456"/>
      <c r="H26" s="405"/>
      <c r="I26" s="133">
        <v>0</v>
      </c>
      <c r="J26" s="91"/>
      <c r="K26" s="91"/>
      <c r="L26" s="129" t="s">
        <v>153</v>
      </c>
      <c r="M26" s="130">
        <f>27500*17.1%+27500</f>
        <v>32202.5</v>
      </c>
    </row>
    <row r="27" spans="1:13" ht="15" customHeight="1">
      <c r="A27" s="131" t="s">
        <v>67</v>
      </c>
      <c r="B27" s="459" t="s">
        <v>63</v>
      </c>
      <c r="C27" s="405"/>
      <c r="D27" s="132">
        <v>46215</v>
      </c>
      <c r="E27" s="456"/>
      <c r="F27" s="405"/>
      <c r="G27" s="456"/>
      <c r="H27" s="405"/>
      <c r="I27" s="133">
        <v>0</v>
      </c>
      <c r="J27" s="91"/>
      <c r="K27" s="91"/>
      <c r="L27" s="129" t="s">
        <v>154</v>
      </c>
      <c r="M27" s="130">
        <f>35000*17.1%+35000</f>
        <v>40985</v>
      </c>
    </row>
    <row r="28" spans="1:13" ht="15" customHeight="1">
      <c r="A28" s="124" t="s">
        <v>59</v>
      </c>
      <c r="B28" s="438" t="s">
        <v>64</v>
      </c>
      <c r="C28" s="405"/>
      <c r="D28" s="125">
        <v>46216</v>
      </c>
      <c r="E28" s="458"/>
      <c r="F28" s="405"/>
      <c r="G28" s="458"/>
      <c r="H28" s="405"/>
      <c r="I28" s="126">
        <v>8</v>
      </c>
      <c r="J28" s="91"/>
      <c r="K28" s="91"/>
      <c r="L28" s="129" t="s">
        <v>155</v>
      </c>
      <c r="M28" s="130">
        <f>42500*17.1%+42500</f>
        <v>49767.5</v>
      </c>
    </row>
    <row r="29" spans="1:13" ht="15" customHeight="1">
      <c r="A29" s="124" t="s">
        <v>59</v>
      </c>
      <c r="B29" s="438" t="s">
        <v>66</v>
      </c>
      <c r="C29" s="405"/>
      <c r="D29" s="125">
        <v>46217</v>
      </c>
      <c r="E29" s="458"/>
      <c r="F29" s="405"/>
      <c r="G29" s="458"/>
      <c r="H29" s="405"/>
      <c r="I29" s="126">
        <v>8</v>
      </c>
      <c r="J29" s="91"/>
      <c r="K29" s="91"/>
      <c r="L29" s="129" t="s">
        <v>156</v>
      </c>
      <c r="M29" s="130">
        <f>63750*17.1%+63750</f>
        <v>74651.25</v>
      </c>
    </row>
    <row r="30" spans="1:13" ht="15" customHeight="1">
      <c r="A30" s="124" t="s">
        <v>59</v>
      </c>
      <c r="B30" s="438" t="s">
        <v>68</v>
      </c>
      <c r="C30" s="405"/>
      <c r="D30" s="125">
        <v>46218</v>
      </c>
      <c r="E30" s="458"/>
      <c r="F30" s="405"/>
      <c r="G30" s="458"/>
      <c r="H30" s="405"/>
      <c r="I30" s="126">
        <v>8</v>
      </c>
      <c r="J30" s="91"/>
      <c r="K30" s="91"/>
      <c r="L30" s="129" t="s">
        <v>157</v>
      </c>
      <c r="M30" s="130">
        <f>127500*17.1%+127500</f>
        <v>149302.5</v>
      </c>
    </row>
    <row r="31" spans="1:13" ht="15" customHeight="1">
      <c r="A31" s="124" t="s">
        <v>59</v>
      </c>
      <c r="B31" s="438" t="s">
        <v>60</v>
      </c>
      <c r="C31" s="405"/>
      <c r="D31" s="125">
        <v>46219</v>
      </c>
      <c r="E31" s="458"/>
      <c r="F31" s="405"/>
      <c r="G31" s="458"/>
      <c r="H31" s="405"/>
      <c r="I31" s="126">
        <v>8</v>
      </c>
      <c r="J31" s="91"/>
      <c r="K31" s="91"/>
      <c r="L31" s="129" t="s">
        <v>158</v>
      </c>
      <c r="M31" s="130">
        <f>200000*17.1%+200000</f>
        <v>234200</v>
      </c>
    </row>
    <row r="32" spans="1:13" ht="15" customHeight="1">
      <c r="A32" s="124" t="s">
        <v>59</v>
      </c>
      <c r="B32" s="438" t="s">
        <v>61</v>
      </c>
      <c r="C32" s="405"/>
      <c r="D32" s="125">
        <v>46220</v>
      </c>
      <c r="E32" s="458"/>
      <c r="F32" s="405"/>
      <c r="G32" s="458"/>
      <c r="H32" s="405"/>
      <c r="I32" s="126">
        <v>8</v>
      </c>
      <c r="J32" s="91"/>
      <c r="K32" s="91"/>
      <c r="L32" s="91"/>
      <c r="M32" s="91"/>
    </row>
    <row r="33" spans="1:13" ht="15" customHeight="1">
      <c r="A33" s="131" t="s">
        <v>59</v>
      </c>
      <c r="B33" s="459" t="s">
        <v>62</v>
      </c>
      <c r="C33" s="405"/>
      <c r="D33" s="132">
        <v>46221</v>
      </c>
      <c r="E33" s="456"/>
      <c r="F33" s="405"/>
      <c r="G33" s="456"/>
      <c r="H33" s="405"/>
      <c r="I33" s="133">
        <v>8</v>
      </c>
      <c r="J33" s="91"/>
      <c r="K33" s="91"/>
      <c r="L33" s="91"/>
      <c r="M33" s="91"/>
    </row>
    <row r="34" spans="1:13" ht="15" customHeight="1">
      <c r="A34" s="131" t="s">
        <v>59</v>
      </c>
      <c r="B34" s="459" t="s">
        <v>63</v>
      </c>
      <c r="C34" s="405"/>
      <c r="D34" s="132">
        <v>46222</v>
      </c>
      <c r="E34" s="456"/>
      <c r="F34" s="405"/>
      <c r="G34" s="456"/>
      <c r="H34" s="405"/>
      <c r="I34" s="133">
        <v>8</v>
      </c>
      <c r="J34" s="91"/>
      <c r="K34" s="91"/>
      <c r="L34" s="91"/>
      <c r="M34" s="91"/>
    </row>
    <row r="35" spans="1:13" ht="15" customHeight="1">
      <c r="A35" s="136" t="s">
        <v>67</v>
      </c>
      <c r="B35" s="465" t="s">
        <v>64</v>
      </c>
      <c r="C35" s="405"/>
      <c r="D35" s="137">
        <v>46223</v>
      </c>
      <c r="E35" s="457"/>
      <c r="F35" s="405"/>
      <c r="G35" s="457"/>
      <c r="H35" s="405"/>
      <c r="I35" s="138">
        <v>0</v>
      </c>
      <c r="J35" s="91"/>
      <c r="K35" s="91"/>
      <c r="L35" s="91"/>
      <c r="M35" s="91"/>
    </row>
    <row r="36" spans="1:13" ht="15" customHeight="1">
      <c r="A36" s="124" t="s">
        <v>134</v>
      </c>
      <c r="B36" s="438" t="s">
        <v>66</v>
      </c>
      <c r="C36" s="405"/>
      <c r="D36" s="125">
        <v>46224</v>
      </c>
      <c r="E36" s="455" t="s">
        <v>138</v>
      </c>
      <c r="F36" s="405"/>
      <c r="G36" s="455" t="s">
        <v>159</v>
      </c>
      <c r="H36" s="405"/>
      <c r="I36" s="126">
        <v>10</v>
      </c>
      <c r="J36" s="139" t="s">
        <v>160</v>
      </c>
      <c r="K36" s="91"/>
      <c r="L36" s="91"/>
      <c r="M36" s="91"/>
    </row>
    <row r="37" spans="1:13" ht="15" customHeight="1">
      <c r="A37" s="124" t="s">
        <v>134</v>
      </c>
      <c r="B37" s="438" t="s">
        <v>68</v>
      </c>
      <c r="C37" s="405"/>
      <c r="D37" s="125">
        <v>46225</v>
      </c>
      <c r="E37" s="455" t="s">
        <v>135</v>
      </c>
      <c r="F37" s="405"/>
      <c r="G37" s="455" t="s">
        <v>142</v>
      </c>
      <c r="H37" s="405"/>
      <c r="I37" s="126">
        <v>8.8000000000000007</v>
      </c>
      <c r="J37" s="139" t="s">
        <v>161</v>
      </c>
      <c r="K37" s="91"/>
      <c r="L37" s="91"/>
      <c r="M37" s="91"/>
    </row>
    <row r="38" spans="1:13" ht="15" customHeight="1">
      <c r="A38" s="124" t="s">
        <v>134</v>
      </c>
      <c r="B38" s="438" t="s">
        <v>60</v>
      </c>
      <c r="C38" s="405"/>
      <c r="D38" s="125">
        <v>46226</v>
      </c>
      <c r="E38" s="455" t="s">
        <v>162</v>
      </c>
      <c r="F38" s="405"/>
      <c r="G38" s="455" t="s">
        <v>148</v>
      </c>
      <c r="H38" s="405"/>
      <c r="I38" s="126">
        <v>8.93</v>
      </c>
      <c r="J38" s="91"/>
      <c r="K38" s="91"/>
      <c r="L38" s="91"/>
      <c r="M38" s="91"/>
    </row>
    <row r="39" spans="1:13" ht="15" customHeight="1">
      <c r="A39" s="124" t="s">
        <v>134</v>
      </c>
      <c r="B39" s="438" t="s">
        <v>61</v>
      </c>
      <c r="C39" s="405"/>
      <c r="D39" s="125">
        <v>46227</v>
      </c>
      <c r="E39" s="455" t="s">
        <v>163</v>
      </c>
      <c r="F39" s="405"/>
      <c r="G39" s="455" t="s">
        <v>164</v>
      </c>
      <c r="H39" s="405"/>
      <c r="I39" s="126">
        <v>9.15</v>
      </c>
      <c r="J39" s="91"/>
      <c r="K39" s="91"/>
      <c r="L39" s="91"/>
      <c r="M39" s="91"/>
    </row>
    <row r="40" spans="1:13" ht="15" customHeight="1">
      <c r="A40" s="131" t="s">
        <v>67</v>
      </c>
      <c r="B40" s="459" t="s">
        <v>62</v>
      </c>
      <c r="C40" s="405"/>
      <c r="D40" s="132">
        <v>46228</v>
      </c>
      <c r="E40" s="456"/>
      <c r="F40" s="405"/>
      <c r="G40" s="456"/>
      <c r="H40" s="405"/>
      <c r="I40" s="133">
        <v>0</v>
      </c>
      <c r="J40" s="91"/>
      <c r="K40" s="91"/>
      <c r="L40" s="91"/>
      <c r="M40" s="91"/>
    </row>
    <row r="41" spans="1:13" ht="15" customHeight="1">
      <c r="A41" s="131" t="s">
        <v>67</v>
      </c>
      <c r="B41" s="459" t="s">
        <v>63</v>
      </c>
      <c r="C41" s="405"/>
      <c r="D41" s="132">
        <v>46229</v>
      </c>
      <c r="E41" s="456"/>
      <c r="F41" s="405"/>
      <c r="G41" s="456"/>
      <c r="H41" s="405"/>
      <c r="I41" s="133">
        <v>0</v>
      </c>
      <c r="J41" s="91"/>
      <c r="K41" s="91"/>
      <c r="L41" s="91"/>
      <c r="M41" s="91"/>
    </row>
    <row r="42" spans="1:13" ht="15" customHeight="1">
      <c r="A42" s="124" t="s">
        <v>134</v>
      </c>
      <c r="B42" s="438" t="s">
        <v>64</v>
      </c>
      <c r="C42" s="405"/>
      <c r="D42" s="125">
        <v>46230</v>
      </c>
      <c r="E42" s="455" t="s">
        <v>165</v>
      </c>
      <c r="F42" s="405"/>
      <c r="G42" s="455" t="s">
        <v>136</v>
      </c>
      <c r="H42" s="405"/>
      <c r="I42" s="126">
        <v>8.85</v>
      </c>
      <c r="J42" s="91"/>
      <c r="K42" s="91"/>
      <c r="L42" s="91"/>
      <c r="M42" s="91"/>
    </row>
    <row r="43" spans="1:13" ht="15" customHeight="1">
      <c r="A43" s="124" t="s">
        <v>144</v>
      </c>
      <c r="B43" s="438" t="s">
        <v>66</v>
      </c>
      <c r="C43" s="405"/>
      <c r="D43" s="125">
        <v>46231</v>
      </c>
      <c r="E43" s="455" t="s">
        <v>138</v>
      </c>
      <c r="F43" s="405"/>
      <c r="G43" s="455" t="s">
        <v>166</v>
      </c>
      <c r="H43" s="405"/>
      <c r="I43" s="126">
        <v>9</v>
      </c>
      <c r="J43" s="91"/>
      <c r="K43" s="91"/>
      <c r="L43" s="91"/>
      <c r="M43" s="91"/>
    </row>
    <row r="44" spans="1:13" ht="15" customHeight="1">
      <c r="A44" s="124" t="s">
        <v>144</v>
      </c>
      <c r="B44" s="438" t="s">
        <v>68</v>
      </c>
      <c r="C44" s="405"/>
      <c r="D44" s="125">
        <v>46232</v>
      </c>
      <c r="E44" s="455" t="s">
        <v>138</v>
      </c>
      <c r="F44" s="405"/>
      <c r="G44" s="455" t="s">
        <v>166</v>
      </c>
      <c r="H44" s="405"/>
      <c r="I44" s="126">
        <v>9</v>
      </c>
      <c r="J44" s="91"/>
      <c r="K44" s="91"/>
      <c r="L44" s="91"/>
      <c r="M44" s="91"/>
    </row>
    <row r="45" spans="1:13" ht="15" customHeight="1">
      <c r="A45" s="124" t="s">
        <v>134</v>
      </c>
      <c r="B45" s="438" t="s">
        <v>60</v>
      </c>
      <c r="C45" s="405"/>
      <c r="D45" s="125">
        <v>46233</v>
      </c>
      <c r="E45" s="455" t="s">
        <v>167</v>
      </c>
      <c r="F45" s="405"/>
      <c r="G45" s="455" t="s">
        <v>168</v>
      </c>
      <c r="H45" s="405"/>
      <c r="I45" s="126">
        <v>9.07</v>
      </c>
      <c r="J45" s="91"/>
      <c r="K45" s="91"/>
      <c r="L45" s="91"/>
      <c r="M45" s="91"/>
    </row>
    <row r="46" spans="1:13" ht="15" customHeight="1">
      <c r="A46" s="140" t="s">
        <v>134</v>
      </c>
      <c r="B46" s="474" t="s">
        <v>61</v>
      </c>
      <c r="C46" s="467"/>
      <c r="D46" s="141">
        <v>46234</v>
      </c>
      <c r="E46" s="466" t="s">
        <v>169</v>
      </c>
      <c r="F46" s="467"/>
      <c r="G46" s="466" t="s">
        <v>170</v>
      </c>
      <c r="H46" s="467"/>
      <c r="I46" s="142">
        <v>8.85</v>
      </c>
      <c r="J46" s="91"/>
      <c r="K46" s="91"/>
      <c r="L46" s="91"/>
      <c r="M46" s="91"/>
    </row>
    <row r="47" spans="1:13" ht="14.25" customHeight="1">
      <c r="A47" s="143"/>
      <c r="B47" s="31"/>
      <c r="C47" s="144"/>
      <c r="D47" s="145"/>
      <c r="E47" s="145"/>
      <c r="F47" s="31"/>
      <c r="G47" s="471" t="s">
        <v>41</v>
      </c>
      <c r="H47" s="470"/>
      <c r="I47" s="146">
        <f>SUM(I16:I46)</f>
        <v>194.82</v>
      </c>
      <c r="J47" s="91"/>
      <c r="K47" s="91"/>
      <c r="L47" s="91"/>
      <c r="M47" s="91"/>
    </row>
    <row r="48" spans="1:13" ht="14.25" customHeight="1">
      <c r="A48" s="478" t="s">
        <v>171</v>
      </c>
      <c r="B48" s="411"/>
      <c r="C48" s="411"/>
      <c r="D48" s="412"/>
      <c r="E48" s="475" t="s">
        <v>172</v>
      </c>
      <c r="F48" s="411"/>
      <c r="G48" s="411"/>
      <c r="H48" s="411"/>
      <c r="I48" s="412"/>
      <c r="J48" s="91"/>
      <c r="K48" s="91"/>
      <c r="L48" s="91"/>
      <c r="M48" s="91"/>
    </row>
    <row r="49" spans="1:13" ht="14.25" customHeight="1">
      <c r="A49" s="477" t="s">
        <v>173</v>
      </c>
      <c r="B49" s="411"/>
      <c r="C49" s="411"/>
      <c r="D49" s="412"/>
      <c r="E49" s="477" t="s">
        <v>173</v>
      </c>
      <c r="F49" s="411"/>
      <c r="G49" s="411"/>
      <c r="H49" s="411"/>
      <c r="I49" s="412"/>
      <c r="J49" s="91"/>
      <c r="K49" s="91"/>
      <c r="L49" s="91"/>
      <c r="M49" s="91"/>
    </row>
    <row r="50" spans="1:13" ht="14.25" customHeight="1">
      <c r="A50" s="147" t="s">
        <v>5</v>
      </c>
      <c r="B50" s="481" t="s">
        <v>174</v>
      </c>
      <c r="C50" s="412"/>
      <c r="D50" s="148" t="s">
        <v>175</v>
      </c>
      <c r="E50" s="148" t="s">
        <v>5</v>
      </c>
      <c r="F50" s="476" t="s">
        <v>174</v>
      </c>
      <c r="G50" s="411"/>
      <c r="H50" s="412"/>
      <c r="I50" s="148" t="s">
        <v>176</v>
      </c>
      <c r="J50" s="91"/>
      <c r="K50" s="91"/>
      <c r="L50" s="91"/>
      <c r="M50" s="91"/>
    </row>
    <row r="51" spans="1:13" ht="14.25" customHeight="1">
      <c r="A51" s="149"/>
      <c r="B51" s="462"/>
      <c r="C51" s="463"/>
      <c r="D51" s="150"/>
      <c r="E51" s="151">
        <v>46234</v>
      </c>
      <c r="F51" s="473" t="s">
        <v>177</v>
      </c>
      <c r="G51" s="404"/>
      <c r="H51" s="405"/>
      <c r="I51" s="152">
        <v>12000</v>
      </c>
      <c r="J51" s="91"/>
      <c r="K51" s="91"/>
      <c r="L51" s="91"/>
      <c r="M51" s="91"/>
    </row>
    <row r="52" spans="1:13" ht="14.25" customHeight="1">
      <c r="A52" s="153"/>
      <c r="B52" s="464"/>
      <c r="C52" s="405"/>
      <c r="D52" s="154"/>
      <c r="E52" s="151"/>
      <c r="F52" s="473"/>
      <c r="G52" s="404"/>
      <c r="H52" s="405"/>
      <c r="I52" s="152"/>
      <c r="J52" s="91"/>
      <c r="K52" s="91"/>
      <c r="L52" s="91"/>
      <c r="M52" s="91"/>
    </row>
    <row r="53" spans="1:13" ht="14.25" customHeight="1">
      <c r="A53" s="153"/>
      <c r="B53" s="464"/>
      <c r="C53" s="405"/>
      <c r="D53" s="154"/>
      <c r="E53" s="151"/>
      <c r="F53" s="473"/>
      <c r="G53" s="404"/>
      <c r="H53" s="405"/>
      <c r="I53" s="152"/>
      <c r="J53" s="91"/>
      <c r="K53" s="91"/>
      <c r="L53" s="91"/>
      <c r="M53" s="91"/>
    </row>
    <row r="54" spans="1:13" ht="14.25" customHeight="1">
      <c r="A54" s="479" t="s">
        <v>81</v>
      </c>
      <c r="B54" s="411"/>
      <c r="C54" s="480"/>
      <c r="D54" s="155">
        <f>SUM(D51:D53)</f>
        <v>0</v>
      </c>
      <c r="E54" s="468" t="s">
        <v>81</v>
      </c>
      <c r="F54" s="469"/>
      <c r="G54" s="469"/>
      <c r="H54" s="470"/>
      <c r="I54" s="156">
        <f>SUM(I51:I53)</f>
        <v>12000</v>
      </c>
      <c r="J54" s="91"/>
      <c r="K54" s="91"/>
      <c r="L54" s="91"/>
      <c r="M54" s="91"/>
    </row>
    <row r="55" spans="1:13" ht="14.25" customHeight="1">
      <c r="E55" s="472" t="s">
        <v>178</v>
      </c>
      <c r="F55" s="411"/>
      <c r="G55" s="411"/>
      <c r="H55" s="412"/>
      <c r="I55" s="157">
        <v>0</v>
      </c>
      <c r="J55" s="91"/>
      <c r="K55" s="91"/>
      <c r="L55" s="91"/>
      <c r="M55" s="91"/>
    </row>
    <row r="56" spans="1:13" ht="14.2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</row>
    <row r="57" spans="1:13" ht="14.2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</row>
    <row r="58" spans="1:13" ht="14.2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</row>
    <row r="59" spans="1:13" ht="14.2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</row>
    <row r="60" spans="1:13" ht="14.2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</row>
    <row r="61" spans="1:13" ht="14.2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</row>
    <row r="62" spans="1:13" ht="14.2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</row>
    <row r="63" spans="1:13" ht="14.2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</row>
    <row r="64" spans="1:13" ht="14.2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</row>
    <row r="65" spans="1:13" ht="14.2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</row>
    <row r="66" spans="1:13" ht="14.2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</row>
    <row r="67" spans="1:13" ht="14.2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</row>
    <row r="68" spans="1:13" ht="14.2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</row>
    <row r="69" spans="1:13" ht="14.2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</row>
    <row r="70" spans="1:13" ht="14.2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</row>
    <row r="71" spans="1:13" ht="14.2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</row>
    <row r="72" spans="1:13" ht="14.2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</row>
    <row r="73" spans="1:13" ht="14.2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</row>
    <row r="74" spans="1:13" ht="14.2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</row>
    <row r="75" spans="1:13" ht="14.2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</row>
    <row r="76" spans="1:13" ht="14.2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</row>
    <row r="77" spans="1:13" ht="14.2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</row>
    <row r="78" spans="1:13" ht="14.2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</row>
    <row r="79" spans="1:13" ht="14.2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</row>
    <row r="80" spans="1:13" ht="14.2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</row>
    <row r="81" spans="1:13" ht="14.2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</row>
    <row r="82" spans="1:13" ht="14.2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</row>
    <row r="83" spans="1:13" ht="14.2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</row>
    <row r="84" spans="1:13" ht="14.2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</row>
    <row r="85" spans="1:13" ht="14.2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</row>
    <row r="86" spans="1:13" ht="14.2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</row>
    <row r="87" spans="1:13" ht="14.2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</row>
    <row r="88" spans="1:13" ht="14.2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</row>
    <row r="89" spans="1:13" ht="14.2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</row>
    <row r="90" spans="1:13" ht="14.2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</row>
    <row r="91" spans="1:13" ht="14.2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</row>
    <row r="92" spans="1:13" ht="14.2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</row>
    <row r="93" spans="1:13" ht="14.2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</row>
    <row r="94" spans="1:13" ht="14.2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</row>
    <row r="95" spans="1:13" ht="14.2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</row>
    <row r="96" spans="1:13" ht="14.2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</row>
    <row r="97" spans="1:13" ht="14.2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</row>
    <row r="98" spans="1:13" ht="14.2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</row>
    <row r="99" spans="1:13" ht="14.2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</row>
    <row r="100" spans="1:13" ht="14.2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</row>
    <row r="101" spans="1:13" ht="14.2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</row>
    <row r="102" spans="1:13" ht="14.2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</row>
    <row r="103" spans="1:13" ht="14.2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</row>
    <row r="104" spans="1:13" ht="14.2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</row>
    <row r="105" spans="1:13" ht="14.2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</row>
    <row r="106" spans="1:13" ht="14.2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</row>
    <row r="107" spans="1:13" ht="14.2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</row>
    <row r="108" spans="1:13" ht="14.2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</row>
    <row r="109" spans="1:13" ht="14.2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</row>
    <row r="110" spans="1:13" ht="14.2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</row>
    <row r="111" spans="1:13" ht="14.2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</row>
    <row r="112" spans="1:13" ht="14.2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</row>
    <row r="113" spans="1:13" ht="14.2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</row>
    <row r="114" spans="1:13" ht="14.2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</row>
    <row r="115" spans="1:13" ht="14.2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</row>
    <row r="116" spans="1:13" ht="14.2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</row>
    <row r="117" spans="1:13" ht="14.2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</row>
    <row r="118" spans="1:13" ht="14.2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</row>
    <row r="119" spans="1:13" ht="14.2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</row>
    <row r="120" spans="1:13" ht="14.2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</row>
    <row r="121" spans="1:13" ht="14.2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</row>
    <row r="122" spans="1:13" ht="14.2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</row>
    <row r="123" spans="1:13" ht="14.2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</row>
    <row r="124" spans="1:13" ht="14.2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</row>
    <row r="125" spans="1:13" ht="14.2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</row>
    <row r="126" spans="1:13" ht="14.2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</row>
    <row r="127" spans="1:13" ht="14.2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</row>
    <row r="128" spans="1:13" ht="14.2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</row>
    <row r="129" spans="1:13" ht="14.2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</row>
    <row r="130" spans="1:13" ht="14.2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</row>
    <row r="131" spans="1:13" ht="14.2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</row>
    <row r="132" spans="1:13" ht="14.2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</row>
    <row r="133" spans="1:13" ht="14.2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</row>
    <row r="134" spans="1:13" ht="14.2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</row>
    <row r="135" spans="1:13" ht="14.2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</row>
    <row r="136" spans="1:13" ht="14.2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</row>
    <row r="137" spans="1:13" ht="14.2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</row>
    <row r="138" spans="1:13" ht="14.2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</row>
    <row r="139" spans="1:13" ht="14.2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</row>
    <row r="140" spans="1:13" ht="14.2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</row>
    <row r="141" spans="1:13" ht="14.2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</row>
    <row r="142" spans="1:13" ht="14.2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</row>
    <row r="143" spans="1:13" ht="14.2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</row>
    <row r="144" spans="1:13" ht="14.2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</row>
    <row r="145" spans="1:13" ht="14.2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</row>
    <row r="146" spans="1:13" ht="14.2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</row>
    <row r="147" spans="1:13" ht="14.2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</row>
    <row r="148" spans="1:13" ht="14.2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</row>
    <row r="149" spans="1:13" ht="14.2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</row>
    <row r="150" spans="1:13" ht="14.2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</row>
    <row r="151" spans="1:13" ht="14.2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</row>
    <row r="152" spans="1:13" ht="14.2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</row>
    <row r="153" spans="1:13" ht="14.2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</row>
    <row r="154" spans="1:13" ht="14.2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</row>
    <row r="155" spans="1:13" ht="14.2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</row>
    <row r="156" spans="1:13" ht="14.2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</row>
    <row r="157" spans="1:13" ht="14.2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</row>
    <row r="158" spans="1:13" ht="14.2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</row>
    <row r="159" spans="1:13" ht="14.2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</row>
    <row r="160" spans="1:13" ht="14.2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</row>
    <row r="161" spans="1:13" ht="14.2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</row>
    <row r="162" spans="1:13" ht="14.2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</row>
    <row r="163" spans="1:13" ht="14.2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</row>
    <row r="164" spans="1:13" ht="14.2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</row>
    <row r="165" spans="1:13" ht="14.2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</row>
    <row r="166" spans="1:13" ht="14.2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</row>
    <row r="167" spans="1:13" ht="14.2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</row>
    <row r="168" spans="1:13" ht="14.2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</row>
    <row r="169" spans="1:13" ht="14.2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</row>
    <row r="170" spans="1:13" ht="14.2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</row>
    <row r="171" spans="1:13" ht="14.2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</row>
    <row r="172" spans="1:13" ht="14.2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</row>
    <row r="173" spans="1:13" ht="14.2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</row>
    <row r="174" spans="1:13" ht="14.2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</row>
    <row r="175" spans="1:13" ht="14.2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</row>
    <row r="176" spans="1:13" ht="14.2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</row>
    <row r="177" spans="1:13" ht="14.2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</row>
    <row r="178" spans="1:13" ht="14.2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</row>
    <row r="179" spans="1:13" ht="14.2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</row>
    <row r="180" spans="1:13" ht="14.2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</row>
    <row r="181" spans="1:13" ht="14.2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</row>
    <row r="182" spans="1:13" ht="14.2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</row>
    <row r="183" spans="1:13" ht="14.2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</row>
    <row r="184" spans="1:13" ht="14.2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</row>
    <row r="185" spans="1:13" ht="14.2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</row>
    <row r="186" spans="1:13" ht="14.2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</row>
    <row r="187" spans="1:13" ht="14.2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</row>
    <row r="188" spans="1:13" ht="14.2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</row>
    <row r="189" spans="1:13" ht="14.2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</row>
    <row r="190" spans="1:13" ht="14.2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</row>
    <row r="191" spans="1:13" ht="14.2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</row>
    <row r="192" spans="1:13" ht="14.2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</row>
    <row r="193" spans="1:13" ht="14.2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</row>
    <row r="194" spans="1:13" ht="14.2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</row>
    <row r="195" spans="1:13" ht="14.2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</row>
    <row r="196" spans="1:13" ht="14.2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</row>
    <row r="197" spans="1:13" ht="14.2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</row>
    <row r="198" spans="1:13" ht="14.2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</row>
    <row r="199" spans="1:13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</row>
    <row r="200" spans="1:13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</row>
    <row r="201" spans="1:13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</row>
    <row r="202" spans="1:13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</row>
    <row r="203" spans="1:1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</row>
    <row r="204" spans="1:13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</row>
    <row r="205" spans="1:13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</row>
    <row r="206" spans="1:13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</row>
    <row r="207" spans="1:13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</row>
    <row r="208" spans="1:13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</row>
    <row r="209" spans="1:13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</row>
    <row r="210" spans="1:13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</row>
    <row r="211" spans="1:13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</row>
    <row r="212" spans="1:13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</row>
    <row r="213" spans="1: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</row>
    <row r="214" spans="1:13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</row>
    <row r="215" spans="1:13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</row>
    <row r="216" spans="1:13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</row>
    <row r="217" spans="1:13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</row>
    <row r="218" spans="1:13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</row>
    <row r="219" spans="1:13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</row>
    <row r="220" spans="1:13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</row>
    <row r="221" spans="1:13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</row>
    <row r="222" spans="1:13" ht="15.75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</row>
    <row r="223" spans="1:13" ht="15.75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</row>
    <row r="224" spans="1:13" ht="15.75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</row>
    <row r="225" spans="1:13" ht="15.75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</row>
    <row r="226" spans="1:13" ht="15.75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</row>
    <row r="227" spans="1:13" ht="15.75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</row>
    <row r="228" spans="1:13" ht="15.75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</row>
    <row r="229" spans="1:13" ht="15.75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</row>
    <row r="230" spans="1:13" ht="15.75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</row>
    <row r="231" spans="1:13" ht="15.75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</row>
    <row r="232" spans="1:13" ht="15.75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</row>
    <row r="233" spans="1:13" ht="15.75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</row>
    <row r="234" spans="1:13" ht="15.75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</row>
    <row r="235" spans="1:13" ht="15.75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</row>
    <row r="236" spans="1:13" ht="15.75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</row>
    <row r="237" spans="1:13" ht="15.75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</row>
    <row r="238" spans="1:13" ht="15.75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</row>
    <row r="239" spans="1:13" ht="15.75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</row>
    <row r="240" spans="1:13" ht="15.75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</row>
    <row r="241" spans="1:13" ht="15.75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</row>
    <row r="242" spans="1:13" ht="15.75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</row>
    <row r="243" spans="1:13" ht="15.75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</row>
    <row r="244" spans="1:13" ht="15.75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</row>
    <row r="245" spans="1:13" ht="15.75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</row>
    <row r="246" spans="1:13" ht="15.75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</row>
    <row r="247" spans="1:13" ht="15.75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</row>
    <row r="248" spans="1:13" ht="15.75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</row>
    <row r="249" spans="1:13" ht="15.75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</row>
    <row r="250" spans="1:13" ht="15.75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</row>
    <row r="251" spans="1:13" ht="15.75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</row>
    <row r="252" spans="1:13" ht="15.75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</row>
    <row r="253" spans="1:13" ht="15.75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</row>
    <row r="254" spans="1:13" ht="15.75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</row>
    <row r="255" spans="1:13" ht="15.75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</row>
  </sheetData>
  <mergeCells count="149">
    <mergeCell ref="B27:C27"/>
    <mergeCell ref="B29:C29"/>
    <mergeCell ref="B30:C30"/>
    <mergeCell ref="E25:F25"/>
    <mergeCell ref="E30:F30"/>
    <mergeCell ref="E22:F22"/>
    <mergeCell ref="G46:H46"/>
    <mergeCell ref="E54:H54"/>
    <mergeCell ref="G47:H47"/>
    <mergeCell ref="E55:H55"/>
    <mergeCell ref="F53:H53"/>
    <mergeCell ref="E43:F43"/>
    <mergeCell ref="B46:C46"/>
    <mergeCell ref="E46:F46"/>
    <mergeCell ref="B44:C44"/>
    <mergeCell ref="E44:F44"/>
    <mergeCell ref="E48:I48"/>
    <mergeCell ref="F50:H50"/>
    <mergeCell ref="E49:I49"/>
    <mergeCell ref="F51:H51"/>
    <mergeCell ref="F52:H52"/>
    <mergeCell ref="A48:D48"/>
    <mergeCell ref="A49:D49"/>
    <mergeCell ref="B43:C43"/>
    <mergeCell ref="A54:C54"/>
    <mergeCell ref="B50:C50"/>
    <mergeCell ref="G23:H23"/>
    <mergeCell ref="G24:H24"/>
    <mergeCell ref="E24:F24"/>
    <mergeCell ref="E23:F23"/>
    <mergeCell ref="G29:H29"/>
    <mergeCell ref="G26:H26"/>
    <mergeCell ref="G27:H27"/>
    <mergeCell ref="B36:C36"/>
    <mergeCell ref="B35:C35"/>
    <mergeCell ref="B34:C34"/>
    <mergeCell ref="B31:C31"/>
    <mergeCell ref="B32:C32"/>
    <mergeCell ref="G32:H32"/>
    <mergeCell ref="G33:H33"/>
    <mergeCell ref="G28:H28"/>
    <mergeCell ref="E29:F29"/>
    <mergeCell ref="E28:F28"/>
    <mergeCell ref="B28:C28"/>
    <mergeCell ref="E31:F31"/>
    <mergeCell ref="E36:F36"/>
    <mergeCell ref="E34:F34"/>
    <mergeCell ref="E35:F35"/>
    <mergeCell ref="B23:C23"/>
    <mergeCell ref="B24:C24"/>
    <mergeCell ref="E15:F15"/>
    <mergeCell ref="E19:F19"/>
    <mergeCell ref="E20:F20"/>
    <mergeCell ref="E21:F21"/>
    <mergeCell ref="B51:C51"/>
    <mergeCell ref="B52:C52"/>
    <mergeCell ref="B53:C53"/>
    <mergeCell ref="B45:C45"/>
    <mergeCell ref="E45:F45"/>
    <mergeCell ref="B41:C41"/>
    <mergeCell ref="E42:F42"/>
    <mergeCell ref="E41:F41"/>
    <mergeCell ref="B42:C42"/>
    <mergeCell ref="B40:C40"/>
    <mergeCell ref="E40:F40"/>
    <mergeCell ref="E37:F37"/>
    <mergeCell ref="B37:C37"/>
    <mergeCell ref="E39:F39"/>
    <mergeCell ref="B39:C39"/>
    <mergeCell ref="E38:F38"/>
    <mergeCell ref="B38:C38"/>
    <mergeCell ref="B22:C22"/>
    <mergeCell ref="B25:C25"/>
    <mergeCell ref="B26:C26"/>
    <mergeCell ref="E32:F32"/>
    <mergeCell ref="E33:F33"/>
    <mergeCell ref="B33:C33"/>
    <mergeCell ref="E16:F16"/>
    <mergeCell ref="G15:H15"/>
    <mergeCell ref="G21:H21"/>
    <mergeCell ref="G25:H25"/>
    <mergeCell ref="G16:H16"/>
    <mergeCell ref="G43:H43"/>
    <mergeCell ref="G17:H17"/>
    <mergeCell ref="G20:H20"/>
    <mergeCell ref="G18:H18"/>
    <mergeCell ref="G19:H19"/>
    <mergeCell ref="G31:H31"/>
    <mergeCell ref="G22:H22"/>
    <mergeCell ref="G30:H30"/>
    <mergeCell ref="B18:C18"/>
    <mergeCell ref="B19:C19"/>
    <mergeCell ref="B20:C20"/>
    <mergeCell ref="B21:C21"/>
    <mergeCell ref="E17:F17"/>
    <mergeCell ref="E26:F26"/>
    <mergeCell ref="E27:F27"/>
    <mergeCell ref="E18:F18"/>
    <mergeCell ref="G45:H45"/>
    <mergeCell ref="G44:H44"/>
    <mergeCell ref="G41:H41"/>
    <mergeCell ref="G42:H42"/>
    <mergeCell ref="G35:H35"/>
    <mergeCell ref="G36:H36"/>
    <mergeCell ref="G34:H34"/>
    <mergeCell ref="G37:H37"/>
    <mergeCell ref="G40:H40"/>
    <mergeCell ref="G39:H39"/>
    <mergeCell ref="G38:H38"/>
    <mergeCell ref="B15:C15"/>
    <mergeCell ref="B16:C16"/>
    <mergeCell ref="B17:C17"/>
    <mergeCell ref="A1:I4"/>
    <mergeCell ref="A5:F5"/>
    <mergeCell ref="A6:C6"/>
    <mergeCell ref="G6:H6"/>
    <mergeCell ref="H11:I11"/>
    <mergeCell ref="F10:G10"/>
    <mergeCell ref="H10:I10"/>
    <mergeCell ref="F9:G9"/>
    <mergeCell ref="H9:I9"/>
    <mergeCell ref="A9:A10"/>
    <mergeCell ref="A7:A8"/>
    <mergeCell ref="D7:E7"/>
    <mergeCell ref="F7:G7"/>
    <mergeCell ref="H7:I7"/>
    <mergeCell ref="D8:E8"/>
    <mergeCell ref="F8:G8"/>
    <mergeCell ref="H8:I8"/>
    <mergeCell ref="D11:E11"/>
    <mergeCell ref="D9:E9"/>
    <mergeCell ref="D10:E10"/>
    <mergeCell ref="D13:E13"/>
    <mergeCell ref="B11:C11"/>
    <mergeCell ref="B12:C12"/>
    <mergeCell ref="D12:E12"/>
    <mergeCell ref="H12:I12"/>
    <mergeCell ref="F13:G13"/>
    <mergeCell ref="H13:I13"/>
    <mergeCell ref="H14:I14"/>
    <mergeCell ref="G5:H5"/>
    <mergeCell ref="L5:M5"/>
    <mergeCell ref="J5:K5"/>
    <mergeCell ref="F14:G14"/>
    <mergeCell ref="B10:C10"/>
    <mergeCell ref="B8:C8"/>
    <mergeCell ref="B13:C13"/>
    <mergeCell ref="B14:C14"/>
    <mergeCell ref="D14:E14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01CB"/>
    <pageSetUpPr fitToPage="1"/>
  </sheetPr>
  <dimension ref="A1:L272"/>
  <sheetViews>
    <sheetView workbookViewId="0">
      <selection activeCell="G8" sqref="G8:H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16.6640625" customWidth="1"/>
    <col min="8" max="8" width="17.441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158">
        <f>A8+C8+E8+G8+B10+C10+G12</f>
        <v>2104264.9828579999</v>
      </c>
      <c r="I5" s="431" t="s">
        <v>86</v>
      </c>
      <c r="J5" s="430"/>
      <c r="K5" s="429" t="str">
        <f>+B6</f>
        <v>ANDREA OLIVETTO</v>
      </c>
      <c r="L5" s="430"/>
    </row>
    <row r="6" spans="1:12" ht="24.75" customHeight="1">
      <c r="A6" s="159" t="s">
        <v>179</v>
      </c>
      <c r="B6" s="488" t="s">
        <v>180</v>
      </c>
      <c r="C6" s="405"/>
      <c r="D6" s="160" t="s">
        <v>181</v>
      </c>
      <c r="E6" s="161">
        <v>22793039</v>
      </c>
      <c r="F6" s="162" t="s">
        <v>89</v>
      </c>
      <c r="G6" s="163" t="s">
        <v>90</v>
      </c>
      <c r="H6" s="164">
        <v>2</v>
      </c>
      <c r="I6" s="99" t="s">
        <v>45</v>
      </c>
      <c r="J6" s="100">
        <v>1522461.84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1522461.8439100001</v>
      </c>
    </row>
    <row r="8" spans="1:12" ht="24.75" customHeight="1">
      <c r="A8" s="491">
        <f>1300138.21*17.1%+1300138.21</f>
        <v>1522461.8439100001</v>
      </c>
      <c r="B8" s="405"/>
      <c r="C8" s="492">
        <f>+L19</f>
        <v>67983.236409999998</v>
      </c>
      <c r="D8" s="405"/>
      <c r="E8" s="422">
        <f>+L21</f>
        <v>236219.84619000001</v>
      </c>
      <c r="F8" s="405"/>
      <c r="G8" s="489">
        <f>+L23</f>
        <v>127587.88585000001</v>
      </c>
      <c r="H8" s="406"/>
      <c r="I8" s="99" t="s">
        <v>100</v>
      </c>
      <c r="J8" s="100"/>
      <c r="K8" t="s">
        <v>184</v>
      </c>
      <c r="L8" s="105">
        <f>+C8</f>
        <v>67983.236409999998</v>
      </c>
    </row>
    <row r="9" spans="1:12" ht="24.75" customHeight="1">
      <c r="A9" s="166" t="s">
        <v>111</v>
      </c>
      <c r="B9" s="167">
        <v>4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236219.84619000001</v>
      </c>
    </row>
    <row r="10" spans="1:12" ht="24.75" customHeight="1">
      <c r="A10" s="168">
        <v>44621</v>
      </c>
      <c r="B10" s="130">
        <f>+L28</f>
        <v>40985</v>
      </c>
      <c r="C10" s="422">
        <v>0</v>
      </c>
      <c r="D10" s="405"/>
      <c r="E10" s="422">
        <f>+D55+H55</f>
        <v>800000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127587.88585000001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40985</v>
      </c>
    </row>
    <row r="12" spans="1:12" ht="24.75" customHeight="1">
      <c r="A12" s="171">
        <v>200</v>
      </c>
      <c r="B12" s="172">
        <f>+H48</f>
        <v>221.71999999999997</v>
      </c>
      <c r="C12" s="498">
        <f>+B12-A12</f>
        <v>21.71999999999997</v>
      </c>
      <c r="D12" s="405"/>
      <c r="E12" s="422">
        <f>4286.65*17.1%+4286.65</f>
        <v>5019.6671499999993</v>
      </c>
      <c r="F12" s="405"/>
      <c r="G12" s="422">
        <f>+C12*E12</f>
        <v>109027.17049799983</v>
      </c>
      <c r="H12" s="406"/>
      <c r="I12" s="99" t="s">
        <v>81</v>
      </c>
      <c r="J12" s="100">
        <f>SUM(J6:J11)</f>
        <v>1522461.84</v>
      </c>
      <c r="K12" s="91" t="s">
        <v>115</v>
      </c>
      <c r="L12" s="105">
        <f>+C10</f>
        <v>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253743.64</v>
      </c>
      <c r="K13" t="s">
        <v>191</v>
      </c>
      <c r="L13" s="105">
        <f>+G12</f>
        <v>109027.17049799983</v>
      </c>
    </row>
    <row r="14" spans="1:12" ht="24.75" customHeight="1">
      <c r="A14" s="461">
        <v>46143</v>
      </c>
      <c r="B14" s="433"/>
      <c r="C14" s="482" t="s">
        <v>125</v>
      </c>
      <c r="D14" s="467"/>
      <c r="E14" s="503" t="s">
        <v>192</v>
      </c>
      <c r="F14" s="504"/>
      <c r="G14" s="504"/>
      <c r="H14" s="505"/>
      <c r="I14" s="99" t="s">
        <v>86</v>
      </c>
      <c r="J14" s="115">
        <f>+J13/2</f>
        <v>126871.82</v>
      </c>
      <c r="K14" s="112" t="s">
        <v>122</v>
      </c>
      <c r="L14" s="113">
        <f>SUM(L7:L13)</f>
        <v>2104264.9828579999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1304264.9828579999</v>
      </c>
      <c r="H15" s="412"/>
      <c r="I15" s="91"/>
      <c r="K15" t="s">
        <v>126</v>
      </c>
      <c r="L15" s="105">
        <f>+E10</f>
        <v>800000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132</v>
      </c>
      <c r="I16" s="91"/>
      <c r="K16" s="119" t="s">
        <v>133</v>
      </c>
      <c r="L16" s="120">
        <f>+L14-L15</f>
        <v>1304264.9828579999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193</v>
      </c>
      <c r="E17" s="437"/>
      <c r="F17" s="510" t="s">
        <v>168</v>
      </c>
      <c r="G17" s="437"/>
      <c r="H17" s="179">
        <v>9.33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194</v>
      </c>
      <c r="E18" s="405"/>
      <c r="F18" s="495" t="s">
        <v>195</v>
      </c>
      <c r="G18" s="405"/>
      <c r="H18" s="181">
        <v>9.6999999999999993</v>
      </c>
      <c r="K18" s="127" t="s">
        <v>196</v>
      </c>
      <c r="L18" s="128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197</v>
      </c>
      <c r="E19" s="405"/>
      <c r="F19" s="495" t="s">
        <v>198</v>
      </c>
      <c r="G19" s="405"/>
      <c r="H19" s="181">
        <v>8.8000000000000007</v>
      </c>
      <c r="K19" s="129" t="s">
        <v>140</v>
      </c>
      <c r="L19" s="130">
        <f>58055.71*17.1%+58055.71</f>
        <v>67983.236409999998</v>
      </c>
    </row>
    <row r="20" spans="1:12" ht="15" customHeight="1">
      <c r="A20" s="182" t="s">
        <v>67</v>
      </c>
      <c r="B20" s="65" t="s">
        <v>62</v>
      </c>
      <c r="C20" s="66">
        <v>46207</v>
      </c>
      <c r="D20" s="497"/>
      <c r="E20" s="405"/>
      <c r="F20" s="497"/>
      <c r="G20" s="405"/>
      <c r="H20" s="183">
        <v>0</v>
      </c>
      <c r="K20" s="127" t="s">
        <v>137</v>
      </c>
      <c r="L20" s="128"/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K21" s="129" t="s">
        <v>140</v>
      </c>
      <c r="L21" s="130">
        <f>201724.89*17.1%+201724.89</f>
        <v>236219.84619000001</v>
      </c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200</v>
      </c>
      <c r="G22" s="405"/>
      <c r="H22" s="181">
        <v>9.4499999999999993</v>
      </c>
      <c r="K22" s="127" t="s">
        <v>109</v>
      </c>
      <c r="L22" s="128"/>
    </row>
    <row r="23" spans="1:12" ht="15" customHeight="1">
      <c r="A23" s="180" t="s">
        <v>144</v>
      </c>
      <c r="B23" s="51" t="s">
        <v>66</v>
      </c>
      <c r="C23" s="52">
        <v>46210</v>
      </c>
      <c r="D23" s="495" t="s">
        <v>138</v>
      </c>
      <c r="E23" s="405"/>
      <c r="F23" s="495" t="s">
        <v>145</v>
      </c>
      <c r="G23" s="405"/>
      <c r="H23" s="181">
        <v>4</v>
      </c>
      <c r="K23" s="129" t="s">
        <v>140</v>
      </c>
      <c r="L23" s="130">
        <f>108956.35*17.1%+108956.35</f>
        <v>127587.88585000001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201</v>
      </c>
      <c r="E24" s="405"/>
      <c r="F24" s="495" t="s">
        <v>202</v>
      </c>
      <c r="G24" s="405"/>
      <c r="H24" s="181">
        <v>9.27</v>
      </c>
      <c r="K24" s="135" t="s">
        <v>111</v>
      </c>
      <c r="L24" s="91"/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199</v>
      </c>
      <c r="E25" s="405"/>
      <c r="F25" s="495" t="s">
        <v>203</v>
      </c>
      <c r="G25" s="405"/>
      <c r="H25" s="181">
        <v>9.67</v>
      </c>
      <c r="K25" s="129" t="s">
        <v>149</v>
      </c>
      <c r="L25" s="130">
        <f>12500*17.1%+12500</f>
        <v>14637.5</v>
      </c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204</v>
      </c>
      <c r="E26" s="405"/>
      <c r="F26" s="495" t="s">
        <v>205</v>
      </c>
      <c r="G26" s="405"/>
      <c r="H26" s="181">
        <v>10.28</v>
      </c>
      <c r="K26" s="129" t="s">
        <v>152</v>
      </c>
      <c r="L26" s="130">
        <f>20000*17.1%+20000</f>
        <v>23420</v>
      </c>
    </row>
    <row r="27" spans="1:12" ht="15" customHeight="1">
      <c r="A27" s="182" t="s">
        <v>67</v>
      </c>
      <c r="B27" s="65" t="s">
        <v>62</v>
      </c>
      <c r="C27" s="66">
        <v>46214</v>
      </c>
      <c r="D27" s="497"/>
      <c r="E27" s="405"/>
      <c r="F27" s="497"/>
      <c r="G27" s="405"/>
      <c r="H27" s="183">
        <v>0</v>
      </c>
      <c r="J27" s="91"/>
      <c r="K27" s="129" t="s">
        <v>153</v>
      </c>
      <c r="L27" s="130">
        <f>27500*17.1%+27500</f>
        <v>32202.5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J28" s="91"/>
      <c r="K28" s="129" t="s">
        <v>154</v>
      </c>
      <c r="L28" s="130">
        <f>35000*17.1%+35000</f>
        <v>40985</v>
      </c>
    </row>
    <row r="29" spans="1:12" ht="15" customHeight="1">
      <c r="A29" s="184" t="s">
        <v>59</v>
      </c>
      <c r="B29" s="185" t="s">
        <v>64</v>
      </c>
      <c r="C29" s="125">
        <v>46216</v>
      </c>
      <c r="D29" s="458"/>
      <c r="E29" s="405"/>
      <c r="F29" s="458"/>
      <c r="G29" s="405"/>
      <c r="H29" s="126">
        <v>8</v>
      </c>
      <c r="K29" s="129" t="s">
        <v>155</v>
      </c>
      <c r="L29" s="130">
        <f>42500*17.1%+42500</f>
        <v>49767.5</v>
      </c>
    </row>
    <row r="30" spans="1:12" ht="15" customHeight="1">
      <c r="A30" s="184" t="s">
        <v>59</v>
      </c>
      <c r="B30" s="185" t="s">
        <v>66</v>
      </c>
      <c r="C30" s="125">
        <v>46217</v>
      </c>
      <c r="D30" s="458"/>
      <c r="E30" s="405"/>
      <c r="F30" s="458"/>
      <c r="G30" s="405"/>
      <c r="H30" s="126">
        <v>8</v>
      </c>
      <c r="K30" s="129" t="s">
        <v>156</v>
      </c>
      <c r="L30" s="130">
        <f>63750*17.1%+63750</f>
        <v>74651.25</v>
      </c>
    </row>
    <row r="31" spans="1:12" ht="15" customHeight="1">
      <c r="A31" s="184" t="s">
        <v>59</v>
      </c>
      <c r="B31" s="185" t="s">
        <v>68</v>
      </c>
      <c r="C31" s="125">
        <v>46218</v>
      </c>
      <c r="D31" s="458"/>
      <c r="E31" s="405"/>
      <c r="F31" s="458"/>
      <c r="G31" s="405"/>
      <c r="H31" s="126">
        <v>8</v>
      </c>
      <c r="K31" s="129" t="s">
        <v>157</v>
      </c>
      <c r="L31" s="130">
        <f>127500*17.1%+127500</f>
        <v>149302.5</v>
      </c>
    </row>
    <row r="32" spans="1:12" ht="15" customHeight="1">
      <c r="A32" s="186" t="s">
        <v>206</v>
      </c>
      <c r="B32" s="187" t="s">
        <v>60</v>
      </c>
      <c r="C32" s="188">
        <v>46219</v>
      </c>
      <c r="D32" s="496" t="s">
        <v>145</v>
      </c>
      <c r="E32" s="405"/>
      <c r="F32" s="496" t="s">
        <v>207</v>
      </c>
      <c r="G32" s="405"/>
      <c r="H32" s="189">
        <v>8</v>
      </c>
      <c r="K32" s="129" t="s">
        <v>158</v>
      </c>
      <c r="L32" s="130">
        <f>200000*17.1%+200000</f>
        <v>234200</v>
      </c>
    </row>
    <row r="33" spans="1:9" ht="15" customHeight="1">
      <c r="A33" s="184" t="s">
        <v>59</v>
      </c>
      <c r="B33" s="185" t="s">
        <v>61</v>
      </c>
      <c r="C33" s="125">
        <v>46220</v>
      </c>
      <c r="D33" s="458"/>
      <c r="E33" s="405"/>
      <c r="F33" s="458"/>
      <c r="G33" s="405"/>
      <c r="H33" s="126">
        <v>8</v>
      </c>
    </row>
    <row r="34" spans="1:9" ht="15" customHeight="1">
      <c r="A34" s="190" t="s">
        <v>59</v>
      </c>
      <c r="B34" s="191" t="s">
        <v>62</v>
      </c>
      <c r="C34" s="132">
        <v>46221</v>
      </c>
      <c r="D34" s="456"/>
      <c r="E34" s="405"/>
      <c r="F34" s="456"/>
      <c r="G34" s="405"/>
      <c r="H34" s="133">
        <v>8</v>
      </c>
    </row>
    <row r="35" spans="1:9" ht="15" customHeight="1">
      <c r="A35" s="190" t="s">
        <v>59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8</v>
      </c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208</v>
      </c>
      <c r="E36" s="405"/>
      <c r="F36" s="495" t="s">
        <v>209</v>
      </c>
      <c r="G36" s="405"/>
      <c r="H36" s="181">
        <v>9.1199999999999992</v>
      </c>
    </row>
    <row r="37" spans="1:9" ht="15" customHeight="1">
      <c r="A37" s="180" t="s">
        <v>134</v>
      </c>
      <c r="B37" s="51" t="s">
        <v>66</v>
      </c>
      <c r="C37" s="52">
        <v>46224</v>
      </c>
      <c r="D37" s="495" t="s">
        <v>210</v>
      </c>
      <c r="E37" s="405"/>
      <c r="F37" s="495" t="s">
        <v>211</v>
      </c>
      <c r="G37" s="405"/>
      <c r="H37" s="181">
        <v>9.6999999999999993</v>
      </c>
      <c r="I37" s="139" t="s">
        <v>212</v>
      </c>
    </row>
    <row r="38" spans="1:9" ht="15" customHeight="1">
      <c r="A38" s="180" t="s">
        <v>134</v>
      </c>
      <c r="B38" s="51" t="s">
        <v>68</v>
      </c>
      <c r="C38" s="52">
        <v>46225</v>
      </c>
      <c r="D38" s="495" t="s">
        <v>213</v>
      </c>
      <c r="E38" s="405"/>
      <c r="F38" s="495" t="s">
        <v>214</v>
      </c>
      <c r="G38" s="405"/>
      <c r="H38" s="181">
        <v>9.3699999999999992</v>
      </c>
    </row>
    <row r="39" spans="1:9" ht="15" customHeight="1">
      <c r="A39" s="180" t="s">
        <v>134</v>
      </c>
      <c r="B39" s="51" t="s">
        <v>60</v>
      </c>
      <c r="C39" s="52">
        <v>46226</v>
      </c>
      <c r="D39" s="495" t="s">
        <v>210</v>
      </c>
      <c r="E39" s="405"/>
      <c r="F39" s="495" t="s">
        <v>215</v>
      </c>
      <c r="G39" s="405"/>
      <c r="H39" s="181">
        <v>9.6300000000000008</v>
      </c>
    </row>
    <row r="40" spans="1:9" ht="15" customHeight="1">
      <c r="A40" s="180" t="s">
        <v>134</v>
      </c>
      <c r="B40" s="51" t="s">
        <v>61</v>
      </c>
      <c r="C40" s="52">
        <v>46227</v>
      </c>
      <c r="D40" s="495" t="s">
        <v>216</v>
      </c>
      <c r="E40" s="405"/>
      <c r="F40" s="495" t="s">
        <v>217</v>
      </c>
      <c r="G40" s="405"/>
      <c r="H40" s="181">
        <v>9.4499999999999993</v>
      </c>
    </row>
    <row r="41" spans="1:9" ht="15" customHeight="1">
      <c r="A41" s="182" t="s">
        <v>67</v>
      </c>
      <c r="B41" s="65" t="s">
        <v>62</v>
      </c>
      <c r="C41" s="66">
        <v>46228</v>
      </c>
      <c r="D41" s="497"/>
      <c r="E41" s="405"/>
      <c r="F41" s="497"/>
      <c r="G41" s="405"/>
      <c r="H41" s="183">
        <v>0</v>
      </c>
    </row>
    <row r="42" spans="1:9" ht="15" customHeight="1">
      <c r="A42" s="182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</row>
    <row r="43" spans="1:9" ht="15" customHeight="1">
      <c r="A43" s="180" t="s">
        <v>134</v>
      </c>
      <c r="B43" s="51" t="s">
        <v>64</v>
      </c>
      <c r="C43" s="52">
        <v>46230</v>
      </c>
      <c r="D43" s="495" t="s">
        <v>210</v>
      </c>
      <c r="E43" s="405"/>
      <c r="F43" s="495" t="s">
        <v>218</v>
      </c>
      <c r="G43" s="405"/>
      <c r="H43" s="181">
        <v>9.1999999999999993</v>
      </c>
    </row>
    <row r="44" spans="1:9" ht="15" customHeight="1">
      <c r="A44" s="180" t="s">
        <v>134</v>
      </c>
      <c r="B44" s="51" t="s">
        <v>66</v>
      </c>
      <c r="C44" s="52">
        <v>46231</v>
      </c>
      <c r="D44" s="495" t="s">
        <v>219</v>
      </c>
      <c r="E44" s="405"/>
      <c r="F44" s="495" t="s">
        <v>220</v>
      </c>
      <c r="G44" s="405"/>
      <c r="H44" s="181">
        <v>8.77</v>
      </c>
    </row>
    <row r="45" spans="1:9" ht="15" customHeight="1">
      <c r="A45" s="180" t="s">
        <v>134</v>
      </c>
      <c r="B45" s="51" t="s">
        <v>68</v>
      </c>
      <c r="C45" s="52">
        <v>46232</v>
      </c>
      <c r="D45" s="495" t="s">
        <v>221</v>
      </c>
      <c r="E45" s="405"/>
      <c r="F45" s="495" t="s">
        <v>222</v>
      </c>
      <c r="G45" s="405"/>
      <c r="H45" s="181">
        <v>10.7</v>
      </c>
    </row>
    <row r="46" spans="1:9" ht="15" customHeight="1">
      <c r="A46" s="180" t="s">
        <v>134</v>
      </c>
      <c r="B46" s="51" t="s">
        <v>60</v>
      </c>
      <c r="C46" s="52">
        <v>46233</v>
      </c>
      <c r="D46" s="495" t="s">
        <v>199</v>
      </c>
      <c r="E46" s="405"/>
      <c r="F46" s="495" t="s">
        <v>223</v>
      </c>
      <c r="G46" s="405"/>
      <c r="H46" s="181">
        <v>9.9</v>
      </c>
    </row>
    <row r="47" spans="1:9" ht="15" customHeight="1">
      <c r="A47" s="192" t="s">
        <v>134</v>
      </c>
      <c r="B47" s="193" t="s">
        <v>61</v>
      </c>
      <c r="C47" s="194">
        <v>46234</v>
      </c>
      <c r="D47" s="502" t="s">
        <v>224</v>
      </c>
      <c r="E47" s="467"/>
      <c r="F47" s="502" t="s">
        <v>225</v>
      </c>
      <c r="G47" s="467"/>
      <c r="H47" s="195">
        <v>9.3800000000000008</v>
      </c>
    </row>
    <row r="48" spans="1:9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221.71999999999997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</row>
    <row r="51" spans="1:8" ht="15" customHeight="1">
      <c r="A51" s="199" t="s">
        <v>5</v>
      </c>
      <c r="B51" s="481" t="s">
        <v>174</v>
      </c>
      <c r="C51" s="412"/>
      <c r="D51" s="199" t="s">
        <v>175</v>
      </c>
      <c r="E51" s="200" t="s">
        <v>5</v>
      </c>
      <c r="F51" s="476" t="s">
        <v>174</v>
      </c>
      <c r="G51" s="412"/>
      <c r="H51" s="201" t="s">
        <v>176</v>
      </c>
    </row>
    <row r="52" spans="1:8" ht="15" customHeight="1">
      <c r="A52" s="202">
        <v>46219</v>
      </c>
      <c r="B52" s="500" t="s">
        <v>227</v>
      </c>
      <c r="C52" s="437"/>
      <c r="D52" s="203">
        <v>300000</v>
      </c>
      <c r="E52" s="202"/>
      <c r="F52" s="500"/>
      <c r="G52" s="437"/>
      <c r="H52" s="203"/>
    </row>
    <row r="53" spans="1:8" ht="14.25" customHeight="1">
      <c r="A53" s="204">
        <v>46226</v>
      </c>
      <c r="B53" s="499" t="s">
        <v>228</v>
      </c>
      <c r="C53" s="405"/>
      <c r="D53" s="205">
        <v>400000</v>
      </c>
      <c r="E53" s="204"/>
      <c r="F53" s="499"/>
      <c r="G53" s="405"/>
      <c r="H53" s="205"/>
    </row>
    <row r="54" spans="1:8" ht="14.25" customHeight="1">
      <c r="A54" s="206">
        <v>46233</v>
      </c>
      <c r="B54" s="501" t="s">
        <v>228</v>
      </c>
      <c r="C54" s="467"/>
      <c r="D54" s="207">
        <v>100000</v>
      </c>
      <c r="E54" s="206"/>
      <c r="F54" s="501"/>
      <c r="G54" s="467"/>
      <c r="H54" s="207"/>
    </row>
    <row r="55" spans="1:8" ht="14.25" customHeight="1">
      <c r="A55" s="514" t="s">
        <v>81</v>
      </c>
      <c r="B55" s="469"/>
      <c r="C55" s="515"/>
      <c r="D55" s="208">
        <f>SUM(D52:D54)</f>
        <v>800000</v>
      </c>
      <c r="E55" s="507" t="s">
        <v>229</v>
      </c>
      <c r="F55" s="469"/>
      <c r="G55" s="470"/>
      <c r="H55" s="156">
        <f>+H52</f>
        <v>0</v>
      </c>
    </row>
    <row r="56" spans="1:8" ht="14.25" customHeight="1">
      <c r="D56" s="91"/>
      <c r="E56" s="472" t="s">
        <v>178</v>
      </c>
      <c r="F56" s="411"/>
      <c r="G56" s="412"/>
      <c r="H56" s="209">
        <v>0</v>
      </c>
    </row>
    <row r="57" spans="1:8" ht="14.25" customHeight="1">
      <c r="A57" s="516" t="s">
        <v>230</v>
      </c>
      <c r="B57" s="517"/>
      <c r="C57" s="517"/>
      <c r="D57" s="518"/>
    </row>
    <row r="58" spans="1:8" ht="14.25" customHeight="1">
      <c r="A58" s="519" t="s">
        <v>231</v>
      </c>
      <c r="B58" s="447"/>
      <c r="C58" s="437"/>
      <c r="D58" s="210" t="s">
        <v>232</v>
      </c>
    </row>
    <row r="59" spans="1:8" ht="14.25" customHeight="1">
      <c r="A59" s="512" t="s">
        <v>233</v>
      </c>
      <c r="B59" s="404"/>
      <c r="C59" s="405"/>
      <c r="D59" s="211">
        <v>-396.88</v>
      </c>
    </row>
    <row r="60" spans="1:8" ht="14.25" customHeight="1">
      <c r="A60" s="512" t="s">
        <v>234</v>
      </c>
      <c r="B60" s="404"/>
      <c r="C60" s="405"/>
      <c r="D60" s="211">
        <v>0</v>
      </c>
    </row>
    <row r="61" spans="1:8" ht="14.25" customHeight="1">
      <c r="A61" s="512" t="s">
        <v>235</v>
      </c>
      <c r="B61" s="404"/>
      <c r="C61" s="405"/>
      <c r="D61" s="211">
        <v>0</v>
      </c>
    </row>
    <row r="62" spans="1:8" ht="14.25" customHeight="1">
      <c r="A62" s="512" t="s">
        <v>236</v>
      </c>
      <c r="B62" s="404"/>
      <c r="C62" s="405"/>
      <c r="D62" s="211">
        <v>0</v>
      </c>
    </row>
    <row r="63" spans="1:8" ht="14.25" customHeight="1">
      <c r="A63" s="512" t="s">
        <v>237</v>
      </c>
      <c r="B63" s="404"/>
      <c r="C63" s="405"/>
      <c r="D63" s="211"/>
    </row>
    <row r="64" spans="1:8" ht="14.25" customHeight="1">
      <c r="A64" s="512" t="s">
        <v>238</v>
      </c>
      <c r="B64" s="404"/>
      <c r="C64" s="405"/>
      <c r="D64" s="211"/>
    </row>
    <row r="65" spans="1:4" ht="14.25" customHeight="1">
      <c r="A65" s="512" t="s">
        <v>239</v>
      </c>
      <c r="B65" s="404"/>
      <c r="C65" s="405"/>
      <c r="D65" s="211"/>
    </row>
    <row r="66" spans="1:4" ht="14.25" customHeight="1">
      <c r="A66" s="512" t="s">
        <v>45</v>
      </c>
      <c r="B66" s="404"/>
      <c r="C66" s="405"/>
      <c r="D66" s="211"/>
    </row>
    <row r="67" spans="1:4" ht="14.25" customHeight="1">
      <c r="A67" s="512" t="s">
        <v>98</v>
      </c>
      <c r="B67" s="404"/>
      <c r="C67" s="405"/>
      <c r="D67" s="211"/>
    </row>
    <row r="68" spans="1:4" ht="14.25" customHeight="1">
      <c r="A68" s="512" t="s">
        <v>100</v>
      </c>
      <c r="B68" s="404"/>
      <c r="C68" s="405"/>
      <c r="D68" s="211"/>
    </row>
    <row r="69" spans="1:4" ht="14.25" customHeight="1">
      <c r="A69" s="512" t="s">
        <v>104</v>
      </c>
      <c r="B69" s="404"/>
      <c r="C69" s="405"/>
      <c r="D69" s="211"/>
    </row>
    <row r="70" spans="1:4" ht="14.25" customHeight="1">
      <c r="A70" s="512" t="s">
        <v>106</v>
      </c>
      <c r="B70" s="404"/>
      <c r="C70" s="405"/>
      <c r="D70" s="211"/>
    </row>
    <row r="71" spans="1:4" ht="14.25" customHeight="1">
      <c r="A71" s="513" t="s">
        <v>113</v>
      </c>
      <c r="B71" s="504"/>
      <c r="C71" s="467"/>
      <c r="D71" s="212"/>
    </row>
    <row r="72" spans="1:4" ht="14.25" customHeight="1">
      <c r="A72" s="511" t="s">
        <v>81</v>
      </c>
      <c r="B72" s="411"/>
      <c r="C72" s="480"/>
      <c r="D72" s="213">
        <f>SUM(D59:D71)</f>
        <v>-396.88</v>
      </c>
    </row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</sheetData>
  <mergeCells count="128">
    <mergeCell ref="A72:C72"/>
    <mergeCell ref="A66:C66"/>
    <mergeCell ref="A67:C67"/>
    <mergeCell ref="A68:C68"/>
    <mergeCell ref="A69:C69"/>
    <mergeCell ref="A70:C70"/>
    <mergeCell ref="A71:C71"/>
    <mergeCell ref="A65:C65"/>
    <mergeCell ref="D35:E35"/>
    <mergeCell ref="D45:E45"/>
    <mergeCell ref="D36:E36"/>
    <mergeCell ref="A63:C63"/>
    <mergeCell ref="A64:C64"/>
    <mergeCell ref="A55:C55"/>
    <mergeCell ref="A57:D57"/>
    <mergeCell ref="A59:C59"/>
    <mergeCell ref="A58:C58"/>
    <mergeCell ref="A60:C60"/>
    <mergeCell ref="A61:C61"/>
    <mergeCell ref="A62:C62"/>
    <mergeCell ref="D23:E23"/>
    <mergeCell ref="D16:E16"/>
    <mergeCell ref="D17:E17"/>
    <mergeCell ref="D33:E33"/>
    <mergeCell ref="D34:E34"/>
    <mergeCell ref="D30:E30"/>
    <mergeCell ref="D31:E31"/>
    <mergeCell ref="F21:G21"/>
    <mergeCell ref="D22:E22"/>
    <mergeCell ref="F18:G18"/>
    <mergeCell ref="F19:G19"/>
    <mergeCell ref="F22:G22"/>
    <mergeCell ref="F23:G23"/>
    <mergeCell ref="F20:G20"/>
    <mergeCell ref="F48:G48"/>
    <mergeCell ref="F45:G45"/>
    <mergeCell ref="F53:G53"/>
    <mergeCell ref="E50:H50"/>
    <mergeCell ref="F51:G51"/>
    <mergeCell ref="F52:G52"/>
    <mergeCell ref="F54:G54"/>
    <mergeCell ref="E55:G55"/>
    <mergeCell ref="E56:G56"/>
    <mergeCell ref="D21:E21"/>
    <mergeCell ref="E13:H13"/>
    <mergeCell ref="E14:H14"/>
    <mergeCell ref="F46:G46"/>
    <mergeCell ref="F47:G47"/>
    <mergeCell ref="F36:G36"/>
    <mergeCell ref="D37:E37"/>
    <mergeCell ref="F37:G37"/>
    <mergeCell ref="D38:E38"/>
    <mergeCell ref="F38:G38"/>
    <mergeCell ref="D27:E27"/>
    <mergeCell ref="F27:G27"/>
    <mergeCell ref="D28:E28"/>
    <mergeCell ref="F28:G28"/>
    <mergeCell ref="D29:E29"/>
    <mergeCell ref="F29:G29"/>
    <mergeCell ref="D18:E18"/>
    <mergeCell ref="D19:E19"/>
    <mergeCell ref="D20:E20"/>
    <mergeCell ref="F16:G16"/>
    <mergeCell ref="F17:G17"/>
    <mergeCell ref="F33:G33"/>
    <mergeCell ref="F34:G34"/>
    <mergeCell ref="F35:G35"/>
    <mergeCell ref="B53:C53"/>
    <mergeCell ref="A50:D50"/>
    <mergeCell ref="B51:C51"/>
    <mergeCell ref="B52:C52"/>
    <mergeCell ref="B54:C54"/>
    <mergeCell ref="D46:E46"/>
    <mergeCell ref="D47:E47"/>
    <mergeCell ref="D44:E44"/>
    <mergeCell ref="D24:E24"/>
    <mergeCell ref="D25:E25"/>
    <mergeCell ref="D26:E26"/>
    <mergeCell ref="D32:E32"/>
    <mergeCell ref="D40:E40"/>
    <mergeCell ref="D41:E41"/>
    <mergeCell ref="D42:E42"/>
    <mergeCell ref="D43:E43"/>
    <mergeCell ref="D39:E39"/>
    <mergeCell ref="F44:G44"/>
    <mergeCell ref="F24:G24"/>
    <mergeCell ref="F25:G25"/>
    <mergeCell ref="F26:G26"/>
    <mergeCell ref="F32:G32"/>
    <mergeCell ref="F40:G40"/>
    <mergeCell ref="F41:G41"/>
    <mergeCell ref="F42:G42"/>
    <mergeCell ref="F43:G43"/>
    <mergeCell ref="F39:G39"/>
    <mergeCell ref="F30:G30"/>
    <mergeCell ref="F31:G31"/>
    <mergeCell ref="K5:L5"/>
    <mergeCell ref="B6:C6"/>
    <mergeCell ref="C7:D7"/>
    <mergeCell ref="E7:F7"/>
    <mergeCell ref="G7:H7"/>
    <mergeCell ref="G8:H8"/>
    <mergeCell ref="A7:B7"/>
    <mergeCell ref="A8:B8"/>
    <mergeCell ref="E12:F12"/>
    <mergeCell ref="G12:H12"/>
    <mergeCell ref="C8:D8"/>
    <mergeCell ref="E8:F8"/>
    <mergeCell ref="C9:D9"/>
    <mergeCell ref="E9:F9"/>
    <mergeCell ref="C10:D10"/>
    <mergeCell ref="E10:F10"/>
    <mergeCell ref="C11:D11"/>
    <mergeCell ref="C12:D12"/>
    <mergeCell ref="C14:D14"/>
    <mergeCell ref="I5:J5"/>
    <mergeCell ref="G9:H9"/>
    <mergeCell ref="G10:H10"/>
    <mergeCell ref="E11:F11"/>
    <mergeCell ref="G11:H11"/>
    <mergeCell ref="A1:H4"/>
    <mergeCell ref="G15:H15"/>
    <mergeCell ref="A5:E5"/>
    <mergeCell ref="F5:G5"/>
    <mergeCell ref="A15:F15"/>
    <mergeCell ref="A13:B13"/>
    <mergeCell ref="A14:B14"/>
    <mergeCell ref="C13:D13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01CB"/>
    <pageSetUpPr fitToPage="1"/>
  </sheetPr>
  <dimension ref="A1:L271"/>
  <sheetViews>
    <sheetView workbookViewId="0">
      <selection activeCell="G8" sqref="G8:H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158">
        <f>A8+C8+E8+G8+B10+C10+G12</f>
        <v>1456957.0852079999</v>
      </c>
      <c r="I5" s="431" t="s">
        <v>86</v>
      </c>
      <c r="J5" s="430"/>
      <c r="K5" s="429" t="str">
        <f>+B6</f>
        <v xml:space="preserve">HERRERA LORENA </v>
      </c>
      <c r="L5" s="430"/>
    </row>
    <row r="6" spans="1:12" ht="24.75" customHeight="1">
      <c r="A6" s="159" t="s">
        <v>179</v>
      </c>
      <c r="B6" s="520" t="s">
        <v>240</v>
      </c>
      <c r="C6" s="480"/>
      <c r="D6" s="160" t="s">
        <v>181</v>
      </c>
      <c r="E6" s="214">
        <v>30474212</v>
      </c>
      <c r="F6" s="162" t="s">
        <v>89</v>
      </c>
      <c r="G6" s="163" t="s">
        <v>90</v>
      </c>
      <c r="H6" s="164">
        <v>3</v>
      </c>
      <c r="I6" s="99" t="s">
        <v>45</v>
      </c>
      <c r="J6" s="100">
        <v>1001007.66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1001007.66308</v>
      </c>
    </row>
    <row r="8" spans="1:12" ht="24.75" customHeight="1">
      <c r="A8" s="491">
        <f>854831.48*17.1%+854831.48</f>
        <v>1001007.66308</v>
      </c>
      <c r="B8" s="405"/>
      <c r="C8" s="492">
        <f>+L19</f>
        <v>47455.173139999999</v>
      </c>
      <c r="D8" s="405"/>
      <c r="E8" s="422">
        <f>+L21</f>
        <v>106774.15713000001</v>
      </c>
      <c r="F8" s="405"/>
      <c r="G8" s="422">
        <f>+L23</f>
        <v>122484.36339</v>
      </c>
      <c r="H8" s="406"/>
      <c r="I8" s="99" t="s">
        <v>100</v>
      </c>
      <c r="J8" s="100"/>
      <c r="K8" t="s">
        <v>184</v>
      </c>
      <c r="L8" s="105">
        <f>+C8</f>
        <v>47455.173139999999</v>
      </c>
    </row>
    <row r="9" spans="1:12" ht="24.75" customHeight="1">
      <c r="A9" s="166" t="s">
        <v>111</v>
      </c>
      <c r="B9" s="167">
        <v>3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106774.15713000001</v>
      </c>
    </row>
    <row r="10" spans="1:12" ht="24.75" customHeight="1">
      <c r="A10" s="215">
        <v>44835</v>
      </c>
      <c r="B10" s="130">
        <f>+L27</f>
        <v>32202.5</v>
      </c>
      <c r="C10" s="422">
        <v>0</v>
      </c>
      <c r="D10" s="405"/>
      <c r="E10" s="422">
        <f>+D54+H54</f>
        <v>300000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122484.36339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32202.5</v>
      </c>
    </row>
    <row r="12" spans="1:12" ht="24.75" customHeight="1">
      <c r="A12" s="171">
        <v>180</v>
      </c>
      <c r="B12" s="172">
        <f>+H48</f>
        <v>219.9</v>
      </c>
      <c r="C12" s="498">
        <f>+B12-A12</f>
        <v>39.900000000000006</v>
      </c>
      <c r="D12" s="405"/>
      <c r="E12" s="422">
        <f>3146.92*17.1%+3146.92</f>
        <v>3685.0433200000002</v>
      </c>
      <c r="F12" s="405"/>
      <c r="G12" s="422">
        <f>+C12*E12</f>
        <v>147033.22846800002</v>
      </c>
      <c r="H12" s="406"/>
      <c r="I12" s="99" t="s">
        <v>81</v>
      </c>
      <c r="J12" s="100">
        <f>SUM(J6:J11)</f>
        <v>1001007.66</v>
      </c>
      <c r="K12" s="91" t="s">
        <v>115</v>
      </c>
      <c r="L12" s="105">
        <f>+C10</f>
        <v>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166834.61000000002</v>
      </c>
      <c r="K13" t="s">
        <v>191</v>
      </c>
      <c r="L13" s="105">
        <f>+G12</f>
        <v>147033.22846800002</v>
      </c>
    </row>
    <row r="14" spans="1:12" ht="24.75" customHeight="1">
      <c r="A14" s="461">
        <v>46143</v>
      </c>
      <c r="B14" s="433"/>
      <c r="C14" s="482" t="s">
        <v>125</v>
      </c>
      <c r="D14" s="467"/>
      <c r="E14" s="503" t="s">
        <v>192</v>
      </c>
      <c r="F14" s="504"/>
      <c r="G14" s="504"/>
      <c r="H14" s="505"/>
      <c r="I14" s="99" t="s">
        <v>86</v>
      </c>
      <c r="J14" s="115">
        <f>+J13/2</f>
        <v>83417.305000000008</v>
      </c>
      <c r="K14" s="112" t="s">
        <v>122</v>
      </c>
      <c r="L14" s="113">
        <f>SUM(L7:L13)</f>
        <v>1456957.0852079999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1156957.0852079999</v>
      </c>
      <c r="H15" s="412"/>
      <c r="I15" s="91"/>
      <c r="K15" t="s">
        <v>126</v>
      </c>
      <c r="L15" s="105">
        <f>+E10</f>
        <v>300000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434" t="s">
        <v>130</v>
      </c>
      <c r="E16" s="435"/>
      <c r="F16" s="434" t="s">
        <v>131</v>
      </c>
      <c r="G16" s="435"/>
      <c r="H16" s="175" t="s">
        <v>132</v>
      </c>
      <c r="I16" s="91"/>
      <c r="K16" s="119" t="s">
        <v>133</v>
      </c>
      <c r="L16" s="120">
        <f>+L14-L15</f>
        <v>1156957.0852079999</v>
      </c>
    </row>
    <row r="17" spans="1:12" ht="15" customHeight="1">
      <c r="A17" s="216" t="s">
        <v>59</v>
      </c>
      <c r="B17" s="217" t="s">
        <v>58</v>
      </c>
      <c r="C17" s="218">
        <v>46204</v>
      </c>
      <c r="D17" s="521"/>
      <c r="E17" s="437"/>
      <c r="F17" s="521"/>
      <c r="G17" s="437"/>
      <c r="H17" s="219">
        <v>8</v>
      </c>
      <c r="I17" s="91"/>
    </row>
    <row r="18" spans="1:12" ht="15" customHeight="1">
      <c r="A18" s="184" t="s">
        <v>59</v>
      </c>
      <c r="B18" s="185" t="s">
        <v>60</v>
      </c>
      <c r="C18" s="125">
        <v>46205</v>
      </c>
      <c r="D18" s="458"/>
      <c r="E18" s="405"/>
      <c r="F18" s="458"/>
      <c r="G18" s="405"/>
      <c r="H18" s="126">
        <v>8</v>
      </c>
      <c r="I18" s="91"/>
      <c r="K18" s="127" t="s">
        <v>196</v>
      </c>
      <c r="L18" s="128"/>
    </row>
    <row r="19" spans="1:12" ht="15" customHeight="1">
      <c r="A19" s="184" t="s">
        <v>59</v>
      </c>
      <c r="B19" s="185" t="s">
        <v>61</v>
      </c>
      <c r="C19" s="125">
        <v>46206</v>
      </c>
      <c r="D19" s="458"/>
      <c r="E19" s="405"/>
      <c r="F19" s="458"/>
      <c r="G19" s="405"/>
      <c r="H19" s="126">
        <v>8</v>
      </c>
      <c r="I19" s="91"/>
      <c r="K19" s="129" t="s">
        <v>140</v>
      </c>
      <c r="L19" s="130">
        <f>40525.34*17.1%+40525.34</f>
        <v>47455.173139999999</v>
      </c>
    </row>
    <row r="20" spans="1:12" ht="15" customHeight="1">
      <c r="A20" s="190" t="s">
        <v>59</v>
      </c>
      <c r="B20" s="191" t="s">
        <v>62</v>
      </c>
      <c r="C20" s="132">
        <v>46207</v>
      </c>
      <c r="D20" s="456"/>
      <c r="E20" s="405"/>
      <c r="F20" s="456"/>
      <c r="G20" s="405"/>
      <c r="H20" s="133">
        <v>8</v>
      </c>
      <c r="I20" s="220"/>
      <c r="K20" s="127" t="s">
        <v>137</v>
      </c>
      <c r="L20" s="128"/>
    </row>
    <row r="21" spans="1:12" ht="15" customHeight="1">
      <c r="A21" s="190" t="s">
        <v>59</v>
      </c>
      <c r="B21" s="191" t="s">
        <v>63</v>
      </c>
      <c r="C21" s="132">
        <v>46208</v>
      </c>
      <c r="D21" s="456"/>
      <c r="E21" s="405"/>
      <c r="F21" s="456"/>
      <c r="G21" s="405"/>
      <c r="H21" s="133">
        <v>8</v>
      </c>
      <c r="I21" s="91"/>
      <c r="K21" s="129" t="s">
        <v>140</v>
      </c>
      <c r="L21" s="130">
        <f>91182.03*17.1%+91182.03</f>
        <v>106774.15713000001</v>
      </c>
    </row>
    <row r="22" spans="1:12" ht="15" customHeight="1">
      <c r="A22" s="184" t="s">
        <v>59</v>
      </c>
      <c r="B22" s="185" t="s">
        <v>64</v>
      </c>
      <c r="C22" s="125">
        <v>46209</v>
      </c>
      <c r="D22" s="458"/>
      <c r="E22" s="405"/>
      <c r="F22" s="458"/>
      <c r="G22" s="405"/>
      <c r="H22" s="126">
        <v>8</v>
      </c>
      <c r="I22" s="91"/>
      <c r="K22" s="127" t="s">
        <v>109</v>
      </c>
      <c r="L22" s="128"/>
    </row>
    <row r="23" spans="1:12" ht="15" customHeight="1">
      <c r="A23" s="184" t="s">
        <v>59</v>
      </c>
      <c r="B23" s="185" t="s">
        <v>66</v>
      </c>
      <c r="C23" s="125">
        <v>46210</v>
      </c>
      <c r="D23" s="458"/>
      <c r="E23" s="405"/>
      <c r="F23" s="458"/>
      <c r="G23" s="405"/>
      <c r="H23" s="126">
        <v>8</v>
      </c>
      <c r="I23" s="91"/>
      <c r="K23" s="129" t="s">
        <v>140</v>
      </c>
      <c r="L23" s="130">
        <f>104598.09*17.1%+104598.09</f>
        <v>122484.36339</v>
      </c>
    </row>
    <row r="24" spans="1:12" ht="15" customHeight="1">
      <c r="A24" s="184" t="s">
        <v>59</v>
      </c>
      <c r="B24" s="185" t="s">
        <v>68</v>
      </c>
      <c r="C24" s="125">
        <v>46211</v>
      </c>
      <c r="D24" s="458"/>
      <c r="E24" s="405"/>
      <c r="F24" s="458"/>
      <c r="G24" s="405"/>
      <c r="H24" s="126">
        <v>8</v>
      </c>
      <c r="I24" s="91"/>
      <c r="K24" s="135" t="s">
        <v>111</v>
      </c>
      <c r="L24" s="91"/>
    </row>
    <row r="25" spans="1:12" ht="15" customHeight="1">
      <c r="A25" s="184" t="s">
        <v>59</v>
      </c>
      <c r="B25" s="185" t="s">
        <v>60</v>
      </c>
      <c r="C25" s="125">
        <v>46212</v>
      </c>
      <c r="D25" s="458"/>
      <c r="E25" s="405"/>
      <c r="F25" s="458"/>
      <c r="G25" s="405"/>
      <c r="H25" s="126">
        <v>8</v>
      </c>
      <c r="I25" s="91"/>
      <c r="K25" s="129" t="s">
        <v>149</v>
      </c>
      <c r="L25" s="130">
        <f>12500*17.1%+12500</f>
        <v>14637.5</v>
      </c>
    </row>
    <row r="26" spans="1:12" ht="15" customHeight="1">
      <c r="A26" s="184" t="s">
        <v>59</v>
      </c>
      <c r="B26" s="185" t="s">
        <v>61</v>
      </c>
      <c r="C26" s="125">
        <v>46213</v>
      </c>
      <c r="D26" s="458"/>
      <c r="E26" s="405"/>
      <c r="F26" s="458"/>
      <c r="G26" s="405"/>
      <c r="H26" s="126">
        <v>8</v>
      </c>
      <c r="I26" s="91"/>
      <c r="K26" s="129" t="s">
        <v>152</v>
      </c>
      <c r="L26" s="130">
        <f>20000*17.1%+20000</f>
        <v>23420</v>
      </c>
    </row>
    <row r="27" spans="1:12" ht="15" customHeight="1">
      <c r="A27" s="190" t="s">
        <v>59</v>
      </c>
      <c r="B27" s="191" t="s">
        <v>62</v>
      </c>
      <c r="C27" s="132">
        <v>46214</v>
      </c>
      <c r="D27" s="456"/>
      <c r="E27" s="405"/>
      <c r="F27" s="456"/>
      <c r="G27" s="405"/>
      <c r="H27" s="133">
        <v>8</v>
      </c>
      <c r="I27" s="91"/>
      <c r="J27" s="91"/>
      <c r="K27" s="129" t="s">
        <v>153</v>
      </c>
      <c r="L27" s="130">
        <f>27500*17.1%+27500</f>
        <v>32202.5</v>
      </c>
    </row>
    <row r="28" spans="1:12" ht="15" customHeight="1">
      <c r="A28" s="190" t="s">
        <v>59</v>
      </c>
      <c r="B28" s="191" t="s">
        <v>63</v>
      </c>
      <c r="C28" s="132">
        <v>46215</v>
      </c>
      <c r="D28" s="456"/>
      <c r="E28" s="405"/>
      <c r="F28" s="456"/>
      <c r="G28" s="405"/>
      <c r="H28" s="133">
        <v>8</v>
      </c>
      <c r="I28" s="91"/>
      <c r="J28" s="91"/>
      <c r="K28" s="129" t="s">
        <v>154</v>
      </c>
      <c r="L28" s="130">
        <f>35000*17.1%+35000</f>
        <v>40985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146</v>
      </c>
      <c r="E29" s="405"/>
      <c r="F29" s="495" t="s">
        <v>241</v>
      </c>
      <c r="G29" s="405"/>
      <c r="H29" s="181">
        <v>9.5</v>
      </c>
      <c r="I29" s="91"/>
      <c r="K29" s="129" t="s">
        <v>155</v>
      </c>
      <c r="L29" s="130">
        <f>42500*17.1%+42500</f>
        <v>49767.5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242</v>
      </c>
      <c r="E30" s="405"/>
      <c r="F30" s="495" t="s">
        <v>168</v>
      </c>
      <c r="G30" s="405"/>
      <c r="H30" s="181">
        <v>9.27</v>
      </c>
      <c r="I30" s="91"/>
      <c r="K30" s="129" t="s">
        <v>156</v>
      </c>
      <c r="L30" s="130">
        <f>63750*17.1%+63750</f>
        <v>74651.25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  <c r="I31" s="91"/>
      <c r="K31" s="129" t="s">
        <v>157</v>
      </c>
      <c r="L31" s="130">
        <f>127500*17.1%+127500</f>
        <v>149302.5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243</v>
      </c>
      <c r="E32" s="405"/>
      <c r="F32" s="495" t="s">
        <v>203</v>
      </c>
      <c r="G32" s="405"/>
      <c r="H32" s="181">
        <v>9.73</v>
      </c>
      <c r="I32" s="91"/>
      <c r="K32" s="129" t="s">
        <v>158</v>
      </c>
      <c r="L32" s="130">
        <f>200000*17.1%+200000</f>
        <v>234200</v>
      </c>
    </row>
    <row r="33" spans="1:9" ht="15" customHeight="1">
      <c r="A33" s="180" t="s">
        <v>134</v>
      </c>
      <c r="B33" s="51" t="s">
        <v>61</v>
      </c>
      <c r="C33" s="52">
        <v>46220</v>
      </c>
      <c r="D33" s="495" t="s">
        <v>244</v>
      </c>
      <c r="E33" s="405"/>
      <c r="F33" s="495" t="s">
        <v>245</v>
      </c>
      <c r="G33" s="405"/>
      <c r="H33" s="181">
        <v>9.6999999999999993</v>
      </c>
      <c r="I33" s="91"/>
    </row>
    <row r="34" spans="1:9" ht="15" customHeight="1">
      <c r="A34" s="182" t="s">
        <v>67</v>
      </c>
      <c r="B34" s="65" t="s">
        <v>62</v>
      </c>
      <c r="C34" s="66">
        <v>46221</v>
      </c>
      <c r="D34" s="497"/>
      <c r="E34" s="405"/>
      <c r="F34" s="497"/>
      <c r="G34" s="405"/>
      <c r="H34" s="183">
        <v>0</v>
      </c>
      <c r="I34" s="91"/>
    </row>
    <row r="35" spans="1:9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5"/>
      <c r="H35" s="183">
        <v>0</v>
      </c>
      <c r="I35" s="91"/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246</v>
      </c>
      <c r="E36" s="405"/>
      <c r="F36" s="495" t="s">
        <v>247</v>
      </c>
      <c r="G36" s="405"/>
      <c r="H36" s="181">
        <v>9.43</v>
      </c>
      <c r="I36" s="91"/>
    </row>
    <row r="37" spans="1:9" ht="15" customHeight="1">
      <c r="A37" s="180" t="s">
        <v>134</v>
      </c>
      <c r="B37" s="51" t="s">
        <v>66</v>
      </c>
      <c r="C37" s="52">
        <v>46224</v>
      </c>
      <c r="D37" s="495" t="s">
        <v>138</v>
      </c>
      <c r="E37" s="405"/>
      <c r="F37" s="495" t="s">
        <v>241</v>
      </c>
      <c r="G37" s="405"/>
      <c r="H37" s="181">
        <v>9.6</v>
      </c>
      <c r="I37" s="91"/>
    </row>
    <row r="38" spans="1:9" ht="15" customHeight="1">
      <c r="A38" s="180" t="s">
        <v>134</v>
      </c>
      <c r="B38" s="51" t="s">
        <v>68</v>
      </c>
      <c r="C38" s="52">
        <v>46225</v>
      </c>
      <c r="D38" s="495" t="s">
        <v>244</v>
      </c>
      <c r="E38" s="405"/>
      <c r="F38" s="495" t="s">
        <v>248</v>
      </c>
      <c r="G38" s="405"/>
      <c r="H38" s="181">
        <v>10.029999999999999</v>
      </c>
      <c r="I38" s="91"/>
    </row>
    <row r="39" spans="1:9" ht="15" customHeight="1">
      <c r="A39" s="182" t="s">
        <v>67</v>
      </c>
      <c r="B39" s="65" t="s">
        <v>60</v>
      </c>
      <c r="C39" s="66">
        <v>46226</v>
      </c>
      <c r="D39" s="497"/>
      <c r="E39" s="405"/>
      <c r="F39" s="497"/>
      <c r="G39" s="405"/>
      <c r="H39" s="183">
        <v>0</v>
      </c>
      <c r="I39" s="91"/>
    </row>
    <row r="40" spans="1:9" ht="15" customHeight="1">
      <c r="A40" s="180" t="s">
        <v>134</v>
      </c>
      <c r="B40" s="51" t="s">
        <v>61</v>
      </c>
      <c r="C40" s="52">
        <v>46227</v>
      </c>
      <c r="D40" s="495" t="s">
        <v>193</v>
      </c>
      <c r="E40" s="405"/>
      <c r="F40" s="495" t="s">
        <v>249</v>
      </c>
      <c r="G40" s="405"/>
      <c r="H40" s="181">
        <v>9.83</v>
      </c>
      <c r="I40" s="91"/>
    </row>
    <row r="41" spans="1:9" ht="15" customHeight="1">
      <c r="A41" s="182" t="s">
        <v>67</v>
      </c>
      <c r="B41" s="65" t="s">
        <v>62</v>
      </c>
      <c r="C41" s="66">
        <v>46228</v>
      </c>
      <c r="D41" s="497"/>
      <c r="E41" s="405"/>
      <c r="F41" s="497"/>
      <c r="G41" s="405"/>
      <c r="H41" s="183">
        <v>0</v>
      </c>
      <c r="I41" s="91"/>
    </row>
    <row r="42" spans="1:9" ht="15" customHeight="1">
      <c r="A42" s="182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  <c r="I42" s="91"/>
    </row>
    <row r="43" spans="1:9" ht="15" customHeight="1">
      <c r="A43" s="180" t="s">
        <v>134</v>
      </c>
      <c r="B43" s="51" t="s">
        <v>64</v>
      </c>
      <c r="C43" s="52">
        <v>46230</v>
      </c>
      <c r="D43" s="495" t="s">
        <v>250</v>
      </c>
      <c r="E43" s="405"/>
      <c r="F43" s="495" t="s">
        <v>251</v>
      </c>
      <c r="G43" s="405"/>
      <c r="H43" s="181">
        <v>7.67</v>
      </c>
      <c r="I43" s="220"/>
    </row>
    <row r="44" spans="1:9" ht="15" customHeight="1">
      <c r="A44" s="180" t="s">
        <v>134</v>
      </c>
      <c r="B44" s="51" t="s">
        <v>66</v>
      </c>
      <c r="C44" s="52">
        <v>46231</v>
      </c>
      <c r="D44" s="495" t="s">
        <v>146</v>
      </c>
      <c r="E44" s="405"/>
      <c r="F44" s="495" t="s">
        <v>247</v>
      </c>
      <c r="G44" s="405"/>
      <c r="H44" s="181">
        <v>9.02</v>
      </c>
      <c r="I44" s="220"/>
    </row>
    <row r="45" spans="1:9" ht="15" customHeight="1">
      <c r="A45" s="180" t="s">
        <v>134</v>
      </c>
      <c r="B45" s="51" t="s">
        <v>68</v>
      </c>
      <c r="C45" s="52">
        <v>46232</v>
      </c>
      <c r="D45" s="495" t="s">
        <v>252</v>
      </c>
      <c r="E45" s="405"/>
      <c r="F45" s="495" t="s">
        <v>253</v>
      </c>
      <c r="G45" s="405"/>
      <c r="H45" s="181">
        <v>11.05</v>
      </c>
      <c r="I45" s="91"/>
    </row>
    <row r="46" spans="1:9" ht="15" customHeight="1">
      <c r="A46" s="180" t="s">
        <v>134</v>
      </c>
      <c r="B46" s="51" t="s">
        <v>60</v>
      </c>
      <c r="C46" s="52">
        <v>46233</v>
      </c>
      <c r="D46" s="495" t="s">
        <v>254</v>
      </c>
      <c r="E46" s="405"/>
      <c r="F46" s="495" t="s">
        <v>200</v>
      </c>
      <c r="G46" s="405"/>
      <c r="H46" s="181">
        <v>9.4700000000000006</v>
      </c>
      <c r="I46" s="91"/>
    </row>
    <row r="47" spans="1:9" ht="15" customHeight="1">
      <c r="A47" s="192" t="s">
        <v>134</v>
      </c>
      <c r="B47" s="193" t="s">
        <v>61</v>
      </c>
      <c r="C47" s="194">
        <v>46234</v>
      </c>
      <c r="D47" s="502" t="s">
        <v>255</v>
      </c>
      <c r="E47" s="467"/>
      <c r="F47" s="502" t="s">
        <v>256</v>
      </c>
      <c r="G47" s="467"/>
      <c r="H47" s="195">
        <v>9.6</v>
      </c>
      <c r="I47" s="91"/>
    </row>
    <row r="48" spans="1:9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219.9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02">
        <v>46227</v>
      </c>
      <c r="B52" s="500" t="s">
        <v>228</v>
      </c>
      <c r="C52" s="437"/>
      <c r="D52" s="223">
        <v>300000</v>
      </c>
      <c r="E52" s="202"/>
      <c r="F52" s="500"/>
      <c r="G52" s="437"/>
      <c r="H52" s="203"/>
    </row>
    <row r="53" spans="1:8" ht="14.25" customHeight="1">
      <c r="A53" s="224"/>
      <c r="B53" s="482"/>
      <c r="C53" s="467"/>
      <c r="D53" s="225"/>
      <c r="E53" s="224"/>
      <c r="F53" s="482"/>
      <c r="G53" s="467"/>
      <c r="H53" s="225"/>
    </row>
    <row r="54" spans="1:8" ht="14.25" customHeight="1">
      <c r="A54" s="514" t="s">
        <v>81</v>
      </c>
      <c r="B54" s="469"/>
      <c r="C54" s="515"/>
      <c r="D54" s="208">
        <f>SUM(D52:D53)</f>
        <v>300000</v>
      </c>
      <c r="E54" s="507" t="s">
        <v>229</v>
      </c>
      <c r="F54" s="469"/>
      <c r="G54" s="470"/>
      <c r="H54" s="156">
        <f>+H53</f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6">
    <mergeCell ref="A50:D50"/>
    <mergeCell ref="E50:H50"/>
    <mergeCell ref="B51:C51"/>
    <mergeCell ref="F51:G51"/>
    <mergeCell ref="F52:G52"/>
    <mergeCell ref="E54:G54"/>
    <mergeCell ref="F53:G53"/>
    <mergeCell ref="A71:C71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  <mergeCell ref="A63:C63"/>
    <mergeCell ref="A64:C64"/>
    <mergeCell ref="B52:C52"/>
    <mergeCell ref="A54:C54"/>
    <mergeCell ref="E55:G55"/>
    <mergeCell ref="A56:D56"/>
    <mergeCell ref="A57:C57"/>
    <mergeCell ref="A58:C58"/>
    <mergeCell ref="B53:C53"/>
    <mergeCell ref="D45:E45"/>
    <mergeCell ref="F45:G45"/>
    <mergeCell ref="D47:E47"/>
    <mergeCell ref="F47:G47"/>
    <mergeCell ref="D46:E46"/>
    <mergeCell ref="F46:G46"/>
    <mergeCell ref="F48:G48"/>
    <mergeCell ref="D33:E33"/>
    <mergeCell ref="F33:G33"/>
    <mergeCell ref="D34:E34"/>
    <mergeCell ref="F34:G34"/>
    <mergeCell ref="D35:E35"/>
    <mergeCell ref="F35:G35"/>
    <mergeCell ref="F43:G43"/>
    <mergeCell ref="D42:E42"/>
    <mergeCell ref="F42:G42"/>
    <mergeCell ref="D36:E36"/>
    <mergeCell ref="F36:G36"/>
    <mergeCell ref="D37:E37"/>
    <mergeCell ref="F37:G37"/>
    <mergeCell ref="D38:E38"/>
    <mergeCell ref="F38:G38"/>
    <mergeCell ref="D39:E39"/>
    <mergeCell ref="F39:G39"/>
    <mergeCell ref="D27:E27"/>
    <mergeCell ref="F27:G27"/>
    <mergeCell ref="D28:E28"/>
    <mergeCell ref="F28:G28"/>
    <mergeCell ref="D29:E29"/>
    <mergeCell ref="F29:G29"/>
    <mergeCell ref="D44:E44"/>
    <mergeCell ref="F44:G44"/>
    <mergeCell ref="D43:E43"/>
    <mergeCell ref="D30:E30"/>
    <mergeCell ref="F30:G30"/>
    <mergeCell ref="D31:E31"/>
    <mergeCell ref="F31:G31"/>
    <mergeCell ref="D32:E32"/>
    <mergeCell ref="F32:G32"/>
    <mergeCell ref="D40:E40"/>
    <mergeCell ref="F40:G40"/>
    <mergeCell ref="D41:E41"/>
    <mergeCell ref="F41:G41"/>
    <mergeCell ref="D22:E22"/>
    <mergeCell ref="F22:G22"/>
    <mergeCell ref="F23:G23"/>
    <mergeCell ref="D18:E18"/>
    <mergeCell ref="D24:E24"/>
    <mergeCell ref="F24:G24"/>
    <mergeCell ref="D25:E25"/>
    <mergeCell ref="F25:G25"/>
    <mergeCell ref="D26:E26"/>
    <mergeCell ref="F26:G26"/>
    <mergeCell ref="D23:E23"/>
    <mergeCell ref="D19:E19"/>
    <mergeCell ref="D20:E20"/>
    <mergeCell ref="F21:G21"/>
    <mergeCell ref="F18:G18"/>
    <mergeCell ref="F19:G19"/>
    <mergeCell ref="F20:G20"/>
    <mergeCell ref="D21:E21"/>
    <mergeCell ref="A15:F15"/>
    <mergeCell ref="G15:H15"/>
    <mergeCell ref="D16:E16"/>
    <mergeCell ref="F16:G16"/>
    <mergeCell ref="D17:E17"/>
    <mergeCell ref="F17:G17"/>
    <mergeCell ref="A13:B13"/>
    <mergeCell ref="E13:H13"/>
    <mergeCell ref="A14:B14"/>
    <mergeCell ref="I5:J5"/>
    <mergeCell ref="K5:L5"/>
    <mergeCell ref="E9:F9"/>
    <mergeCell ref="G9:H9"/>
    <mergeCell ref="G7:H7"/>
    <mergeCell ref="A8:B8"/>
    <mergeCell ref="E8:F8"/>
    <mergeCell ref="A1:H4"/>
    <mergeCell ref="F5:G5"/>
    <mergeCell ref="B6:C6"/>
    <mergeCell ref="C7:D7"/>
    <mergeCell ref="A5:E5"/>
    <mergeCell ref="A7:B7"/>
    <mergeCell ref="E7:F7"/>
    <mergeCell ref="G11:H11"/>
    <mergeCell ref="G10:H10"/>
    <mergeCell ref="G8:H8"/>
    <mergeCell ref="C14:D14"/>
    <mergeCell ref="E14:H14"/>
    <mergeCell ref="C11:D11"/>
    <mergeCell ref="E11:F11"/>
    <mergeCell ref="E12:F12"/>
    <mergeCell ref="G12:H12"/>
    <mergeCell ref="C9:D9"/>
    <mergeCell ref="C8:D8"/>
    <mergeCell ref="C10:D10"/>
    <mergeCell ref="E10:F10"/>
    <mergeCell ref="C13:D13"/>
    <mergeCell ref="C12:D12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D01CB"/>
    <pageSetUpPr fitToPage="1"/>
  </sheetPr>
  <dimension ref="A1:L276"/>
  <sheetViews>
    <sheetView workbookViewId="0">
      <selection activeCell="H59" sqref="H59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158">
        <f>A8+C8+E8+G8+B10+C10+G10+G12</f>
        <v>1536653.8510120001</v>
      </c>
      <c r="I5" s="431" t="s">
        <v>86</v>
      </c>
      <c r="J5" s="430"/>
      <c r="K5" s="429" t="str">
        <f>+B6</f>
        <v>JAZMIN VALDIVIA</v>
      </c>
      <c r="L5" s="430"/>
    </row>
    <row r="6" spans="1:12" ht="24.75" customHeight="1">
      <c r="A6" s="159" t="s">
        <v>179</v>
      </c>
      <c r="B6" s="526" t="s">
        <v>257</v>
      </c>
      <c r="C6" s="480"/>
      <c r="D6" s="160" t="s">
        <v>181</v>
      </c>
      <c r="E6" s="226">
        <v>41993007</v>
      </c>
      <c r="F6" s="525" t="s">
        <v>89</v>
      </c>
      <c r="G6" s="428"/>
      <c r="H6" s="97">
        <v>2</v>
      </c>
      <c r="I6" s="99" t="s">
        <v>45</v>
      </c>
      <c r="J6" s="100">
        <v>1211253.24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1211253.2420999999</v>
      </c>
    </row>
    <row r="8" spans="1:12" ht="24.75" customHeight="1">
      <c r="A8" s="491">
        <f>1034375.1*17.1%+1034375.1</f>
        <v>1211253.2420999999</v>
      </c>
      <c r="B8" s="405"/>
      <c r="C8" s="492">
        <f>+L20</f>
        <v>65333.439060000004</v>
      </c>
      <c r="D8" s="405"/>
      <c r="E8" s="422">
        <f>+L22</f>
        <v>52266.75359</v>
      </c>
      <c r="F8" s="405"/>
      <c r="G8" s="422">
        <f>+L24</f>
        <v>132904.03849000001</v>
      </c>
      <c r="H8" s="406"/>
      <c r="I8" s="99" t="s">
        <v>100</v>
      </c>
      <c r="J8" s="100"/>
      <c r="K8" t="s">
        <v>184</v>
      </c>
      <c r="L8" s="105">
        <f>+C8</f>
        <v>65333.439060000004</v>
      </c>
    </row>
    <row r="9" spans="1:12" ht="24.75" customHeight="1">
      <c r="A9" s="166" t="s">
        <v>111</v>
      </c>
      <c r="B9" s="167">
        <v>3</v>
      </c>
      <c r="C9" s="493" t="s">
        <v>185</v>
      </c>
      <c r="D9" s="405"/>
      <c r="E9" s="493" t="s">
        <v>96</v>
      </c>
      <c r="F9" s="405"/>
      <c r="G9" s="421" t="s">
        <v>258</v>
      </c>
      <c r="H9" s="406"/>
      <c r="I9" s="99" t="s">
        <v>104</v>
      </c>
      <c r="J9" s="100"/>
      <c r="K9" t="s">
        <v>101</v>
      </c>
      <c r="L9" s="105">
        <f>+E8</f>
        <v>52266.75359</v>
      </c>
    </row>
    <row r="10" spans="1:12" ht="24.75" customHeight="1">
      <c r="A10" s="215">
        <v>45108</v>
      </c>
      <c r="B10" s="130">
        <f>+L28</f>
        <v>32202.5</v>
      </c>
      <c r="C10" s="422">
        <v>0</v>
      </c>
      <c r="D10" s="405"/>
      <c r="E10" s="422">
        <f>+D59+H59</f>
        <v>707336.5</v>
      </c>
      <c r="F10" s="405"/>
      <c r="G10" s="527">
        <v>0</v>
      </c>
      <c r="H10" s="406"/>
      <c r="I10" s="99" t="s">
        <v>106</v>
      </c>
      <c r="J10" s="100"/>
      <c r="K10" t="s">
        <v>105</v>
      </c>
      <c r="L10" s="105">
        <f>+G8</f>
        <v>132904.03849000001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32202.5</v>
      </c>
    </row>
    <row r="12" spans="1:12" ht="24.75" customHeight="1">
      <c r="A12" s="171">
        <v>200</v>
      </c>
      <c r="B12" s="172">
        <f>+H48</f>
        <v>209.8</v>
      </c>
      <c r="C12" s="498">
        <f>B12-A12</f>
        <v>9.8000000000000114</v>
      </c>
      <c r="D12" s="405"/>
      <c r="E12" s="422">
        <f>3720.34*17.1%+3720.34</f>
        <v>4356.5181400000001</v>
      </c>
      <c r="F12" s="405"/>
      <c r="G12" s="422">
        <f>+C12*E12</f>
        <v>42693.877772000051</v>
      </c>
      <c r="H12" s="406"/>
      <c r="I12" s="99" t="s">
        <v>81</v>
      </c>
      <c r="J12" s="100">
        <f>SUM(J6:J11)</f>
        <v>1211253.24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201875.54</v>
      </c>
      <c r="K13" s="91" t="s">
        <v>259</v>
      </c>
      <c r="L13" s="105">
        <f>+G10</f>
        <v>0</v>
      </c>
    </row>
    <row r="14" spans="1:12" ht="24.75" customHeight="1">
      <c r="A14" s="227" t="s">
        <v>124</v>
      </c>
      <c r="B14" s="528">
        <v>46143</v>
      </c>
      <c r="C14" s="467"/>
      <c r="D14" s="482" t="s">
        <v>125</v>
      </c>
      <c r="E14" s="467"/>
      <c r="F14" s="530" t="s">
        <v>260</v>
      </c>
      <c r="G14" s="504"/>
      <c r="H14" s="505"/>
      <c r="I14" s="99" t="s">
        <v>86</v>
      </c>
      <c r="J14" s="115">
        <f>+J13/2</f>
        <v>100937.77</v>
      </c>
      <c r="K14" t="s">
        <v>191</v>
      </c>
      <c r="L14" s="105">
        <f>+G12</f>
        <v>42693.877772000051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829317.35101200012</v>
      </c>
      <c r="H15" s="412"/>
      <c r="I15" s="91"/>
      <c r="K15" s="112" t="s">
        <v>122</v>
      </c>
      <c r="L15" s="113">
        <f>SUM(L7:L14)</f>
        <v>1536653.8510120001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t="s">
        <v>126</v>
      </c>
      <c r="L16" s="105">
        <f>+E10</f>
        <v>707336.5</v>
      </c>
    </row>
    <row r="17" spans="1:12" ht="15" customHeight="1">
      <c r="A17" s="216" t="s">
        <v>59</v>
      </c>
      <c r="B17" s="217" t="s">
        <v>58</v>
      </c>
      <c r="C17" s="218">
        <v>46204</v>
      </c>
      <c r="D17" s="521"/>
      <c r="E17" s="437"/>
      <c r="F17" s="521"/>
      <c r="G17" s="437"/>
      <c r="H17" s="219">
        <v>8</v>
      </c>
      <c r="I17" s="91"/>
      <c r="K17" s="119" t="s">
        <v>133</v>
      </c>
      <c r="L17" s="120">
        <f>+L15-L16</f>
        <v>829317.35101200012</v>
      </c>
    </row>
    <row r="18" spans="1:12" ht="15" customHeight="1">
      <c r="A18" s="184" t="s">
        <v>59</v>
      </c>
      <c r="B18" s="185" t="s">
        <v>60</v>
      </c>
      <c r="C18" s="125">
        <v>46205</v>
      </c>
      <c r="D18" s="458"/>
      <c r="E18" s="405"/>
      <c r="F18" s="458"/>
      <c r="G18" s="405"/>
      <c r="H18" s="126">
        <v>8</v>
      </c>
      <c r="I18" s="91"/>
    </row>
    <row r="19" spans="1:12" ht="15" customHeight="1">
      <c r="A19" s="184" t="s">
        <v>59</v>
      </c>
      <c r="B19" s="185" t="s">
        <v>61</v>
      </c>
      <c r="C19" s="125">
        <v>46206</v>
      </c>
      <c r="D19" s="458"/>
      <c r="E19" s="405"/>
      <c r="F19" s="458"/>
      <c r="G19" s="405"/>
      <c r="H19" s="126">
        <v>8</v>
      </c>
      <c r="I19" s="91"/>
      <c r="K19" s="127" t="s">
        <v>196</v>
      </c>
      <c r="L19" s="128"/>
    </row>
    <row r="20" spans="1:12" ht="15" customHeight="1">
      <c r="A20" s="190" t="s">
        <v>59</v>
      </c>
      <c r="B20" s="191" t="s">
        <v>62</v>
      </c>
      <c r="C20" s="132">
        <v>46207</v>
      </c>
      <c r="D20" s="456"/>
      <c r="E20" s="405"/>
      <c r="F20" s="456"/>
      <c r="G20" s="405"/>
      <c r="H20" s="133">
        <v>8</v>
      </c>
      <c r="I20" s="91"/>
      <c r="K20" s="129" t="s">
        <v>140</v>
      </c>
      <c r="L20" s="130">
        <f>55792.86*17.1%+55792.86</f>
        <v>65333.439060000004</v>
      </c>
    </row>
    <row r="21" spans="1:12" ht="15" customHeight="1">
      <c r="A21" s="190" t="s">
        <v>59</v>
      </c>
      <c r="B21" s="191" t="s">
        <v>63</v>
      </c>
      <c r="C21" s="132">
        <v>46208</v>
      </c>
      <c r="D21" s="456"/>
      <c r="E21" s="405"/>
      <c r="F21" s="456"/>
      <c r="G21" s="405"/>
      <c r="H21" s="133">
        <v>8</v>
      </c>
      <c r="I21" s="91"/>
      <c r="K21" s="127" t="s">
        <v>137</v>
      </c>
      <c r="L21" s="128"/>
    </row>
    <row r="22" spans="1:12" ht="15" customHeight="1">
      <c r="A22" s="184" t="s">
        <v>59</v>
      </c>
      <c r="B22" s="185" t="s">
        <v>64</v>
      </c>
      <c r="C22" s="125">
        <v>46209</v>
      </c>
      <c r="D22" s="458"/>
      <c r="E22" s="405"/>
      <c r="F22" s="458"/>
      <c r="G22" s="405"/>
      <c r="H22" s="126">
        <v>8</v>
      </c>
      <c r="I22" s="91"/>
      <c r="K22" s="129" t="s">
        <v>140</v>
      </c>
      <c r="L22" s="130">
        <f>44634.29*17.1%+44634.29</f>
        <v>52266.75359</v>
      </c>
    </row>
    <row r="23" spans="1:12" ht="15" customHeight="1">
      <c r="A23" s="184" t="s">
        <v>59</v>
      </c>
      <c r="B23" s="185" t="s">
        <v>66</v>
      </c>
      <c r="C23" s="125">
        <v>46210</v>
      </c>
      <c r="D23" s="458"/>
      <c r="E23" s="405"/>
      <c r="F23" s="458"/>
      <c r="G23" s="405"/>
      <c r="H23" s="126">
        <v>8</v>
      </c>
      <c r="I23" s="91"/>
      <c r="K23" s="127" t="s">
        <v>109</v>
      </c>
      <c r="L23" s="128"/>
    </row>
    <row r="24" spans="1:12" ht="15" customHeight="1">
      <c r="A24" s="184" t="s">
        <v>59</v>
      </c>
      <c r="B24" s="185" t="s">
        <v>68</v>
      </c>
      <c r="C24" s="125">
        <v>46211</v>
      </c>
      <c r="D24" s="458"/>
      <c r="E24" s="405"/>
      <c r="F24" s="458"/>
      <c r="G24" s="405"/>
      <c r="H24" s="126">
        <v>8</v>
      </c>
      <c r="I24" s="91"/>
      <c r="K24" s="129" t="s">
        <v>140</v>
      </c>
      <c r="L24" s="130">
        <f>113496.19*17.1%+113496.19</f>
        <v>132904.03849000001</v>
      </c>
    </row>
    <row r="25" spans="1:12" ht="15" customHeight="1">
      <c r="A25" s="184" t="s">
        <v>59</v>
      </c>
      <c r="B25" s="185" t="s">
        <v>60</v>
      </c>
      <c r="C25" s="125">
        <v>46212</v>
      </c>
      <c r="D25" s="458"/>
      <c r="E25" s="405"/>
      <c r="F25" s="458"/>
      <c r="G25" s="405"/>
      <c r="H25" s="126">
        <v>8</v>
      </c>
      <c r="I25" s="91"/>
      <c r="K25" s="135" t="s">
        <v>111</v>
      </c>
      <c r="L25" s="91"/>
    </row>
    <row r="26" spans="1:12" ht="15" customHeight="1">
      <c r="A26" s="184" t="s">
        <v>59</v>
      </c>
      <c r="B26" s="185" t="s">
        <v>61</v>
      </c>
      <c r="C26" s="125">
        <v>46213</v>
      </c>
      <c r="D26" s="458"/>
      <c r="E26" s="405"/>
      <c r="F26" s="458"/>
      <c r="G26" s="405"/>
      <c r="H26" s="126">
        <v>8</v>
      </c>
      <c r="I26" s="91"/>
      <c r="K26" s="129" t="s">
        <v>149</v>
      </c>
      <c r="L26" s="130">
        <f>12500*17.1%+12500</f>
        <v>14637.5</v>
      </c>
    </row>
    <row r="27" spans="1:12" ht="15" customHeight="1">
      <c r="A27" s="182" t="s">
        <v>67</v>
      </c>
      <c r="B27" s="65" t="s">
        <v>62</v>
      </c>
      <c r="C27" s="66">
        <v>46214</v>
      </c>
      <c r="D27" s="497"/>
      <c r="E27" s="405"/>
      <c r="F27" s="497"/>
      <c r="G27" s="405"/>
      <c r="H27" s="183">
        <v>0</v>
      </c>
      <c r="I27" s="91"/>
      <c r="J27" s="91"/>
      <c r="K27" s="129" t="s">
        <v>152</v>
      </c>
      <c r="L27" s="130">
        <f>20000*17.1%+20000</f>
        <v>23420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I28" s="91"/>
      <c r="J28" s="91"/>
      <c r="K28" s="129" t="s">
        <v>153</v>
      </c>
      <c r="L28" s="130">
        <f>27500*17.1%+27500</f>
        <v>32202.5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167</v>
      </c>
      <c r="E29" s="405"/>
      <c r="F29" s="495" t="s">
        <v>262</v>
      </c>
      <c r="G29" s="405"/>
      <c r="H29" s="181">
        <v>9.6300000000000008</v>
      </c>
      <c r="I29" s="91"/>
      <c r="K29" s="129" t="s">
        <v>154</v>
      </c>
      <c r="L29" s="130">
        <f>35000*17.1%+35000</f>
        <v>40985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197</v>
      </c>
      <c r="E30" s="405"/>
      <c r="F30" s="495" t="s">
        <v>218</v>
      </c>
      <c r="G30" s="405"/>
      <c r="H30" s="181">
        <v>9.1300000000000008</v>
      </c>
      <c r="I30" s="91"/>
      <c r="K30" s="129" t="s">
        <v>155</v>
      </c>
      <c r="L30" s="130">
        <f>42500*17.1%+42500</f>
        <v>49767.5</v>
      </c>
    </row>
    <row r="31" spans="1:12" ht="15" customHeight="1">
      <c r="A31" s="182" t="s">
        <v>67</v>
      </c>
      <c r="B31" s="65" t="s">
        <v>68</v>
      </c>
      <c r="C31" s="66">
        <v>46218</v>
      </c>
      <c r="D31" s="497"/>
      <c r="E31" s="405"/>
      <c r="F31" s="497"/>
      <c r="G31" s="405"/>
      <c r="H31" s="183">
        <v>0</v>
      </c>
      <c r="I31" s="91"/>
      <c r="K31" s="129" t="s">
        <v>156</v>
      </c>
      <c r="L31" s="130">
        <f>63750*17.1%+63750</f>
        <v>74651.25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201</v>
      </c>
      <c r="E32" s="405"/>
      <c r="F32" s="495" t="s">
        <v>203</v>
      </c>
      <c r="G32" s="405"/>
      <c r="H32" s="181">
        <v>9.43</v>
      </c>
      <c r="I32" s="91"/>
      <c r="K32" s="129" t="s">
        <v>157</v>
      </c>
      <c r="L32" s="130">
        <f>127500*17.1%+127500</f>
        <v>149302.5</v>
      </c>
    </row>
    <row r="33" spans="1:12" ht="15" customHeight="1">
      <c r="A33" s="180" t="s">
        <v>134</v>
      </c>
      <c r="B33" s="51" t="s">
        <v>61</v>
      </c>
      <c r="C33" s="52">
        <v>46220</v>
      </c>
      <c r="D33" s="495" t="s">
        <v>197</v>
      </c>
      <c r="E33" s="405"/>
      <c r="F33" s="495" t="s">
        <v>222</v>
      </c>
      <c r="G33" s="405"/>
      <c r="H33" s="181">
        <v>10.029999999999999</v>
      </c>
      <c r="I33" s="91"/>
      <c r="K33" s="129" t="s">
        <v>158</v>
      </c>
      <c r="L33" s="130">
        <f>200000*17.1%+200000</f>
        <v>234200</v>
      </c>
    </row>
    <row r="34" spans="1:12" ht="15" customHeight="1">
      <c r="A34" s="182" t="s">
        <v>67</v>
      </c>
      <c r="B34" s="65" t="s">
        <v>62</v>
      </c>
      <c r="C34" s="66">
        <v>46221</v>
      </c>
      <c r="D34" s="497"/>
      <c r="E34" s="405"/>
      <c r="F34" s="497"/>
      <c r="G34" s="405"/>
      <c r="H34" s="183">
        <v>0</v>
      </c>
      <c r="I34" s="91"/>
      <c r="K34" s="228" t="s">
        <v>258</v>
      </c>
      <c r="L34" s="229"/>
    </row>
    <row r="35" spans="1:12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5"/>
      <c r="H35" s="183">
        <v>0</v>
      </c>
      <c r="I35" s="91"/>
      <c r="K35" s="129" t="s">
        <v>263</v>
      </c>
      <c r="L35" s="130">
        <f>100000*17.1%+100000</f>
        <v>117100</v>
      </c>
    </row>
    <row r="36" spans="1:12" ht="15" customHeight="1">
      <c r="A36" s="180" t="s">
        <v>134</v>
      </c>
      <c r="B36" s="51" t="s">
        <v>64</v>
      </c>
      <c r="C36" s="52">
        <v>46223</v>
      </c>
      <c r="D36" s="495" t="s">
        <v>224</v>
      </c>
      <c r="E36" s="405"/>
      <c r="F36" s="495" t="s">
        <v>264</v>
      </c>
      <c r="G36" s="405"/>
      <c r="H36" s="181">
        <v>9.17</v>
      </c>
      <c r="I36" s="91"/>
    </row>
    <row r="37" spans="1:12" ht="15" customHeight="1">
      <c r="A37" s="180" t="s">
        <v>134</v>
      </c>
      <c r="B37" s="51" t="s">
        <v>66</v>
      </c>
      <c r="C37" s="52">
        <v>46224</v>
      </c>
      <c r="D37" s="495" t="s">
        <v>138</v>
      </c>
      <c r="E37" s="405"/>
      <c r="F37" s="495" t="s">
        <v>265</v>
      </c>
      <c r="G37" s="405"/>
      <c r="H37" s="181">
        <v>9.43</v>
      </c>
      <c r="I37" s="91"/>
    </row>
    <row r="38" spans="1:12" ht="15" customHeight="1">
      <c r="A38" s="230" t="s">
        <v>134</v>
      </c>
      <c r="B38" s="185" t="s">
        <v>68</v>
      </c>
      <c r="C38" s="125">
        <v>46225</v>
      </c>
      <c r="D38" s="455" t="s">
        <v>266</v>
      </c>
      <c r="E38" s="405"/>
      <c r="F38" s="455" t="s">
        <v>267</v>
      </c>
      <c r="G38" s="405"/>
      <c r="H38" s="126">
        <v>9.52</v>
      </c>
      <c r="I38" s="91"/>
    </row>
    <row r="39" spans="1:12" ht="15" customHeight="1">
      <c r="A39" s="230" t="s">
        <v>134</v>
      </c>
      <c r="B39" s="185" t="s">
        <v>60</v>
      </c>
      <c r="C39" s="125">
        <v>46226</v>
      </c>
      <c r="D39" s="455" t="s">
        <v>268</v>
      </c>
      <c r="E39" s="405"/>
      <c r="F39" s="455" t="s">
        <v>269</v>
      </c>
      <c r="G39" s="405"/>
      <c r="H39" s="126">
        <v>9.0299999999999994</v>
      </c>
      <c r="I39" s="91"/>
    </row>
    <row r="40" spans="1:12" ht="15" customHeight="1">
      <c r="A40" s="180" t="s">
        <v>134</v>
      </c>
      <c r="B40" s="51" t="s">
        <v>61</v>
      </c>
      <c r="C40" s="52">
        <v>46227</v>
      </c>
      <c r="D40" s="495" t="s">
        <v>210</v>
      </c>
      <c r="E40" s="405"/>
      <c r="F40" s="495" t="s">
        <v>217</v>
      </c>
      <c r="G40" s="405"/>
      <c r="H40" s="181">
        <v>9.68</v>
      </c>
      <c r="I40" s="91"/>
    </row>
    <row r="41" spans="1:12" ht="15" customHeight="1">
      <c r="A41" s="182" t="s">
        <v>67</v>
      </c>
      <c r="B41" s="65" t="s">
        <v>62</v>
      </c>
      <c r="C41" s="66">
        <v>46228</v>
      </c>
      <c r="D41" s="497"/>
      <c r="E41" s="405"/>
      <c r="F41" s="497"/>
      <c r="G41" s="405"/>
      <c r="H41" s="183">
        <v>0</v>
      </c>
      <c r="I41" s="91"/>
    </row>
    <row r="42" spans="1:12" ht="15" customHeight="1">
      <c r="A42" s="182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  <c r="I42" s="91"/>
    </row>
    <row r="43" spans="1:12" ht="15" customHeight="1">
      <c r="A43" s="180" t="s">
        <v>134</v>
      </c>
      <c r="B43" s="51" t="s">
        <v>64</v>
      </c>
      <c r="C43" s="52">
        <v>46230</v>
      </c>
      <c r="D43" s="495" t="s">
        <v>197</v>
      </c>
      <c r="E43" s="405"/>
      <c r="F43" s="495" t="s">
        <v>270</v>
      </c>
      <c r="G43" s="405"/>
      <c r="H43" s="181">
        <v>9.1999999999999993</v>
      </c>
      <c r="I43" s="91"/>
    </row>
    <row r="44" spans="1:12" ht="15" customHeight="1">
      <c r="A44" s="180" t="s">
        <v>134</v>
      </c>
      <c r="B44" s="51" t="s">
        <v>66</v>
      </c>
      <c r="C44" s="52">
        <v>46231</v>
      </c>
      <c r="D44" s="495" t="s">
        <v>216</v>
      </c>
      <c r="E44" s="405"/>
      <c r="F44" s="495" t="s">
        <v>247</v>
      </c>
      <c r="G44" s="405"/>
      <c r="H44" s="181">
        <v>8.9</v>
      </c>
      <c r="I44" s="91"/>
    </row>
    <row r="45" spans="1:12" ht="15" customHeight="1">
      <c r="A45" s="180" t="s">
        <v>134</v>
      </c>
      <c r="B45" s="51" t="s">
        <v>68</v>
      </c>
      <c r="C45" s="52">
        <v>46232</v>
      </c>
      <c r="D45" s="495" t="s">
        <v>254</v>
      </c>
      <c r="E45" s="405"/>
      <c r="F45" s="495" t="s">
        <v>264</v>
      </c>
      <c r="G45" s="405"/>
      <c r="H45" s="181">
        <v>9.4</v>
      </c>
      <c r="I45" s="91"/>
    </row>
    <row r="46" spans="1:12" ht="15" customHeight="1">
      <c r="A46" s="180" t="s">
        <v>271</v>
      </c>
      <c r="B46" s="51" t="s">
        <v>60</v>
      </c>
      <c r="C46" s="52">
        <v>46233</v>
      </c>
      <c r="D46" s="495" t="s">
        <v>272</v>
      </c>
      <c r="E46" s="405"/>
      <c r="F46" s="495" t="s">
        <v>264</v>
      </c>
      <c r="G46" s="405"/>
      <c r="H46" s="181">
        <v>8.02</v>
      </c>
      <c r="I46" s="91"/>
    </row>
    <row r="47" spans="1:12" ht="15" customHeight="1">
      <c r="A47" s="192" t="s">
        <v>134</v>
      </c>
      <c r="B47" s="193" t="s">
        <v>61</v>
      </c>
      <c r="C47" s="194">
        <v>46234</v>
      </c>
      <c r="D47" s="502" t="s">
        <v>165</v>
      </c>
      <c r="E47" s="467"/>
      <c r="F47" s="502" t="s">
        <v>202</v>
      </c>
      <c r="G47" s="467"/>
      <c r="H47" s="195">
        <v>9.23</v>
      </c>
      <c r="I47" s="91"/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209.8</v>
      </c>
    </row>
    <row r="49" spans="1:12" ht="15" customHeight="1">
      <c r="A49" s="91"/>
      <c r="B49" s="91"/>
      <c r="C49" s="91"/>
      <c r="D49" s="91"/>
      <c r="E49" s="91"/>
      <c r="F49" s="197"/>
      <c r="G49" s="144"/>
      <c r="H49" s="198"/>
    </row>
    <row r="50" spans="1:12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  <c r="J50" s="477" t="s">
        <v>273</v>
      </c>
      <c r="K50" s="411"/>
      <c r="L50" s="412"/>
    </row>
    <row r="51" spans="1:12" ht="15" customHeight="1">
      <c r="A51" s="199" t="s">
        <v>5</v>
      </c>
      <c r="B51" s="481" t="s">
        <v>174</v>
      </c>
      <c r="C51" s="412"/>
      <c r="D51" s="199" t="s">
        <v>175</v>
      </c>
      <c r="E51" s="200" t="s">
        <v>5</v>
      </c>
      <c r="F51" s="476" t="s">
        <v>174</v>
      </c>
      <c r="G51" s="412"/>
      <c r="H51" s="201" t="s">
        <v>176</v>
      </c>
      <c r="J51" s="231">
        <v>46054</v>
      </c>
      <c r="K51" s="232" t="s">
        <v>274</v>
      </c>
      <c r="L51" s="233">
        <v>1950</v>
      </c>
    </row>
    <row r="52" spans="1:12" ht="15" customHeight="1">
      <c r="A52" s="234">
        <v>46227</v>
      </c>
      <c r="B52" s="531" t="s">
        <v>228</v>
      </c>
      <c r="C52" s="437"/>
      <c r="D52" s="235">
        <v>100000</v>
      </c>
      <c r="E52" s="236">
        <v>46054</v>
      </c>
      <c r="F52" s="535" t="s">
        <v>275</v>
      </c>
      <c r="G52" s="437"/>
      <c r="H52" s="237">
        <v>1950</v>
      </c>
      <c r="J52" s="238">
        <v>46082</v>
      </c>
      <c r="K52" s="239" t="s">
        <v>276</v>
      </c>
      <c r="L52" s="240">
        <v>312.5</v>
      </c>
    </row>
    <row r="53" spans="1:12" ht="15" customHeight="1">
      <c r="A53" s="204"/>
      <c r="B53" s="499"/>
      <c r="C53" s="405"/>
      <c r="D53" s="205"/>
      <c r="E53" s="241">
        <v>46082</v>
      </c>
      <c r="F53" s="529" t="s">
        <v>277</v>
      </c>
      <c r="G53" s="405"/>
      <c r="H53" s="242">
        <v>450000</v>
      </c>
      <c r="J53" s="238">
        <v>46113</v>
      </c>
      <c r="K53" s="239" t="s">
        <v>278</v>
      </c>
      <c r="L53" s="240">
        <v>319.14</v>
      </c>
    </row>
    <row r="54" spans="1:12" ht="15" customHeight="1">
      <c r="A54" s="204"/>
      <c r="B54" s="499"/>
      <c r="C54" s="405"/>
      <c r="D54" s="205"/>
      <c r="E54" s="241">
        <v>46113</v>
      </c>
      <c r="F54" s="529" t="s">
        <v>279</v>
      </c>
      <c r="G54" s="405"/>
      <c r="H54" s="242">
        <v>450000</v>
      </c>
      <c r="J54" s="238">
        <v>46143</v>
      </c>
      <c r="K54" s="239" t="s">
        <v>280</v>
      </c>
      <c r="L54" s="240">
        <v>316.89999999999998</v>
      </c>
    </row>
    <row r="55" spans="1:12" ht="15" customHeight="1">
      <c r="A55" s="204"/>
      <c r="B55" s="499"/>
      <c r="C55" s="405"/>
      <c r="D55" s="205"/>
      <c r="E55" s="241">
        <v>46143</v>
      </c>
      <c r="F55" s="529" t="s">
        <v>281</v>
      </c>
      <c r="G55" s="405"/>
      <c r="H55" s="242">
        <v>450000</v>
      </c>
      <c r="J55" s="238">
        <v>46174</v>
      </c>
      <c r="K55" s="239" t="s">
        <v>282</v>
      </c>
      <c r="L55" s="240">
        <v>313.58</v>
      </c>
    </row>
    <row r="56" spans="1:12" ht="14.25" customHeight="1">
      <c r="A56" s="204"/>
      <c r="B56" s="499"/>
      <c r="C56" s="405"/>
      <c r="D56" s="205"/>
      <c r="E56" s="241">
        <v>46174</v>
      </c>
      <c r="F56" s="529" t="s">
        <v>283</v>
      </c>
      <c r="G56" s="405"/>
      <c r="H56" s="242">
        <v>450000</v>
      </c>
      <c r="J56" s="243">
        <v>46204</v>
      </c>
      <c r="K56" s="244" t="s">
        <v>284</v>
      </c>
      <c r="L56" s="245">
        <v>296.05</v>
      </c>
    </row>
    <row r="57" spans="1:12" ht="14.25" customHeight="1">
      <c r="A57" s="204"/>
      <c r="B57" s="499"/>
      <c r="C57" s="405"/>
      <c r="D57" s="205"/>
      <c r="E57" s="241">
        <v>46204</v>
      </c>
      <c r="F57" s="529" t="s">
        <v>285</v>
      </c>
      <c r="G57" s="405"/>
      <c r="H57" s="242">
        <v>450000</v>
      </c>
      <c r="J57" s="243">
        <v>46235</v>
      </c>
      <c r="K57" s="244" t="s">
        <v>286</v>
      </c>
      <c r="L57" s="246">
        <v>391.83</v>
      </c>
    </row>
    <row r="58" spans="1:12" ht="14.25" customHeight="1">
      <c r="A58" s="224"/>
      <c r="B58" s="533"/>
      <c r="C58" s="467"/>
      <c r="D58" s="247"/>
      <c r="E58" s="248">
        <v>46235</v>
      </c>
      <c r="F58" s="534" t="s">
        <v>287</v>
      </c>
      <c r="G58" s="467"/>
      <c r="H58" s="249">
        <v>607336.5</v>
      </c>
      <c r="J58" s="532" t="s">
        <v>229</v>
      </c>
      <c r="K58" s="467"/>
      <c r="L58" s="156">
        <f>+L51-L52-L53-L54-L55-L56-L57</f>
        <v>0</v>
      </c>
    </row>
    <row r="59" spans="1:12" ht="14.25" customHeight="1">
      <c r="A59" s="514" t="s">
        <v>81</v>
      </c>
      <c r="B59" s="469"/>
      <c r="C59" s="515"/>
      <c r="D59" s="208">
        <f>SUM(D52:D58)</f>
        <v>100000</v>
      </c>
      <c r="E59" s="507" t="s">
        <v>229</v>
      </c>
      <c r="F59" s="469"/>
      <c r="G59" s="470"/>
      <c r="H59" s="156">
        <f>+H58</f>
        <v>607336.5</v>
      </c>
    </row>
    <row r="60" spans="1:12" ht="14.25" customHeight="1">
      <c r="D60" s="91"/>
      <c r="E60" s="472" t="s">
        <v>178</v>
      </c>
      <c r="F60" s="411"/>
      <c r="G60" s="412"/>
      <c r="H60" s="209">
        <v>0</v>
      </c>
    </row>
    <row r="61" spans="1:12" ht="14.25" customHeight="1">
      <c r="A61" s="516" t="s">
        <v>230</v>
      </c>
      <c r="B61" s="517"/>
      <c r="C61" s="517"/>
      <c r="D61" s="518"/>
    </row>
    <row r="62" spans="1:12" ht="14.25" customHeight="1">
      <c r="A62" s="519" t="s">
        <v>231</v>
      </c>
      <c r="B62" s="447"/>
      <c r="C62" s="437"/>
      <c r="D62" s="210" t="s">
        <v>232</v>
      </c>
    </row>
    <row r="63" spans="1:12" ht="14.25" customHeight="1">
      <c r="A63" s="512" t="s">
        <v>233</v>
      </c>
      <c r="B63" s="404"/>
      <c r="C63" s="405"/>
      <c r="D63" s="211">
        <v>-396.88</v>
      </c>
    </row>
    <row r="64" spans="1:12" ht="14.25" customHeight="1">
      <c r="A64" s="512" t="s">
        <v>234</v>
      </c>
      <c r="B64" s="404"/>
      <c r="C64" s="405"/>
      <c r="D64" s="211">
        <v>0</v>
      </c>
    </row>
    <row r="65" spans="1:4" ht="14.25" customHeight="1">
      <c r="A65" s="512" t="s">
        <v>235</v>
      </c>
      <c r="B65" s="404"/>
      <c r="C65" s="405"/>
      <c r="D65" s="211">
        <v>0</v>
      </c>
    </row>
    <row r="66" spans="1:4" ht="14.25" customHeight="1">
      <c r="A66" s="512" t="s">
        <v>236</v>
      </c>
      <c r="B66" s="404"/>
      <c r="C66" s="405"/>
      <c r="D66" s="211">
        <v>0</v>
      </c>
    </row>
    <row r="67" spans="1:4" ht="14.25" customHeight="1">
      <c r="A67" s="512" t="s">
        <v>237</v>
      </c>
      <c r="B67" s="404"/>
      <c r="C67" s="405"/>
      <c r="D67" s="211"/>
    </row>
    <row r="68" spans="1:4" ht="14.25" customHeight="1">
      <c r="A68" s="512" t="s">
        <v>238</v>
      </c>
      <c r="B68" s="404"/>
      <c r="C68" s="405"/>
      <c r="D68" s="211"/>
    </row>
    <row r="69" spans="1:4" ht="14.25" customHeight="1">
      <c r="A69" s="512" t="s">
        <v>239</v>
      </c>
      <c r="B69" s="404"/>
      <c r="C69" s="405"/>
      <c r="D69" s="211"/>
    </row>
    <row r="70" spans="1:4" ht="14.25" customHeight="1">
      <c r="A70" s="512" t="s">
        <v>45</v>
      </c>
      <c r="B70" s="404"/>
      <c r="C70" s="405"/>
      <c r="D70" s="211"/>
    </row>
    <row r="71" spans="1:4" ht="14.25" customHeight="1">
      <c r="A71" s="512" t="s">
        <v>98</v>
      </c>
      <c r="B71" s="404"/>
      <c r="C71" s="405"/>
      <c r="D71" s="211"/>
    </row>
    <row r="72" spans="1:4" ht="14.25" customHeight="1">
      <c r="A72" s="512" t="s">
        <v>100</v>
      </c>
      <c r="B72" s="404"/>
      <c r="C72" s="405"/>
      <c r="D72" s="211"/>
    </row>
    <row r="73" spans="1:4" ht="14.25" customHeight="1">
      <c r="A73" s="512" t="s">
        <v>104</v>
      </c>
      <c r="B73" s="404"/>
      <c r="C73" s="405"/>
      <c r="D73" s="211"/>
    </row>
    <row r="74" spans="1:4" ht="14.25" customHeight="1">
      <c r="A74" s="512" t="s">
        <v>106</v>
      </c>
      <c r="B74" s="404"/>
      <c r="C74" s="405"/>
      <c r="D74" s="211"/>
    </row>
    <row r="75" spans="1:4" ht="14.25" customHeight="1">
      <c r="A75" s="513" t="s">
        <v>113</v>
      </c>
      <c r="B75" s="504"/>
      <c r="C75" s="467"/>
      <c r="D75" s="212"/>
    </row>
    <row r="76" spans="1:4" ht="14.25" customHeight="1">
      <c r="A76" s="511" t="s">
        <v>81</v>
      </c>
      <c r="B76" s="411"/>
      <c r="C76" s="480"/>
      <c r="D76" s="213">
        <f>SUM(D63:D75)</f>
        <v>-396.88</v>
      </c>
    </row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</sheetData>
  <mergeCells count="139">
    <mergeCell ref="A73:C73"/>
    <mergeCell ref="A74:C74"/>
    <mergeCell ref="A75:C75"/>
    <mergeCell ref="A76:C76"/>
    <mergeCell ref="D40:E40"/>
    <mergeCell ref="F40:G40"/>
    <mergeCell ref="D41:E41"/>
    <mergeCell ref="F41:G41"/>
    <mergeCell ref="D42:E42"/>
    <mergeCell ref="F42:G42"/>
    <mergeCell ref="F57:G57"/>
    <mergeCell ref="F58:G58"/>
    <mergeCell ref="A59:C59"/>
    <mergeCell ref="E59:G59"/>
    <mergeCell ref="E60:G60"/>
    <mergeCell ref="A61:D61"/>
    <mergeCell ref="D46:E46"/>
    <mergeCell ref="F46:G46"/>
    <mergeCell ref="F51:G51"/>
    <mergeCell ref="F52:G52"/>
    <mergeCell ref="A62:C62"/>
    <mergeCell ref="A63:C63"/>
    <mergeCell ref="D45:E45"/>
    <mergeCell ref="F45:G45"/>
    <mergeCell ref="A1:H4"/>
    <mergeCell ref="F5:G5"/>
    <mergeCell ref="I5:J5"/>
    <mergeCell ref="K5:L5"/>
    <mergeCell ref="F14:H14"/>
    <mergeCell ref="A72:C72"/>
    <mergeCell ref="A66:C66"/>
    <mergeCell ref="A67:C67"/>
    <mergeCell ref="A68:C68"/>
    <mergeCell ref="A69:C69"/>
    <mergeCell ref="A70:C70"/>
    <mergeCell ref="A71:C71"/>
    <mergeCell ref="A64:C64"/>
    <mergeCell ref="A65:C65"/>
    <mergeCell ref="B55:C55"/>
    <mergeCell ref="B51:C51"/>
    <mergeCell ref="B52:C52"/>
    <mergeCell ref="F44:G44"/>
    <mergeCell ref="J58:K58"/>
    <mergeCell ref="F55:G55"/>
    <mergeCell ref="B58:C58"/>
    <mergeCell ref="F47:G47"/>
    <mergeCell ref="F48:G48"/>
    <mergeCell ref="F56:G56"/>
    <mergeCell ref="D44:E44"/>
    <mergeCell ref="D47:E47"/>
    <mergeCell ref="J50:L50"/>
    <mergeCell ref="A50:D50"/>
    <mergeCell ref="E50:H50"/>
    <mergeCell ref="F53:G53"/>
    <mergeCell ref="F54:G54"/>
    <mergeCell ref="B57:C57"/>
    <mergeCell ref="B53:C53"/>
    <mergeCell ref="B54:C54"/>
    <mergeCell ref="B56:C56"/>
    <mergeCell ref="D37:E37"/>
    <mergeCell ref="F37:G37"/>
    <mergeCell ref="D38:E38"/>
    <mergeCell ref="F38:G38"/>
    <mergeCell ref="D43:E43"/>
    <mergeCell ref="F43:G43"/>
    <mergeCell ref="D34:E34"/>
    <mergeCell ref="F34:G34"/>
    <mergeCell ref="D35:E35"/>
    <mergeCell ref="F35:G35"/>
    <mergeCell ref="D36:E36"/>
    <mergeCell ref="F36:G36"/>
    <mergeCell ref="D39:E39"/>
    <mergeCell ref="F39:G39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5:E25"/>
    <mergeCell ref="F25:G25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D19:E19"/>
    <mergeCell ref="F19:G19"/>
    <mergeCell ref="D20:E20"/>
    <mergeCell ref="F20:G20"/>
    <mergeCell ref="D21:E21"/>
    <mergeCell ref="F21:G21"/>
    <mergeCell ref="D16:E16"/>
    <mergeCell ref="F16:G16"/>
    <mergeCell ref="D17:E17"/>
    <mergeCell ref="F17:G17"/>
    <mergeCell ref="D18:E18"/>
    <mergeCell ref="F18:G18"/>
    <mergeCell ref="A15:F15"/>
    <mergeCell ref="G15:H15"/>
    <mergeCell ref="C12:D12"/>
    <mergeCell ref="E12:F12"/>
    <mergeCell ref="G12:H12"/>
    <mergeCell ref="F13:H13"/>
    <mergeCell ref="G10:H10"/>
    <mergeCell ref="C11:D11"/>
    <mergeCell ref="E11:F11"/>
    <mergeCell ref="G11:H11"/>
    <mergeCell ref="B13:C13"/>
    <mergeCell ref="B14:C14"/>
    <mergeCell ref="D13:E13"/>
    <mergeCell ref="D14:E14"/>
    <mergeCell ref="C10:D10"/>
    <mergeCell ref="E10:F10"/>
    <mergeCell ref="A5:E5"/>
    <mergeCell ref="A7:B7"/>
    <mergeCell ref="E7:F7"/>
    <mergeCell ref="G7:H7"/>
    <mergeCell ref="F6:G6"/>
    <mergeCell ref="A8:B8"/>
    <mergeCell ref="E8:F8"/>
    <mergeCell ref="G8:H8"/>
    <mergeCell ref="G9:H9"/>
    <mergeCell ref="B6:C6"/>
    <mergeCell ref="C9:D9"/>
    <mergeCell ref="C7:D7"/>
    <mergeCell ref="C8:D8"/>
    <mergeCell ref="E9:F9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01CB"/>
    <pageSetUpPr fitToPage="1"/>
  </sheetPr>
  <dimension ref="A1:L273"/>
  <sheetViews>
    <sheetView workbookViewId="0">
      <selection activeCell="G8" sqref="G8:H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21.554687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288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+A8+C8+E8+G8+B10+C10+A12+E12+G14</f>
        <v>1080000</v>
      </c>
      <c r="I5" s="431" t="s">
        <v>86</v>
      </c>
      <c r="J5" s="430"/>
      <c r="K5" s="429" t="str">
        <f>+B6</f>
        <v>FLORENCIA GOMEZ</v>
      </c>
      <c r="L5" s="430"/>
    </row>
    <row r="6" spans="1:12" ht="24.75" customHeight="1">
      <c r="A6" s="251" t="s">
        <v>179</v>
      </c>
      <c r="B6" s="546" t="s">
        <v>289</v>
      </c>
      <c r="C6" s="435"/>
      <c r="D6" s="252" t="s">
        <v>181</v>
      </c>
      <c r="E6" s="253"/>
      <c r="F6" s="544" t="s">
        <v>89</v>
      </c>
      <c r="G6" s="450"/>
      <c r="H6" s="254">
        <v>1</v>
      </c>
      <c r="I6" s="99" t="s">
        <v>45</v>
      </c>
      <c r="J6" s="100">
        <v>1000000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538" t="s">
        <v>109</v>
      </c>
      <c r="H7" s="448"/>
      <c r="I7" s="99" t="s">
        <v>98</v>
      </c>
      <c r="J7" s="100"/>
      <c r="K7" t="s">
        <v>99</v>
      </c>
      <c r="L7" s="105">
        <f>+A8</f>
        <v>1000000</v>
      </c>
    </row>
    <row r="8" spans="1:12" ht="24.75" customHeight="1">
      <c r="A8" s="491">
        <v>1000000</v>
      </c>
      <c r="B8" s="405"/>
      <c r="C8" s="547">
        <v>0</v>
      </c>
      <c r="D8" s="548"/>
      <c r="E8" s="422">
        <f>+L23</f>
        <v>80000</v>
      </c>
      <c r="F8" s="405"/>
      <c r="G8" s="539">
        <v>0</v>
      </c>
      <c r="H8" s="540"/>
      <c r="I8" s="99" t="s">
        <v>100</v>
      </c>
      <c r="J8" s="100"/>
      <c r="K8" t="s">
        <v>184</v>
      </c>
      <c r="L8" s="105">
        <f>+C8</f>
        <v>0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80000</v>
      </c>
    </row>
    <row r="10" spans="1:12" ht="24.75" customHeight="1">
      <c r="A10" s="168">
        <v>46082</v>
      </c>
      <c r="B10" s="130">
        <v>0</v>
      </c>
      <c r="C10" s="422">
        <v>0</v>
      </c>
      <c r="D10" s="405"/>
      <c r="E10" s="422">
        <f>+D56+H56</f>
        <v>300000</v>
      </c>
      <c r="F10" s="405"/>
      <c r="G10" s="483" t="s">
        <v>290</v>
      </c>
      <c r="H10" s="406"/>
      <c r="I10" s="99" t="s">
        <v>106</v>
      </c>
      <c r="J10" s="100"/>
      <c r="K10" t="s">
        <v>105</v>
      </c>
      <c r="L10" s="105">
        <f>+G8</f>
        <v>0</v>
      </c>
    </row>
    <row r="11" spans="1:12" ht="24.75" customHeight="1">
      <c r="A11" s="490" t="s">
        <v>291</v>
      </c>
      <c r="B11" s="405"/>
      <c r="C11" s="541">
        <v>0</v>
      </c>
      <c r="D11" s="405"/>
      <c r="E11" s="421" t="s">
        <v>292</v>
      </c>
      <c r="F11" s="405"/>
      <c r="G11" s="541">
        <v>0</v>
      </c>
      <c r="H11" s="406"/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542">
        <f>+L36*C11</f>
        <v>0</v>
      </c>
      <c r="B12" s="404"/>
      <c r="C12" s="404"/>
      <c r="D12" s="405"/>
      <c r="E12" s="527">
        <f>+L37*G11</f>
        <v>0</v>
      </c>
      <c r="F12" s="404"/>
      <c r="G12" s="404"/>
      <c r="H12" s="406"/>
      <c r="I12" s="99" t="s">
        <v>81</v>
      </c>
      <c r="J12" s="100">
        <f>SUM(J6:J11)</f>
        <v>1000000</v>
      </c>
      <c r="K12" s="91" t="s">
        <v>115</v>
      </c>
      <c r="L12" s="105">
        <f>+C10</f>
        <v>0</v>
      </c>
    </row>
    <row r="13" spans="1:12" ht="24.75" customHeight="1">
      <c r="A13" s="169" t="s">
        <v>186</v>
      </c>
      <c r="B13" s="170" t="s">
        <v>187</v>
      </c>
      <c r="C13" s="421" t="s">
        <v>188</v>
      </c>
      <c r="D13" s="405"/>
      <c r="E13" s="421" t="s">
        <v>189</v>
      </c>
      <c r="F13" s="405"/>
      <c r="G13" s="421" t="s">
        <v>190</v>
      </c>
      <c r="H13" s="406"/>
      <c r="I13" s="99" t="s">
        <v>121</v>
      </c>
      <c r="J13" s="100">
        <f>+J12/6</f>
        <v>166666.66666666666</v>
      </c>
      <c r="K13" s="91" t="s">
        <v>293</v>
      </c>
      <c r="L13" s="105">
        <f>+A12</f>
        <v>0</v>
      </c>
    </row>
    <row r="14" spans="1:12" ht="24.75" customHeight="1">
      <c r="A14" s="171">
        <v>220</v>
      </c>
      <c r="B14" s="172">
        <f>+H50</f>
        <v>197.08</v>
      </c>
      <c r="C14" s="498">
        <f>+B14-A14</f>
        <v>-22.919999999999987</v>
      </c>
      <c r="D14" s="405"/>
      <c r="E14" s="422">
        <v>4000</v>
      </c>
      <c r="F14" s="405"/>
      <c r="G14" s="422">
        <v>0</v>
      </c>
      <c r="H14" s="406"/>
      <c r="I14" s="99" t="s">
        <v>86</v>
      </c>
      <c r="J14" s="115">
        <f>+J13/2</f>
        <v>83333.333333333328</v>
      </c>
      <c r="K14" s="91" t="s">
        <v>294</v>
      </c>
      <c r="L14" s="105">
        <f>+E12</f>
        <v>0</v>
      </c>
    </row>
    <row r="15" spans="1:12" ht="24.75" customHeight="1">
      <c r="A15" s="421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t="s">
        <v>191</v>
      </c>
      <c r="L15" s="105">
        <f>+G14</f>
        <v>0</v>
      </c>
    </row>
    <row r="16" spans="1:12" ht="24.75" customHeight="1">
      <c r="A16" s="528">
        <v>46082</v>
      </c>
      <c r="B16" s="467"/>
      <c r="C16" s="482" t="s">
        <v>121</v>
      </c>
      <c r="D16" s="467"/>
      <c r="E16" s="530" t="s">
        <v>295</v>
      </c>
      <c r="F16" s="504"/>
      <c r="G16" s="504"/>
      <c r="H16" s="505"/>
      <c r="I16" s="91"/>
      <c r="K16" s="112" t="s">
        <v>122</v>
      </c>
      <c r="L16" s="113">
        <f>SUM(L7:L15)</f>
        <v>1080000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780000</v>
      </c>
      <c r="H17" s="412"/>
      <c r="I17" s="91"/>
      <c r="K17" t="s">
        <v>126</v>
      </c>
      <c r="L17" s="105">
        <f>+E10</f>
        <v>300000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434" t="s">
        <v>130</v>
      </c>
      <c r="E18" s="435"/>
      <c r="F18" s="508" t="s">
        <v>131</v>
      </c>
      <c r="G18" s="509"/>
      <c r="H18" s="175" t="s">
        <v>261</v>
      </c>
      <c r="I18" s="91"/>
      <c r="K18" s="119" t="s">
        <v>133</v>
      </c>
      <c r="L18" s="120">
        <f>+L16-L17</f>
        <v>780000</v>
      </c>
    </row>
    <row r="19" spans="1:12" ht="15" customHeight="1">
      <c r="A19" s="255" t="s">
        <v>134</v>
      </c>
      <c r="B19" s="217" t="s">
        <v>58</v>
      </c>
      <c r="C19" s="218">
        <v>46204</v>
      </c>
      <c r="D19" s="537" t="s">
        <v>169</v>
      </c>
      <c r="E19" s="437"/>
      <c r="F19" s="537" t="s">
        <v>296</v>
      </c>
      <c r="G19" s="437"/>
      <c r="H19" s="219">
        <v>8.77</v>
      </c>
    </row>
    <row r="20" spans="1:12" ht="15" customHeight="1">
      <c r="A20" s="230" t="s">
        <v>134</v>
      </c>
      <c r="B20" s="185" t="s">
        <v>60</v>
      </c>
      <c r="C20" s="125">
        <v>46205</v>
      </c>
      <c r="D20" s="455" t="s">
        <v>297</v>
      </c>
      <c r="E20" s="405"/>
      <c r="F20" s="455" t="s">
        <v>218</v>
      </c>
      <c r="G20" s="405"/>
      <c r="H20" s="126">
        <v>8.68</v>
      </c>
      <c r="K20" s="127" t="s">
        <v>196</v>
      </c>
      <c r="L20" s="128"/>
    </row>
    <row r="21" spans="1:12" ht="15" customHeight="1">
      <c r="A21" s="230" t="s">
        <v>134</v>
      </c>
      <c r="B21" s="185" t="s">
        <v>61</v>
      </c>
      <c r="C21" s="125">
        <v>46206</v>
      </c>
      <c r="D21" s="455" t="s">
        <v>298</v>
      </c>
      <c r="E21" s="405"/>
      <c r="F21" s="455" t="s">
        <v>220</v>
      </c>
      <c r="G21" s="405"/>
      <c r="H21" s="126">
        <v>8.07</v>
      </c>
      <c r="K21" s="129" t="s">
        <v>140</v>
      </c>
      <c r="L21" s="130">
        <v>45000</v>
      </c>
    </row>
    <row r="22" spans="1:12" ht="15" customHeight="1">
      <c r="A22" s="190" t="s">
        <v>134</v>
      </c>
      <c r="B22" s="191" t="s">
        <v>62</v>
      </c>
      <c r="C22" s="132">
        <v>46207</v>
      </c>
      <c r="D22" s="536" t="s">
        <v>146</v>
      </c>
      <c r="E22" s="405"/>
      <c r="F22" s="536" t="s">
        <v>299</v>
      </c>
      <c r="G22" s="405"/>
      <c r="H22" s="133">
        <v>6.67</v>
      </c>
      <c r="K22" s="127" t="s">
        <v>137</v>
      </c>
      <c r="L22" s="128"/>
    </row>
    <row r="23" spans="1:12" ht="15" customHeight="1">
      <c r="A23" s="182" t="s">
        <v>67</v>
      </c>
      <c r="B23" s="65" t="s">
        <v>63</v>
      </c>
      <c r="C23" s="66">
        <v>46208</v>
      </c>
      <c r="D23" s="497"/>
      <c r="E23" s="405"/>
      <c r="F23" s="497"/>
      <c r="G23" s="405"/>
      <c r="H23" s="183">
        <v>0</v>
      </c>
      <c r="K23" s="129" t="s">
        <v>140</v>
      </c>
      <c r="L23" s="130">
        <v>80000</v>
      </c>
    </row>
    <row r="24" spans="1:12" ht="15" customHeight="1">
      <c r="A24" s="180" t="s">
        <v>134</v>
      </c>
      <c r="B24" s="51" t="s">
        <v>64</v>
      </c>
      <c r="C24" s="52">
        <v>46209</v>
      </c>
      <c r="D24" s="495" t="s">
        <v>199</v>
      </c>
      <c r="E24" s="405"/>
      <c r="F24" s="495" t="s">
        <v>300</v>
      </c>
      <c r="G24" s="405"/>
      <c r="H24" s="181">
        <v>9.18</v>
      </c>
      <c r="K24" s="127" t="s">
        <v>109</v>
      </c>
      <c r="L24" s="128"/>
    </row>
    <row r="25" spans="1:12" ht="15" customHeight="1">
      <c r="A25" s="221" t="s">
        <v>67</v>
      </c>
      <c r="B25" s="222" t="s">
        <v>66</v>
      </c>
      <c r="C25" s="137">
        <v>46210</v>
      </c>
      <c r="D25" s="457"/>
      <c r="E25" s="405"/>
      <c r="F25" s="457"/>
      <c r="G25" s="405"/>
      <c r="H25" s="138">
        <v>0</v>
      </c>
      <c r="K25" s="129" t="s">
        <v>140</v>
      </c>
      <c r="L25" s="130">
        <v>100000</v>
      </c>
    </row>
    <row r="26" spans="1:12" ht="15" customHeight="1">
      <c r="A26" s="180" t="s">
        <v>134</v>
      </c>
      <c r="B26" s="51" t="s">
        <v>68</v>
      </c>
      <c r="C26" s="52">
        <v>46211</v>
      </c>
      <c r="D26" s="495" t="s">
        <v>135</v>
      </c>
      <c r="E26" s="405"/>
      <c r="F26" s="495" t="s">
        <v>142</v>
      </c>
      <c r="G26" s="405"/>
      <c r="H26" s="181">
        <v>8.8000000000000007</v>
      </c>
      <c r="K26" s="135" t="s">
        <v>111</v>
      </c>
      <c r="L26" s="91"/>
    </row>
    <row r="27" spans="1:12" ht="15" customHeight="1">
      <c r="A27" s="180" t="s">
        <v>134</v>
      </c>
      <c r="B27" s="51" t="s">
        <v>60</v>
      </c>
      <c r="C27" s="52">
        <v>46212</v>
      </c>
      <c r="D27" s="495" t="s">
        <v>219</v>
      </c>
      <c r="E27" s="405"/>
      <c r="F27" s="495" t="s">
        <v>148</v>
      </c>
      <c r="G27" s="405"/>
      <c r="H27" s="181">
        <v>9.35</v>
      </c>
      <c r="J27" s="91"/>
      <c r="K27" s="129" t="s">
        <v>149</v>
      </c>
      <c r="L27" s="130">
        <v>12500</v>
      </c>
    </row>
    <row r="28" spans="1:12" ht="15" customHeight="1">
      <c r="A28" s="180" t="s">
        <v>134</v>
      </c>
      <c r="B28" s="51" t="s">
        <v>61</v>
      </c>
      <c r="C28" s="52">
        <v>46213</v>
      </c>
      <c r="D28" s="495" t="s">
        <v>301</v>
      </c>
      <c r="E28" s="405"/>
      <c r="F28" s="495" t="s">
        <v>151</v>
      </c>
      <c r="G28" s="405"/>
      <c r="H28" s="181">
        <v>6.87</v>
      </c>
      <c r="I28" s="256" t="s">
        <v>302</v>
      </c>
      <c r="J28" s="91"/>
      <c r="K28" s="129" t="s">
        <v>152</v>
      </c>
      <c r="L28" s="130">
        <v>20000</v>
      </c>
    </row>
    <row r="29" spans="1:12" ht="15" customHeight="1">
      <c r="A29" s="182" t="s">
        <v>67</v>
      </c>
      <c r="B29" s="65" t="s">
        <v>62</v>
      </c>
      <c r="C29" s="66">
        <v>46214</v>
      </c>
      <c r="D29" s="497"/>
      <c r="E29" s="405"/>
      <c r="F29" s="497"/>
      <c r="G29" s="405"/>
      <c r="H29" s="183">
        <v>0</v>
      </c>
      <c r="K29" s="129" t="s">
        <v>153</v>
      </c>
      <c r="L29" s="130">
        <v>27500</v>
      </c>
    </row>
    <row r="30" spans="1:12" ht="15" customHeight="1">
      <c r="A30" s="182" t="s">
        <v>67</v>
      </c>
      <c r="B30" s="65" t="s">
        <v>63</v>
      </c>
      <c r="C30" s="66">
        <v>46215</v>
      </c>
      <c r="D30" s="497"/>
      <c r="E30" s="405"/>
      <c r="F30" s="497"/>
      <c r="G30" s="405"/>
      <c r="H30" s="183">
        <v>0</v>
      </c>
      <c r="K30" s="129" t="s">
        <v>154</v>
      </c>
      <c r="L30" s="130">
        <v>35000</v>
      </c>
    </row>
    <row r="31" spans="1:12" ht="15" customHeight="1">
      <c r="A31" s="230" t="s">
        <v>134</v>
      </c>
      <c r="B31" s="185" t="s">
        <v>64</v>
      </c>
      <c r="C31" s="125">
        <v>46216</v>
      </c>
      <c r="D31" s="455" t="s">
        <v>303</v>
      </c>
      <c r="E31" s="405"/>
      <c r="F31" s="455" t="s">
        <v>304</v>
      </c>
      <c r="G31" s="405"/>
      <c r="H31" s="126">
        <v>9.0299999999999994</v>
      </c>
      <c r="K31" s="129" t="s">
        <v>155</v>
      </c>
      <c r="L31" s="130">
        <v>42500</v>
      </c>
    </row>
    <row r="32" spans="1:12" ht="15" customHeight="1">
      <c r="A32" s="230" t="s">
        <v>134</v>
      </c>
      <c r="B32" s="185" t="s">
        <v>66</v>
      </c>
      <c r="C32" s="125">
        <v>46217</v>
      </c>
      <c r="D32" s="455" t="s">
        <v>305</v>
      </c>
      <c r="E32" s="405"/>
      <c r="F32" s="455" t="s">
        <v>300</v>
      </c>
      <c r="G32" s="405"/>
      <c r="H32" s="126">
        <v>8.82</v>
      </c>
      <c r="K32" s="129" t="s">
        <v>156</v>
      </c>
      <c r="L32" s="130">
        <v>63750</v>
      </c>
    </row>
    <row r="33" spans="1:12" ht="15" customHeight="1">
      <c r="A33" s="221" t="s">
        <v>67</v>
      </c>
      <c r="B33" s="222" t="s">
        <v>68</v>
      </c>
      <c r="C33" s="137">
        <v>46218</v>
      </c>
      <c r="D33" s="457"/>
      <c r="E33" s="405"/>
      <c r="F33" s="457"/>
      <c r="G33" s="405"/>
      <c r="H33" s="138">
        <v>0</v>
      </c>
      <c r="K33" s="129" t="s">
        <v>157</v>
      </c>
      <c r="L33" s="130">
        <v>127500</v>
      </c>
    </row>
    <row r="34" spans="1:12" ht="15" customHeight="1">
      <c r="A34" s="180" t="s">
        <v>134</v>
      </c>
      <c r="B34" s="51" t="s">
        <v>60</v>
      </c>
      <c r="C34" s="52">
        <v>46219</v>
      </c>
      <c r="D34" s="495" t="s">
        <v>306</v>
      </c>
      <c r="E34" s="405"/>
      <c r="F34" s="495" t="s">
        <v>307</v>
      </c>
      <c r="G34" s="405"/>
      <c r="H34" s="181">
        <v>10.35</v>
      </c>
      <c r="K34" s="129" t="s">
        <v>158</v>
      </c>
      <c r="L34" s="130">
        <v>200000</v>
      </c>
    </row>
    <row r="35" spans="1:12" ht="15" customHeight="1">
      <c r="A35" s="230" t="s">
        <v>134</v>
      </c>
      <c r="B35" s="185" t="s">
        <v>61</v>
      </c>
      <c r="C35" s="125">
        <v>46220</v>
      </c>
      <c r="D35" s="455" t="s">
        <v>308</v>
      </c>
      <c r="E35" s="405"/>
      <c r="F35" s="455" t="s">
        <v>164</v>
      </c>
      <c r="G35" s="405"/>
      <c r="H35" s="126">
        <v>9.07</v>
      </c>
      <c r="K35" s="228" t="s">
        <v>309</v>
      </c>
      <c r="L35" s="229"/>
    </row>
    <row r="36" spans="1:12" ht="15" customHeight="1">
      <c r="A36" s="182" t="s">
        <v>67</v>
      </c>
      <c r="B36" s="65" t="s">
        <v>62</v>
      </c>
      <c r="C36" s="66">
        <v>46221</v>
      </c>
      <c r="D36" s="497"/>
      <c r="E36" s="405"/>
      <c r="F36" s="497"/>
      <c r="G36" s="405"/>
      <c r="H36" s="183">
        <v>0</v>
      </c>
      <c r="K36" s="129" t="s">
        <v>310</v>
      </c>
      <c r="L36" s="130">
        <v>150000</v>
      </c>
    </row>
    <row r="37" spans="1:12" ht="15" customHeight="1">
      <c r="A37" s="182" t="s">
        <v>67</v>
      </c>
      <c r="B37" s="65" t="s">
        <v>63</v>
      </c>
      <c r="C37" s="66">
        <v>46222</v>
      </c>
      <c r="D37" s="497"/>
      <c r="E37" s="405"/>
      <c r="F37" s="497"/>
      <c r="G37" s="405"/>
      <c r="H37" s="183">
        <v>0</v>
      </c>
      <c r="K37" s="129" t="s">
        <v>311</v>
      </c>
      <c r="L37" s="130">
        <v>300000</v>
      </c>
    </row>
    <row r="38" spans="1:12" ht="15" customHeight="1">
      <c r="A38" s="180" t="s">
        <v>134</v>
      </c>
      <c r="B38" s="51" t="s">
        <v>64</v>
      </c>
      <c r="C38" s="52">
        <v>46223</v>
      </c>
      <c r="D38" s="495" t="s">
        <v>266</v>
      </c>
      <c r="E38" s="405"/>
      <c r="F38" s="495" t="s">
        <v>256</v>
      </c>
      <c r="G38" s="405"/>
      <c r="H38" s="181">
        <v>9.17</v>
      </c>
    </row>
    <row r="39" spans="1:12" ht="15" customHeight="1">
      <c r="A39" s="180" t="s">
        <v>134</v>
      </c>
      <c r="B39" s="51" t="s">
        <v>66</v>
      </c>
      <c r="C39" s="52">
        <v>46224</v>
      </c>
      <c r="D39" s="495" t="s">
        <v>135</v>
      </c>
      <c r="E39" s="405"/>
      <c r="F39" s="495" t="s">
        <v>312</v>
      </c>
      <c r="G39" s="405"/>
      <c r="H39" s="181">
        <v>9.58</v>
      </c>
      <c r="I39" s="256" t="s">
        <v>302</v>
      </c>
    </row>
    <row r="40" spans="1:12" ht="15" customHeight="1">
      <c r="A40" s="230" t="s">
        <v>134</v>
      </c>
      <c r="B40" s="185" t="s">
        <v>68</v>
      </c>
      <c r="C40" s="125">
        <v>46225</v>
      </c>
      <c r="D40" s="455" t="s">
        <v>313</v>
      </c>
      <c r="E40" s="405"/>
      <c r="F40" s="455" t="s">
        <v>214</v>
      </c>
      <c r="G40" s="405"/>
      <c r="H40" s="126">
        <v>8.52</v>
      </c>
    </row>
    <row r="41" spans="1:12" ht="15" customHeight="1">
      <c r="A41" s="180" t="s">
        <v>134</v>
      </c>
      <c r="B41" s="51" t="s">
        <v>60</v>
      </c>
      <c r="C41" s="52">
        <v>46226</v>
      </c>
      <c r="D41" s="495" t="s">
        <v>314</v>
      </c>
      <c r="E41" s="405"/>
      <c r="F41" s="495" t="s">
        <v>315</v>
      </c>
      <c r="G41" s="405"/>
      <c r="H41" s="181">
        <v>10</v>
      </c>
    </row>
    <row r="42" spans="1:12" ht="15" customHeight="1">
      <c r="A42" s="180" t="s">
        <v>134</v>
      </c>
      <c r="B42" s="51" t="s">
        <v>61</v>
      </c>
      <c r="C42" s="52">
        <v>46227</v>
      </c>
      <c r="D42" s="495" t="s">
        <v>316</v>
      </c>
      <c r="E42" s="405"/>
      <c r="F42" s="495" t="s">
        <v>217</v>
      </c>
      <c r="G42" s="405"/>
      <c r="H42" s="181">
        <v>10.23</v>
      </c>
    </row>
    <row r="43" spans="1:12" ht="15" customHeight="1">
      <c r="A43" s="230" t="s">
        <v>134</v>
      </c>
      <c r="B43" s="191" t="s">
        <v>62</v>
      </c>
      <c r="C43" s="132">
        <v>46228</v>
      </c>
      <c r="D43" s="536" t="s">
        <v>308</v>
      </c>
      <c r="E43" s="405"/>
      <c r="F43" s="536" t="s">
        <v>147</v>
      </c>
      <c r="G43" s="405"/>
      <c r="H43" s="133">
        <v>9.02</v>
      </c>
    </row>
    <row r="44" spans="1:12" ht="15" customHeight="1">
      <c r="A44" s="182" t="s">
        <v>67</v>
      </c>
      <c r="B44" s="65" t="s">
        <v>63</v>
      </c>
      <c r="C44" s="66">
        <v>46229</v>
      </c>
      <c r="D44" s="497"/>
      <c r="E44" s="405"/>
      <c r="F44" s="497"/>
      <c r="G44" s="405"/>
      <c r="H44" s="183">
        <v>0</v>
      </c>
    </row>
    <row r="45" spans="1:12" ht="15" customHeight="1">
      <c r="A45" s="230" t="s">
        <v>134</v>
      </c>
      <c r="B45" s="185" t="s">
        <v>64</v>
      </c>
      <c r="C45" s="125">
        <v>46230</v>
      </c>
      <c r="D45" s="455" t="s">
        <v>308</v>
      </c>
      <c r="E45" s="405"/>
      <c r="F45" s="455" t="s">
        <v>265</v>
      </c>
      <c r="G45" s="405"/>
      <c r="H45" s="126">
        <v>9.1</v>
      </c>
    </row>
    <row r="46" spans="1:12" ht="15" customHeight="1">
      <c r="A46" s="230" t="s">
        <v>134</v>
      </c>
      <c r="B46" s="185" t="s">
        <v>66</v>
      </c>
      <c r="C46" s="125">
        <v>46231</v>
      </c>
      <c r="D46" s="455" t="s">
        <v>297</v>
      </c>
      <c r="E46" s="405"/>
      <c r="F46" s="455" t="s">
        <v>247</v>
      </c>
      <c r="G46" s="405"/>
      <c r="H46" s="126">
        <v>8.6199999999999992</v>
      </c>
    </row>
    <row r="47" spans="1:12" ht="15" customHeight="1">
      <c r="A47" s="221" t="s">
        <v>67</v>
      </c>
      <c r="B47" s="222" t="s">
        <v>68</v>
      </c>
      <c r="C47" s="137">
        <v>46232</v>
      </c>
      <c r="D47" s="457"/>
      <c r="E47" s="405"/>
      <c r="F47" s="457"/>
      <c r="G47" s="405"/>
      <c r="H47" s="138">
        <v>0</v>
      </c>
    </row>
    <row r="48" spans="1:12" ht="15" customHeight="1">
      <c r="A48" s="180" t="s">
        <v>134</v>
      </c>
      <c r="B48" s="51" t="s">
        <v>60</v>
      </c>
      <c r="C48" s="52">
        <v>46233</v>
      </c>
      <c r="D48" s="495" t="s">
        <v>317</v>
      </c>
      <c r="E48" s="405"/>
      <c r="F48" s="495" t="s">
        <v>307</v>
      </c>
      <c r="G48" s="405"/>
      <c r="H48" s="181">
        <v>10.4</v>
      </c>
    </row>
    <row r="49" spans="1:8" ht="15" customHeight="1">
      <c r="A49" s="257" t="s">
        <v>134</v>
      </c>
      <c r="B49" s="258" t="s">
        <v>61</v>
      </c>
      <c r="C49" s="141">
        <v>46234</v>
      </c>
      <c r="D49" s="466" t="s">
        <v>318</v>
      </c>
      <c r="E49" s="467"/>
      <c r="F49" s="466" t="s">
        <v>202</v>
      </c>
      <c r="G49" s="467"/>
      <c r="H49" s="142">
        <v>8.7799999999999994</v>
      </c>
    </row>
    <row r="50" spans="1:8" ht="15" customHeight="1">
      <c r="A50" s="196"/>
      <c r="B50" s="91"/>
      <c r="C50" s="91"/>
      <c r="D50" s="91"/>
      <c r="E50" s="91"/>
      <c r="F50" s="506" t="s">
        <v>41</v>
      </c>
      <c r="G50" s="412"/>
      <c r="H50" s="146">
        <f>SUM(H19:H49)</f>
        <v>197.08</v>
      </c>
    </row>
    <row r="51" spans="1:8" ht="15" customHeight="1">
      <c r="A51" s="91"/>
      <c r="B51" s="91"/>
      <c r="C51" s="91"/>
      <c r="D51" s="91"/>
      <c r="E51" s="91"/>
      <c r="F51" s="197"/>
      <c r="G51" s="144"/>
      <c r="H51" s="198"/>
    </row>
    <row r="52" spans="1:8" ht="15" customHeight="1">
      <c r="A52" s="477" t="s">
        <v>226</v>
      </c>
      <c r="B52" s="411"/>
      <c r="C52" s="411"/>
      <c r="D52" s="412"/>
      <c r="E52" s="523" t="s">
        <v>173</v>
      </c>
      <c r="F52" s="411"/>
      <c r="G52" s="411"/>
      <c r="H52" s="412"/>
    </row>
    <row r="53" spans="1:8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8" ht="14.25" customHeight="1">
      <c r="A54" s="234">
        <v>46227</v>
      </c>
      <c r="B54" s="531" t="s">
        <v>228</v>
      </c>
      <c r="C54" s="437"/>
      <c r="D54" s="235">
        <v>300000</v>
      </c>
      <c r="E54" s="202"/>
      <c r="F54" s="500"/>
      <c r="G54" s="437"/>
      <c r="H54" s="203"/>
    </row>
    <row r="55" spans="1:8" ht="14.25" customHeight="1">
      <c r="A55" s="224"/>
      <c r="B55" s="533"/>
      <c r="C55" s="467"/>
      <c r="D55" s="247"/>
      <c r="E55" s="224"/>
      <c r="F55" s="482"/>
      <c r="G55" s="467"/>
      <c r="H55" s="225"/>
    </row>
    <row r="56" spans="1:8" ht="14.25" customHeight="1">
      <c r="A56" s="514" t="s">
        <v>81</v>
      </c>
      <c r="B56" s="469"/>
      <c r="C56" s="515"/>
      <c r="D56" s="208">
        <f>SUM(D54:D55)</f>
        <v>300000</v>
      </c>
      <c r="E56" s="507" t="s">
        <v>229</v>
      </c>
      <c r="F56" s="469"/>
      <c r="G56" s="470"/>
      <c r="H56" s="156">
        <f>+H54</f>
        <v>0</v>
      </c>
    </row>
    <row r="57" spans="1:8" ht="14.25" customHeight="1">
      <c r="D57" s="91"/>
      <c r="E57" s="472" t="s">
        <v>178</v>
      </c>
      <c r="F57" s="411"/>
      <c r="G57" s="412"/>
      <c r="H57" s="209">
        <v>0</v>
      </c>
    </row>
    <row r="58" spans="1:8" ht="14.25" customHeight="1">
      <c r="A58" s="516" t="s">
        <v>230</v>
      </c>
      <c r="B58" s="517"/>
      <c r="C58" s="517"/>
      <c r="D58" s="518"/>
    </row>
    <row r="59" spans="1:8" ht="14.25" customHeight="1">
      <c r="A59" s="519" t="s">
        <v>231</v>
      </c>
      <c r="B59" s="447"/>
      <c r="C59" s="437"/>
      <c r="D59" s="210" t="s">
        <v>232</v>
      </c>
    </row>
    <row r="60" spans="1:8" ht="14.25" customHeight="1">
      <c r="A60" s="512" t="s">
        <v>233</v>
      </c>
      <c r="B60" s="404"/>
      <c r="C60" s="405"/>
      <c r="D60" s="211">
        <v>-396.88</v>
      </c>
    </row>
    <row r="61" spans="1:8" ht="14.25" customHeight="1">
      <c r="A61" s="512" t="s">
        <v>234</v>
      </c>
      <c r="B61" s="404"/>
      <c r="C61" s="405"/>
      <c r="D61" s="211">
        <v>0</v>
      </c>
    </row>
    <row r="62" spans="1:8" ht="14.25" customHeight="1">
      <c r="A62" s="512" t="s">
        <v>235</v>
      </c>
      <c r="B62" s="404"/>
      <c r="C62" s="405"/>
      <c r="D62" s="211">
        <v>0</v>
      </c>
    </row>
    <row r="63" spans="1:8" ht="14.25" customHeight="1">
      <c r="A63" s="512" t="s">
        <v>236</v>
      </c>
      <c r="B63" s="404"/>
      <c r="C63" s="405"/>
      <c r="D63" s="211">
        <v>0</v>
      </c>
    </row>
    <row r="64" spans="1:8" ht="14.25" customHeight="1">
      <c r="A64" s="512" t="s">
        <v>237</v>
      </c>
      <c r="B64" s="404"/>
      <c r="C64" s="405"/>
      <c r="D64" s="211"/>
    </row>
    <row r="65" spans="1:4" ht="14.25" customHeight="1">
      <c r="A65" s="512" t="s">
        <v>238</v>
      </c>
      <c r="B65" s="404"/>
      <c r="C65" s="405"/>
      <c r="D65" s="211"/>
    </row>
    <row r="66" spans="1:4" ht="14.25" customHeight="1">
      <c r="A66" s="512" t="s">
        <v>239</v>
      </c>
      <c r="B66" s="404"/>
      <c r="C66" s="405"/>
      <c r="D66" s="211"/>
    </row>
    <row r="67" spans="1:4" ht="14.25" customHeight="1">
      <c r="A67" s="512" t="s">
        <v>45</v>
      </c>
      <c r="B67" s="404"/>
      <c r="C67" s="405"/>
      <c r="D67" s="211"/>
    </row>
    <row r="68" spans="1:4" ht="14.25" customHeight="1">
      <c r="A68" s="512" t="s">
        <v>98</v>
      </c>
      <c r="B68" s="404"/>
      <c r="C68" s="405"/>
      <c r="D68" s="211"/>
    </row>
    <row r="69" spans="1:4" ht="14.25" customHeight="1">
      <c r="A69" s="512" t="s">
        <v>100</v>
      </c>
      <c r="B69" s="404"/>
      <c r="C69" s="405"/>
      <c r="D69" s="211"/>
    </row>
    <row r="70" spans="1:4" ht="14.25" customHeight="1">
      <c r="A70" s="512" t="s">
        <v>104</v>
      </c>
      <c r="B70" s="404"/>
      <c r="C70" s="405"/>
      <c r="D70" s="211"/>
    </row>
    <row r="71" spans="1:4" ht="14.25" customHeight="1">
      <c r="A71" s="512" t="s">
        <v>106</v>
      </c>
      <c r="B71" s="404"/>
      <c r="C71" s="405"/>
      <c r="D71" s="211"/>
    </row>
    <row r="72" spans="1:4" ht="14.25" customHeight="1">
      <c r="A72" s="513" t="s">
        <v>113</v>
      </c>
      <c r="B72" s="504"/>
      <c r="C72" s="467"/>
      <c r="D72" s="212"/>
    </row>
    <row r="73" spans="1:4" ht="14.25" customHeight="1">
      <c r="A73" s="511" t="s">
        <v>81</v>
      </c>
      <c r="B73" s="411"/>
      <c r="C73" s="480"/>
      <c r="D73" s="213">
        <f>SUM(D60:D72)</f>
        <v>-396.88</v>
      </c>
    </row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</sheetData>
  <mergeCells count="133">
    <mergeCell ref="I5:J5"/>
    <mergeCell ref="K5:L5"/>
    <mergeCell ref="F5:G5"/>
    <mergeCell ref="F6:G6"/>
    <mergeCell ref="C9:D9"/>
    <mergeCell ref="E9:F9"/>
    <mergeCell ref="A1:H4"/>
    <mergeCell ref="A5:E5"/>
    <mergeCell ref="E7:F7"/>
    <mergeCell ref="A7:B7"/>
    <mergeCell ref="C7:D7"/>
    <mergeCell ref="B6:C6"/>
    <mergeCell ref="A8:B8"/>
    <mergeCell ref="C8:D8"/>
    <mergeCell ref="E8:F8"/>
    <mergeCell ref="D22:E22"/>
    <mergeCell ref="D20:E20"/>
    <mergeCell ref="D21:E21"/>
    <mergeCell ref="D27:E27"/>
    <mergeCell ref="D28:E28"/>
    <mergeCell ref="D23:E23"/>
    <mergeCell ref="D24:E24"/>
    <mergeCell ref="D25:E25"/>
    <mergeCell ref="A17:F17"/>
    <mergeCell ref="D26:E26"/>
    <mergeCell ref="D18:E18"/>
    <mergeCell ref="D19:E19"/>
    <mergeCell ref="E11:F11"/>
    <mergeCell ref="E12:H12"/>
    <mergeCell ref="C10:D10"/>
    <mergeCell ref="E10:F10"/>
    <mergeCell ref="A15:B15"/>
    <mergeCell ref="C15:D15"/>
    <mergeCell ref="E15:H15"/>
    <mergeCell ref="A16:B16"/>
    <mergeCell ref="C16:D16"/>
    <mergeCell ref="E16:H16"/>
    <mergeCell ref="E13:F13"/>
    <mergeCell ref="E14:F14"/>
    <mergeCell ref="G10:H10"/>
    <mergeCell ref="C14:D14"/>
    <mergeCell ref="A11:B11"/>
    <mergeCell ref="C11:D11"/>
    <mergeCell ref="A12:D12"/>
    <mergeCell ref="C13:D13"/>
    <mergeCell ref="D29:E29"/>
    <mergeCell ref="D30:E30"/>
    <mergeCell ref="D31:E31"/>
    <mergeCell ref="F19:G19"/>
    <mergeCell ref="F26:G26"/>
    <mergeCell ref="F20:G20"/>
    <mergeCell ref="F21:G21"/>
    <mergeCell ref="G7:H7"/>
    <mergeCell ref="G8:H8"/>
    <mergeCell ref="G9:H9"/>
    <mergeCell ref="F29:G29"/>
    <mergeCell ref="F30:G30"/>
    <mergeCell ref="F31:G31"/>
    <mergeCell ref="F27:G27"/>
    <mergeCell ref="F28:G28"/>
    <mergeCell ref="F23:G23"/>
    <mergeCell ref="F24:G24"/>
    <mergeCell ref="F25:G25"/>
    <mergeCell ref="F22:G22"/>
    <mergeCell ref="G17:H17"/>
    <mergeCell ref="F18:G18"/>
    <mergeCell ref="G13:H13"/>
    <mergeCell ref="G14:H14"/>
    <mergeCell ref="G11:H11"/>
    <mergeCell ref="D35:E35"/>
    <mergeCell ref="D36:E36"/>
    <mergeCell ref="D37:E37"/>
    <mergeCell ref="F35:G35"/>
    <mergeCell ref="F36:G36"/>
    <mergeCell ref="D45:E45"/>
    <mergeCell ref="D44:E44"/>
    <mergeCell ref="F32:G32"/>
    <mergeCell ref="F33:G33"/>
    <mergeCell ref="D42:E42"/>
    <mergeCell ref="D32:E32"/>
    <mergeCell ref="D33:E33"/>
    <mergeCell ref="D34:E34"/>
    <mergeCell ref="F41:G41"/>
    <mergeCell ref="F42:G42"/>
    <mergeCell ref="F45:G45"/>
    <mergeCell ref="F37:G37"/>
    <mergeCell ref="F44:G44"/>
    <mergeCell ref="F34:G34"/>
    <mergeCell ref="E57:G57"/>
    <mergeCell ref="F55:G55"/>
    <mergeCell ref="D38:E38"/>
    <mergeCell ref="F38:G38"/>
    <mergeCell ref="D48:E48"/>
    <mergeCell ref="D46:E46"/>
    <mergeCell ref="F46:G46"/>
    <mergeCell ref="D47:E47"/>
    <mergeCell ref="F47:G47"/>
    <mergeCell ref="F48:G48"/>
    <mergeCell ref="D49:E49"/>
    <mergeCell ref="F49:G49"/>
    <mergeCell ref="F50:G50"/>
    <mergeCell ref="E52:H52"/>
    <mergeCell ref="F53:G53"/>
    <mergeCell ref="F54:G54"/>
    <mergeCell ref="D39:E39"/>
    <mergeCell ref="F39:G39"/>
    <mergeCell ref="D40:E40"/>
    <mergeCell ref="F40:G40"/>
    <mergeCell ref="D41:E41"/>
    <mergeCell ref="D43:E43"/>
    <mergeCell ref="F43:G43"/>
    <mergeCell ref="E56:G56"/>
    <mergeCell ref="A73:C73"/>
    <mergeCell ref="A67:C67"/>
    <mergeCell ref="A68:C68"/>
    <mergeCell ref="A69:C69"/>
    <mergeCell ref="A70:C70"/>
    <mergeCell ref="A71:C71"/>
    <mergeCell ref="A72:C72"/>
    <mergeCell ref="A66:C66"/>
    <mergeCell ref="A56:C56"/>
    <mergeCell ref="A58:D58"/>
    <mergeCell ref="A64:C64"/>
    <mergeCell ref="A65:C65"/>
    <mergeCell ref="B55:C55"/>
    <mergeCell ref="A52:D52"/>
    <mergeCell ref="B53:C53"/>
    <mergeCell ref="B54:C54"/>
    <mergeCell ref="A59:C59"/>
    <mergeCell ref="A60:C60"/>
    <mergeCell ref="A61:C61"/>
    <mergeCell ref="A62:C62"/>
    <mergeCell ref="A63:C63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2060"/>
    <pageSetUpPr fitToPage="1"/>
  </sheetPr>
  <dimension ref="A1:L271"/>
  <sheetViews>
    <sheetView workbookViewId="0">
      <selection activeCell="C8" sqref="C8:D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+A8+C8+E8+G8+B10+C10+G10+G12</f>
        <v>2391133.5748127997</v>
      </c>
      <c r="I5" s="431" t="s">
        <v>86</v>
      </c>
      <c r="J5" s="430"/>
      <c r="K5" s="429" t="str">
        <f>+B6</f>
        <v>JUAN VESSONI</v>
      </c>
      <c r="L5" s="430"/>
    </row>
    <row r="6" spans="1:12" ht="24.75" customHeight="1">
      <c r="A6" s="159" t="s">
        <v>179</v>
      </c>
      <c r="B6" s="488" t="s">
        <v>319</v>
      </c>
      <c r="C6" s="405"/>
      <c r="D6" s="160" t="s">
        <v>181</v>
      </c>
      <c r="E6" s="161">
        <v>28654907</v>
      </c>
      <c r="F6" s="525" t="s">
        <v>89</v>
      </c>
      <c r="G6" s="428"/>
      <c r="H6" s="97">
        <v>1</v>
      </c>
      <c r="I6" s="99" t="s">
        <v>45</v>
      </c>
      <c r="J6" s="100">
        <v>1625757.64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1625757.63922</v>
      </c>
    </row>
    <row r="8" spans="1:12" ht="24.75" customHeight="1">
      <c r="A8" s="491">
        <f>1388349.82*17.1%+1388349.82</f>
        <v>1625757.63922</v>
      </c>
      <c r="B8" s="405"/>
      <c r="C8" s="547">
        <v>0</v>
      </c>
      <c r="D8" s="548"/>
      <c r="E8" s="422">
        <f>+L22</f>
        <v>138884.20668</v>
      </c>
      <c r="F8" s="405"/>
      <c r="G8" s="549">
        <v>0</v>
      </c>
      <c r="H8" s="540"/>
      <c r="I8" s="99" t="s">
        <v>100</v>
      </c>
      <c r="J8" s="100"/>
      <c r="K8" t="s">
        <v>184</v>
      </c>
      <c r="L8" s="105">
        <f>+C8</f>
        <v>0</v>
      </c>
    </row>
    <row r="9" spans="1:12" ht="24.75" customHeight="1">
      <c r="A9" s="166" t="s">
        <v>111</v>
      </c>
      <c r="B9" s="167">
        <v>4</v>
      </c>
      <c r="C9" s="453" t="s">
        <v>185</v>
      </c>
      <c r="D9" s="405"/>
      <c r="E9" s="493" t="s">
        <v>96</v>
      </c>
      <c r="F9" s="405"/>
      <c r="G9" s="170" t="s">
        <v>320</v>
      </c>
      <c r="H9" s="259">
        <f>+EVENTOS!F18</f>
        <v>1</v>
      </c>
      <c r="I9" s="99" t="s">
        <v>104</v>
      </c>
      <c r="J9" s="100"/>
      <c r="K9" t="s">
        <v>101</v>
      </c>
      <c r="L9" s="105">
        <f>+E8</f>
        <v>138884.20668</v>
      </c>
    </row>
    <row r="10" spans="1:12" ht="24.75" customHeight="1">
      <c r="A10" s="168">
        <v>44501</v>
      </c>
      <c r="B10" s="130">
        <f>+L29</f>
        <v>40985</v>
      </c>
      <c r="C10" s="422">
        <v>300000</v>
      </c>
      <c r="D10" s="405"/>
      <c r="E10" s="422">
        <f>+D54+H54</f>
        <v>800000</v>
      </c>
      <c r="F10" s="405"/>
      <c r="G10" s="527">
        <f>+L35*H9</f>
        <v>140206.46475000001</v>
      </c>
      <c r="H10" s="406"/>
      <c r="I10" s="99" t="s">
        <v>106</v>
      </c>
      <c r="J10" s="100"/>
      <c r="K10" t="s">
        <v>105</v>
      </c>
      <c r="L10" s="105">
        <f>+G8</f>
        <v>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40985</v>
      </c>
    </row>
    <row r="12" spans="1:12" ht="24.75" customHeight="1">
      <c r="A12" s="171">
        <v>220</v>
      </c>
      <c r="B12" s="172">
        <f>+H48</f>
        <v>247.66</v>
      </c>
      <c r="C12" s="498">
        <f>+B12-A12</f>
        <v>27.659999999999997</v>
      </c>
      <c r="D12" s="405"/>
      <c r="E12" s="422">
        <f>4485.98*17.1%+4485.98</f>
        <v>5253.0825799999993</v>
      </c>
      <c r="F12" s="405"/>
      <c r="G12" s="422">
        <f>+C12*E12</f>
        <v>145300.26416279995</v>
      </c>
      <c r="H12" s="406"/>
      <c r="I12" s="99" t="s">
        <v>81</v>
      </c>
      <c r="J12" s="100">
        <f>SUM(J6:J11)</f>
        <v>1625757.64</v>
      </c>
      <c r="K12" s="91" t="s">
        <v>115</v>
      </c>
      <c r="L12" s="105">
        <f>+C10</f>
        <v>300000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270959.60666666663</v>
      </c>
      <c r="K13" s="91" t="s">
        <v>321</v>
      </c>
      <c r="L13" s="105">
        <f>+G10</f>
        <v>140206.46475000001</v>
      </c>
    </row>
    <row r="14" spans="1:12" ht="24.75" customHeight="1">
      <c r="A14" s="227" t="s">
        <v>124</v>
      </c>
      <c r="B14" s="528">
        <v>46143</v>
      </c>
      <c r="C14" s="467"/>
      <c r="D14" s="482" t="s">
        <v>125</v>
      </c>
      <c r="E14" s="467"/>
      <c r="F14" s="530" t="s">
        <v>322</v>
      </c>
      <c r="G14" s="504"/>
      <c r="H14" s="505"/>
      <c r="I14" s="99" t="s">
        <v>86</v>
      </c>
      <c r="J14" s="115">
        <f>+J13/2</f>
        <v>135479.80333333332</v>
      </c>
      <c r="K14" t="s">
        <v>191</v>
      </c>
      <c r="L14" s="105">
        <f>+G12</f>
        <v>145300.26416279995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1591133.5748127997</v>
      </c>
      <c r="H15" s="412"/>
      <c r="I15" s="91"/>
      <c r="K15" s="112" t="s">
        <v>122</v>
      </c>
      <c r="L15" s="113">
        <f>SUM(L7:L14)</f>
        <v>2391133.5748127997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260"/>
      <c r="K16" t="s">
        <v>126</v>
      </c>
      <c r="L16" s="105">
        <f>+E10</f>
        <v>800000</v>
      </c>
    </row>
    <row r="17" spans="1:12" ht="15" customHeight="1">
      <c r="A17" s="255" t="s">
        <v>134</v>
      </c>
      <c r="B17" s="217" t="s">
        <v>58</v>
      </c>
      <c r="C17" s="218">
        <v>46204</v>
      </c>
      <c r="D17" s="537" t="s">
        <v>303</v>
      </c>
      <c r="E17" s="437"/>
      <c r="F17" s="537" t="s">
        <v>323</v>
      </c>
      <c r="G17" s="437"/>
      <c r="H17" s="219">
        <v>7.83</v>
      </c>
      <c r="I17" s="139" t="s">
        <v>65</v>
      </c>
      <c r="K17" s="119" t="s">
        <v>133</v>
      </c>
      <c r="L17" s="120">
        <f>+L15-L16</f>
        <v>1591133.5748127997</v>
      </c>
    </row>
    <row r="18" spans="1:12" ht="15" customHeight="1">
      <c r="A18" s="180" t="s">
        <v>134</v>
      </c>
      <c r="B18" s="185" t="s">
        <v>60</v>
      </c>
      <c r="C18" s="125">
        <v>46205</v>
      </c>
      <c r="D18" s="455" t="s">
        <v>138</v>
      </c>
      <c r="E18" s="405"/>
      <c r="F18" s="455" t="s">
        <v>324</v>
      </c>
      <c r="G18" s="405"/>
      <c r="H18" s="126">
        <v>8.67</v>
      </c>
      <c r="I18" s="139" t="s">
        <v>65</v>
      </c>
    </row>
    <row r="19" spans="1:12" ht="15" customHeight="1">
      <c r="A19" s="180" t="s">
        <v>134</v>
      </c>
      <c r="B19" s="185" t="s">
        <v>61</v>
      </c>
      <c r="C19" s="125">
        <v>46206</v>
      </c>
      <c r="D19" s="455" t="s">
        <v>224</v>
      </c>
      <c r="E19" s="405"/>
      <c r="F19" s="455" t="s">
        <v>220</v>
      </c>
      <c r="G19" s="405"/>
      <c r="H19" s="126">
        <v>8.42</v>
      </c>
      <c r="I19" s="139" t="s">
        <v>65</v>
      </c>
      <c r="K19" s="127" t="s">
        <v>196</v>
      </c>
      <c r="L19" s="128"/>
    </row>
    <row r="20" spans="1:12" ht="15" customHeight="1">
      <c r="A20" s="230" t="s">
        <v>134</v>
      </c>
      <c r="B20" s="191" t="s">
        <v>62</v>
      </c>
      <c r="C20" s="132">
        <v>46207</v>
      </c>
      <c r="D20" s="536" t="s">
        <v>325</v>
      </c>
      <c r="E20" s="405"/>
      <c r="F20" s="536" t="s">
        <v>166</v>
      </c>
      <c r="G20" s="405"/>
      <c r="H20" s="133">
        <v>7</v>
      </c>
      <c r="I20" s="139" t="s">
        <v>65</v>
      </c>
      <c r="K20" s="129" t="s">
        <v>140</v>
      </c>
      <c r="L20" s="130">
        <f>77092*17.1%+77092</f>
        <v>90274.732000000004</v>
      </c>
    </row>
    <row r="21" spans="1:12" ht="15" customHeight="1">
      <c r="A21" s="182" t="s">
        <v>67</v>
      </c>
      <c r="B21" s="191" t="s">
        <v>63</v>
      </c>
      <c r="C21" s="132">
        <v>46208</v>
      </c>
      <c r="D21" s="456"/>
      <c r="E21" s="405"/>
      <c r="F21" s="456"/>
      <c r="G21" s="405"/>
      <c r="H21" s="133">
        <v>0</v>
      </c>
      <c r="K21" s="127" t="s">
        <v>137</v>
      </c>
      <c r="L21" s="128"/>
    </row>
    <row r="22" spans="1:12" ht="15" customHeight="1">
      <c r="A22" s="184" t="s">
        <v>59</v>
      </c>
      <c r="B22" s="185" t="s">
        <v>64</v>
      </c>
      <c r="C22" s="125">
        <v>46209</v>
      </c>
      <c r="D22" s="458"/>
      <c r="E22" s="405"/>
      <c r="F22" s="458"/>
      <c r="G22" s="405"/>
      <c r="H22" s="126">
        <v>8</v>
      </c>
      <c r="K22" s="129" t="s">
        <v>140</v>
      </c>
      <c r="L22" s="130">
        <f>118603.08*17.1%+118603.08</f>
        <v>138884.20668</v>
      </c>
    </row>
    <row r="23" spans="1:12" ht="15" customHeight="1">
      <c r="A23" s="184" t="s">
        <v>59</v>
      </c>
      <c r="B23" s="185" t="s">
        <v>66</v>
      </c>
      <c r="C23" s="125">
        <v>46210</v>
      </c>
      <c r="D23" s="458"/>
      <c r="E23" s="405"/>
      <c r="F23" s="458"/>
      <c r="G23" s="405"/>
      <c r="H23" s="126">
        <v>8</v>
      </c>
      <c r="K23" s="127" t="s">
        <v>109</v>
      </c>
      <c r="L23" s="128"/>
    </row>
    <row r="24" spans="1:12" ht="15" customHeight="1">
      <c r="A24" s="184" t="s">
        <v>59</v>
      </c>
      <c r="B24" s="185" t="s">
        <v>68</v>
      </c>
      <c r="C24" s="125">
        <v>46211</v>
      </c>
      <c r="D24" s="458"/>
      <c r="E24" s="405"/>
      <c r="F24" s="458"/>
      <c r="G24" s="405"/>
      <c r="H24" s="126">
        <v>8</v>
      </c>
      <c r="K24" s="129" t="s">
        <v>140</v>
      </c>
      <c r="L24" s="130">
        <f>113496.19*17.1%+113496.19</f>
        <v>132904.03849000001</v>
      </c>
    </row>
    <row r="25" spans="1:12" ht="15" customHeight="1">
      <c r="A25" s="184" t="s">
        <v>59</v>
      </c>
      <c r="B25" s="185" t="s">
        <v>60</v>
      </c>
      <c r="C25" s="125">
        <v>46212</v>
      </c>
      <c r="D25" s="458"/>
      <c r="E25" s="405"/>
      <c r="F25" s="458"/>
      <c r="G25" s="405"/>
      <c r="H25" s="126">
        <v>8</v>
      </c>
      <c r="K25" s="135" t="s">
        <v>111</v>
      </c>
      <c r="L25" s="91"/>
    </row>
    <row r="26" spans="1:12" ht="15" customHeight="1">
      <c r="A26" s="184" t="s">
        <v>59</v>
      </c>
      <c r="B26" s="185" t="s">
        <v>61</v>
      </c>
      <c r="C26" s="125">
        <v>46213</v>
      </c>
      <c r="D26" s="458"/>
      <c r="E26" s="405"/>
      <c r="F26" s="458"/>
      <c r="G26" s="405"/>
      <c r="H26" s="126">
        <v>8</v>
      </c>
      <c r="K26" s="129" t="s">
        <v>149</v>
      </c>
      <c r="L26" s="130">
        <f>12500*17.1%+12500</f>
        <v>14637.5</v>
      </c>
    </row>
    <row r="27" spans="1:12" ht="15" customHeight="1">
      <c r="A27" s="190" t="s">
        <v>59</v>
      </c>
      <c r="B27" s="191" t="s">
        <v>62</v>
      </c>
      <c r="C27" s="132">
        <v>46214</v>
      </c>
      <c r="D27" s="456"/>
      <c r="E27" s="405"/>
      <c r="F27" s="456"/>
      <c r="G27" s="405"/>
      <c r="H27" s="133">
        <v>8</v>
      </c>
      <c r="J27" s="91"/>
      <c r="K27" s="129" t="s">
        <v>152</v>
      </c>
      <c r="L27" s="130">
        <f>20000*17.1%+20000</f>
        <v>23420</v>
      </c>
    </row>
    <row r="28" spans="1:12" ht="15" customHeight="1">
      <c r="A28" s="190" t="s">
        <v>59</v>
      </c>
      <c r="B28" s="191" t="s">
        <v>63</v>
      </c>
      <c r="C28" s="132">
        <v>46215</v>
      </c>
      <c r="D28" s="456"/>
      <c r="E28" s="405"/>
      <c r="F28" s="456"/>
      <c r="G28" s="405"/>
      <c r="H28" s="133">
        <v>8</v>
      </c>
      <c r="J28" s="91"/>
      <c r="K28" s="129" t="s">
        <v>153</v>
      </c>
      <c r="L28" s="130">
        <f>27500*17.1%+27500</f>
        <v>32202.5</v>
      </c>
    </row>
    <row r="29" spans="1:12" ht="15" customHeight="1">
      <c r="A29" s="180" t="s">
        <v>134</v>
      </c>
      <c r="B29" s="185" t="s">
        <v>64</v>
      </c>
      <c r="C29" s="125">
        <v>46216</v>
      </c>
      <c r="D29" s="455" t="s">
        <v>242</v>
      </c>
      <c r="E29" s="405"/>
      <c r="F29" s="455" t="s">
        <v>136</v>
      </c>
      <c r="G29" s="405"/>
      <c r="H29" s="126">
        <v>9.15</v>
      </c>
      <c r="K29" s="129" t="s">
        <v>154</v>
      </c>
      <c r="L29" s="130">
        <f>35000*17.1%+35000</f>
        <v>40985</v>
      </c>
    </row>
    <row r="30" spans="1:12" ht="15" customHeight="1">
      <c r="A30" s="230" t="s">
        <v>134</v>
      </c>
      <c r="B30" s="185" t="s">
        <v>66</v>
      </c>
      <c r="C30" s="125">
        <v>46217</v>
      </c>
      <c r="D30" s="455" t="s">
        <v>305</v>
      </c>
      <c r="E30" s="405"/>
      <c r="F30" s="455" t="s">
        <v>296</v>
      </c>
      <c r="G30" s="405"/>
      <c r="H30" s="126">
        <v>8.8000000000000007</v>
      </c>
      <c r="K30" s="129" t="s">
        <v>155</v>
      </c>
      <c r="L30" s="130">
        <f>42500*17.1%+42500</f>
        <v>49767.5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  <c r="K31" s="129" t="s">
        <v>156</v>
      </c>
      <c r="L31" s="130">
        <f>63750*17.1%+63750</f>
        <v>74651.25</v>
      </c>
    </row>
    <row r="32" spans="1:12" ht="15" customHeight="1">
      <c r="A32" s="180" t="s">
        <v>134</v>
      </c>
      <c r="B32" s="185" t="s">
        <v>60</v>
      </c>
      <c r="C32" s="125">
        <v>46219</v>
      </c>
      <c r="D32" s="455" t="s">
        <v>326</v>
      </c>
      <c r="E32" s="405"/>
      <c r="F32" s="455" t="s">
        <v>327</v>
      </c>
      <c r="G32" s="405"/>
      <c r="H32" s="126">
        <v>10.62</v>
      </c>
      <c r="K32" s="129" t="s">
        <v>157</v>
      </c>
      <c r="L32" s="130">
        <f>127500*17.1%+127500</f>
        <v>149302.5</v>
      </c>
    </row>
    <row r="33" spans="1:12" ht="15" customHeight="1">
      <c r="A33" s="230" t="s">
        <v>134</v>
      </c>
      <c r="B33" s="185" t="s">
        <v>61</v>
      </c>
      <c r="C33" s="125">
        <v>46220</v>
      </c>
      <c r="D33" s="455" t="s">
        <v>328</v>
      </c>
      <c r="E33" s="405"/>
      <c r="F33" s="455" t="s">
        <v>164</v>
      </c>
      <c r="G33" s="405"/>
      <c r="H33" s="126">
        <v>8.67</v>
      </c>
      <c r="K33" s="129" t="s">
        <v>158</v>
      </c>
      <c r="L33" s="130">
        <f>200000*17.1%+200000</f>
        <v>234200</v>
      </c>
    </row>
    <row r="34" spans="1:12" ht="15" customHeight="1">
      <c r="A34" s="190" t="s">
        <v>134</v>
      </c>
      <c r="B34" s="191" t="s">
        <v>62</v>
      </c>
      <c r="C34" s="132">
        <v>46221</v>
      </c>
      <c r="D34" s="536" t="s">
        <v>201</v>
      </c>
      <c r="E34" s="405"/>
      <c r="F34" s="536" t="s">
        <v>329</v>
      </c>
      <c r="G34" s="405"/>
      <c r="H34" s="133">
        <v>8.65</v>
      </c>
      <c r="K34" s="228" t="s">
        <v>309</v>
      </c>
      <c r="L34" s="229"/>
    </row>
    <row r="35" spans="1:12" ht="15" customHeight="1">
      <c r="A35" s="190" t="s">
        <v>67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0</v>
      </c>
      <c r="K35" s="129" t="s">
        <v>263</v>
      </c>
      <c r="L35" s="130">
        <f>119732.25*17.1%+119732.25</f>
        <v>140206.46475000001</v>
      </c>
    </row>
    <row r="36" spans="1:12" ht="15" customHeight="1">
      <c r="A36" s="180" t="s">
        <v>134</v>
      </c>
      <c r="B36" s="185" t="s">
        <v>64</v>
      </c>
      <c r="C36" s="125">
        <v>46223</v>
      </c>
      <c r="D36" s="455" t="s">
        <v>254</v>
      </c>
      <c r="E36" s="405"/>
      <c r="F36" s="455" t="s">
        <v>207</v>
      </c>
      <c r="G36" s="405"/>
      <c r="H36" s="126">
        <v>9.67</v>
      </c>
    </row>
    <row r="37" spans="1:12" ht="15" customHeight="1">
      <c r="A37" s="180" t="s">
        <v>134</v>
      </c>
      <c r="B37" s="185" t="s">
        <v>66</v>
      </c>
      <c r="C37" s="125">
        <v>46224</v>
      </c>
      <c r="D37" s="455" t="s">
        <v>330</v>
      </c>
      <c r="E37" s="405"/>
      <c r="F37" s="455" t="s">
        <v>331</v>
      </c>
      <c r="G37" s="405"/>
      <c r="H37" s="126">
        <v>10.9</v>
      </c>
    </row>
    <row r="38" spans="1:12" ht="15" customHeight="1">
      <c r="A38" s="261" t="s">
        <v>332</v>
      </c>
      <c r="B38" s="185" t="s">
        <v>68</v>
      </c>
      <c r="C38" s="125">
        <v>46225</v>
      </c>
      <c r="D38" s="455" t="s">
        <v>306</v>
      </c>
      <c r="E38" s="405"/>
      <c r="F38" s="455" t="s">
        <v>214</v>
      </c>
      <c r="G38" s="405"/>
      <c r="H38" s="126">
        <v>10.199999999999999</v>
      </c>
    </row>
    <row r="39" spans="1:12" ht="15" customHeight="1">
      <c r="A39" s="261" t="s">
        <v>332</v>
      </c>
      <c r="B39" s="185" t="s">
        <v>60</v>
      </c>
      <c r="C39" s="125">
        <v>46226</v>
      </c>
      <c r="D39" s="455" t="s">
        <v>333</v>
      </c>
      <c r="E39" s="405"/>
      <c r="F39" s="455" t="s">
        <v>315</v>
      </c>
      <c r="G39" s="405"/>
      <c r="H39" s="126">
        <v>10.02</v>
      </c>
    </row>
    <row r="40" spans="1:12" ht="15" customHeight="1">
      <c r="A40" s="134" t="s">
        <v>332</v>
      </c>
      <c r="B40" s="185" t="s">
        <v>61</v>
      </c>
      <c r="C40" s="125">
        <v>46227</v>
      </c>
      <c r="D40" s="455" t="s">
        <v>316</v>
      </c>
      <c r="E40" s="405"/>
      <c r="F40" s="455" t="s">
        <v>315</v>
      </c>
      <c r="G40" s="405"/>
      <c r="H40" s="126">
        <v>9.7799999999999994</v>
      </c>
    </row>
    <row r="41" spans="1:12" ht="15" customHeight="1">
      <c r="A41" s="134" t="s">
        <v>334</v>
      </c>
      <c r="B41" s="191" t="s">
        <v>62</v>
      </c>
      <c r="C41" s="132">
        <v>46228</v>
      </c>
      <c r="D41" s="536" t="s">
        <v>335</v>
      </c>
      <c r="E41" s="405"/>
      <c r="F41" s="536" t="s">
        <v>200</v>
      </c>
      <c r="G41" s="405"/>
      <c r="H41" s="133">
        <v>10.37</v>
      </c>
    </row>
    <row r="42" spans="1:12" ht="15" customHeight="1">
      <c r="A42" s="262" t="s">
        <v>67</v>
      </c>
      <c r="B42" s="191" t="s">
        <v>63</v>
      </c>
      <c r="C42" s="132">
        <v>46229</v>
      </c>
      <c r="D42" s="456"/>
      <c r="E42" s="405"/>
      <c r="F42" s="456"/>
      <c r="G42" s="405"/>
      <c r="H42" s="133">
        <v>0</v>
      </c>
    </row>
    <row r="43" spans="1:12" ht="15" customHeight="1">
      <c r="A43" s="261" t="s">
        <v>336</v>
      </c>
      <c r="B43" s="185" t="s">
        <v>64</v>
      </c>
      <c r="C43" s="125">
        <v>46230</v>
      </c>
      <c r="D43" s="455" t="s">
        <v>337</v>
      </c>
      <c r="E43" s="405"/>
      <c r="F43" s="455" t="s">
        <v>217</v>
      </c>
      <c r="G43" s="405"/>
      <c r="H43" s="126">
        <v>11.93</v>
      </c>
    </row>
    <row r="44" spans="1:12" ht="15" customHeight="1">
      <c r="A44" s="261" t="s">
        <v>336</v>
      </c>
      <c r="B44" s="185" t="s">
        <v>66</v>
      </c>
      <c r="C44" s="125">
        <v>46231</v>
      </c>
      <c r="D44" s="455" t="s">
        <v>338</v>
      </c>
      <c r="E44" s="405"/>
      <c r="F44" s="455" t="s">
        <v>247</v>
      </c>
      <c r="G44" s="405"/>
      <c r="H44" s="126">
        <v>11.8</v>
      </c>
    </row>
    <row r="45" spans="1:12" ht="15" customHeight="1">
      <c r="A45" s="261" t="s">
        <v>334</v>
      </c>
      <c r="B45" s="185" t="s">
        <v>68</v>
      </c>
      <c r="C45" s="125">
        <v>46232</v>
      </c>
      <c r="D45" s="455" t="s">
        <v>339</v>
      </c>
      <c r="E45" s="405"/>
      <c r="F45" s="455" t="s">
        <v>340</v>
      </c>
      <c r="G45" s="405"/>
      <c r="H45" s="126">
        <v>10.5</v>
      </c>
    </row>
    <row r="46" spans="1:12" ht="15" customHeight="1">
      <c r="A46" s="180" t="s">
        <v>134</v>
      </c>
      <c r="B46" s="185" t="s">
        <v>60</v>
      </c>
      <c r="C46" s="125">
        <v>46233</v>
      </c>
      <c r="D46" s="455" t="s">
        <v>197</v>
      </c>
      <c r="E46" s="405"/>
      <c r="F46" s="455" t="s">
        <v>341</v>
      </c>
      <c r="G46" s="405"/>
      <c r="H46" s="126">
        <v>9.23</v>
      </c>
    </row>
    <row r="47" spans="1:12" ht="15" customHeight="1">
      <c r="A47" s="192" t="s">
        <v>134</v>
      </c>
      <c r="B47" s="258" t="s">
        <v>61</v>
      </c>
      <c r="C47" s="141">
        <v>46234</v>
      </c>
      <c r="D47" s="466" t="s">
        <v>342</v>
      </c>
      <c r="E47" s="467"/>
      <c r="F47" s="466" t="s">
        <v>343</v>
      </c>
      <c r="G47" s="467"/>
      <c r="H47" s="142">
        <v>9.4499999999999993</v>
      </c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247.66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>
        <v>46219</v>
      </c>
      <c r="B52" s="531" t="s">
        <v>228</v>
      </c>
      <c r="C52" s="437"/>
      <c r="D52" s="235">
        <v>800000</v>
      </c>
      <c r="E52" s="202"/>
      <c r="F52" s="500"/>
      <c r="G52" s="437"/>
      <c r="H52" s="203"/>
    </row>
    <row r="53" spans="1:8" ht="14.25" customHeight="1">
      <c r="A53" s="224"/>
      <c r="B53" s="533"/>
      <c r="C53" s="467"/>
      <c r="D53" s="247"/>
      <c r="E53" s="224"/>
      <c r="F53" s="482"/>
      <c r="G53" s="467"/>
      <c r="H53" s="225"/>
    </row>
    <row r="54" spans="1:8" ht="14.25" customHeight="1">
      <c r="A54" s="514" t="s">
        <v>81</v>
      </c>
      <c r="B54" s="469"/>
      <c r="C54" s="515"/>
      <c r="D54" s="208">
        <f>SUM(D52:D53)</f>
        <v>800000</v>
      </c>
      <c r="E54" s="507" t="s">
        <v>229</v>
      </c>
      <c r="F54" s="469"/>
      <c r="G54" s="470"/>
      <c r="H54" s="156">
        <f>+H53</f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6">
    <mergeCell ref="F16:G16"/>
    <mergeCell ref="D17:E17"/>
    <mergeCell ref="F17:G17"/>
    <mergeCell ref="A1:H4"/>
    <mergeCell ref="A5:E5"/>
    <mergeCell ref="F5:G5"/>
    <mergeCell ref="B6:C6"/>
    <mergeCell ref="A7:B7"/>
    <mergeCell ref="A8:B8"/>
    <mergeCell ref="A15:F15"/>
    <mergeCell ref="B13:C13"/>
    <mergeCell ref="D13:E13"/>
    <mergeCell ref="F13:H13"/>
    <mergeCell ref="B14:C14"/>
    <mergeCell ref="D14:E14"/>
    <mergeCell ref="F14:H14"/>
    <mergeCell ref="G15:H15"/>
    <mergeCell ref="C9:D9"/>
    <mergeCell ref="C10:D10"/>
    <mergeCell ref="C7:D7"/>
    <mergeCell ref="C8:D8"/>
    <mergeCell ref="C11:D11"/>
    <mergeCell ref="E11:F11"/>
    <mergeCell ref="G11:H11"/>
    <mergeCell ref="I5:J5"/>
    <mergeCell ref="K5:L5"/>
    <mergeCell ref="F6:G6"/>
    <mergeCell ref="E7:F7"/>
    <mergeCell ref="G7:H7"/>
    <mergeCell ref="D33:E33"/>
    <mergeCell ref="D30:E30"/>
    <mergeCell ref="D31:E31"/>
    <mergeCell ref="D32:E32"/>
    <mergeCell ref="F30:G30"/>
    <mergeCell ref="F31:G31"/>
    <mergeCell ref="F27:G27"/>
    <mergeCell ref="D28:E28"/>
    <mergeCell ref="F28:G28"/>
    <mergeCell ref="D29:E29"/>
    <mergeCell ref="F29:G29"/>
    <mergeCell ref="F33:G33"/>
    <mergeCell ref="F24:G24"/>
    <mergeCell ref="F25:G25"/>
    <mergeCell ref="F26:G26"/>
    <mergeCell ref="F32:G32"/>
    <mergeCell ref="D27:E27"/>
    <mergeCell ref="D26:E26"/>
    <mergeCell ref="D16:E16"/>
    <mergeCell ref="C12:D12"/>
    <mergeCell ref="E12:F12"/>
    <mergeCell ref="G12:H12"/>
    <mergeCell ref="E9:F9"/>
    <mergeCell ref="E8:F8"/>
    <mergeCell ref="G8:H8"/>
    <mergeCell ref="E10:F10"/>
    <mergeCell ref="G10:H10"/>
    <mergeCell ref="D35:E35"/>
    <mergeCell ref="F35:G35"/>
    <mergeCell ref="D21:E21"/>
    <mergeCell ref="D18:E18"/>
    <mergeCell ref="F18:G18"/>
    <mergeCell ref="D19:E19"/>
    <mergeCell ref="F19:G19"/>
    <mergeCell ref="D20:E20"/>
    <mergeCell ref="F20:G20"/>
    <mergeCell ref="D24:E24"/>
    <mergeCell ref="D25:E25"/>
    <mergeCell ref="D23:E23"/>
    <mergeCell ref="F23:G23"/>
    <mergeCell ref="F21:G21"/>
    <mergeCell ref="D22:E22"/>
    <mergeCell ref="F22:G22"/>
    <mergeCell ref="D34:E34"/>
    <mergeCell ref="F34:G34"/>
    <mergeCell ref="F47:G47"/>
    <mergeCell ref="D42:E42"/>
    <mergeCell ref="F42:G42"/>
    <mergeCell ref="D39:E39"/>
    <mergeCell ref="F39:G39"/>
    <mergeCell ref="D40:E40"/>
    <mergeCell ref="F40:G40"/>
    <mergeCell ref="D47:E47"/>
    <mergeCell ref="D36:E36"/>
    <mergeCell ref="F36:G36"/>
    <mergeCell ref="D37:E37"/>
    <mergeCell ref="F37:G37"/>
    <mergeCell ref="D38:E38"/>
    <mergeCell ref="F38:G38"/>
    <mergeCell ref="D41:E41"/>
    <mergeCell ref="F41:G41"/>
    <mergeCell ref="D46:E46"/>
    <mergeCell ref="F46:G46"/>
    <mergeCell ref="D43:E43"/>
    <mergeCell ref="F43:G43"/>
    <mergeCell ref="D44:E44"/>
    <mergeCell ref="F44:G44"/>
    <mergeCell ref="D45:E45"/>
    <mergeCell ref="F45:G45"/>
    <mergeCell ref="A50:D50"/>
    <mergeCell ref="B51:C51"/>
    <mergeCell ref="B52:C52"/>
    <mergeCell ref="E54:G54"/>
    <mergeCell ref="F53:G53"/>
    <mergeCell ref="F48:G48"/>
    <mergeCell ref="E50:H50"/>
    <mergeCell ref="F51:G51"/>
    <mergeCell ref="F52:G52"/>
    <mergeCell ref="A63:C63"/>
    <mergeCell ref="A64:C64"/>
    <mergeCell ref="A54:C54"/>
    <mergeCell ref="E55:G55"/>
    <mergeCell ref="A56:D56"/>
    <mergeCell ref="A57:C57"/>
    <mergeCell ref="A58:C58"/>
    <mergeCell ref="A71:C71"/>
    <mergeCell ref="B53:C53"/>
    <mergeCell ref="A65:C65"/>
    <mergeCell ref="A66:C66"/>
    <mergeCell ref="A67:C67"/>
    <mergeCell ref="A68:C68"/>
    <mergeCell ref="A69:C69"/>
    <mergeCell ref="A70:C70"/>
    <mergeCell ref="A59:C59"/>
    <mergeCell ref="A60:C60"/>
    <mergeCell ref="A61:C61"/>
    <mergeCell ref="A62:C62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L276"/>
  <sheetViews>
    <sheetView workbookViewId="0">
      <selection activeCell="H30" sqref="H19:H30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21.554687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344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+A8+C8+E8+G8+H8+B10+C10+A12+E12+G14</f>
        <v>2639630.3000000003</v>
      </c>
      <c r="I5" s="431" t="s">
        <v>86</v>
      </c>
      <c r="J5" s="430"/>
      <c r="K5" s="429" t="str">
        <f>+B6</f>
        <v>MARIO LOPEZ</v>
      </c>
      <c r="L5" s="430"/>
    </row>
    <row r="6" spans="1:12" ht="24.75" customHeight="1">
      <c r="A6" s="251" t="s">
        <v>179</v>
      </c>
      <c r="B6" s="546" t="s">
        <v>345</v>
      </c>
      <c r="C6" s="435"/>
      <c r="D6" s="252" t="s">
        <v>181</v>
      </c>
      <c r="E6" s="253">
        <v>30125181</v>
      </c>
      <c r="F6" s="544" t="s">
        <v>89</v>
      </c>
      <c r="G6" s="450"/>
      <c r="H6" s="254">
        <v>1</v>
      </c>
      <c r="I6" s="99" t="s">
        <v>45</v>
      </c>
      <c r="J6" s="100">
        <v>1587600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263" t="s">
        <v>109</v>
      </c>
      <c r="H7" s="264" t="s">
        <v>143</v>
      </c>
      <c r="I7" s="99" t="s">
        <v>98</v>
      </c>
      <c r="J7" s="100"/>
      <c r="K7" t="s">
        <v>99</v>
      </c>
      <c r="L7" s="105">
        <f>+A8</f>
        <v>1587600</v>
      </c>
    </row>
    <row r="8" spans="1:12" ht="24.75" customHeight="1">
      <c r="A8" s="491">
        <f>1176000*35%+1176000</f>
        <v>1587600</v>
      </c>
      <c r="B8" s="405"/>
      <c r="C8" s="492">
        <f>+L22</f>
        <v>54960</v>
      </c>
      <c r="D8" s="405"/>
      <c r="E8" s="422">
        <f>+L24</f>
        <v>81000</v>
      </c>
      <c r="F8" s="405"/>
      <c r="G8" s="130">
        <f>+L26</f>
        <v>97554</v>
      </c>
      <c r="H8" s="265">
        <f>+L28</f>
        <v>23358</v>
      </c>
      <c r="I8" s="99" t="s">
        <v>100</v>
      </c>
      <c r="J8" s="100"/>
      <c r="K8" t="s">
        <v>184</v>
      </c>
      <c r="L8" s="105">
        <f>+C8</f>
        <v>54960</v>
      </c>
    </row>
    <row r="9" spans="1:12" ht="24.75" customHeight="1">
      <c r="A9" s="166" t="s">
        <v>111</v>
      </c>
      <c r="B9" s="167">
        <v>1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81000</v>
      </c>
    </row>
    <row r="10" spans="1:12" ht="24.75" customHeight="1">
      <c r="A10" s="168">
        <v>45689</v>
      </c>
      <c r="B10" s="130">
        <v>12500</v>
      </c>
      <c r="C10" s="422">
        <v>0</v>
      </c>
      <c r="D10" s="405"/>
      <c r="E10" s="422">
        <f>+D59+H60</f>
        <v>250000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97554</v>
      </c>
    </row>
    <row r="11" spans="1:12" ht="24.75" customHeight="1">
      <c r="A11" s="490" t="s">
        <v>291</v>
      </c>
      <c r="B11" s="405"/>
      <c r="C11" s="541">
        <v>0</v>
      </c>
      <c r="D11" s="405"/>
      <c r="E11" s="421" t="s">
        <v>292</v>
      </c>
      <c r="F11" s="405"/>
      <c r="G11" s="541">
        <v>1</v>
      </c>
      <c r="H11" s="406"/>
      <c r="I11" s="99" t="s">
        <v>113</v>
      </c>
      <c r="J11" s="100"/>
      <c r="K11" t="s">
        <v>346</v>
      </c>
      <c r="L11" s="105">
        <f>+H8</f>
        <v>23358</v>
      </c>
    </row>
    <row r="12" spans="1:12" ht="24.75" customHeight="1">
      <c r="A12" s="542">
        <f>+L39*C11</f>
        <v>0</v>
      </c>
      <c r="B12" s="404"/>
      <c r="C12" s="404"/>
      <c r="D12" s="405"/>
      <c r="E12" s="527">
        <f>+L40*G11</f>
        <v>303750</v>
      </c>
      <c r="F12" s="404"/>
      <c r="G12" s="404"/>
      <c r="H12" s="406"/>
      <c r="I12" s="99" t="s">
        <v>81</v>
      </c>
      <c r="J12" s="100">
        <f>SUM(J6:J11)</f>
        <v>1587600</v>
      </c>
      <c r="K12" s="91" t="s">
        <v>107</v>
      </c>
      <c r="L12" s="105">
        <f>+B10</f>
        <v>12500</v>
      </c>
    </row>
    <row r="13" spans="1:12" ht="24.75" customHeight="1">
      <c r="A13" s="169" t="s">
        <v>186</v>
      </c>
      <c r="B13" s="170" t="s">
        <v>187</v>
      </c>
      <c r="C13" s="421" t="s">
        <v>188</v>
      </c>
      <c r="D13" s="405"/>
      <c r="E13" s="421" t="s">
        <v>189</v>
      </c>
      <c r="F13" s="405"/>
      <c r="G13" s="421" t="s">
        <v>190</v>
      </c>
      <c r="H13" s="406"/>
      <c r="I13" s="99" t="s">
        <v>121</v>
      </c>
      <c r="J13" s="100">
        <f>+J12/6</f>
        <v>264600</v>
      </c>
      <c r="K13" s="91" t="s">
        <v>115</v>
      </c>
      <c r="L13" s="105">
        <f>+C10</f>
        <v>0</v>
      </c>
    </row>
    <row r="14" spans="1:12" ht="24.75" customHeight="1">
      <c r="A14" s="171">
        <v>200</v>
      </c>
      <c r="B14" s="172">
        <f>+H50</f>
        <v>309.25000000000006</v>
      </c>
      <c r="C14" s="498">
        <f>+B14-A14</f>
        <v>109.25000000000006</v>
      </c>
      <c r="D14" s="405"/>
      <c r="E14" s="422">
        <f>3372*30%+3372</f>
        <v>4383.6000000000004</v>
      </c>
      <c r="F14" s="405"/>
      <c r="G14" s="422">
        <f>+C14*E14</f>
        <v>478908.30000000028</v>
      </c>
      <c r="H14" s="406"/>
      <c r="I14" s="99" t="s">
        <v>86</v>
      </c>
      <c r="J14" s="115">
        <f>+J13/2</f>
        <v>132300</v>
      </c>
      <c r="K14" s="91" t="s">
        <v>293</v>
      </c>
      <c r="L14" s="105">
        <f>+A12</f>
        <v>0</v>
      </c>
    </row>
    <row r="15" spans="1:12" ht="24.75" customHeight="1">
      <c r="A15" s="421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s="91" t="s">
        <v>294</v>
      </c>
      <c r="L15" s="105">
        <f>+E12</f>
        <v>303750</v>
      </c>
    </row>
    <row r="16" spans="1:12" ht="24.75" customHeight="1">
      <c r="A16" s="528">
        <v>46054</v>
      </c>
      <c r="B16" s="467"/>
      <c r="C16" s="482" t="s">
        <v>121</v>
      </c>
      <c r="D16" s="467"/>
      <c r="E16" s="530" t="s">
        <v>295</v>
      </c>
      <c r="F16" s="504"/>
      <c r="G16" s="504"/>
      <c r="H16" s="505"/>
      <c r="I16" s="91"/>
      <c r="K16" t="s">
        <v>191</v>
      </c>
      <c r="L16" s="105">
        <f>+G14</f>
        <v>478908.30000000028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2389630.3000000003</v>
      </c>
      <c r="H17" s="412"/>
      <c r="I17" s="91"/>
      <c r="K17" s="112" t="s">
        <v>122</v>
      </c>
      <c r="L17" s="113">
        <f>SUM(L7:L16)</f>
        <v>2639630.3000000003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434" t="s">
        <v>130</v>
      </c>
      <c r="E18" s="435"/>
      <c r="F18" s="508" t="s">
        <v>131</v>
      </c>
      <c r="G18" s="509"/>
      <c r="H18" s="175" t="s">
        <v>261</v>
      </c>
      <c r="I18" s="91"/>
      <c r="K18" t="s">
        <v>126</v>
      </c>
      <c r="L18" s="105">
        <f>+E10</f>
        <v>250000</v>
      </c>
    </row>
    <row r="19" spans="1:12" ht="15" customHeight="1">
      <c r="A19" s="216" t="s">
        <v>59</v>
      </c>
      <c r="B19" s="217" t="s">
        <v>58</v>
      </c>
      <c r="C19" s="218">
        <v>46204</v>
      </c>
      <c r="D19" s="521"/>
      <c r="E19" s="437"/>
      <c r="F19" s="521"/>
      <c r="G19" s="437"/>
      <c r="H19" s="219">
        <v>8</v>
      </c>
      <c r="K19" s="119" t="s">
        <v>133</v>
      </c>
      <c r="L19" s="120">
        <f>+L17-L18</f>
        <v>2389630.3000000003</v>
      </c>
    </row>
    <row r="20" spans="1:12" ht="15" customHeight="1">
      <c r="A20" s="184" t="s">
        <v>347</v>
      </c>
      <c r="B20" s="185" t="s">
        <v>60</v>
      </c>
      <c r="C20" s="125">
        <v>46205</v>
      </c>
      <c r="D20" s="455" t="s">
        <v>335</v>
      </c>
      <c r="E20" s="405"/>
      <c r="F20" s="455" t="s">
        <v>348</v>
      </c>
      <c r="G20" s="405"/>
      <c r="H20" s="126">
        <v>12</v>
      </c>
      <c r="I20" t="s">
        <v>349</v>
      </c>
    </row>
    <row r="21" spans="1:12" ht="15" customHeight="1">
      <c r="A21" s="184" t="s">
        <v>59</v>
      </c>
      <c r="B21" s="185" t="s">
        <v>61</v>
      </c>
      <c r="C21" s="125">
        <v>46206</v>
      </c>
      <c r="D21" s="458"/>
      <c r="E21" s="405"/>
      <c r="F21" s="458"/>
      <c r="G21" s="405"/>
      <c r="H21" s="126">
        <v>8</v>
      </c>
      <c r="K21" s="127" t="s">
        <v>196</v>
      </c>
      <c r="L21" s="128"/>
    </row>
    <row r="22" spans="1:12" ht="15" customHeight="1">
      <c r="A22" s="190" t="s">
        <v>59</v>
      </c>
      <c r="B22" s="191" t="s">
        <v>62</v>
      </c>
      <c r="C22" s="132">
        <v>46207</v>
      </c>
      <c r="D22" s="456"/>
      <c r="E22" s="405"/>
      <c r="F22" s="456"/>
      <c r="G22" s="405"/>
      <c r="H22" s="133">
        <v>8</v>
      </c>
      <c r="K22" s="129" t="s">
        <v>140</v>
      </c>
      <c r="L22" s="130">
        <f>48000*14.5%+48000</f>
        <v>54960</v>
      </c>
    </row>
    <row r="23" spans="1:12" ht="15" customHeight="1">
      <c r="A23" s="190" t="s">
        <v>59</v>
      </c>
      <c r="B23" s="191" t="s">
        <v>63</v>
      </c>
      <c r="C23" s="132">
        <v>46208</v>
      </c>
      <c r="D23" s="456"/>
      <c r="E23" s="405"/>
      <c r="F23" s="456"/>
      <c r="G23" s="405"/>
      <c r="H23" s="133">
        <v>8</v>
      </c>
      <c r="K23" s="127" t="s">
        <v>137</v>
      </c>
      <c r="L23" s="128"/>
    </row>
    <row r="24" spans="1:12" ht="15" customHeight="1">
      <c r="A24" s="184" t="s">
        <v>59</v>
      </c>
      <c r="B24" s="185" t="s">
        <v>64</v>
      </c>
      <c r="C24" s="125">
        <v>46209</v>
      </c>
      <c r="D24" s="458"/>
      <c r="E24" s="405"/>
      <c r="F24" s="458"/>
      <c r="G24" s="405"/>
      <c r="H24" s="126">
        <v>8</v>
      </c>
      <c r="K24" s="129" t="s">
        <v>140</v>
      </c>
      <c r="L24" s="130">
        <f>60000*35%+60000</f>
        <v>81000</v>
      </c>
    </row>
    <row r="25" spans="1:12" ht="15" customHeight="1">
      <c r="A25" s="184" t="s">
        <v>59</v>
      </c>
      <c r="B25" s="185" t="s">
        <v>66</v>
      </c>
      <c r="C25" s="125">
        <v>46210</v>
      </c>
      <c r="D25" s="458"/>
      <c r="E25" s="405"/>
      <c r="F25" s="458"/>
      <c r="G25" s="405"/>
      <c r="H25" s="126">
        <v>8</v>
      </c>
      <c r="K25" s="127" t="s">
        <v>109</v>
      </c>
      <c r="L25" s="128"/>
    </row>
    <row r="26" spans="1:12" ht="15" customHeight="1">
      <c r="A26" s="184" t="s">
        <v>59</v>
      </c>
      <c r="B26" s="185" t="s">
        <v>68</v>
      </c>
      <c r="C26" s="125">
        <v>46211</v>
      </c>
      <c r="D26" s="458"/>
      <c r="E26" s="405"/>
      <c r="F26" s="458"/>
      <c r="G26" s="405"/>
      <c r="H26" s="126">
        <v>8</v>
      </c>
      <c r="K26" s="129" t="s">
        <v>140</v>
      </c>
      <c r="L26" s="130">
        <f>85200*14.5%+85200</f>
        <v>97554</v>
      </c>
    </row>
    <row r="27" spans="1:12" ht="15" customHeight="1">
      <c r="A27" s="184" t="s">
        <v>59</v>
      </c>
      <c r="B27" s="185" t="s">
        <v>60</v>
      </c>
      <c r="C27" s="125">
        <v>46212</v>
      </c>
      <c r="D27" s="458"/>
      <c r="E27" s="405"/>
      <c r="F27" s="458"/>
      <c r="G27" s="405"/>
      <c r="H27" s="126">
        <v>8</v>
      </c>
      <c r="J27" s="91"/>
      <c r="K27" s="127" t="s">
        <v>143</v>
      </c>
      <c r="L27" s="128"/>
    </row>
    <row r="28" spans="1:12" ht="15" customHeight="1">
      <c r="A28" s="184" t="s">
        <v>59</v>
      </c>
      <c r="B28" s="185" t="s">
        <v>61</v>
      </c>
      <c r="C28" s="125">
        <v>46213</v>
      </c>
      <c r="D28" s="458"/>
      <c r="E28" s="405"/>
      <c r="F28" s="458"/>
      <c r="G28" s="405"/>
      <c r="H28" s="126">
        <v>8</v>
      </c>
      <c r="J28" s="91"/>
      <c r="K28" s="129" t="s">
        <v>140</v>
      </c>
      <c r="L28" s="130">
        <f>20400*14.5%+20400</f>
        <v>23358</v>
      </c>
    </row>
    <row r="29" spans="1:12" ht="15" customHeight="1">
      <c r="A29" s="190" t="s">
        <v>59</v>
      </c>
      <c r="B29" s="191" t="s">
        <v>62</v>
      </c>
      <c r="C29" s="132">
        <v>46214</v>
      </c>
      <c r="D29" s="456"/>
      <c r="E29" s="405"/>
      <c r="F29" s="456"/>
      <c r="G29" s="405"/>
      <c r="H29" s="133">
        <v>8</v>
      </c>
      <c r="K29" s="135" t="s">
        <v>111</v>
      </c>
      <c r="L29" s="91"/>
    </row>
    <row r="30" spans="1:12" ht="15" customHeight="1">
      <c r="A30" s="190" t="s">
        <v>59</v>
      </c>
      <c r="B30" s="191" t="s">
        <v>63</v>
      </c>
      <c r="C30" s="132">
        <v>46215</v>
      </c>
      <c r="D30" s="456"/>
      <c r="E30" s="405"/>
      <c r="F30" s="456"/>
      <c r="G30" s="405"/>
      <c r="H30" s="133">
        <v>8</v>
      </c>
      <c r="K30" s="129" t="s">
        <v>149</v>
      </c>
      <c r="L30" s="130">
        <v>12500</v>
      </c>
    </row>
    <row r="31" spans="1:12" ht="15" customHeight="1">
      <c r="A31" s="180" t="s">
        <v>134</v>
      </c>
      <c r="B31" s="185" t="s">
        <v>64</v>
      </c>
      <c r="C31" s="125">
        <v>46216</v>
      </c>
      <c r="D31" s="455" t="s">
        <v>167</v>
      </c>
      <c r="E31" s="405"/>
      <c r="F31" s="455" t="s">
        <v>241</v>
      </c>
      <c r="G31" s="405"/>
      <c r="H31" s="126">
        <v>9.52</v>
      </c>
      <c r="K31" s="129" t="s">
        <v>152</v>
      </c>
      <c r="L31" s="130">
        <v>20000</v>
      </c>
    </row>
    <row r="32" spans="1:12" ht="15" customHeight="1">
      <c r="A32" s="180" t="s">
        <v>134</v>
      </c>
      <c r="B32" s="185" t="s">
        <v>66</v>
      </c>
      <c r="C32" s="125">
        <v>46217</v>
      </c>
      <c r="D32" s="455" t="s">
        <v>242</v>
      </c>
      <c r="E32" s="405"/>
      <c r="F32" s="455" t="s">
        <v>168</v>
      </c>
      <c r="G32" s="405"/>
      <c r="H32" s="126">
        <v>9.27</v>
      </c>
      <c r="K32" s="129" t="s">
        <v>153</v>
      </c>
      <c r="L32" s="130">
        <v>27500</v>
      </c>
    </row>
    <row r="33" spans="1:12" ht="15" customHeight="1">
      <c r="A33" s="221" t="s">
        <v>67</v>
      </c>
      <c r="B33" s="222" t="s">
        <v>68</v>
      </c>
      <c r="C33" s="137">
        <v>46218</v>
      </c>
      <c r="D33" s="457"/>
      <c r="E33" s="405"/>
      <c r="F33" s="457"/>
      <c r="G33" s="405"/>
      <c r="H33" s="138">
        <v>0</v>
      </c>
      <c r="K33" s="129" t="s">
        <v>154</v>
      </c>
      <c r="L33" s="130">
        <v>35000</v>
      </c>
    </row>
    <row r="34" spans="1:12" ht="15" customHeight="1">
      <c r="A34" s="180" t="s">
        <v>134</v>
      </c>
      <c r="B34" s="185" t="s">
        <v>60</v>
      </c>
      <c r="C34" s="125">
        <v>46219</v>
      </c>
      <c r="D34" s="455" t="s">
        <v>243</v>
      </c>
      <c r="E34" s="405"/>
      <c r="F34" s="455" t="s">
        <v>203</v>
      </c>
      <c r="G34" s="405"/>
      <c r="H34" s="126">
        <v>9.73</v>
      </c>
      <c r="K34" s="129" t="s">
        <v>155</v>
      </c>
      <c r="L34" s="130">
        <v>42500</v>
      </c>
    </row>
    <row r="35" spans="1:12" ht="15" customHeight="1">
      <c r="A35" s="180" t="s">
        <v>134</v>
      </c>
      <c r="B35" s="185" t="s">
        <v>61</v>
      </c>
      <c r="C35" s="125">
        <v>46220</v>
      </c>
      <c r="D35" s="455" t="s">
        <v>244</v>
      </c>
      <c r="E35" s="405"/>
      <c r="F35" s="455" t="s">
        <v>245</v>
      </c>
      <c r="G35" s="405"/>
      <c r="H35" s="126">
        <v>9.6999999999999993</v>
      </c>
      <c r="K35" s="129" t="s">
        <v>156</v>
      </c>
      <c r="L35" s="130">
        <v>63750</v>
      </c>
    </row>
    <row r="36" spans="1:12" ht="15" customHeight="1">
      <c r="A36" s="190" t="s">
        <v>334</v>
      </c>
      <c r="B36" s="191" t="s">
        <v>62</v>
      </c>
      <c r="C36" s="132">
        <v>46221</v>
      </c>
      <c r="D36" s="536" t="s">
        <v>350</v>
      </c>
      <c r="E36" s="405"/>
      <c r="F36" s="536" t="s">
        <v>351</v>
      </c>
      <c r="G36" s="405"/>
      <c r="H36" s="133">
        <v>13.08</v>
      </c>
      <c r="I36" t="s">
        <v>352</v>
      </c>
      <c r="K36" s="129" t="s">
        <v>157</v>
      </c>
      <c r="L36" s="130">
        <v>127500</v>
      </c>
    </row>
    <row r="37" spans="1:12" ht="15" customHeight="1">
      <c r="A37" s="190" t="s">
        <v>353</v>
      </c>
      <c r="B37" s="191" t="s">
        <v>63</v>
      </c>
      <c r="C37" s="132">
        <v>46222</v>
      </c>
      <c r="D37" s="536" t="s">
        <v>350</v>
      </c>
      <c r="E37" s="405"/>
      <c r="F37" s="536" t="s">
        <v>354</v>
      </c>
      <c r="G37" s="405"/>
      <c r="H37" s="133">
        <v>8</v>
      </c>
      <c r="I37" t="s">
        <v>355</v>
      </c>
      <c r="K37" s="129" t="s">
        <v>158</v>
      </c>
      <c r="L37" s="130">
        <v>200000</v>
      </c>
    </row>
    <row r="38" spans="1:12" ht="15" customHeight="1">
      <c r="A38" s="180" t="s">
        <v>353</v>
      </c>
      <c r="B38" s="185" t="s">
        <v>64</v>
      </c>
      <c r="C38" s="125">
        <v>46223</v>
      </c>
      <c r="D38" s="455" t="s">
        <v>350</v>
      </c>
      <c r="E38" s="405"/>
      <c r="F38" s="455" t="s">
        <v>356</v>
      </c>
      <c r="G38" s="405"/>
      <c r="H38" s="126">
        <v>14</v>
      </c>
      <c r="I38" t="s">
        <v>357</v>
      </c>
      <c r="K38" s="228" t="s">
        <v>309</v>
      </c>
      <c r="L38" s="229"/>
    </row>
    <row r="39" spans="1:12" ht="15" customHeight="1">
      <c r="A39" s="180" t="s">
        <v>332</v>
      </c>
      <c r="B39" s="185" t="s">
        <v>66</v>
      </c>
      <c r="C39" s="125">
        <v>46224</v>
      </c>
      <c r="D39" s="455" t="s">
        <v>335</v>
      </c>
      <c r="E39" s="405"/>
      <c r="F39" s="455" t="s">
        <v>358</v>
      </c>
      <c r="G39" s="405"/>
      <c r="H39" s="126">
        <v>13.33</v>
      </c>
      <c r="I39" t="s">
        <v>357</v>
      </c>
      <c r="K39" s="129" t="s">
        <v>310</v>
      </c>
      <c r="L39" s="130">
        <f>112500*35%+112500</f>
        <v>151875</v>
      </c>
    </row>
    <row r="40" spans="1:12" ht="15" customHeight="1">
      <c r="A40" s="261" t="s">
        <v>332</v>
      </c>
      <c r="B40" s="185" t="s">
        <v>68</v>
      </c>
      <c r="C40" s="125">
        <v>46225</v>
      </c>
      <c r="D40" s="455" t="s">
        <v>335</v>
      </c>
      <c r="E40" s="405"/>
      <c r="F40" s="455" t="s">
        <v>159</v>
      </c>
      <c r="G40" s="405"/>
      <c r="H40" s="126">
        <v>11</v>
      </c>
      <c r="I40" t="s">
        <v>357</v>
      </c>
      <c r="K40" s="129" t="s">
        <v>311</v>
      </c>
      <c r="L40" s="130">
        <f>225000*35%+225000</f>
        <v>303750</v>
      </c>
    </row>
    <row r="41" spans="1:12" ht="15" customHeight="1">
      <c r="A41" s="261" t="s">
        <v>332</v>
      </c>
      <c r="B41" s="185" t="s">
        <v>60</v>
      </c>
      <c r="C41" s="125">
        <v>46226</v>
      </c>
      <c r="D41" s="455" t="s">
        <v>335</v>
      </c>
      <c r="E41" s="405"/>
      <c r="F41" s="455" t="s">
        <v>159</v>
      </c>
      <c r="G41" s="405"/>
      <c r="H41" s="126">
        <v>11</v>
      </c>
      <c r="I41" t="s">
        <v>357</v>
      </c>
      <c r="K41" s="31"/>
      <c r="L41" s="105"/>
    </row>
    <row r="42" spans="1:12" ht="15" customHeight="1">
      <c r="A42" s="261" t="s">
        <v>332</v>
      </c>
      <c r="B42" s="185" t="s">
        <v>61</v>
      </c>
      <c r="C42" s="125">
        <v>46227</v>
      </c>
      <c r="D42" s="455" t="s">
        <v>335</v>
      </c>
      <c r="E42" s="405"/>
      <c r="F42" s="455" t="s">
        <v>159</v>
      </c>
      <c r="G42" s="405"/>
      <c r="H42" s="126">
        <v>11</v>
      </c>
      <c r="I42" t="s">
        <v>357</v>
      </c>
      <c r="K42" s="31"/>
      <c r="L42" s="105"/>
    </row>
    <row r="43" spans="1:12" ht="15" customHeight="1">
      <c r="A43" s="131" t="s">
        <v>353</v>
      </c>
      <c r="B43" s="191" t="s">
        <v>62</v>
      </c>
      <c r="C43" s="132">
        <v>46228</v>
      </c>
      <c r="D43" s="536" t="s">
        <v>350</v>
      </c>
      <c r="E43" s="405"/>
      <c r="F43" s="536" t="s">
        <v>359</v>
      </c>
      <c r="G43" s="405"/>
      <c r="H43" s="133">
        <v>19</v>
      </c>
      <c r="I43" t="s">
        <v>360</v>
      </c>
      <c r="K43" s="31"/>
      <c r="L43" s="105"/>
    </row>
    <row r="44" spans="1:12" ht="15" customHeight="1">
      <c r="A44" s="131" t="s">
        <v>353</v>
      </c>
      <c r="B44" s="191" t="s">
        <v>63</v>
      </c>
      <c r="C44" s="132">
        <v>46229</v>
      </c>
      <c r="D44" s="536" t="s">
        <v>350</v>
      </c>
      <c r="E44" s="405"/>
      <c r="F44" s="536" t="s">
        <v>361</v>
      </c>
      <c r="G44" s="405"/>
      <c r="H44" s="133">
        <v>12.5</v>
      </c>
      <c r="I44" t="s">
        <v>357</v>
      </c>
      <c r="K44" s="31"/>
      <c r="L44" s="105"/>
    </row>
    <row r="45" spans="1:12" ht="15" customHeight="1">
      <c r="A45" s="261" t="s">
        <v>332</v>
      </c>
      <c r="B45" s="185" t="s">
        <v>64</v>
      </c>
      <c r="C45" s="125">
        <v>46230</v>
      </c>
      <c r="D45" s="455" t="s">
        <v>335</v>
      </c>
      <c r="E45" s="405"/>
      <c r="F45" s="455" t="s">
        <v>159</v>
      </c>
      <c r="G45" s="405"/>
      <c r="H45" s="126">
        <v>11</v>
      </c>
      <c r="I45" t="s">
        <v>357</v>
      </c>
      <c r="K45" s="31"/>
      <c r="L45" s="105"/>
    </row>
    <row r="46" spans="1:12" ht="15" customHeight="1">
      <c r="A46" s="261" t="s">
        <v>332</v>
      </c>
      <c r="B46" s="185" t="s">
        <v>66</v>
      </c>
      <c r="C46" s="125">
        <v>46231</v>
      </c>
      <c r="D46" s="455" t="s">
        <v>335</v>
      </c>
      <c r="E46" s="405"/>
      <c r="F46" s="455" t="s">
        <v>362</v>
      </c>
      <c r="G46" s="405"/>
      <c r="H46" s="126">
        <v>17</v>
      </c>
      <c r="I46" t="s">
        <v>363</v>
      </c>
      <c r="K46" s="31"/>
      <c r="L46" s="105"/>
    </row>
    <row r="47" spans="1:12" ht="15" customHeight="1">
      <c r="A47" s="261" t="s">
        <v>332</v>
      </c>
      <c r="B47" s="185" t="s">
        <v>68</v>
      </c>
      <c r="C47" s="125">
        <v>46232</v>
      </c>
      <c r="D47" s="455" t="s">
        <v>252</v>
      </c>
      <c r="E47" s="405"/>
      <c r="F47" s="455" t="s">
        <v>253</v>
      </c>
      <c r="G47" s="405"/>
      <c r="H47" s="126">
        <v>11.05</v>
      </c>
    </row>
    <row r="48" spans="1:12" ht="15" customHeight="1">
      <c r="A48" s="261" t="s">
        <v>134</v>
      </c>
      <c r="B48" s="185" t="s">
        <v>60</v>
      </c>
      <c r="C48" s="125">
        <v>46233</v>
      </c>
      <c r="D48" s="455" t="s">
        <v>254</v>
      </c>
      <c r="E48" s="405"/>
      <c r="F48" s="455" t="s">
        <v>200</v>
      </c>
      <c r="G48" s="405"/>
      <c r="H48" s="126">
        <v>9.4700000000000006</v>
      </c>
    </row>
    <row r="49" spans="1:9" ht="15" customHeight="1">
      <c r="A49" s="266" t="s">
        <v>134</v>
      </c>
      <c r="B49" s="258" t="s">
        <v>61</v>
      </c>
      <c r="C49" s="141">
        <v>46234</v>
      </c>
      <c r="D49" s="466" t="s">
        <v>255</v>
      </c>
      <c r="E49" s="467"/>
      <c r="F49" s="466" t="s">
        <v>256</v>
      </c>
      <c r="G49" s="467"/>
      <c r="H49" s="142">
        <v>9.6</v>
      </c>
    </row>
    <row r="50" spans="1:9" ht="15" customHeight="1">
      <c r="A50" s="196"/>
      <c r="B50" s="91"/>
      <c r="C50" s="91"/>
      <c r="D50" s="91"/>
      <c r="E50" s="91"/>
      <c r="F50" s="506" t="s">
        <v>41</v>
      </c>
      <c r="G50" s="412"/>
      <c r="H50" s="146">
        <f>SUM(H19:H49)</f>
        <v>309.25000000000006</v>
      </c>
    </row>
    <row r="51" spans="1:9" ht="15" customHeight="1">
      <c r="A51" s="91"/>
      <c r="B51" s="91"/>
      <c r="C51" s="91"/>
      <c r="D51" s="91"/>
      <c r="E51" s="91"/>
      <c r="F51" s="197"/>
      <c r="G51" s="144"/>
      <c r="H51" s="198"/>
    </row>
    <row r="52" spans="1:9" ht="15" customHeight="1">
      <c r="A52" s="477" t="s">
        <v>226</v>
      </c>
      <c r="B52" s="411"/>
      <c r="C52" s="411"/>
      <c r="D52" s="412"/>
      <c r="E52" s="477" t="s">
        <v>173</v>
      </c>
      <c r="F52" s="411"/>
      <c r="G52" s="411"/>
      <c r="H52" s="412"/>
    </row>
    <row r="53" spans="1:9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9" ht="14.25" customHeight="1">
      <c r="A54" s="234"/>
      <c r="B54" s="531"/>
      <c r="C54" s="437"/>
      <c r="D54" s="235"/>
      <c r="E54" s="234">
        <v>46150</v>
      </c>
      <c r="F54" s="531" t="s">
        <v>364</v>
      </c>
      <c r="G54" s="437"/>
      <c r="H54" s="267">
        <v>123850</v>
      </c>
      <c r="I54" s="139"/>
    </row>
    <row r="55" spans="1:9" ht="14.25" customHeight="1">
      <c r="A55" s="268"/>
      <c r="B55" s="473"/>
      <c r="C55" s="405"/>
      <c r="D55" s="269"/>
      <c r="E55" s="270">
        <v>46163</v>
      </c>
      <c r="F55" s="552" t="s">
        <v>365</v>
      </c>
      <c r="G55" s="405"/>
      <c r="H55" s="271">
        <v>750000</v>
      </c>
      <c r="I55" s="139"/>
    </row>
    <row r="56" spans="1:9" ht="14.25" customHeight="1">
      <c r="A56" s="268"/>
      <c r="B56" s="473"/>
      <c r="C56" s="405"/>
      <c r="D56" s="269"/>
      <c r="E56" s="272">
        <v>46174</v>
      </c>
      <c r="F56" s="551" t="s">
        <v>366</v>
      </c>
      <c r="G56" s="405"/>
      <c r="H56" s="273">
        <v>250000</v>
      </c>
      <c r="I56" s="139"/>
    </row>
    <row r="57" spans="1:9" ht="14.25" customHeight="1">
      <c r="A57" s="268"/>
      <c r="B57" s="473"/>
      <c r="C57" s="405"/>
      <c r="D57" s="269"/>
      <c r="E57" s="272">
        <v>46204</v>
      </c>
      <c r="F57" s="551" t="s">
        <v>367</v>
      </c>
      <c r="G57" s="405"/>
      <c r="H57" s="273">
        <v>250000</v>
      </c>
      <c r="I57" s="139"/>
    </row>
    <row r="58" spans="1:9" ht="14.25" customHeight="1">
      <c r="A58" s="224"/>
      <c r="B58" s="533"/>
      <c r="C58" s="467"/>
      <c r="D58" s="247"/>
      <c r="E58" s="274">
        <v>46204</v>
      </c>
      <c r="F58" s="551" t="s">
        <v>368</v>
      </c>
      <c r="G58" s="405"/>
      <c r="H58" s="275">
        <v>262500</v>
      </c>
    </row>
    <row r="59" spans="1:9" ht="14.25" customHeight="1">
      <c r="A59" s="514" t="s">
        <v>81</v>
      </c>
      <c r="B59" s="469"/>
      <c r="C59" s="515"/>
      <c r="D59" s="208">
        <f>SUM(D54:D58)</f>
        <v>0</v>
      </c>
      <c r="E59" s="276">
        <v>46235</v>
      </c>
      <c r="F59" s="550" t="s">
        <v>369</v>
      </c>
      <c r="G59" s="467"/>
      <c r="H59" s="277">
        <v>250000</v>
      </c>
    </row>
    <row r="60" spans="1:9" ht="14.25" customHeight="1">
      <c r="D60" s="91"/>
      <c r="E60" s="553" t="s">
        <v>229</v>
      </c>
      <c r="F60" s="411"/>
      <c r="G60" s="412"/>
      <c r="H60" s="156">
        <f>+H59</f>
        <v>250000</v>
      </c>
    </row>
    <row r="61" spans="1:9" ht="14.25" customHeight="1">
      <c r="A61" s="516" t="s">
        <v>230</v>
      </c>
      <c r="B61" s="517"/>
      <c r="C61" s="517"/>
      <c r="D61" s="518"/>
      <c r="E61" s="472" t="s">
        <v>178</v>
      </c>
      <c r="F61" s="411"/>
      <c r="G61" s="412"/>
      <c r="H61" s="209">
        <v>0</v>
      </c>
    </row>
    <row r="62" spans="1:9" ht="14.25" customHeight="1">
      <c r="A62" s="519" t="s">
        <v>231</v>
      </c>
      <c r="B62" s="447"/>
      <c r="C62" s="437"/>
      <c r="D62" s="210" t="s">
        <v>232</v>
      </c>
    </row>
    <row r="63" spans="1:9" ht="14.25" customHeight="1">
      <c r="A63" s="512" t="s">
        <v>233</v>
      </c>
      <c r="B63" s="404"/>
      <c r="C63" s="405"/>
      <c r="D63" s="211">
        <v>-396.88</v>
      </c>
      <c r="E63" s="139"/>
      <c r="F63" s="91"/>
      <c r="G63" s="91"/>
    </row>
    <row r="64" spans="1:9" ht="14.25" customHeight="1">
      <c r="A64" s="512" t="s">
        <v>234</v>
      </c>
      <c r="B64" s="404"/>
      <c r="C64" s="405"/>
      <c r="D64" s="211">
        <v>0</v>
      </c>
    </row>
    <row r="65" spans="1:4" ht="14.25" customHeight="1">
      <c r="A65" s="512" t="s">
        <v>235</v>
      </c>
      <c r="B65" s="404"/>
      <c r="C65" s="405"/>
      <c r="D65" s="211">
        <v>0</v>
      </c>
    </row>
    <row r="66" spans="1:4" ht="14.25" customHeight="1">
      <c r="A66" s="512" t="s">
        <v>236</v>
      </c>
      <c r="B66" s="404"/>
      <c r="C66" s="405"/>
      <c r="D66" s="211">
        <v>0</v>
      </c>
    </row>
    <row r="67" spans="1:4" ht="14.25" customHeight="1">
      <c r="A67" s="512" t="s">
        <v>237</v>
      </c>
      <c r="B67" s="404"/>
      <c r="C67" s="405"/>
      <c r="D67" s="211"/>
    </row>
    <row r="68" spans="1:4" ht="14.25" customHeight="1">
      <c r="A68" s="512" t="s">
        <v>238</v>
      </c>
      <c r="B68" s="404"/>
      <c r="C68" s="405"/>
      <c r="D68" s="211"/>
    </row>
    <row r="69" spans="1:4" ht="14.25" customHeight="1">
      <c r="A69" s="512" t="s">
        <v>239</v>
      </c>
      <c r="B69" s="404"/>
      <c r="C69" s="405"/>
      <c r="D69" s="211"/>
    </row>
    <row r="70" spans="1:4" ht="14.25" customHeight="1">
      <c r="A70" s="512" t="s">
        <v>45</v>
      </c>
      <c r="B70" s="404"/>
      <c r="C70" s="405"/>
      <c r="D70" s="211"/>
    </row>
    <row r="71" spans="1:4" ht="14.25" customHeight="1">
      <c r="A71" s="512" t="s">
        <v>98</v>
      </c>
      <c r="B71" s="404"/>
      <c r="C71" s="405"/>
      <c r="D71" s="211"/>
    </row>
    <row r="72" spans="1:4" ht="14.25" customHeight="1">
      <c r="A72" s="512" t="s">
        <v>100</v>
      </c>
      <c r="B72" s="404"/>
      <c r="C72" s="405"/>
      <c r="D72" s="211"/>
    </row>
    <row r="73" spans="1:4" ht="14.25" customHeight="1">
      <c r="A73" s="512" t="s">
        <v>104</v>
      </c>
      <c r="B73" s="404"/>
      <c r="C73" s="405"/>
      <c r="D73" s="211"/>
    </row>
    <row r="74" spans="1:4" ht="14.25" customHeight="1">
      <c r="A74" s="512" t="s">
        <v>106</v>
      </c>
      <c r="B74" s="404"/>
      <c r="C74" s="405"/>
      <c r="D74" s="211"/>
    </row>
    <row r="75" spans="1:4" ht="14.25" customHeight="1">
      <c r="A75" s="513" t="s">
        <v>113</v>
      </c>
      <c r="B75" s="504"/>
      <c r="C75" s="467"/>
      <c r="D75" s="212"/>
    </row>
    <row r="76" spans="1:4" ht="14.25" customHeight="1">
      <c r="A76" s="511" t="s">
        <v>81</v>
      </c>
      <c r="B76" s="411"/>
      <c r="C76" s="480"/>
      <c r="D76" s="213">
        <f>SUM(D63:D75)</f>
        <v>-396.88</v>
      </c>
    </row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</sheetData>
  <mergeCells count="138">
    <mergeCell ref="F59:G59"/>
    <mergeCell ref="F58:G58"/>
    <mergeCell ref="F55:G55"/>
    <mergeCell ref="F56:G56"/>
    <mergeCell ref="F57:G57"/>
    <mergeCell ref="F53:G53"/>
    <mergeCell ref="F54:G54"/>
    <mergeCell ref="A64:C64"/>
    <mergeCell ref="A65:C65"/>
    <mergeCell ref="E60:G60"/>
    <mergeCell ref="E61:G61"/>
    <mergeCell ref="A63:C63"/>
    <mergeCell ref="A61:D61"/>
    <mergeCell ref="A62:C62"/>
    <mergeCell ref="A76:C76"/>
    <mergeCell ref="A70:C70"/>
    <mergeCell ref="A71:C71"/>
    <mergeCell ref="B58:C58"/>
    <mergeCell ref="D34:E34"/>
    <mergeCell ref="D35:E35"/>
    <mergeCell ref="D36:E36"/>
    <mergeCell ref="D27:E27"/>
    <mergeCell ref="D31:E31"/>
    <mergeCell ref="D32:E32"/>
    <mergeCell ref="D33:E33"/>
    <mergeCell ref="D28:E28"/>
    <mergeCell ref="D29:E29"/>
    <mergeCell ref="D30:E30"/>
    <mergeCell ref="A72:C72"/>
    <mergeCell ref="A73:C73"/>
    <mergeCell ref="A74:C74"/>
    <mergeCell ref="A75:C75"/>
    <mergeCell ref="D48:E48"/>
    <mergeCell ref="D49:E49"/>
    <mergeCell ref="E52:H52"/>
    <mergeCell ref="A69:C69"/>
    <mergeCell ref="A59:C59"/>
    <mergeCell ref="A66:C66"/>
    <mergeCell ref="A67:C67"/>
    <mergeCell ref="A68:C68"/>
    <mergeCell ref="D45:E45"/>
    <mergeCell ref="D46:E46"/>
    <mergeCell ref="B55:C55"/>
    <mergeCell ref="B56:C56"/>
    <mergeCell ref="B57:C57"/>
    <mergeCell ref="A52:D52"/>
    <mergeCell ref="B53:C53"/>
    <mergeCell ref="B54:C54"/>
    <mergeCell ref="D47:E47"/>
    <mergeCell ref="B6:C6"/>
    <mergeCell ref="A7:B7"/>
    <mergeCell ref="C7:D7"/>
    <mergeCell ref="E7:F7"/>
    <mergeCell ref="A8:B8"/>
    <mergeCell ref="A1:H4"/>
    <mergeCell ref="A5:E5"/>
    <mergeCell ref="C16:D16"/>
    <mergeCell ref="D19:E19"/>
    <mergeCell ref="A17:F17"/>
    <mergeCell ref="D18:E18"/>
    <mergeCell ref="A15:B15"/>
    <mergeCell ref="A16:B16"/>
    <mergeCell ref="G14:H14"/>
    <mergeCell ref="G17:H17"/>
    <mergeCell ref="F19:G19"/>
    <mergeCell ref="A11:B11"/>
    <mergeCell ref="A12:D12"/>
    <mergeCell ref="C9:D9"/>
    <mergeCell ref="E9:F9"/>
    <mergeCell ref="G9:H9"/>
    <mergeCell ref="E12:H12"/>
    <mergeCell ref="C13:D13"/>
    <mergeCell ref="E13:F13"/>
    <mergeCell ref="F49:G49"/>
    <mergeCell ref="F47:G47"/>
    <mergeCell ref="F48:G48"/>
    <mergeCell ref="F50:G50"/>
    <mergeCell ref="F45:G45"/>
    <mergeCell ref="F46:G46"/>
    <mergeCell ref="C8:D8"/>
    <mergeCell ref="E8:F8"/>
    <mergeCell ref="C10:D10"/>
    <mergeCell ref="E10:F10"/>
    <mergeCell ref="D20:E20"/>
    <mergeCell ref="D21:E21"/>
    <mergeCell ref="F20:G20"/>
    <mergeCell ref="D25:E25"/>
    <mergeCell ref="D26:E26"/>
    <mergeCell ref="D22:E22"/>
    <mergeCell ref="D23:E23"/>
    <mergeCell ref="D24:E24"/>
    <mergeCell ref="D39:E39"/>
    <mergeCell ref="D40:E40"/>
    <mergeCell ref="D42:E42"/>
    <mergeCell ref="F42:G42"/>
    <mergeCell ref="D41:E41"/>
    <mergeCell ref="F41:G41"/>
    <mergeCell ref="F44:G44"/>
    <mergeCell ref="D43:E43"/>
    <mergeCell ref="F43:G43"/>
    <mergeCell ref="D44:E44"/>
    <mergeCell ref="D37:E37"/>
    <mergeCell ref="D38:E38"/>
    <mergeCell ref="K5:L5"/>
    <mergeCell ref="G10:H10"/>
    <mergeCell ref="G13:H13"/>
    <mergeCell ref="G11:H11"/>
    <mergeCell ref="F18:G18"/>
    <mergeCell ref="F40:G40"/>
    <mergeCell ref="I5:J5"/>
    <mergeCell ref="F6:G6"/>
    <mergeCell ref="F5:G5"/>
    <mergeCell ref="F21:G21"/>
    <mergeCell ref="F25:G25"/>
    <mergeCell ref="F22:G22"/>
    <mergeCell ref="F23:G23"/>
    <mergeCell ref="F24:G24"/>
    <mergeCell ref="F26:G26"/>
    <mergeCell ref="F27:G27"/>
    <mergeCell ref="F31:G31"/>
    <mergeCell ref="F32:G32"/>
    <mergeCell ref="C11:D11"/>
    <mergeCell ref="E11:F11"/>
    <mergeCell ref="E15:H15"/>
    <mergeCell ref="C15:D15"/>
    <mergeCell ref="E16:H16"/>
    <mergeCell ref="C14:D14"/>
    <mergeCell ref="E14:F14"/>
    <mergeCell ref="F39:G39"/>
    <mergeCell ref="F34:G34"/>
    <mergeCell ref="F35:G35"/>
    <mergeCell ref="F36:G36"/>
    <mergeCell ref="F33:G33"/>
    <mergeCell ref="F28:G28"/>
    <mergeCell ref="F29:G29"/>
    <mergeCell ref="F30:G30"/>
    <mergeCell ref="F37:G37"/>
    <mergeCell ref="F38:G38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5"/>
    <pageSetUpPr fitToPage="1"/>
  </sheetPr>
  <dimension ref="A1:L273"/>
  <sheetViews>
    <sheetView workbookViewId="0">
      <selection activeCell="G8" sqref="G8:H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250">
        <f>+A8+C8+E8+G8+B10+C10+G12+C14+F14</f>
        <v>1685923.2053886</v>
      </c>
      <c r="I5" s="431" t="s">
        <v>86</v>
      </c>
      <c r="J5" s="430"/>
      <c r="K5" s="429" t="str">
        <f>+B6</f>
        <v>DENIS CELIZ</v>
      </c>
      <c r="L5" s="430"/>
    </row>
    <row r="6" spans="1:12" ht="24.75" customHeight="1">
      <c r="A6" s="159" t="s">
        <v>179</v>
      </c>
      <c r="B6" s="526" t="s">
        <v>370</v>
      </c>
      <c r="C6" s="480"/>
      <c r="D6" s="160" t="s">
        <v>181</v>
      </c>
      <c r="E6" s="226">
        <v>36145011</v>
      </c>
      <c r="F6" s="525" t="s">
        <v>89</v>
      </c>
      <c r="G6" s="428"/>
      <c r="H6" s="278">
        <v>2</v>
      </c>
      <c r="I6" s="99" t="s">
        <v>45</v>
      </c>
      <c r="J6" s="100">
        <v>1270457.1299999999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1270457.1285000001</v>
      </c>
    </row>
    <row r="8" spans="1:12" ht="24.75" customHeight="1">
      <c r="A8" s="491">
        <f>1084933.5*17.1%+1084933.5</f>
        <v>1270457.1285000001</v>
      </c>
      <c r="B8" s="405"/>
      <c r="C8" s="547">
        <v>0</v>
      </c>
      <c r="D8" s="548"/>
      <c r="E8" s="422">
        <f>+L23</f>
        <v>63098.011770000005</v>
      </c>
      <c r="F8" s="405"/>
      <c r="G8" s="539">
        <v>0</v>
      </c>
      <c r="H8" s="540"/>
      <c r="I8" s="99" t="s">
        <v>100</v>
      </c>
      <c r="J8" s="100"/>
      <c r="K8" t="s">
        <v>184</v>
      </c>
      <c r="L8" s="105">
        <f>+C8</f>
        <v>0</v>
      </c>
    </row>
    <row r="9" spans="1:12" ht="24.75" customHeight="1">
      <c r="A9" s="166" t="s">
        <v>111</v>
      </c>
      <c r="B9" s="167">
        <v>4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63098.011770000005</v>
      </c>
    </row>
    <row r="10" spans="1:12" ht="24.75" customHeight="1">
      <c r="A10" s="168">
        <v>44440</v>
      </c>
      <c r="B10" s="130">
        <f>+L30</f>
        <v>40985</v>
      </c>
      <c r="C10" s="422">
        <v>0</v>
      </c>
      <c r="D10" s="405"/>
      <c r="E10" s="422">
        <f>+D56+H56</f>
        <v>205450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40985</v>
      </c>
    </row>
    <row r="12" spans="1:12" ht="24.75" customHeight="1">
      <c r="A12" s="171">
        <v>220</v>
      </c>
      <c r="B12" s="172">
        <f>+H50</f>
        <v>241.86999999999998</v>
      </c>
      <c r="C12" s="498">
        <f>+B12-A12</f>
        <v>21.869999999999976</v>
      </c>
      <c r="D12" s="405"/>
      <c r="E12" s="422">
        <f>3984.18*17.1%+3984.18</f>
        <v>4665.4747799999996</v>
      </c>
      <c r="F12" s="405"/>
      <c r="G12" s="422">
        <f>+C12*E12</f>
        <v>102033.93343859988</v>
      </c>
      <c r="H12" s="406"/>
      <c r="I12" s="99" t="s">
        <v>81</v>
      </c>
      <c r="J12" s="100">
        <f>SUM(J6:J11)</f>
        <v>1270457.1299999999</v>
      </c>
      <c r="K12" s="91" t="s">
        <v>115</v>
      </c>
      <c r="L12" s="105">
        <f>+C10</f>
        <v>0</v>
      </c>
    </row>
    <row r="13" spans="1:12" ht="24.75" customHeight="1">
      <c r="A13" s="557" t="s">
        <v>371</v>
      </c>
      <c r="B13" s="433"/>
      <c r="C13" s="453" t="s">
        <v>320</v>
      </c>
      <c r="D13" s="405"/>
      <c r="E13" s="279">
        <f>+EVENTOS!G18</f>
        <v>2</v>
      </c>
      <c r="F13" s="453" t="s">
        <v>372</v>
      </c>
      <c r="G13" s="405"/>
      <c r="H13" s="259">
        <v>2</v>
      </c>
      <c r="I13" s="99" t="s">
        <v>121</v>
      </c>
      <c r="J13" s="100">
        <f>+J12/6</f>
        <v>211742.85499999998</v>
      </c>
      <c r="K13" t="s">
        <v>191</v>
      </c>
      <c r="L13" s="105">
        <f>+G12</f>
        <v>102033.93343859988</v>
      </c>
    </row>
    <row r="14" spans="1:12" ht="24.75" customHeight="1">
      <c r="A14" s="397"/>
      <c r="B14" s="558"/>
      <c r="C14" s="422">
        <f>+L36*E13</f>
        <v>182970.36598</v>
      </c>
      <c r="D14" s="404"/>
      <c r="E14" s="405"/>
      <c r="F14" s="422">
        <f>+L38*H13</f>
        <v>26378.7657</v>
      </c>
      <c r="G14" s="404"/>
      <c r="H14" s="406"/>
      <c r="I14" s="99" t="s">
        <v>86</v>
      </c>
      <c r="J14" s="115">
        <f>+J13/2</f>
        <v>105871.42749999999</v>
      </c>
      <c r="K14" s="91" t="s">
        <v>321</v>
      </c>
      <c r="L14" s="105">
        <f>+C14</f>
        <v>182970.36598</v>
      </c>
    </row>
    <row r="15" spans="1:12" ht="24.75" customHeight="1">
      <c r="A15" s="490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s="91" t="s">
        <v>373</v>
      </c>
      <c r="L15" s="105">
        <f>+F14</f>
        <v>26378.7657</v>
      </c>
    </row>
    <row r="16" spans="1:12" ht="24.75" customHeight="1">
      <c r="A16" s="528">
        <v>46143</v>
      </c>
      <c r="B16" s="467"/>
      <c r="C16" s="482" t="s">
        <v>125</v>
      </c>
      <c r="D16" s="467"/>
      <c r="E16" s="554" t="s">
        <v>374</v>
      </c>
      <c r="F16" s="555"/>
      <c r="G16" s="555"/>
      <c r="H16" s="556"/>
      <c r="I16" s="91"/>
      <c r="K16" s="112" t="s">
        <v>122</v>
      </c>
      <c r="L16" s="113">
        <f>SUM(L7:L15)</f>
        <v>1685923.2053886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1480473.2053886</v>
      </c>
      <c r="H17" s="412"/>
      <c r="K17" t="s">
        <v>126</v>
      </c>
      <c r="L17" s="105">
        <f>+E10</f>
        <v>205450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508" t="s">
        <v>130</v>
      </c>
      <c r="E18" s="509"/>
      <c r="F18" s="508" t="s">
        <v>131</v>
      </c>
      <c r="G18" s="509"/>
      <c r="H18" s="175" t="s">
        <v>261</v>
      </c>
      <c r="I18" s="280"/>
      <c r="K18" s="119" t="s">
        <v>133</v>
      </c>
      <c r="L18" s="120">
        <f>+L16-L17</f>
        <v>1480473.2053886</v>
      </c>
    </row>
    <row r="19" spans="1:12" ht="15" customHeight="1">
      <c r="A19" s="176" t="s">
        <v>134</v>
      </c>
      <c r="B19" s="177" t="s">
        <v>58</v>
      </c>
      <c r="C19" s="178">
        <v>46204</v>
      </c>
      <c r="D19" s="510" t="s">
        <v>375</v>
      </c>
      <c r="E19" s="437"/>
      <c r="F19" s="510" t="s">
        <v>136</v>
      </c>
      <c r="G19" s="437"/>
      <c r="H19" s="179">
        <v>9.02</v>
      </c>
    </row>
    <row r="20" spans="1:12" ht="15" customHeight="1">
      <c r="A20" s="180" t="s">
        <v>134</v>
      </c>
      <c r="B20" s="51" t="s">
        <v>60</v>
      </c>
      <c r="C20" s="52">
        <v>46205</v>
      </c>
      <c r="D20" s="495" t="s">
        <v>194</v>
      </c>
      <c r="E20" s="405"/>
      <c r="F20" s="495" t="s">
        <v>376</v>
      </c>
      <c r="G20" s="405"/>
      <c r="H20" s="181">
        <v>9.18</v>
      </c>
      <c r="K20" s="127" t="s">
        <v>196</v>
      </c>
      <c r="L20" s="128"/>
    </row>
    <row r="21" spans="1:12" ht="15" customHeight="1">
      <c r="A21" s="180" t="s">
        <v>134</v>
      </c>
      <c r="B21" s="51" t="s">
        <v>61</v>
      </c>
      <c r="C21" s="52">
        <v>46206</v>
      </c>
      <c r="D21" s="495" t="s">
        <v>165</v>
      </c>
      <c r="E21" s="405"/>
      <c r="F21" s="495" t="s">
        <v>220</v>
      </c>
      <c r="G21" s="405"/>
      <c r="H21" s="181">
        <v>8.3699999999999992</v>
      </c>
      <c r="K21" s="129" t="s">
        <v>140</v>
      </c>
      <c r="L21" s="130">
        <f>54725.82*17.1%+54725.82</f>
        <v>64083.935219999999</v>
      </c>
    </row>
    <row r="22" spans="1:12" ht="15" customHeight="1">
      <c r="A22" s="230" t="s">
        <v>134</v>
      </c>
      <c r="B22" s="191" t="s">
        <v>62</v>
      </c>
      <c r="C22" s="132">
        <v>46207</v>
      </c>
      <c r="D22" s="536" t="s">
        <v>297</v>
      </c>
      <c r="E22" s="405"/>
      <c r="F22" s="536" t="s">
        <v>377</v>
      </c>
      <c r="G22" s="405"/>
      <c r="H22" s="133">
        <v>11</v>
      </c>
      <c r="I22" s="281" t="s">
        <v>378</v>
      </c>
      <c r="K22" s="127" t="s">
        <v>137</v>
      </c>
      <c r="L22" s="128"/>
    </row>
    <row r="23" spans="1:12" ht="15" customHeight="1">
      <c r="A23" s="182" t="s">
        <v>67</v>
      </c>
      <c r="B23" s="65" t="s">
        <v>63</v>
      </c>
      <c r="C23" s="66">
        <v>46208</v>
      </c>
      <c r="D23" s="497"/>
      <c r="E23" s="405"/>
      <c r="F23" s="497"/>
      <c r="G23" s="405"/>
      <c r="H23" s="183">
        <v>0</v>
      </c>
      <c r="K23" s="129" t="s">
        <v>140</v>
      </c>
      <c r="L23" s="130">
        <f>53883.87*17.1%+53883.87</f>
        <v>63098.011770000005</v>
      </c>
    </row>
    <row r="24" spans="1:12" ht="15" customHeight="1">
      <c r="A24" s="180" t="s">
        <v>134</v>
      </c>
      <c r="B24" s="51" t="s">
        <v>64</v>
      </c>
      <c r="C24" s="52">
        <v>46209</v>
      </c>
      <c r="D24" s="495" t="s">
        <v>194</v>
      </c>
      <c r="E24" s="405"/>
      <c r="F24" s="495" t="s">
        <v>379</v>
      </c>
      <c r="G24" s="405"/>
      <c r="H24" s="181">
        <v>10.72</v>
      </c>
      <c r="K24" s="127" t="s">
        <v>109</v>
      </c>
      <c r="L24" s="128"/>
    </row>
    <row r="25" spans="1:12" ht="15" customHeight="1">
      <c r="A25" s="182" t="s">
        <v>67</v>
      </c>
      <c r="B25" s="65" t="s">
        <v>66</v>
      </c>
      <c r="C25" s="66">
        <v>46210</v>
      </c>
      <c r="D25" s="497"/>
      <c r="E25" s="405"/>
      <c r="F25" s="497"/>
      <c r="G25" s="405"/>
      <c r="H25" s="183">
        <v>0</v>
      </c>
      <c r="K25" s="129" t="s">
        <v>140</v>
      </c>
      <c r="L25" s="130">
        <f>113496.19*17.1%+113496.19</f>
        <v>132904.03849000001</v>
      </c>
    </row>
    <row r="26" spans="1:12" ht="15" customHeight="1">
      <c r="A26" s="230" t="s">
        <v>134</v>
      </c>
      <c r="B26" s="185" t="s">
        <v>68</v>
      </c>
      <c r="C26" s="125">
        <v>46211</v>
      </c>
      <c r="D26" s="455" t="s">
        <v>169</v>
      </c>
      <c r="E26" s="405"/>
      <c r="F26" s="455" t="s">
        <v>340</v>
      </c>
      <c r="G26" s="405"/>
      <c r="H26" s="126">
        <v>8.6999999999999993</v>
      </c>
      <c r="K26" s="135" t="s">
        <v>111</v>
      </c>
      <c r="L26" s="91"/>
    </row>
    <row r="27" spans="1:12" ht="15" customHeight="1">
      <c r="A27" s="230" t="s">
        <v>134</v>
      </c>
      <c r="B27" s="185" t="s">
        <v>60</v>
      </c>
      <c r="C27" s="125">
        <v>46212</v>
      </c>
      <c r="D27" s="455" t="s">
        <v>380</v>
      </c>
      <c r="E27" s="405"/>
      <c r="F27" s="455" t="s">
        <v>340</v>
      </c>
      <c r="G27" s="405"/>
      <c r="H27" s="126">
        <v>8.1199999999999992</v>
      </c>
      <c r="J27" s="91"/>
      <c r="K27" s="129" t="s">
        <v>149</v>
      </c>
      <c r="L27" s="130">
        <f>12500*17.1%+12500</f>
        <v>14637.5</v>
      </c>
    </row>
    <row r="28" spans="1:12" ht="15" customHeight="1">
      <c r="A28" s="180" t="s">
        <v>134</v>
      </c>
      <c r="B28" s="51" t="s">
        <v>61</v>
      </c>
      <c r="C28" s="52">
        <v>46213</v>
      </c>
      <c r="D28" s="495" t="s">
        <v>199</v>
      </c>
      <c r="E28" s="405"/>
      <c r="F28" s="495" t="s">
        <v>148</v>
      </c>
      <c r="G28" s="405"/>
      <c r="H28" s="181">
        <v>9.2200000000000006</v>
      </c>
      <c r="J28" s="91"/>
      <c r="K28" s="129" t="s">
        <v>152</v>
      </c>
      <c r="L28" s="130">
        <f>20000*17.1%+20000</f>
        <v>23420</v>
      </c>
    </row>
    <row r="29" spans="1:12" ht="15" customHeight="1">
      <c r="A29" s="230" t="s">
        <v>134</v>
      </c>
      <c r="B29" s="191" t="s">
        <v>62</v>
      </c>
      <c r="C29" s="132">
        <v>46214</v>
      </c>
      <c r="D29" s="536" t="s">
        <v>381</v>
      </c>
      <c r="E29" s="405"/>
      <c r="F29" s="536" t="s">
        <v>382</v>
      </c>
      <c r="G29" s="405"/>
      <c r="H29" s="133">
        <v>4.6500000000000004</v>
      </c>
      <c r="K29" s="129" t="s">
        <v>153</v>
      </c>
      <c r="L29" s="130">
        <f>27500*17.1%+27500</f>
        <v>32202.5</v>
      </c>
    </row>
    <row r="30" spans="1:12" ht="15" customHeight="1">
      <c r="A30" s="182" t="s">
        <v>67</v>
      </c>
      <c r="B30" s="65" t="s">
        <v>63</v>
      </c>
      <c r="C30" s="66">
        <v>46215</v>
      </c>
      <c r="D30" s="497"/>
      <c r="E30" s="405"/>
      <c r="F30" s="497"/>
      <c r="G30" s="405"/>
      <c r="H30" s="183">
        <v>0</v>
      </c>
      <c r="K30" s="129" t="s">
        <v>154</v>
      </c>
      <c r="L30" s="130">
        <f>35000*17.1%+35000</f>
        <v>40985</v>
      </c>
    </row>
    <row r="31" spans="1:12" ht="15" customHeight="1">
      <c r="A31" s="230" t="s">
        <v>134</v>
      </c>
      <c r="B31" s="185" t="s">
        <v>64</v>
      </c>
      <c r="C31" s="125">
        <v>46216</v>
      </c>
      <c r="D31" s="455" t="s">
        <v>383</v>
      </c>
      <c r="E31" s="405"/>
      <c r="F31" s="455" t="s">
        <v>136</v>
      </c>
      <c r="G31" s="405"/>
      <c r="H31" s="126">
        <v>8.6300000000000008</v>
      </c>
      <c r="K31" s="129" t="s">
        <v>155</v>
      </c>
      <c r="L31" s="130">
        <f>42500*17.1%+42500</f>
        <v>49767.5</v>
      </c>
    </row>
    <row r="32" spans="1:12" ht="15" customHeight="1">
      <c r="A32" s="230" t="s">
        <v>134</v>
      </c>
      <c r="B32" s="185" t="s">
        <v>66</v>
      </c>
      <c r="C32" s="125">
        <v>46217</v>
      </c>
      <c r="D32" s="455" t="s">
        <v>383</v>
      </c>
      <c r="E32" s="405"/>
      <c r="F32" s="455" t="s">
        <v>166</v>
      </c>
      <c r="G32" s="405"/>
      <c r="H32" s="126">
        <v>8.6</v>
      </c>
      <c r="K32" s="129" t="s">
        <v>156</v>
      </c>
      <c r="L32" s="130">
        <f>63750*17.1%+63750</f>
        <v>74651.25</v>
      </c>
    </row>
    <row r="33" spans="1:12" ht="15" customHeight="1">
      <c r="A33" s="182" t="s">
        <v>67</v>
      </c>
      <c r="B33" s="65" t="s">
        <v>68</v>
      </c>
      <c r="C33" s="66">
        <v>46218</v>
      </c>
      <c r="D33" s="497"/>
      <c r="E33" s="405"/>
      <c r="F33" s="497"/>
      <c r="G33" s="405"/>
      <c r="H33" s="183">
        <v>0</v>
      </c>
      <c r="K33" s="129" t="s">
        <v>157</v>
      </c>
      <c r="L33" s="130">
        <f>127500*17.1%+127500</f>
        <v>149302.5</v>
      </c>
    </row>
    <row r="34" spans="1:12" ht="15" customHeight="1">
      <c r="A34" s="180" t="s">
        <v>134</v>
      </c>
      <c r="B34" s="51" t="s">
        <v>60</v>
      </c>
      <c r="C34" s="52">
        <v>46219</v>
      </c>
      <c r="D34" s="495" t="s">
        <v>384</v>
      </c>
      <c r="E34" s="405"/>
      <c r="F34" s="495" t="s">
        <v>307</v>
      </c>
      <c r="G34" s="405"/>
      <c r="H34" s="181">
        <v>9.2200000000000006</v>
      </c>
      <c r="K34" s="129" t="s">
        <v>158</v>
      </c>
      <c r="L34" s="130">
        <f>200000*17.1%+200000</f>
        <v>234200</v>
      </c>
    </row>
    <row r="35" spans="1:12" ht="15" customHeight="1">
      <c r="A35" s="180" t="s">
        <v>134</v>
      </c>
      <c r="B35" s="51" t="s">
        <v>61</v>
      </c>
      <c r="C35" s="52">
        <v>46220</v>
      </c>
      <c r="D35" s="495" t="s">
        <v>385</v>
      </c>
      <c r="E35" s="405"/>
      <c r="F35" s="495" t="s">
        <v>386</v>
      </c>
      <c r="G35" s="405"/>
      <c r="H35" s="181">
        <v>9.9700000000000006</v>
      </c>
      <c r="K35" s="228" t="s">
        <v>309</v>
      </c>
      <c r="L35" s="229"/>
    </row>
    <row r="36" spans="1:12" ht="15" customHeight="1">
      <c r="A36" s="190" t="s">
        <v>134</v>
      </c>
      <c r="B36" s="191" t="s">
        <v>62</v>
      </c>
      <c r="C36" s="132">
        <v>46221</v>
      </c>
      <c r="D36" s="536" t="s">
        <v>165</v>
      </c>
      <c r="E36" s="405"/>
      <c r="F36" s="536" t="s">
        <v>387</v>
      </c>
      <c r="G36" s="405"/>
      <c r="H36" s="133">
        <v>8.6999999999999993</v>
      </c>
      <c r="K36" s="129" t="s">
        <v>263</v>
      </c>
      <c r="L36" s="130">
        <f>78125.69*17.1%+78125.69</f>
        <v>91485.182990000001</v>
      </c>
    </row>
    <row r="37" spans="1:12" ht="15" customHeight="1">
      <c r="A37" s="190" t="s">
        <v>134</v>
      </c>
      <c r="B37" s="191" t="s">
        <v>63</v>
      </c>
      <c r="C37" s="132">
        <v>46222</v>
      </c>
      <c r="D37" s="536" t="s">
        <v>167</v>
      </c>
      <c r="E37" s="405"/>
      <c r="F37" s="536" t="s">
        <v>388</v>
      </c>
      <c r="G37" s="405"/>
      <c r="H37" s="133">
        <v>5.07</v>
      </c>
      <c r="K37" s="228" t="s">
        <v>372</v>
      </c>
      <c r="L37" s="229"/>
    </row>
    <row r="38" spans="1:12" ht="15" customHeight="1">
      <c r="A38" s="180" t="s">
        <v>134</v>
      </c>
      <c r="B38" s="51" t="s">
        <v>64</v>
      </c>
      <c r="C38" s="52">
        <v>46223</v>
      </c>
      <c r="D38" s="495" t="s">
        <v>162</v>
      </c>
      <c r="E38" s="405"/>
      <c r="F38" s="495" t="s">
        <v>247</v>
      </c>
      <c r="G38" s="405"/>
      <c r="H38" s="181">
        <v>8.92</v>
      </c>
      <c r="K38" s="129" t="s">
        <v>263</v>
      </c>
      <c r="L38" s="130">
        <f>11263.35*17.1%+11263.35</f>
        <v>13189.38285</v>
      </c>
    </row>
    <row r="39" spans="1:12" ht="15" customHeight="1">
      <c r="A39" s="180" t="s">
        <v>134</v>
      </c>
      <c r="B39" s="51" t="s">
        <v>66</v>
      </c>
      <c r="C39" s="52">
        <v>46224</v>
      </c>
      <c r="D39" s="495" t="s">
        <v>150</v>
      </c>
      <c r="E39" s="405"/>
      <c r="F39" s="495" t="s">
        <v>245</v>
      </c>
      <c r="G39" s="405"/>
      <c r="H39" s="181">
        <v>9.23</v>
      </c>
    </row>
    <row r="40" spans="1:12" ht="15" customHeight="1">
      <c r="A40" s="261" t="s">
        <v>134</v>
      </c>
      <c r="B40" s="51" t="s">
        <v>68</v>
      </c>
      <c r="C40" s="52">
        <v>46225</v>
      </c>
      <c r="D40" s="495" t="s">
        <v>389</v>
      </c>
      <c r="E40" s="405"/>
      <c r="F40" s="495" t="s">
        <v>390</v>
      </c>
      <c r="G40" s="405"/>
      <c r="H40" s="181">
        <v>9.27</v>
      </c>
      <c r="I40" t="s">
        <v>302</v>
      </c>
    </row>
    <row r="41" spans="1:12" ht="15" customHeight="1">
      <c r="A41" s="261" t="s">
        <v>332</v>
      </c>
      <c r="B41" s="51" t="s">
        <v>60</v>
      </c>
      <c r="C41" s="52">
        <v>46226</v>
      </c>
      <c r="D41" s="495" t="s">
        <v>391</v>
      </c>
      <c r="E41" s="405"/>
      <c r="F41" s="495" t="s">
        <v>392</v>
      </c>
      <c r="G41" s="405"/>
      <c r="H41" s="181">
        <v>15.77</v>
      </c>
    </row>
    <row r="42" spans="1:12" ht="15" customHeight="1">
      <c r="A42" s="261" t="s">
        <v>332</v>
      </c>
      <c r="B42" s="51" t="s">
        <v>61</v>
      </c>
      <c r="C42" s="52">
        <v>46227</v>
      </c>
      <c r="D42" s="495" t="s">
        <v>314</v>
      </c>
      <c r="E42" s="405"/>
      <c r="F42" s="495" t="s">
        <v>393</v>
      </c>
      <c r="G42" s="405"/>
      <c r="H42" s="181">
        <v>13.53</v>
      </c>
    </row>
    <row r="43" spans="1:12" ht="15" customHeight="1">
      <c r="A43" s="131" t="s">
        <v>394</v>
      </c>
      <c r="B43" s="191" t="s">
        <v>62</v>
      </c>
      <c r="C43" s="132">
        <v>46228</v>
      </c>
      <c r="D43" s="536" t="s">
        <v>395</v>
      </c>
      <c r="E43" s="405"/>
      <c r="F43" s="536" t="s">
        <v>396</v>
      </c>
      <c r="G43" s="405"/>
      <c r="H43" s="133">
        <v>13.68</v>
      </c>
      <c r="I43" s="281" t="s">
        <v>397</v>
      </c>
    </row>
    <row r="44" spans="1:12" ht="15" customHeight="1">
      <c r="A44" s="131" t="s">
        <v>398</v>
      </c>
      <c r="B44" s="191" t="s">
        <v>63</v>
      </c>
      <c r="C44" s="132">
        <v>46229</v>
      </c>
      <c r="D44" s="536" t="s">
        <v>399</v>
      </c>
      <c r="E44" s="405"/>
      <c r="F44" s="536" t="s">
        <v>400</v>
      </c>
      <c r="G44" s="405"/>
      <c r="H44" s="133">
        <v>6.85</v>
      </c>
    </row>
    <row r="45" spans="1:12" ht="15" customHeight="1">
      <c r="A45" s="261" t="s">
        <v>332</v>
      </c>
      <c r="B45" s="51" t="s">
        <v>64</v>
      </c>
      <c r="C45" s="52">
        <v>46230</v>
      </c>
      <c r="D45" s="495" t="s">
        <v>401</v>
      </c>
      <c r="E45" s="405"/>
      <c r="F45" s="495" t="s">
        <v>402</v>
      </c>
      <c r="G45" s="405"/>
      <c r="H45" s="181">
        <v>12.12</v>
      </c>
    </row>
    <row r="46" spans="1:12" ht="15" customHeight="1">
      <c r="A46" s="261" t="s">
        <v>332</v>
      </c>
      <c r="B46" s="51" t="s">
        <v>66</v>
      </c>
      <c r="C46" s="52">
        <v>46231</v>
      </c>
      <c r="D46" s="495" t="s">
        <v>401</v>
      </c>
      <c r="E46" s="405"/>
      <c r="F46" s="495" t="s">
        <v>403</v>
      </c>
      <c r="G46" s="405"/>
      <c r="H46" s="181">
        <v>11.95</v>
      </c>
    </row>
    <row r="47" spans="1:12" ht="15" customHeight="1">
      <c r="A47" s="180" t="s">
        <v>334</v>
      </c>
      <c r="B47" s="51" t="s">
        <v>68</v>
      </c>
      <c r="C47" s="52">
        <v>46232</v>
      </c>
      <c r="D47" s="495" t="s">
        <v>404</v>
      </c>
      <c r="E47" s="405"/>
      <c r="F47" s="495" t="s">
        <v>405</v>
      </c>
      <c r="G47" s="405"/>
      <c r="H47" s="181">
        <v>11.38</v>
      </c>
    </row>
    <row r="48" spans="1:12" ht="15" customHeight="1">
      <c r="A48" s="221" t="s">
        <v>406</v>
      </c>
      <c r="B48" s="222" t="s">
        <v>60</v>
      </c>
      <c r="C48" s="137">
        <v>46233</v>
      </c>
      <c r="D48" s="457"/>
      <c r="E48" s="405"/>
      <c r="F48" s="457"/>
      <c r="G48" s="405"/>
      <c r="H48" s="138">
        <v>0</v>
      </c>
    </row>
    <row r="49" spans="1:9" ht="15" customHeight="1">
      <c r="A49" s="282" t="s">
        <v>406</v>
      </c>
      <c r="B49" s="283" t="s">
        <v>61</v>
      </c>
      <c r="C49" s="284">
        <v>46234</v>
      </c>
      <c r="D49" s="560"/>
      <c r="E49" s="467"/>
      <c r="F49" s="560"/>
      <c r="G49" s="467"/>
      <c r="H49" s="285">
        <v>0</v>
      </c>
    </row>
    <row r="50" spans="1:9" ht="15" customHeight="1">
      <c r="A50" s="196"/>
      <c r="B50" s="91"/>
      <c r="C50" s="91"/>
      <c r="D50" s="91"/>
      <c r="E50" s="91"/>
      <c r="F50" s="506" t="s">
        <v>41</v>
      </c>
      <c r="G50" s="412"/>
      <c r="H50" s="146">
        <f>SUM(H19:H49)</f>
        <v>241.86999999999998</v>
      </c>
      <c r="I50" s="91"/>
    </row>
    <row r="51" spans="1:9" ht="15" customHeight="1">
      <c r="A51" s="91"/>
      <c r="B51" s="91"/>
      <c r="C51" s="91"/>
      <c r="D51" s="91"/>
      <c r="E51" s="91"/>
      <c r="F51" s="197"/>
      <c r="G51" s="144"/>
      <c r="H51" s="198"/>
      <c r="I51" s="91"/>
    </row>
    <row r="52" spans="1:9" ht="15" customHeight="1">
      <c r="A52" s="477" t="s">
        <v>226</v>
      </c>
      <c r="B52" s="411"/>
      <c r="C52" s="411"/>
      <c r="D52" s="412"/>
      <c r="E52" s="523" t="s">
        <v>173</v>
      </c>
      <c r="F52" s="411"/>
      <c r="G52" s="411"/>
      <c r="H52" s="412"/>
    </row>
    <row r="53" spans="1:9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9" ht="14.25" customHeight="1">
      <c r="A54" s="234">
        <v>46227</v>
      </c>
      <c r="B54" s="559" t="s">
        <v>228</v>
      </c>
      <c r="C54" s="437"/>
      <c r="D54" s="286">
        <v>100000</v>
      </c>
      <c r="E54" s="202">
        <v>46223</v>
      </c>
      <c r="F54" s="500" t="s">
        <v>407</v>
      </c>
      <c r="G54" s="437"/>
      <c r="H54" s="223">
        <v>105450</v>
      </c>
    </row>
    <row r="55" spans="1:9" ht="14.25" customHeight="1">
      <c r="A55" s="224"/>
      <c r="B55" s="533"/>
      <c r="C55" s="467"/>
      <c r="D55" s="247"/>
      <c r="E55" s="224"/>
      <c r="F55" s="482"/>
      <c r="G55" s="467"/>
      <c r="H55" s="287"/>
    </row>
    <row r="56" spans="1:9" ht="14.25" customHeight="1">
      <c r="A56" s="514" t="s">
        <v>81</v>
      </c>
      <c r="B56" s="469"/>
      <c r="C56" s="515"/>
      <c r="D56" s="208">
        <f>SUM(D54:D55)</f>
        <v>100000</v>
      </c>
      <c r="E56" s="507" t="s">
        <v>229</v>
      </c>
      <c r="F56" s="469"/>
      <c r="G56" s="470"/>
      <c r="H56" s="156">
        <f>+H54</f>
        <v>105450</v>
      </c>
    </row>
    <row r="57" spans="1:9" ht="14.25" customHeight="1">
      <c r="D57" s="91"/>
      <c r="E57" s="472" t="s">
        <v>178</v>
      </c>
      <c r="F57" s="411"/>
      <c r="G57" s="412"/>
      <c r="H57" s="209">
        <v>0</v>
      </c>
    </row>
    <row r="58" spans="1:9" ht="14.25" customHeight="1">
      <c r="A58" s="516" t="s">
        <v>230</v>
      </c>
      <c r="B58" s="517"/>
      <c r="C58" s="517"/>
      <c r="D58" s="518"/>
    </row>
    <row r="59" spans="1:9" ht="14.25" customHeight="1">
      <c r="A59" s="519" t="s">
        <v>231</v>
      </c>
      <c r="B59" s="447"/>
      <c r="C59" s="437"/>
      <c r="D59" s="210" t="s">
        <v>232</v>
      </c>
    </row>
    <row r="60" spans="1:9" ht="14.25" customHeight="1">
      <c r="A60" s="512" t="s">
        <v>233</v>
      </c>
      <c r="B60" s="404"/>
      <c r="C60" s="405"/>
      <c r="D60" s="211">
        <v>-396.88</v>
      </c>
    </row>
    <row r="61" spans="1:9" ht="14.25" customHeight="1">
      <c r="A61" s="512" t="s">
        <v>234</v>
      </c>
      <c r="B61" s="404"/>
      <c r="C61" s="405"/>
      <c r="D61" s="211">
        <v>0</v>
      </c>
    </row>
    <row r="62" spans="1:9" ht="14.25" customHeight="1">
      <c r="A62" s="512" t="s">
        <v>235</v>
      </c>
      <c r="B62" s="404"/>
      <c r="C62" s="405"/>
      <c r="D62" s="211">
        <v>0</v>
      </c>
    </row>
    <row r="63" spans="1:9" ht="14.25" customHeight="1">
      <c r="A63" s="512" t="s">
        <v>236</v>
      </c>
      <c r="B63" s="404"/>
      <c r="C63" s="405"/>
      <c r="D63" s="211">
        <v>0</v>
      </c>
    </row>
    <row r="64" spans="1:9" ht="14.25" customHeight="1">
      <c r="A64" s="512" t="s">
        <v>237</v>
      </c>
      <c r="B64" s="404"/>
      <c r="C64" s="405"/>
      <c r="D64" s="211"/>
    </row>
    <row r="65" spans="1:4" ht="14.25" customHeight="1">
      <c r="A65" s="512" t="s">
        <v>238</v>
      </c>
      <c r="B65" s="404"/>
      <c r="C65" s="405"/>
      <c r="D65" s="211"/>
    </row>
    <row r="66" spans="1:4" ht="14.25" customHeight="1">
      <c r="A66" s="512" t="s">
        <v>239</v>
      </c>
      <c r="B66" s="404"/>
      <c r="C66" s="405"/>
      <c r="D66" s="211"/>
    </row>
    <row r="67" spans="1:4" ht="14.25" customHeight="1">
      <c r="A67" s="512" t="s">
        <v>45</v>
      </c>
      <c r="B67" s="404"/>
      <c r="C67" s="405"/>
      <c r="D67" s="211"/>
    </row>
    <row r="68" spans="1:4" ht="14.25" customHeight="1">
      <c r="A68" s="512" t="s">
        <v>98</v>
      </c>
      <c r="B68" s="404"/>
      <c r="C68" s="405"/>
      <c r="D68" s="211"/>
    </row>
    <row r="69" spans="1:4" ht="14.25" customHeight="1">
      <c r="A69" s="512" t="s">
        <v>100</v>
      </c>
      <c r="B69" s="404"/>
      <c r="C69" s="405"/>
      <c r="D69" s="211"/>
    </row>
    <row r="70" spans="1:4" ht="14.25" customHeight="1">
      <c r="A70" s="512" t="s">
        <v>104</v>
      </c>
      <c r="B70" s="404"/>
      <c r="C70" s="405"/>
      <c r="D70" s="211"/>
    </row>
    <row r="71" spans="1:4" ht="14.25" customHeight="1">
      <c r="A71" s="512" t="s">
        <v>106</v>
      </c>
      <c r="B71" s="404"/>
      <c r="C71" s="405"/>
      <c r="D71" s="211"/>
    </row>
    <row r="72" spans="1:4" ht="14.25" customHeight="1">
      <c r="A72" s="513" t="s">
        <v>113</v>
      </c>
      <c r="B72" s="504"/>
      <c r="C72" s="467"/>
      <c r="D72" s="212"/>
    </row>
    <row r="73" spans="1:4" ht="14.25" customHeight="1">
      <c r="A73" s="511" t="s">
        <v>81</v>
      </c>
      <c r="B73" s="411"/>
      <c r="C73" s="480"/>
      <c r="D73" s="213">
        <f>SUM(D60:D72)</f>
        <v>-396.88</v>
      </c>
    </row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</sheetData>
  <mergeCells count="132">
    <mergeCell ref="A59:C59"/>
    <mergeCell ref="A60:C60"/>
    <mergeCell ref="A56:C56"/>
    <mergeCell ref="E56:G56"/>
    <mergeCell ref="A61:C61"/>
    <mergeCell ref="A62:C62"/>
    <mergeCell ref="F54:G54"/>
    <mergeCell ref="F55:G55"/>
    <mergeCell ref="D40:E40"/>
    <mergeCell ref="F40:G40"/>
    <mergeCell ref="F53:G53"/>
    <mergeCell ref="B54:C54"/>
    <mergeCell ref="A52:D52"/>
    <mergeCell ref="E52:H52"/>
    <mergeCell ref="B55:C55"/>
    <mergeCell ref="B53:C53"/>
    <mergeCell ref="D45:E45"/>
    <mergeCell ref="F45:G45"/>
    <mergeCell ref="F50:G50"/>
    <mergeCell ref="D48:E48"/>
    <mergeCell ref="F48:G48"/>
    <mergeCell ref="D49:E49"/>
    <mergeCell ref="F49:G49"/>
    <mergeCell ref="D47:E47"/>
    <mergeCell ref="A67:C67"/>
    <mergeCell ref="A68:C68"/>
    <mergeCell ref="A69:C69"/>
    <mergeCell ref="A70:C70"/>
    <mergeCell ref="A71:C71"/>
    <mergeCell ref="A72:C72"/>
    <mergeCell ref="A73:C73"/>
    <mergeCell ref="A63:C63"/>
    <mergeCell ref="A64:C64"/>
    <mergeCell ref="F47:G47"/>
    <mergeCell ref="D46:E46"/>
    <mergeCell ref="F46:G46"/>
    <mergeCell ref="A65:C65"/>
    <mergeCell ref="A66:C66"/>
    <mergeCell ref="E57:G57"/>
    <mergeCell ref="A58:D58"/>
    <mergeCell ref="F44:G44"/>
    <mergeCell ref="I5:J5"/>
    <mergeCell ref="D42:E42"/>
    <mergeCell ref="F42:G42"/>
    <mergeCell ref="D43:E43"/>
    <mergeCell ref="F43:G43"/>
    <mergeCell ref="D33:E33"/>
    <mergeCell ref="F33:G33"/>
    <mergeCell ref="D34:E34"/>
    <mergeCell ref="F34:G34"/>
    <mergeCell ref="A17:F17"/>
    <mergeCell ref="D26:E26"/>
    <mergeCell ref="D23:E23"/>
    <mergeCell ref="D24:E24"/>
    <mergeCell ref="D25:E25"/>
    <mergeCell ref="F26:G26"/>
    <mergeCell ref="D27:E27"/>
    <mergeCell ref="K5:L5"/>
    <mergeCell ref="B6:C6"/>
    <mergeCell ref="F6:G6"/>
    <mergeCell ref="A7:B7"/>
    <mergeCell ref="G9:H9"/>
    <mergeCell ref="D44:E44"/>
    <mergeCell ref="D29:E29"/>
    <mergeCell ref="F29:G29"/>
    <mergeCell ref="D30:E30"/>
    <mergeCell ref="F30:G30"/>
    <mergeCell ref="D31:E31"/>
    <mergeCell ref="F31:G31"/>
    <mergeCell ref="D38:E38"/>
    <mergeCell ref="F38:G38"/>
    <mergeCell ref="D39:E39"/>
    <mergeCell ref="F39:G39"/>
    <mergeCell ref="D35:E35"/>
    <mergeCell ref="F35:G35"/>
    <mergeCell ref="D36:E36"/>
    <mergeCell ref="F36:G36"/>
    <mergeCell ref="D37:E37"/>
    <mergeCell ref="F37:G37"/>
    <mergeCell ref="D41:E41"/>
    <mergeCell ref="F41:G41"/>
    <mergeCell ref="F27:G27"/>
    <mergeCell ref="D28:E28"/>
    <mergeCell ref="F28:G28"/>
    <mergeCell ref="F23:G23"/>
    <mergeCell ref="F24:G24"/>
    <mergeCell ref="F25:G25"/>
    <mergeCell ref="D32:E32"/>
    <mergeCell ref="F32:G32"/>
    <mergeCell ref="D21:E21"/>
    <mergeCell ref="F21:G21"/>
    <mergeCell ref="D22:E22"/>
    <mergeCell ref="F22:G22"/>
    <mergeCell ref="A15:B15"/>
    <mergeCell ref="C15:D15"/>
    <mergeCell ref="E15:H15"/>
    <mergeCell ref="A16:B16"/>
    <mergeCell ref="C16:D16"/>
    <mergeCell ref="E16:H16"/>
    <mergeCell ref="A13:B14"/>
    <mergeCell ref="F13:G13"/>
    <mergeCell ref="C13:D13"/>
    <mergeCell ref="C14:E14"/>
    <mergeCell ref="C12:D12"/>
    <mergeCell ref="E12:F12"/>
    <mergeCell ref="G12:H12"/>
    <mergeCell ref="E10:F10"/>
    <mergeCell ref="G10:H10"/>
    <mergeCell ref="E7:F7"/>
    <mergeCell ref="G7:H7"/>
    <mergeCell ref="F14:H14"/>
    <mergeCell ref="D20:E20"/>
    <mergeCell ref="F20:G20"/>
    <mergeCell ref="G17:H17"/>
    <mergeCell ref="D18:E18"/>
    <mergeCell ref="F18:G18"/>
    <mergeCell ref="D19:E19"/>
    <mergeCell ref="F19:G19"/>
    <mergeCell ref="A8:B8"/>
    <mergeCell ref="C8:D8"/>
    <mergeCell ref="E8:F8"/>
    <mergeCell ref="G8:H8"/>
    <mergeCell ref="A1:H4"/>
    <mergeCell ref="A5:E5"/>
    <mergeCell ref="F5:G5"/>
    <mergeCell ref="C11:D11"/>
    <mergeCell ref="E11:F11"/>
    <mergeCell ref="C9:D9"/>
    <mergeCell ref="E9:F9"/>
    <mergeCell ref="C7:D7"/>
    <mergeCell ref="C10:D10"/>
    <mergeCell ref="G11:H11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5B5"/>
    <pageSetUpPr fitToPage="1"/>
  </sheetPr>
  <dimension ref="A1:L274"/>
  <sheetViews>
    <sheetView workbookViewId="0">
      <selection sqref="A1:H4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250">
        <f>+A8+C8+E8+G8+B10+C10+G12+C14+F14</f>
        <v>1684333.0632688005</v>
      </c>
      <c r="I5" s="431" t="s">
        <v>86</v>
      </c>
      <c r="J5" s="430"/>
      <c r="K5" s="429" t="str">
        <f>+B6</f>
        <v>MILTON DIAZ</v>
      </c>
      <c r="L5" s="430"/>
    </row>
    <row r="6" spans="1:12" ht="24.75" customHeight="1">
      <c r="A6" s="159" t="s">
        <v>179</v>
      </c>
      <c r="B6" s="526" t="s">
        <v>408</v>
      </c>
      <c r="C6" s="480"/>
      <c r="D6" s="160" t="s">
        <v>181</v>
      </c>
      <c r="E6" s="226"/>
      <c r="F6" s="525" t="s">
        <v>89</v>
      </c>
      <c r="G6" s="428"/>
      <c r="H6" s="278">
        <v>2</v>
      </c>
      <c r="I6" s="99" t="s">
        <v>45</v>
      </c>
      <c r="J6" s="100">
        <v>1114523.07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1114523.0681400001</v>
      </c>
    </row>
    <row r="8" spans="1:12" ht="24.75" customHeight="1">
      <c r="A8" s="491">
        <f>951770.34*17.1%+951770.34</f>
        <v>1114523.0681400001</v>
      </c>
      <c r="B8" s="405"/>
      <c r="C8" s="492">
        <f>+L21</f>
        <v>60011.689039999997</v>
      </c>
      <c r="D8" s="405"/>
      <c r="E8" s="422">
        <f>+L23</f>
        <v>60011.689039999997</v>
      </c>
      <c r="F8" s="405"/>
      <c r="G8" s="422">
        <f>+L25</f>
        <v>138169.66248</v>
      </c>
      <c r="H8" s="406"/>
      <c r="I8" s="99" t="s">
        <v>100</v>
      </c>
      <c r="J8" s="100"/>
      <c r="K8" t="s">
        <v>184</v>
      </c>
      <c r="L8" s="105">
        <f>+C8</f>
        <v>60011.689039999997</v>
      </c>
    </row>
    <row r="9" spans="1:12" ht="24.75" customHeight="1">
      <c r="A9" s="166" t="s">
        <v>111</v>
      </c>
      <c r="B9" s="167">
        <v>2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60011.689039999997</v>
      </c>
    </row>
    <row r="10" spans="1:12" ht="24.75" customHeight="1">
      <c r="A10" s="168">
        <v>45292</v>
      </c>
      <c r="B10" s="130">
        <f>+L28</f>
        <v>23420</v>
      </c>
      <c r="C10" s="422">
        <v>40000</v>
      </c>
      <c r="D10" s="405"/>
      <c r="E10" s="422">
        <f>+D57+H57</f>
        <v>100000</v>
      </c>
      <c r="F10" s="405"/>
      <c r="G10" s="483" t="s">
        <v>290</v>
      </c>
      <c r="H10" s="406"/>
      <c r="I10" s="99" t="s">
        <v>106</v>
      </c>
      <c r="J10" s="100"/>
      <c r="K10" t="s">
        <v>105</v>
      </c>
      <c r="L10" s="105">
        <f>+G8</f>
        <v>138169.66248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23420</v>
      </c>
    </row>
    <row r="12" spans="1:12" ht="24.75" customHeight="1">
      <c r="A12" s="171">
        <v>220</v>
      </c>
      <c r="B12" s="172">
        <f>+H50</f>
        <v>243.76000000000002</v>
      </c>
      <c r="C12" s="498">
        <f>+B12-A12</f>
        <v>23.760000000000019</v>
      </c>
      <c r="D12" s="405"/>
      <c r="E12" s="422">
        <f>3840.53*17.1%+3840.53</f>
        <v>4497.2606300000007</v>
      </c>
      <c r="F12" s="405"/>
      <c r="G12" s="422">
        <f>+C12*E12</f>
        <v>106854.91256880011</v>
      </c>
      <c r="H12" s="406"/>
      <c r="I12" s="99" t="s">
        <v>81</v>
      </c>
      <c r="J12" s="100">
        <f>SUM(J6:J11)</f>
        <v>1114523.07</v>
      </c>
      <c r="K12" s="91" t="s">
        <v>115</v>
      </c>
      <c r="L12" s="105">
        <f>+C10</f>
        <v>40000</v>
      </c>
    </row>
    <row r="13" spans="1:12" ht="24.75" customHeight="1">
      <c r="A13" s="557" t="s">
        <v>371</v>
      </c>
      <c r="B13" s="433"/>
      <c r="C13" s="453" t="s">
        <v>320</v>
      </c>
      <c r="D13" s="405"/>
      <c r="E13" s="279">
        <f>+EVENTOS!H18</f>
        <v>2</v>
      </c>
      <c r="F13" s="453" t="s">
        <v>372</v>
      </c>
      <c r="G13" s="405"/>
      <c r="H13" s="259">
        <v>1</v>
      </c>
      <c r="I13" s="99" t="s">
        <v>121</v>
      </c>
      <c r="J13" s="100">
        <f>+J12/6</f>
        <v>185753.845</v>
      </c>
      <c r="K13" t="s">
        <v>191</v>
      </c>
      <c r="L13" s="105">
        <f>+G12</f>
        <v>106854.91256880011</v>
      </c>
    </row>
    <row r="14" spans="1:12" ht="24.75" customHeight="1">
      <c r="A14" s="397"/>
      <c r="B14" s="558"/>
      <c r="C14" s="422">
        <f>+L36*E13</f>
        <v>128131.7568</v>
      </c>
      <c r="D14" s="404"/>
      <c r="E14" s="405"/>
      <c r="F14" s="422">
        <f>+L38*H13</f>
        <v>13210.2852</v>
      </c>
      <c r="G14" s="404"/>
      <c r="H14" s="406"/>
      <c r="I14" s="99" t="s">
        <v>86</v>
      </c>
      <c r="J14" s="115">
        <f>+J13/2</f>
        <v>92876.922500000001</v>
      </c>
      <c r="K14" s="91" t="s">
        <v>321</v>
      </c>
      <c r="L14" s="105">
        <f>+C14</f>
        <v>128131.7568</v>
      </c>
    </row>
    <row r="15" spans="1:12" ht="24.75" customHeight="1">
      <c r="A15" s="490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s="91" t="s">
        <v>373</v>
      </c>
      <c r="L15" s="105">
        <f>+F14</f>
        <v>13210.2852</v>
      </c>
    </row>
    <row r="16" spans="1:12" ht="24.75" customHeight="1">
      <c r="A16" s="528">
        <v>46143</v>
      </c>
      <c r="B16" s="467"/>
      <c r="C16" s="482" t="s">
        <v>125</v>
      </c>
      <c r="D16" s="467"/>
      <c r="E16" s="554" t="s">
        <v>374</v>
      </c>
      <c r="F16" s="555"/>
      <c r="G16" s="555"/>
      <c r="H16" s="556"/>
      <c r="I16" s="91"/>
      <c r="K16" s="112" t="s">
        <v>122</v>
      </c>
      <c r="L16" s="113">
        <f>SUM(L7:L15)</f>
        <v>1684333.0632688005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1584333.0632688005</v>
      </c>
      <c r="H17" s="412"/>
      <c r="K17" t="s">
        <v>126</v>
      </c>
      <c r="L17" s="105">
        <f>+E10</f>
        <v>100000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508" t="s">
        <v>130</v>
      </c>
      <c r="E18" s="509"/>
      <c r="F18" s="508" t="s">
        <v>131</v>
      </c>
      <c r="G18" s="509"/>
      <c r="H18" s="175" t="s">
        <v>261</v>
      </c>
      <c r="I18" s="280"/>
      <c r="K18" s="119" t="s">
        <v>133</v>
      </c>
      <c r="L18" s="120">
        <f>+L16-L17</f>
        <v>1584333.0632688005</v>
      </c>
    </row>
    <row r="19" spans="1:12" ht="15" customHeight="1">
      <c r="A19" s="176" t="s">
        <v>134</v>
      </c>
      <c r="B19" s="177" t="s">
        <v>58</v>
      </c>
      <c r="C19" s="178">
        <v>46204</v>
      </c>
      <c r="D19" s="510" t="s">
        <v>384</v>
      </c>
      <c r="E19" s="437"/>
      <c r="F19" s="510" t="s">
        <v>166</v>
      </c>
      <c r="G19" s="437"/>
      <c r="H19" s="179">
        <v>8.83</v>
      </c>
    </row>
    <row r="20" spans="1:12" ht="15" customHeight="1">
      <c r="A20" s="180" t="s">
        <v>134</v>
      </c>
      <c r="B20" s="51" t="s">
        <v>60</v>
      </c>
      <c r="C20" s="52">
        <v>46205</v>
      </c>
      <c r="D20" s="495" t="s">
        <v>167</v>
      </c>
      <c r="E20" s="405"/>
      <c r="F20" s="495" t="s">
        <v>166</v>
      </c>
      <c r="G20" s="405"/>
      <c r="H20" s="181">
        <v>8.92</v>
      </c>
      <c r="K20" s="127" t="s">
        <v>196</v>
      </c>
      <c r="L20" s="128"/>
    </row>
    <row r="21" spans="1:12" ht="15" customHeight="1">
      <c r="A21" s="180" t="s">
        <v>134</v>
      </c>
      <c r="B21" s="51" t="s">
        <v>61</v>
      </c>
      <c r="C21" s="52">
        <v>46206</v>
      </c>
      <c r="D21" s="495" t="s">
        <v>163</v>
      </c>
      <c r="E21" s="405"/>
      <c r="F21" s="495" t="s">
        <v>409</v>
      </c>
      <c r="G21" s="405"/>
      <c r="H21" s="181">
        <v>8.2799999999999994</v>
      </c>
      <c r="K21" s="129" t="s">
        <v>140</v>
      </c>
      <c r="L21" s="130">
        <f>51248.24*17.1%+51248.24</f>
        <v>60011.689039999997</v>
      </c>
    </row>
    <row r="22" spans="1:12" ht="15" customHeight="1">
      <c r="A22" s="288" t="s">
        <v>134</v>
      </c>
      <c r="B22" s="289" t="s">
        <v>62</v>
      </c>
      <c r="C22" s="290">
        <v>46207</v>
      </c>
      <c r="D22" s="561" t="s">
        <v>167</v>
      </c>
      <c r="E22" s="405"/>
      <c r="F22" s="561" t="s">
        <v>377</v>
      </c>
      <c r="G22" s="405"/>
      <c r="H22" s="291">
        <v>11.42</v>
      </c>
      <c r="I22" s="281" t="s">
        <v>410</v>
      </c>
      <c r="K22" s="127" t="s">
        <v>137</v>
      </c>
      <c r="L22" s="128"/>
    </row>
    <row r="23" spans="1:12" ht="15" customHeight="1">
      <c r="A23" s="182" t="s">
        <v>67</v>
      </c>
      <c r="B23" s="65" t="s">
        <v>63</v>
      </c>
      <c r="C23" s="66">
        <v>46208</v>
      </c>
      <c r="D23" s="497"/>
      <c r="E23" s="405"/>
      <c r="F23" s="497"/>
      <c r="G23" s="405"/>
      <c r="H23" s="183">
        <v>0</v>
      </c>
      <c r="K23" s="129" t="s">
        <v>140</v>
      </c>
      <c r="L23" s="130">
        <f>51248.24*17.1%+51248.24</f>
        <v>60011.689039999997</v>
      </c>
    </row>
    <row r="24" spans="1:12" ht="15" customHeight="1">
      <c r="A24" s="184" t="s">
        <v>59</v>
      </c>
      <c r="B24" s="185" t="s">
        <v>64</v>
      </c>
      <c r="C24" s="125">
        <v>46209</v>
      </c>
      <c r="D24" s="458"/>
      <c r="E24" s="405"/>
      <c r="F24" s="458"/>
      <c r="G24" s="405"/>
      <c r="H24" s="126">
        <v>8</v>
      </c>
      <c r="K24" s="127" t="s">
        <v>109</v>
      </c>
      <c r="L24" s="128"/>
    </row>
    <row r="25" spans="1:12" ht="15" customHeight="1">
      <c r="A25" s="184" t="s">
        <v>59</v>
      </c>
      <c r="B25" s="185" t="s">
        <v>66</v>
      </c>
      <c r="C25" s="125">
        <v>46210</v>
      </c>
      <c r="D25" s="458"/>
      <c r="E25" s="405"/>
      <c r="F25" s="458"/>
      <c r="G25" s="405"/>
      <c r="H25" s="126">
        <v>8</v>
      </c>
      <c r="K25" s="129" t="s">
        <v>140</v>
      </c>
      <c r="L25" s="130">
        <f>117992.88*17.1%+117992.88</f>
        <v>138169.66248</v>
      </c>
    </row>
    <row r="26" spans="1:12" ht="15" customHeight="1">
      <c r="A26" s="184" t="s">
        <v>59</v>
      </c>
      <c r="B26" s="185" t="s">
        <v>68</v>
      </c>
      <c r="C26" s="125">
        <v>46211</v>
      </c>
      <c r="D26" s="458"/>
      <c r="E26" s="405"/>
      <c r="F26" s="458"/>
      <c r="G26" s="405"/>
      <c r="H26" s="126">
        <v>8</v>
      </c>
      <c r="K26" s="135" t="s">
        <v>111</v>
      </c>
      <c r="L26" s="91"/>
    </row>
    <row r="27" spans="1:12" ht="15" customHeight="1">
      <c r="A27" s="184" t="s">
        <v>59</v>
      </c>
      <c r="B27" s="185" t="s">
        <v>60</v>
      </c>
      <c r="C27" s="125">
        <v>46212</v>
      </c>
      <c r="D27" s="458"/>
      <c r="E27" s="405"/>
      <c r="F27" s="458"/>
      <c r="G27" s="405"/>
      <c r="H27" s="126">
        <v>8</v>
      </c>
      <c r="J27" s="91"/>
      <c r="K27" s="129" t="s">
        <v>149</v>
      </c>
      <c r="L27" s="130">
        <f>12500*17.1%+12500</f>
        <v>14637.5</v>
      </c>
    </row>
    <row r="28" spans="1:12" ht="15" customHeight="1">
      <c r="A28" s="184" t="s">
        <v>59</v>
      </c>
      <c r="B28" s="185" t="s">
        <v>61</v>
      </c>
      <c r="C28" s="125">
        <v>46213</v>
      </c>
      <c r="D28" s="458"/>
      <c r="E28" s="405"/>
      <c r="F28" s="458"/>
      <c r="G28" s="405"/>
      <c r="H28" s="126">
        <v>8</v>
      </c>
      <c r="J28" s="91"/>
      <c r="K28" s="129" t="s">
        <v>152</v>
      </c>
      <c r="L28" s="130">
        <f>20000*17.1%+20000</f>
        <v>23420</v>
      </c>
    </row>
    <row r="29" spans="1:12" ht="15" customHeight="1">
      <c r="A29" s="288" t="s">
        <v>59</v>
      </c>
      <c r="B29" s="289" t="s">
        <v>62</v>
      </c>
      <c r="C29" s="290">
        <v>46214</v>
      </c>
      <c r="D29" s="562"/>
      <c r="E29" s="405"/>
      <c r="F29" s="562"/>
      <c r="G29" s="405"/>
      <c r="H29" s="291">
        <v>8</v>
      </c>
      <c r="K29" s="129" t="s">
        <v>153</v>
      </c>
      <c r="L29" s="130">
        <f>27500*17.1%+27500</f>
        <v>32202.5</v>
      </c>
    </row>
    <row r="30" spans="1:12" ht="15" customHeight="1">
      <c r="A30" s="288" t="s">
        <v>59</v>
      </c>
      <c r="B30" s="289" t="s">
        <v>63</v>
      </c>
      <c r="C30" s="290">
        <v>46215</v>
      </c>
      <c r="D30" s="562"/>
      <c r="E30" s="405"/>
      <c r="F30" s="562"/>
      <c r="G30" s="405"/>
      <c r="H30" s="291">
        <v>8</v>
      </c>
      <c r="K30" s="129" t="s">
        <v>154</v>
      </c>
      <c r="L30" s="130">
        <f>35000*17.1%+35000</f>
        <v>40985</v>
      </c>
    </row>
    <row r="31" spans="1:12" ht="15" customHeight="1">
      <c r="A31" s="184" t="s">
        <v>134</v>
      </c>
      <c r="B31" s="185" t="s">
        <v>64</v>
      </c>
      <c r="C31" s="125">
        <v>46216</v>
      </c>
      <c r="D31" s="455" t="s">
        <v>167</v>
      </c>
      <c r="E31" s="405"/>
      <c r="F31" s="455" t="s">
        <v>411</v>
      </c>
      <c r="G31" s="405"/>
      <c r="H31" s="126">
        <v>8.9700000000000006</v>
      </c>
      <c r="K31" s="129" t="s">
        <v>155</v>
      </c>
      <c r="L31" s="130">
        <f>42500*17.1%+42500</f>
        <v>49767.5</v>
      </c>
    </row>
    <row r="32" spans="1:12" ht="15" customHeight="1">
      <c r="A32" s="180" t="s">
        <v>134</v>
      </c>
      <c r="B32" s="51" t="s">
        <v>66</v>
      </c>
      <c r="C32" s="52">
        <v>46217</v>
      </c>
      <c r="D32" s="495" t="s">
        <v>197</v>
      </c>
      <c r="E32" s="405"/>
      <c r="F32" s="495" t="s">
        <v>136</v>
      </c>
      <c r="G32" s="405"/>
      <c r="H32" s="181">
        <v>8.98</v>
      </c>
      <c r="K32" s="129" t="s">
        <v>156</v>
      </c>
      <c r="L32" s="130">
        <f>63750*17.1%+63750</f>
        <v>74651.25</v>
      </c>
    </row>
    <row r="33" spans="1:12" ht="15" customHeight="1">
      <c r="A33" s="221" t="s">
        <v>67</v>
      </c>
      <c r="B33" s="222" t="s">
        <v>68</v>
      </c>
      <c r="C33" s="137">
        <v>46218</v>
      </c>
      <c r="D33" s="457"/>
      <c r="E33" s="405"/>
      <c r="F33" s="457"/>
      <c r="G33" s="405"/>
      <c r="H33" s="138">
        <v>0</v>
      </c>
      <c r="K33" s="129" t="s">
        <v>157</v>
      </c>
      <c r="L33" s="130">
        <f>127500*17.1%+127500</f>
        <v>149302.5</v>
      </c>
    </row>
    <row r="34" spans="1:12" ht="15" customHeight="1">
      <c r="A34" s="180" t="s">
        <v>134</v>
      </c>
      <c r="B34" s="51" t="s">
        <v>60</v>
      </c>
      <c r="C34" s="52">
        <v>46219</v>
      </c>
      <c r="D34" s="495" t="s">
        <v>201</v>
      </c>
      <c r="E34" s="405"/>
      <c r="F34" s="495" t="s">
        <v>164</v>
      </c>
      <c r="G34" s="405"/>
      <c r="H34" s="181">
        <v>9.25</v>
      </c>
      <c r="K34" s="129" t="s">
        <v>158</v>
      </c>
      <c r="L34" s="130">
        <f>200000*17.1%+200000</f>
        <v>234200</v>
      </c>
    </row>
    <row r="35" spans="1:12" ht="15" customHeight="1">
      <c r="A35" s="180" t="s">
        <v>134</v>
      </c>
      <c r="B35" s="51" t="s">
        <v>61</v>
      </c>
      <c r="C35" s="52">
        <v>46220</v>
      </c>
      <c r="D35" s="495" t="s">
        <v>197</v>
      </c>
      <c r="E35" s="405"/>
      <c r="F35" s="495" t="s">
        <v>222</v>
      </c>
      <c r="G35" s="405"/>
      <c r="H35" s="181">
        <v>10.029999999999999</v>
      </c>
      <c r="K35" s="228" t="s">
        <v>309</v>
      </c>
      <c r="L35" s="229"/>
    </row>
    <row r="36" spans="1:12" ht="15" customHeight="1">
      <c r="A36" s="288" t="s">
        <v>347</v>
      </c>
      <c r="B36" s="289" t="s">
        <v>62</v>
      </c>
      <c r="C36" s="290">
        <v>46221</v>
      </c>
      <c r="D36" s="561" t="s">
        <v>412</v>
      </c>
      <c r="E36" s="405"/>
      <c r="F36" s="561" t="s">
        <v>351</v>
      </c>
      <c r="G36" s="405"/>
      <c r="H36" s="291">
        <v>8.08</v>
      </c>
      <c r="I36" t="s">
        <v>413</v>
      </c>
      <c r="K36" s="129" t="s">
        <v>263</v>
      </c>
      <c r="L36" s="130">
        <f>54710.4*17.1%+54710.4</f>
        <v>64065.878400000001</v>
      </c>
    </row>
    <row r="37" spans="1:12" ht="15" customHeight="1">
      <c r="A37" s="288" t="s">
        <v>353</v>
      </c>
      <c r="B37" s="289" t="s">
        <v>63</v>
      </c>
      <c r="C37" s="290">
        <v>46222</v>
      </c>
      <c r="D37" s="561" t="s">
        <v>350</v>
      </c>
      <c r="E37" s="405"/>
      <c r="F37" s="561" t="s">
        <v>414</v>
      </c>
      <c r="G37" s="405"/>
      <c r="H37" s="291">
        <v>7</v>
      </c>
      <c r="I37" t="s">
        <v>74</v>
      </c>
      <c r="K37" s="228" t="s">
        <v>372</v>
      </c>
      <c r="L37" s="229"/>
    </row>
    <row r="38" spans="1:12" ht="15" customHeight="1">
      <c r="A38" s="180" t="s">
        <v>353</v>
      </c>
      <c r="B38" s="51" t="s">
        <v>64</v>
      </c>
      <c r="C38" s="52">
        <v>46223</v>
      </c>
      <c r="D38" s="495" t="s">
        <v>350</v>
      </c>
      <c r="E38" s="405"/>
      <c r="F38" s="495" t="s">
        <v>356</v>
      </c>
      <c r="G38" s="405"/>
      <c r="H38" s="181">
        <v>14</v>
      </c>
      <c r="I38" t="s">
        <v>74</v>
      </c>
      <c r="K38" s="129" t="s">
        <v>263</v>
      </c>
      <c r="L38" s="130">
        <f>11281.2*17.1%+11281.2</f>
        <v>13210.2852</v>
      </c>
    </row>
    <row r="39" spans="1:12" ht="15" customHeight="1">
      <c r="A39" s="180" t="s">
        <v>332</v>
      </c>
      <c r="B39" s="51" t="s">
        <v>66</v>
      </c>
      <c r="C39" s="52">
        <v>46224</v>
      </c>
      <c r="D39" s="495" t="s">
        <v>335</v>
      </c>
      <c r="E39" s="405"/>
      <c r="F39" s="495" t="s">
        <v>356</v>
      </c>
      <c r="G39" s="405"/>
      <c r="H39" s="181">
        <v>13</v>
      </c>
      <c r="I39" t="s">
        <v>74</v>
      </c>
    </row>
    <row r="40" spans="1:12" ht="15" customHeight="1">
      <c r="A40" s="261" t="s">
        <v>332</v>
      </c>
      <c r="B40" s="51" t="s">
        <v>68</v>
      </c>
      <c r="C40" s="52">
        <v>46225</v>
      </c>
      <c r="D40" s="495" t="s">
        <v>335</v>
      </c>
      <c r="E40" s="405"/>
      <c r="F40" s="495" t="s">
        <v>159</v>
      </c>
      <c r="G40" s="405"/>
      <c r="H40" s="181">
        <v>11</v>
      </c>
      <c r="I40" t="s">
        <v>74</v>
      </c>
    </row>
    <row r="41" spans="1:12" ht="15" customHeight="1">
      <c r="A41" s="261" t="s">
        <v>332</v>
      </c>
      <c r="B41" s="51" t="s">
        <v>60</v>
      </c>
      <c r="C41" s="52">
        <v>46226</v>
      </c>
      <c r="D41" s="495" t="s">
        <v>335</v>
      </c>
      <c r="E41" s="405"/>
      <c r="F41" s="495" t="s">
        <v>159</v>
      </c>
      <c r="G41" s="405"/>
      <c r="H41" s="181">
        <v>11</v>
      </c>
      <c r="I41" t="s">
        <v>74</v>
      </c>
    </row>
    <row r="42" spans="1:12" ht="15" customHeight="1">
      <c r="A42" s="261" t="s">
        <v>332</v>
      </c>
      <c r="B42" s="51" t="s">
        <v>61</v>
      </c>
      <c r="C42" s="52">
        <v>46227</v>
      </c>
      <c r="D42" s="495" t="s">
        <v>335</v>
      </c>
      <c r="E42" s="405"/>
      <c r="F42" s="495" t="s">
        <v>159</v>
      </c>
      <c r="G42" s="405"/>
      <c r="H42" s="181">
        <v>11</v>
      </c>
      <c r="I42" t="s">
        <v>74</v>
      </c>
    </row>
    <row r="43" spans="1:12" ht="15" customHeight="1">
      <c r="A43" s="292" t="s">
        <v>353</v>
      </c>
      <c r="B43" s="289" t="s">
        <v>62</v>
      </c>
      <c r="C43" s="290">
        <v>46228</v>
      </c>
      <c r="D43" s="561" t="s">
        <v>350</v>
      </c>
      <c r="E43" s="405"/>
      <c r="F43" s="561" t="s">
        <v>415</v>
      </c>
      <c r="G43" s="405"/>
      <c r="H43" s="291">
        <v>9</v>
      </c>
      <c r="I43" t="s">
        <v>416</v>
      </c>
    </row>
    <row r="44" spans="1:12" ht="15" customHeight="1">
      <c r="A44" s="292" t="s">
        <v>134</v>
      </c>
      <c r="B44" s="289" t="s">
        <v>63</v>
      </c>
      <c r="C44" s="290">
        <v>46229</v>
      </c>
      <c r="D44" s="561" t="s">
        <v>350</v>
      </c>
      <c r="E44" s="405"/>
      <c r="F44" s="561" t="s">
        <v>361</v>
      </c>
      <c r="G44" s="405"/>
      <c r="H44" s="291">
        <v>12.5</v>
      </c>
      <c r="I44" t="s">
        <v>74</v>
      </c>
    </row>
    <row r="45" spans="1:12" ht="15" customHeight="1">
      <c r="A45" s="261" t="s">
        <v>332</v>
      </c>
      <c r="B45" s="51" t="s">
        <v>64</v>
      </c>
      <c r="C45" s="52">
        <v>46230</v>
      </c>
      <c r="D45" s="495" t="s">
        <v>335</v>
      </c>
      <c r="E45" s="405"/>
      <c r="F45" s="495" t="s">
        <v>159</v>
      </c>
      <c r="G45" s="405"/>
      <c r="H45" s="181">
        <v>11</v>
      </c>
      <c r="I45" t="s">
        <v>74</v>
      </c>
    </row>
    <row r="46" spans="1:12" ht="15" customHeight="1">
      <c r="A46" s="261" t="s">
        <v>332</v>
      </c>
      <c r="B46" s="51" t="s">
        <v>66</v>
      </c>
      <c r="C46" s="52">
        <v>46231</v>
      </c>
      <c r="D46" s="495" t="s">
        <v>335</v>
      </c>
      <c r="E46" s="405"/>
      <c r="F46" s="495" t="s">
        <v>417</v>
      </c>
      <c r="G46" s="405"/>
      <c r="H46" s="181">
        <v>5.5</v>
      </c>
      <c r="I46" t="s">
        <v>418</v>
      </c>
    </row>
    <row r="47" spans="1:12" ht="15" customHeight="1">
      <c r="A47" s="136" t="s">
        <v>406</v>
      </c>
      <c r="B47" s="222" t="s">
        <v>68</v>
      </c>
      <c r="C47" s="137">
        <v>46232</v>
      </c>
      <c r="D47" s="457"/>
      <c r="E47" s="405"/>
      <c r="F47" s="457"/>
      <c r="G47" s="405"/>
      <c r="H47" s="138">
        <v>0</v>
      </c>
    </row>
    <row r="48" spans="1:12" ht="15" customHeight="1">
      <c r="A48" s="136" t="s">
        <v>406</v>
      </c>
      <c r="B48" s="222" t="s">
        <v>60</v>
      </c>
      <c r="C48" s="137">
        <v>46233</v>
      </c>
      <c r="D48" s="457"/>
      <c r="E48" s="405"/>
      <c r="F48" s="457"/>
      <c r="G48" s="405"/>
      <c r="H48" s="138">
        <v>0</v>
      </c>
    </row>
    <row r="49" spans="1:9" ht="15" customHeight="1">
      <c r="A49" s="293" t="s">
        <v>406</v>
      </c>
      <c r="B49" s="283" t="s">
        <v>61</v>
      </c>
      <c r="C49" s="284">
        <v>46234</v>
      </c>
      <c r="D49" s="560"/>
      <c r="E49" s="467"/>
      <c r="F49" s="560"/>
      <c r="G49" s="467"/>
      <c r="H49" s="285">
        <v>0</v>
      </c>
    </row>
    <row r="50" spans="1:9" ht="15" customHeight="1">
      <c r="A50" s="196"/>
      <c r="B50" s="91"/>
      <c r="C50" s="91"/>
      <c r="D50" s="91"/>
      <c r="E50" s="91"/>
      <c r="F50" s="506" t="s">
        <v>41</v>
      </c>
      <c r="G50" s="412"/>
      <c r="H50" s="146">
        <f>SUM(H19:H49)</f>
        <v>243.76000000000002</v>
      </c>
    </row>
    <row r="51" spans="1:9" ht="15" customHeight="1">
      <c r="A51" s="91"/>
      <c r="B51" s="91"/>
      <c r="C51" s="91"/>
      <c r="D51" s="91"/>
      <c r="E51" s="91"/>
      <c r="F51" s="197"/>
      <c r="G51" s="144"/>
      <c r="H51" s="198"/>
      <c r="I51" s="91"/>
    </row>
    <row r="52" spans="1:9" ht="15" customHeight="1">
      <c r="A52" s="477" t="s">
        <v>226</v>
      </c>
      <c r="B52" s="411"/>
      <c r="C52" s="411"/>
      <c r="D52" s="412"/>
      <c r="E52" s="523" t="s">
        <v>173</v>
      </c>
      <c r="F52" s="411"/>
      <c r="G52" s="411"/>
      <c r="H52" s="412"/>
    </row>
    <row r="53" spans="1:9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9" ht="14.25" customHeight="1">
      <c r="A54" s="202">
        <v>46227</v>
      </c>
      <c r="B54" s="500" t="s">
        <v>228</v>
      </c>
      <c r="C54" s="437"/>
      <c r="D54" s="223">
        <v>100000</v>
      </c>
      <c r="E54" s="202"/>
      <c r="F54" s="500"/>
      <c r="G54" s="437"/>
      <c r="H54" s="294"/>
    </row>
    <row r="55" spans="1:9" ht="14.25" customHeight="1">
      <c r="A55" s="295"/>
      <c r="B55" s="499"/>
      <c r="C55" s="405"/>
      <c r="D55" s="296"/>
      <c r="E55" s="295"/>
      <c r="F55" s="499"/>
      <c r="G55" s="405"/>
      <c r="H55" s="297"/>
    </row>
    <row r="56" spans="1:9" ht="14.25" customHeight="1">
      <c r="A56" s="224"/>
      <c r="B56" s="482"/>
      <c r="C56" s="467"/>
      <c r="D56" s="298"/>
      <c r="E56" s="224"/>
      <c r="F56" s="482"/>
      <c r="G56" s="467"/>
      <c r="H56" s="225"/>
    </row>
    <row r="57" spans="1:9" ht="14.25" customHeight="1">
      <c r="A57" s="514" t="s">
        <v>81</v>
      </c>
      <c r="B57" s="469"/>
      <c r="C57" s="515"/>
      <c r="D57" s="208">
        <f>SUM(D54:D56)</f>
        <v>100000</v>
      </c>
      <c r="E57" s="507" t="s">
        <v>229</v>
      </c>
      <c r="F57" s="469"/>
      <c r="G57" s="470"/>
      <c r="H57" s="208">
        <f>+H56</f>
        <v>0</v>
      </c>
    </row>
    <row r="58" spans="1:9" ht="14.25" customHeight="1">
      <c r="D58" s="91"/>
      <c r="E58" s="472" t="s">
        <v>178</v>
      </c>
      <c r="F58" s="411"/>
      <c r="G58" s="412"/>
      <c r="H58" s="209">
        <v>0</v>
      </c>
    </row>
    <row r="59" spans="1:9" ht="14.25" customHeight="1">
      <c r="A59" s="516" t="s">
        <v>230</v>
      </c>
      <c r="B59" s="517"/>
      <c r="C59" s="517"/>
      <c r="D59" s="518"/>
    </row>
    <row r="60" spans="1:9" ht="14.25" customHeight="1">
      <c r="A60" s="519" t="s">
        <v>231</v>
      </c>
      <c r="B60" s="447"/>
      <c r="C60" s="437"/>
      <c r="D60" s="210" t="s">
        <v>232</v>
      </c>
    </row>
    <row r="61" spans="1:9" ht="14.25" customHeight="1">
      <c r="A61" s="512" t="s">
        <v>233</v>
      </c>
      <c r="B61" s="404"/>
      <c r="C61" s="405"/>
      <c r="D61" s="211">
        <v>-396.88</v>
      </c>
    </row>
    <row r="62" spans="1:9" ht="14.25" customHeight="1">
      <c r="A62" s="512" t="s">
        <v>234</v>
      </c>
      <c r="B62" s="404"/>
      <c r="C62" s="405"/>
      <c r="D62" s="211">
        <v>0</v>
      </c>
    </row>
    <row r="63" spans="1:9" ht="14.25" customHeight="1">
      <c r="A63" s="512" t="s">
        <v>235</v>
      </c>
      <c r="B63" s="404"/>
      <c r="C63" s="405"/>
      <c r="D63" s="211">
        <v>0</v>
      </c>
    </row>
    <row r="64" spans="1:9" ht="14.25" customHeight="1">
      <c r="A64" s="512" t="s">
        <v>236</v>
      </c>
      <c r="B64" s="404"/>
      <c r="C64" s="405"/>
      <c r="D64" s="211">
        <v>0</v>
      </c>
    </row>
    <row r="65" spans="1:4" ht="14.25" customHeight="1">
      <c r="A65" s="512" t="s">
        <v>237</v>
      </c>
      <c r="B65" s="404"/>
      <c r="C65" s="405"/>
      <c r="D65" s="211"/>
    </row>
    <row r="66" spans="1:4" ht="14.25" customHeight="1">
      <c r="A66" s="512" t="s">
        <v>238</v>
      </c>
      <c r="B66" s="404"/>
      <c r="C66" s="405"/>
      <c r="D66" s="211"/>
    </row>
    <row r="67" spans="1:4" ht="14.25" customHeight="1">
      <c r="A67" s="512" t="s">
        <v>239</v>
      </c>
      <c r="B67" s="404"/>
      <c r="C67" s="405"/>
      <c r="D67" s="211"/>
    </row>
    <row r="68" spans="1:4" ht="14.25" customHeight="1">
      <c r="A68" s="512" t="s">
        <v>45</v>
      </c>
      <c r="B68" s="404"/>
      <c r="C68" s="405"/>
      <c r="D68" s="211"/>
    </row>
    <row r="69" spans="1:4" ht="14.25" customHeight="1">
      <c r="A69" s="512" t="s">
        <v>98</v>
      </c>
      <c r="B69" s="404"/>
      <c r="C69" s="405"/>
      <c r="D69" s="211"/>
    </row>
    <row r="70" spans="1:4" ht="14.25" customHeight="1">
      <c r="A70" s="512" t="s">
        <v>100</v>
      </c>
      <c r="B70" s="404"/>
      <c r="C70" s="405"/>
      <c r="D70" s="211"/>
    </row>
    <row r="71" spans="1:4" ht="14.25" customHeight="1">
      <c r="A71" s="512" t="s">
        <v>104</v>
      </c>
      <c r="B71" s="404"/>
      <c r="C71" s="405"/>
      <c r="D71" s="211"/>
    </row>
    <row r="72" spans="1:4" ht="14.25" customHeight="1">
      <c r="A72" s="512" t="s">
        <v>106</v>
      </c>
      <c r="B72" s="404"/>
      <c r="C72" s="405"/>
      <c r="D72" s="211"/>
    </row>
    <row r="73" spans="1:4" ht="14.25" customHeight="1">
      <c r="A73" s="513" t="s">
        <v>113</v>
      </c>
      <c r="B73" s="504"/>
      <c r="C73" s="467"/>
      <c r="D73" s="212"/>
    </row>
    <row r="74" spans="1:4" ht="14.25" customHeight="1">
      <c r="A74" s="511" t="s">
        <v>81</v>
      </c>
      <c r="B74" s="411"/>
      <c r="C74" s="480"/>
      <c r="D74" s="213">
        <f>SUM(D61:D73)</f>
        <v>-396.88</v>
      </c>
    </row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</sheetData>
  <mergeCells count="134">
    <mergeCell ref="F56:G56"/>
    <mergeCell ref="F37:G37"/>
    <mergeCell ref="A52:D52"/>
    <mergeCell ref="E52:H52"/>
    <mergeCell ref="B53:C53"/>
    <mergeCell ref="F53:G53"/>
    <mergeCell ref="F54:G54"/>
    <mergeCell ref="F55:G55"/>
    <mergeCell ref="F50:G50"/>
    <mergeCell ref="B56:C56"/>
    <mergeCell ref="B54:C54"/>
    <mergeCell ref="B55:C55"/>
    <mergeCell ref="D49:E49"/>
    <mergeCell ref="D44:E44"/>
    <mergeCell ref="D43:E43"/>
    <mergeCell ref="F44:G44"/>
    <mergeCell ref="D45:E45"/>
    <mergeCell ref="F45:G45"/>
    <mergeCell ref="D46:E46"/>
    <mergeCell ref="F46:G46"/>
    <mergeCell ref="D48:E48"/>
    <mergeCell ref="F48:G48"/>
    <mergeCell ref="D47:E47"/>
    <mergeCell ref="F47:G47"/>
    <mergeCell ref="A74:C74"/>
    <mergeCell ref="A68:C68"/>
    <mergeCell ref="A69:C69"/>
    <mergeCell ref="A70:C70"/>
    <mergeCell ref="A71:C71"/>
    <mergeCell ref="A72:C72"/>
    <mergeCell ref="A73:C73"/>
    <mergeCell ref="A67:C67"/>
    <mergeCell ref="E57:G57"/>
    <mergeCell ref="E58:G58"/>
    <mergeCell ref="A60:C60"/>
    <mergeCell ref="A61:C61"/>
    <mergeCell ref="A62:C62"/>
    <mergeCell ref="A63:C63"/>
    <mergeCell ref="A64:C64"/>
    <mergeCell ref="A65:C65"/>
    <mergeCell ref="A66:C66"/>
    <mergeCell ref="A57:C57"/>
    <mergeCell ref="A59:D59"/>
    <mergeCell ref="I5:J5"/>
    <mergeCell ref="K5:L5"/>
    <mergeCell ref="F6:G6"/>
    <mergeCell ref="F5:G5"/>
    <mergeCell ref="F42:G42"/>
    <mergeCell ref="F43:G43"/>
    <mergeCell ref="F49:G49"/>
    <mergeCell ref="D38:E38"/>
    <mergeCell ref="F38:G38"/>
    <mergeCell ref="D39:E39"/>
    <mergeCell ref="F39:G39"/>
    <mergeCell ref="D34:E34"/>
    <mergeCell ref="F34:G34"/>
    <mergeCell ref="D35:E35"/>
    <mergeCell ref="F35:G35"/>
    <mergeCell ref="D36:E36"/>
    <mergeCell ref="F36:G36"/>
    <mergeCell ref="D40:E40"/>
    <mergeCell ref="F40:G40"/>
    <mergeCell ref="D41:E41"/>
    <mergeCell ref="F41:G41"/>
    <mergeCell ref="D37:E37"/>
    <mergeCell ref="D42:E42"/>
    <mergeCell ref="G17:H17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6:E26"/>
    <mergeCell ref="F26:G26"/>
    <mergeCell ref="D27:E27"/>
    <mergeCell ref="F27:G27"/>
    <mergeCell ref="D22:E22"/>
    <mergeCell ref="F22:G22"/>
    <mergeCell ref="D23:E23"/>
    <mergeCell ref="F23:G23"/>
    <mergeCell ref="D24:E24"/>
    <mergeCell ref="F24:G24"/>
    <mergeCell ref="D19:E19"/>
    <mergeCell ref="F19:G19"/>
    <mergeCell ref="D20:E20"/>
    <mergeCell ref="F20:G20"/>
    <mergeCell ref="D21:E21"/>
    <mergeCell ref="F21:G21"/>
    <mergeCell ref="D18:E18"/>
    <mergeCell ref="F18:G18"/>
    <mergeCell ref="D25:E25"/>
    <mergeCell ref="F25:G25"/>
    <mergeCell ref="A17:F17"/>
    <mergeCell ref="A1:H4"/>
    <mergeCell ref="A5:E5"/>
    <mergeCell ref="C9:D9"/>
    <mergeCell ref="E9:F9"/>
    <mergeCell ref="A7:B7"/>
    <mergeCell ref="C7:D7"/>
    <mergeCell ref="E7:F7"/>
    <mergeCell ref="C8:D8"/>
    <mergeCell ref="E8:F8"/>
    <mergeCell ref="B6:C6"/>
    <mergeCell ref="C11:D11"/>
    <mergeCell ref="C12:D12"/>
    <mergeCell ref="C10:D10"/>
    <mergeCell ref="G9:H9"/>
    <mergeCell ref="G7:H7"/>
    <mergeCell ref="G8:H8"/>
    <mergeCell ref="E11:F11"/>
    <mergeCell ref="G11:H11"/>
    <mergeCell ref="E12:F12"/>
    <mergeCell ref="G12:H12"/>
    <mergeCell ref="E10:F10"/>
    <mergeCell ref="G10:H10"/>
    <mergeCell ref="E16:H16"/>
    <mergeCell ref="A8:B8"/>
    <mergeCell ref="A13:B14"/>
    <mergeCell ref="A15:B15"/>
    <mergeCell ref="A16:B16"/>
    <mergeCell ref="C13:D13"/>
    <mergeCell ref="F13:G13"/>
    <mergeCell ref="C14:E14"/>
    <mergeCell ref="F14:H14"/>
    <mergeCell ref="C15:D15"/>
    <mergeCell ref="E15:H15"/>
    <mergeCell ref="C16:D16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5"/>
    <pageSetUpPr fitToPage="1"/>
  </sheetPr>
  <dimension ref="A1:L274"/>
  <sheetViews>
    <sheetView workbookViewId="0">
      <selection activeCell="I27" sqref="I27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250">
        <f>+A8+C8+E8+G8+B10+C10+G12+C14+F14</f>
        <v>1630567.93157</v>
      </c>
      <c r="I5" s="431" t="s">
        <v>86</v>
      </c>
      <c r="J5" s="430"/>
      <c r="K5" s="429" t="str">
        <f>+B6</f>
        <v>FABRIZIO SOSA</v>
      </c>
      <c r="L5" s="430"/>
    </row>
    <row r="6" spans="1:12" ht="24.75" customHeight="1">
      <c r="A6" s="159" t="s">
        <v>179</v>
      </c>
      <c r="B6" s="526" t="s">
        <v>419</v>
      </c>
      <c r="C6" s="480"/>
      <c r="D6" s="160" t="s">
        <v>181</v>
      </c>
      <c r="E6" s="226"/>
      <c r="F6" s="525" t="s">
        <v>89</v>
      </c>
      <c r="G6" s="428"/>
      <c r="H6" s="278">
        <v>2</v>
      </c>
      <c r="I6" s="99" t="s">
        <v>45</v>
      </c>
      <c r="J6" s="100">
        <v>1183837.6299999999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1183837.62616</v>
      </c>
    </row>
    <row r="8" spans="1:12" ht="24.75" customHeight="1">
      <c r="A8" s="491">
        <f>1010962.96*17.1%+1010962.96</f>
        <v>1183837.62616</v>
      </c>
      <c r="B8" s="405"/>
      <c r="C8" s="547">
        <v>0</v>
      </c>
      <c r="D8" s="548"/>
      <c r="E8" s="422">
        <f>+L23</f>
        <v>76937.791440000001</v>
      </c>
      <c r="F8" s="405"/>
      <c r="G8" s="539">
        <v>0</v>
      </c>
      <c r="H8" s="540"/>
      <c r="I8" s="99" t="s">
        <v>100</v>
      </c>
      <c r="J8" s="100"/>
      <c r="K8" t="s">
        <v>184</v>
      </c>
      <c r="L8" s="105">
        <f>+C8</f>
        <v>0</v>
      </c>
    </row>
    <row r="9" spans="1:12" ht="24.75" customHeight="1">
      <c r="A9" s="166" t="s">
        <v>111</v>
      </c>
      <c r="B9" s="167">
        <v>2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76937.791440000001</v>
      </c>
    </row>
    <row r="10" spans="1:12" ht="24.75" customHeight="1">
      <c r="A10" s="168">
        <v>45292</v>
      </c>
      <c r="B10" s="130">
        <f>+L28</f>
        <v>23420</v>
      </c>
      <c r="C10" s="422">
        <v>0</v>
      </c>
      <c r="D10" s="405"/>
      <c r="E10" s="422">
        <f>+D57+H57</f>
        <v>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23420</v>
      </c>
    </row>
    <row r="12" spans="1:12" ht="24.75" customHeight="1">
      <c r="A12" s="171">
        <v>220</v>
      </c>
      <c r="B12" s="172">
        <f>+H50</f>
        <v>262.25</v>
      </c>
      <c r="C12" s="498">
        <f>+B12-A12</f>
        <v>42.25</v>
      </c>
      <c r="D12" s="405"/>
      <c r="E12" s="422">
        <f>3712.52*17.1%+3712.52</f>
        <v>4347.3609200000001</v>
      </c>
      <c r="F12" s="405"/>
      <c r="G12" s="422">
        <f>+C12*E12</f>
        <v>183675.99887000001</v>
      </c>
      <c r="H12" s="406"/>
      <c r="I12" s="99" t="s">
        <v>81</v>
      </c>
      <c r="J12" s="100">
        <f>SUM(J6:J11)</f>
        <v>1183837.6299999999</v>
      </c>
      <c r="K12" s="91" t="s">
        <v>115</v>
      </c>
      <c r="L12" s="105">
        <f>+C10</f>
        <v>0</v>
      </c>
    </row>
    <row r="13" spans="1:12" ht="24.75" customHeight="1">
      <c r="A13" s="557" t="s">
        <v>371</v>
      </c>
      <c r="B13" s="433"/>
      <c r="C13" s="453" t="s">
        <v>420</v>
      </c>
      <c r="D13" s="405"/>
      <c r="E13" s="279">
        <f>+EVENTOS!I18</f>
        <v>3</v>
      </c>
      <c r="F13" s="453" t="s">
        <v>372</v>
      </c>
      <c r="G13" s="405"/>
      <c r="H13" s="259">
        <v>1</v>
      </c>
      <c r="I13" s="99" t="s">
        <v>121</v>
      </c>
      <c r="J13" s="100">
        <f>+J12/6</f>
        <v>197306.27166666664</v>
      </c>
      <c r="K13" t="s">
        <v>191</v>
      </c>
      <c r="L13" s="105">
        <f>+G12</f>
        <v>183675.99887000001</v>
      </c>
    </row>
    <row r="14" spans="1:12" ht="24.75" customHeight="1">
      <c r="A14" s="397"/>
      <c r="B14" s="558"/>
      <c r="C14" s="422">
        <f>+L36*E13</f>
        <v>149507.13225</v>
      </c>
      <c r="D14" s="404"/>
      <c r="E14" s="405"/>
      <c r="F14" s="422">
        <f>+L38*H13</f>
        <v>13189.38285</v>
      </c>
      <c r="G14" s="404"/>
      <c r="H14" s="406"/>
      <c r="I14" s="99" t="s">
        <v>86</v>
      </c>
      <c r="J14" s="115">
        <f>+J13/2</f>
        <v>98653.135833333319</v>
      </c>
      <c r="K14" s="91" t="s">
        <v>421</v>
      </c>
      <c r="L14" s="105">
        <f>+C14</f>
        <v>149507.13225</v>
      </c>
    </row>
    <row r="15" spans="1:12" ht="24.75" customHeight="1">
      <c r="A15" s="490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s="91" t="s">
        <v>373</v>
      </c>
      <c r="L15" s="105">
        <f>+F14</f>
        <v>13189.38285</v>
      </c>
    </row>
    <row r="16" spans="1:12" ht="24.75" customHeight="1">
      <c r="A16" s="528">
        <v>46143</v>
      </c>
      <c r="B16" s="467"/>
      <c r="C16" s="482" t="s">
        <v>125</v>
      </c>
      <c r="D16" s="467"/>
      <c r="E16" s="554" t="s">
        <v>422</v>
      </c>
      <c r="F16" s="555"/>
      <c r="G16" s="555"/>
      <c r="H16" s="556"/>
      <c r="I16" s="91"/>
      <c r="K16" s="112" t="s">
        <v>122</v>
      </c>
      <c r="L16" s="113">
        <f>SUM(L7:L15)</f>
        <v>1630567.93157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1630567.93157</v>
      </c>
      <c r="H17" s="412"/>
      <c r="K17" t="s">
        <v>126</v>
      </c>
      <c r="L17" s="105">
        <f>+E10</f>
        <v>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508" t="s">
        <v>130</v>
      </c>
      <c r="E18" s="509"/>
      <c r="F18" s="508" t="s">
        <v>131</v>
      </c>
      <c r="G18" s="509"/>
      <c r="H18" s="175" t="s">
        <v>261</v>
      </c>
      <c r="K18" s="119" t="s">
        <v>133</v>
      </c>
      <c r="L18" s="120">
        <f>+L16-L17</f>
        <v>1630567.93157</v>
      </c>
    </row>
    <row r="19" spans="1:12" ht="15" customHeight="1">
      <c r="A19" s="255" t="s">
        <v>134</v>
      </c>
      <c r="B19" s="217" t="s">
        <v>58</v>
      </c>
      <c r="C19" s="218">
        <v>46204</v>
      </c>
      <c r="D19" s="537" t="s">
        <v>308</v>
      </c>
      <c r="E19" s="437"/>
      <c r="F19" s="537" t="s">
        <v>136</v>
      </c>
      <c r="G19" s="437"/>
      <c r="H19" s="219">
        <v>8.6999999999999993</v>
      </c>
    </row>
    <row r="20" spans="1:12" ht="15" customHeight="1">
      <c r="A20" s="230" t="s">
        <v>134</v>
      </c>
      <c r="B20" s="185" t="s">
        <v>60</v>
      </c>
      <c r="C20" s="125">
        <v>46205</v>
      </c>
      <c r="D20" s="455" t="s">
        <v>423</v>
      </c>
      <c r="E20" s="405"/>
      <c r="F20" s="455" t="s">
        <v>136</v>
      </c>
      <c r="G20" s="405"/>
      <c r="H20" s="126">
        <v>8.68</v>
      </c>
      <c r="K20" s="127" t="s">
        <v>196</v>
      </c>
      <c r="L20" s="128"/>
    </row>
    <row r="21" spans="1:12" ht="15" customHeight="1">
      <c r="A21" s="230" t="s">
        <v>134</v>
      </c>
      <c r="B21" s="185" t="s">
        <v>61</v>
      </c>
      <c r="C21" s="125">
        <v>46206</v>
      </c>
      <c r="D21" s="455" t="s">
        <v>424</v>
      </c>
      <c r="E21" s="405"/>
      <c r="F21" s="455" t="s">
        <v>220</v>
      </c>
      <c r="G21" s="405"/>
      <c r="H21" s="126">
        <v>8.0299999999999994</v>
      </c>
      <c r="K21" s="129" t="s">
        <v>140</v>
      </c>
      <c r="L21" s="130">
        <f>42096.77*17.1%+42096.77</f>
        <v>49295.317669999997</v>
      </c>
    </row>
    <row r="22" spans="1:12" ht="15" customHeight="1">
      <c r="A22" s="190" t="s">
        <v>134</v>
      </c>
      <c r="B22" s="191" t="s">
        <v>62</v>
      </c>
      <c r="C22" s="132">
        <v>46207</v>
      </c>
      <c r="D22" s="536" t="s">
        <v>150</v>
      </c>
      <c r="E22" s="405"/>
      <c r="F22" s="536" t="s">
        <v>425</v>
      </c>
      <c r="G22" s="405"/>
      <c r="H22" s="133">
        <v>11.42</v>
      </c>
      <c r="I22" s="299" t="s">
        <v>410</v>
      </c>
      <c r="K22" s="127" t="s">
        <v>137</v>
      </c>
      <c r="L22" s="128"/>
    </row>
    <row r="23" spans="1:12" ht="15" customHeight="1">
      <c r="A23" s="190" t="s">
        <v>67</v>
      </c>
      <c r="B23" s="191" t="s">
        <v>63</v>
      </c>
      <c r="C23" s="132">
        <v>46208</v>
      </c>
      <c r="D23" s="456"/>
      <c r="E23" s="405"/>
      <c r="F23" s="456"/>
      <c r="G23" s="405"/>
      <c r="H23" s="133">
        <v>0</v>
      </c>
      <c r="K23" s="129" t="s">
        <v>140</v>
      </c>
      <c r="L23" s="130">
        <f>65702.64*17.1%+65702.64</f>
        <v>76937.791440000001</v>
      </c>
    </row>
    <row r="24" spans="1:12" ht="15" customHeight="1">
      <c r="A24" s="184" t="s">
        <v>59</v>
      </c>
      <c r="B24" s="185" t="s">
        <v>64</v>
      </c>
      <c r="C24" s="125">
        <v>46209</v>
      </c>
      <c r="D24" s="458"/>
      <c r="E24" s="405"/>
      <c r="F24" s="458"/>
      <c r="G24" s="405"/>
      <c r="H24" s="126">
        <v>8</v>
      </c>
      <c r="K24" s="127" t="s">
        <v>109</v>
      </c>
      <c r="L24" s="128"/>
    </row>
    <row r="25" spans="1:12" ht="15" customHeight="1">
      <c r="A25" s="184" t="s">
        <v>59</v>
      </c>
      <c r="B25" s="185" t="s">
        <v>66</v>
      </c>
      <c r="C25" s="125">
        <v>46210</v>
      </c>
      <c r="D25" s="458"/>
      <c r="E25" s="405"/>
      <c r="F25" s="458"/>
      <c r="G25" s="405"/>
      <c r="H25" s="126">
        <v>8</v>
      </c>
      <c r="K25" s="129" t="s">
        <v>140</v>
      </c>
      <c r="L25" s="130">
        <f>117992.88*17.1%+117992.88</f>
        <v>138169.66248</v>
      </c>
    </row>
    <row r="26" spans="1:12" ht="15" customHeight="1">
      <c r="A26" s="184" t="s">
        <v>59</v>
      </c>
      <c r="B26" s="185" t="s">
        <v>68</v>
      </c>
      <c r="C26" s="125">
        <v>46211</v>
      </c>
      <c r="D26" s="458"/>
      <c r="E26" s="405"/>
      <c r="F26" s="458"/>
      <c r="G26" s="405"/>
      <c r="H26" s="126">
        <v>8</v>
      </c>
      <c r="K26" s="135" t="s">
        <v>111</v>
      </c>
      <c r="L26" s="91"/>
    </row>
    <row r="27" spans="1:12" ht="15" customHeight="1">
      <c r="A27" s="184" t="s">
        <v>59</v>
      </c>
      <c r="B27" s="185" t="s">
        <v>60</v>
      </c>
      <c r="C27" s="125">
        <v>46212</v>
      </c>
      <c r="D27" s="458"/>
      <c r="E27" s="405"/>
      <c r="F27" s="458"/>
      <c r="G27" s="405"/>
      <c r="H27" s="126">
        <v>8</v>
      </c>
      <c r="J27" s="91"/>
      <c r="K27" s="129" t="s">
        <v>149</v>
      </c>
      <c r="L27" s="130">
        <f>12500*17.1%+12500</f>
        <v>14637.5</v>
      </c>
    </row>
    <row r="28" spans="1:12" ht="15" customHeight="1">
      <c r="A28" s="184" t="s">
        <v>59</v>
      </c>
      <c r="B28" s="185" t="s">
        <v>61</v>
      </c>
      <c r="C28" s="125">
        <v>46213</v>
      </c>
      <c r="D28" s="458"/>
      <c r="E28" s="405"/>
      <c r="F28" s="458"/>
      <c r="G28" s="405"/>
      <c r="H28" s="126">
        <v>8</v>
      </c>
      <c r="J28" s="91"/>
      <c r="K28" s="129" t="s">
        <v>152</v>
      </c>
      <c r="L28" s="130">
        <f>20000*17.1%+20000</f>
        <v>23420</v>
      </c>
    </row>
    <row r="29" spans="1:12" ht="15" customHeight="1">
      <c r="A29" s="190" t="s">
        <v>59</v>
      </c>
      <c r="B29" s="191" t="s">
        <v>62</v>
      </c>
      <c r="C29" s="132">
        <v>46214</v>
      </c>
      <c r="D29" s="456"/>
      <c r="E29" s="405"/>
      <c r="F29" s="456"/>
      <c r="G29" s="405"/>
      <c r="H29" s="133">
        <v>8</v>
      </c>
      <c r="K29" s="129" t="s">
        <v>153</v>
      </c>
      <c r="L29" s="130">
        <f>27500*17.1%+27500</f>
        <v>32202.5</v>
      </c>
    </row>
    <row r="30" spans="1:12" ht="15" customHeight="1">
      <c r="A30" s="190" t="s">
        <v>59</v>
      </c>
      <c r="B30" s="191" t="s">
        <v>63</v>
      </c>
      <c r="C30" s="132">
        <v>46215</v>
      </c>
      <c r="D30" s="456"/>
      <c r="E30" s="405"/>
      <c r="F30" s="456"/>
      <c r="G30" s="405"/>
      <c r="H30" s="133">
        <v>8</v>
      </c>
      <c r="K30" s="129" t="s">
        <v>154</v>
      </c>
      <c r="L30" s="130">
        <f>35000*17.1%+35000</f>
        <v>40985</v>
      </c>
    </row>
    <row r="31" spans="1:12" ht="15" customHeight="1">
      <c r="A31" s="221" t="s">
        <v>67</v>
      </c>
      <c r="B31" s="222" t="s">
        <v>64</v>
      </c>
      <c r="C31" s="137">
        <v>46216</v>
      </c>
      <c r="D31" s="457"/>
      <c r="E31" s="405"/>
      <c r="F31" s="457"/>
      <c r="G31" s="405"/>
      <c r="H31" s="138">
        <v>0</v>
      </c>
      <c r="K31" s="129" t="s">
        <v>155</v>
      </c>
      <c r="L31" s="130">
        <f>42500*17.1%+42500</f>
        <v>49767.5</v>
      </c>
    </row>
    <row r="32" spans="1:12" ht="15" customHeight="1">
      <c r="A32" s="221" t="s">
        <v>67</v>
      </c>
      <c r="B32" s="222" t="s">
        <v>66</v>
      </c>
      <c r="C32" s="137">
        <v>46217</v>
      </c>
      <c r="D32" s="457"/>
      <c r="E32" s="405"/>
      <c r="F32" s="457"/>
      <c r="G32" s="405"/>
      <c r="H32" s="138">
        <v>0</v>
      </c>
      <c r="K32" s="129" t="s">
        <v>156</v>
      </c>
      <c r="L32" s="130">
        <f>63750*17.1%+63750</f>
        <v>74651.25</v>
      </c>
    </row>
    <row r="33" spans="1:12" ht="15" customHeight="1">
      <c r="A33" s="221" t="s">
        <v>67</v>
      </c>
      <c r="B33" s="222" t="s">
        <v>68</v>
      </c>
      <c r="C33" s="137">
        <v>46218</v>
      </c>
      <c r="D33" s="457"/>
      <c r="E33" s="405"/>
      <c r="F33" s="457"/>
      <c r="G33" s="405"/>
      <c r="H33" s="138">
        <v>0</v>
      </c>
      <c r="K33" s="129" t="s">
        <v>157</v>
      </c>
      <c r="L33" s="130">
        <f>127500*17.1%+127500</f>
        <v>149302.5</v>
      </c>
    </row>
    <row r="34" spans="1:12" ht="15" customHeight="1">
      <c r="A34" s="180" t="s">
        <v>134</v>
      </c>
      <c r="B34" s="185" t="s">
        <v>60</v>
      </c>
      <c r="C34" s="125">
        <v>46219</v>
      </c>
      <c r="D34" s="455" t="s">
        <v>201</v>
      </c>
      <c r="E34" s="405"/>
      <c r="F34" s="455" t="s">
        <v>164</v>
      </c>
      <c r="G34" s="405"/>
      <c r="H34" s="126">
        <v>9.25</v>
      </c>
      <c r="K34" s="129" t="s">
        <v>158</v>
      </c>
      <c r="L34" s="130">
        <f>200000*17.1%+200000</f>
        <v>234200</v>
      </c>
    </row>
    <row r="35" spans="1:12" ht="15" customHeight="1">
      <c r="A35" s="180" t="s">
        <v>134</v>
      </c>
      <c r="B35" s="185" t="s">
        <v>61</v>
      </c>
      <c r="C35" s="125">
        <v>46220</v>
      </c>
      <c r="D35" s="455" t="s">
        <v>224</v>
      </c>
      <c r="E35" s="405"/>
      <c r="F35" s="455" t="s">
        <v>426</v>
      </c>
      <c r="G35" s="405"/>
      <c r="H35" s="126">
        <v>10.28</v>
      </c>
      <c r="K35" s="228" t="s">
        <v>420</v>
      </c>
      <c r="L35" s="229"/>
    </row>
    <row r="36" spans="1:12" ht="15" customHeight="1">
      <c r="A36" s="190" t="s">
        <v>134</v>
      </c>
      <c r="B36" s="191" t="s">
        <v>62</v>
      </c>
      <c r="C36" s="132">
        <v>46221</v>
      </c>
      <c r="D36" s="536" t="s">
        <v>165</v>
      </c>
      <c r="E36" s="405"/>
      <c r="F36" s="536" t="s">
        <v>427</v>
      </c>
      <c r="G36" s="405"/>
      <c r="H36" s="133">
        <v>8.73</v>
      </c>
      <c r="K36" s="129" t="s">
        <v>263</v>
      </c>
      <c r="L36" s="130">
        <f>42558.25*17.1%+42558.25</f>
        <v>49835.710749999998</v>
      </c>
    </row>
    <row r="37" spans="1:12" ht="15" customHeight="1">
      <c r="A37" s="190" t="s">
        <v>134</v>
      </c>
      <c r="B37" s="191" t="s">
        <v>63</v>
      </c>
      <c r="C37" s="132">
        <v>46222</v>
      </c>
      <c r="D37" s="536" t="s">
        <v>162</v>
      </c>
      <c r="E37" s="405"/>
      <c r="F37" s="536" t="s">
        <v>428</v>
      </c>
      <c r="G37" s="405"/>
      <c r="H37" s="133">
        <v>4.33</v>
      </c>
      <c r="K37" s="228" t="s">
        <v>372</v>
      </c>
      <c r="L37" s="229"/>
    </row>
    <row r="38" spans="1:12" ht="15" customHeight="1">
      <c r="A38" s="180" t="s">
        <v>134</v>
      </c>
      <c r="B38" s="185" t="s">
        <v>64</v>
      </c>
      <c r="C38" s="125">
        <v>46223</v>
      </c>
      <c r="D38" s="455" t="s">
        <v>165</v>
      </c>
      <c r="E38" s="405"/>
      <c r="F38" s="455" t="s">
        <v>429</v>
      </c>
      <c r="G38" s="405"/>
      <c r="H38" s="126">
        <v>9.9700000000000006</v>
      </c>
      <c r="K38" s="129" t="s">
        <v>263</v>
      </c>
      <c r="L38" s="130">
        <f>11263.35*17.1%+11263.35</f>
        <v>13189.38285</v>
      </c>
    </row>
    <row r="39" spans="1:12" ht="15" customHeight="1">
      <c r="A39" s="180" t="s">
        <v>134</v>
      </c>
      <c r="B39" s="185" t="s">
        <v>66</v>
      </c>
      <c r="C39" s="125">
        <v>46224</v>
      </c>
      <c r="D39" s="455" t="s">
        <v>224</v>
      </c>
      <c r="E39" s="405"/>
      <c r="F39" s="455" t="s">
        <v>430</v>
      </c>
      <c r="G39" s="405"/>
      <c r="H39" s="126">
        <v>9.83</v>
      </c>
    </row>
    <row r="40" spans="1:12" ht="15" customHeight="1">
      <c r="A40" s="261" t="s">
        <v>332</v>
      </c>
      <c r="B40" s="185" t="s">
        <v>68</v>
      </c>
      <c r="C40" s="125">
        <v>46225</v>
      </c>
      <c r="D40" s="455" t="s">
        <v>431</v>
      </c>
      <c r="E40" s="405"/>
      <c r="F40" s="455" t="s">
        <v>432</v>
      </c>
      <c r="G40" s="405"/>
      <c r="H40" s="126">
        <v>11.93</v>
      </c>
    </row>
    <row r="41" spans="1:12" ht="15" customHeight="1">
      <c r="A41" s="261" t="s">
        <v>332</v>
      </c>
      <c r="B41" s="185" t="s">
        <v>60</v>
      </c>
      <c r="C41" s="125">
        <v>46226</v>
      </c>
      <c r="D41" s="455" t="s">
        <v>433</v>
      </c>
      <c r="E41" s="405"/>
      <c r="F41" s="455" t="s">
        <v>434</v>
      </c>
      <c r="G41" s="405"/>
      <c r="H41" s="126">
        <v>15.73</v>
      </c>
    </row>
    <row r="42" spans="1:12" ht="15" customHeight="1">
      <c r="A42" s="261" t="s">
        <v>332</v>
      </c>
      <c r="B42" s="185" t="s">
        <v>61</v>
      </c>
      <c r="C42" s="125">
        <v>46227</v>
      </c>
      <c r="D42" s="455" t="s">
        <v>435</v>
      </c>
      <c r="E42" s="405"/>
      <c r="F42" s="455" t="s">
        <v>393</v>
      </c>
      <c r="G42" s="405"/>
      <c r="H42" s="126">
        <v>13.63</v>
      </c>
    </row>
    <row r="43" spans="1:12" ht="15" customHeight="1">
      <c r="A43" s="134" t="s">
        <v>334</v>
      </c>
      <c r="B43" s="191" t="s">
        <v>62</v>
      </c>
      <c r="C43" s="132">
        <v>46228</v>
      </c>
      <c r="D43" s="536" t="s">
        <v>436</v>
      </c>
      <c r="E43" s="405"/>
      <c r="F43" s="536" t="s">
        <v>265</v>
      </c>
      <c r="G43" s="405"/>
      <c r="H43" s="133">
        <v>10.63</v>
      </c>
    </row>
    <row r="44" spans="1:12" ht="15" customHeight="1">
      <c r="A44" s="131" t="s">
        <v>332</v>
      </c>
      <c r="B44" s="191" t="s">
        <v>63</v>
      </c>
      <c r="C44" s="132">
        <v>46229</v>
      </c>
      <c r="D44" s="536" t="s">
        <v>314</v>
      </c>
      <c r="E44" s="405"/>
      <c r="F44" s="536" t="s">
        <v>437</v>
      </c>
      <c r="G44" s="405"/>
      <c r="H44" s="133">
        <v>11.53</v>
      </c>
    </row>
    <row r="45" spans="1:12" ht="15" customHeight="1">
      <c r="A45" s="261" t="s">
        <v>332</v>
      </c>
      <c r="B45" s="185" t="s">
        <v>64</v>
      </c>
      <c r="C45" s="125">
        <v>46230</v>
      </c>
      <c r="D45" s="455" t="s">
        <v>438</v>
      </c>
      <c r="E45" s="405"/>
      <c r="F45" s="455" t="s">
        <v>432</v>
      </c>
      <c r="G45" s="405"/>
      <c r="H45" s="126">
        <v>12</v>
      </c>
    </row>
    <row r="46" spans="1:12" ht="15" customHeight="1">
      <c r="A46" s="261" t="s">
        <v>332</v>
      </c>
      <c r="B46" s="185" t="s">
        <v>66</v>
      </c>
      <c r="C46" s="125">
        <v>46231</v>
      </c>
      <c r="D46" s="455" t="s">
        <v>439</v>
      </c>
      <c r="E46" s="405"/>
      <c r="F46" s="455" t="s">
        <v>440</v>
      </c>
      <c r="G46" s="405"/>
      <c r="H46" s="126">
        <v>11.85</v>
      </c>
    </row>
    <row r="47" spans="1:12" ht="15" customHeight="1">
      <c r="A47" s="134" t="s">
        <v>334</v>
      </c>
      <c r="B47" s="185" t="s">
        <v>68</v>
      </c>
      <c r="C47" s="125">
        <v>46232</v>
      </c>
      <c r="D47" s="455" t="s">
        <v>391</v>
      </c>
      <c r="E47" s="405"/>
      <c r="F47" s="455" t="s">
        <v>405</v>
      </c>
      <c r="G47" s="405"/>
      <c r="H47" s="126">
        <v>11</v>
      </c>
    </row>
    <row r="48" spans="1:12" ht="15" customHeight="1">
      <c r="A48" s="261" t="s">
        <v>134</v>
      </c>
      <c r="B48" s="185" t="s">
        <v>60</v>
      </c>
      <c r="C48" s="125">
        <v>46233</v>
      </c>
      <c r="D48" s="455" t="s">
        <v>146</v>
      </c>
      <c r="E48" s="405"/>
      <c r="F48" s="455" t="s">
        <v>214</v>
      </c>
      <c r="G48" s="405"/>
      <c r="H48" s="126">
        <v>9.1300000000000008</v>
      </c>
    </row>
    <row r="49" spans="1:9" ht="15" customHeight="1">
      <c r="A49" s="266" t="s">
        <v>332</v>
      </c>
      <c r="B49" s="258" t="s">
        <v>61</v>
      </c>
      <c r="C49" s="141">
        <v>46234</v>
      </c>
      <c r="D49" s="466" t="s">
        <v>255</v>
      </c>
      <c r="E49" s="467"/>
      <c r="F49" s="466" t="s">
        <v>256</v>
      </c>
      <c r="G49" s="467"/>
      <c r="H49" s="142">
        <v>9.6</v>
      </c>
    </row>
    <row r="50" spans="1:9" ht="15" customHeight="1">
      <c r="A50" s="196"/>
      <c r="B50" s="91"/>
      <c r="C50" s="91"/>
      <c r="D50" s="91"/>
      <c r="E50" s="91"/>
      <c r="F50" s="506" t="s">
        <v>41</v>
      </c>
      <c r="G50" s="412"/>
      <c r="H50" s="146">
        <f>SUM(H19:H49)</f>
        <v>262.25</v>
      </c>
      <c r="I50" s="91"/>
    </row>
    <row r="51" spans="1:9" ht="15" customHeight="1">
      <c r="A51" s="91"/>
      <c r="B51" s="91"/>
      <c r="C51" s="91"/>
      <c r="D51" s="91"/>
      <c r="E51" s="91"/>
      <c r="F51" s="197"/>
      <c r="G51" s="144"/>
      <c r="H51" s="198"/>
      <c r="I51" s="91"/>
    </row>
    <row r="52" spans="1:9" ht="15" customHeight="1">
      <c r="A52" s="477" t="s">
        <v>226</v>
      </c>
      <c r="B52" s="411"/>
      <c r="C52" s="411"/>
      <c r="D52" s="412"/>
      <c r="E52" s="523" t="s">
        <v>173</v>
      </c>
      <c r="F52" s="411"/>
      <c r="G52" s="411"/>
      <c r="H52" s="412"/>
    </row>
    <row r="53" spans="1:9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9" ht="14.25" customHeight="1">
      <c r="A54" s="202"/>
      <c r="B54" s="500"/>
      <c r="C54" s="437"/>
      <c r="D54" s="223"/>
      <c r="E54" s="202"/>
      <c r="F54" s="500"/>
      <c r="G54" s="437"/>
      <c r="H54" s="203"/>
    </row>
    <row r="55" spans="1:9" ht="14.25" customHeight="1">
      <c r="A55" s="300"/>
      <c r="B55" s="483"/>
      <c r="C55" s="405"/>
      <c r="D55" s="301"/>
      <c r="E55" s="300"/>
      <c r="F55" s="483"/>
      <c r="G55" s="405"/>
      <c r="H55" s="302"/>
    </row>
    <row r="56" spans="1:9" ht="14.25" customHeight="1">
      <c r="A56" s="224"/>
      <c r="B56" s="482"/>
      <c r="C56" s="467"/>
      <c r="D56" s="298"/>
      <c r="E56" s="224"/>
      <c r="F56" s="482"/>
      <c r="G56" s="467"/>
      <c r="H56" s="225"/>
    </row>
    <row r="57" spans="1:9" ht="14.25" customHeight="1">
      <c r="A57" s="514" t="s">
        <v>81</v>
      </c>
      <c r="B57" s="469"/>
      <c r="C57" s="515"/>
      <c r="D57" s="208">
        <f>SUM(D54:D56)</f>
        <v>0</v>
      </c>
      <c r="E57" s="507" t="s">
        <v>229</v>
      </c>
      <c r="F57" s="469"/>
      <c r="G57" s="470"/>
      <c r="H57" s="156">
        <f>+H56</f>
        <v>0</v>
      </c>
    </row>
    <row r="58" spans="1:9" ht="14.25" customHeight="1">
      <c r="D58" s="91"/>
      <c r="E58" s="472" t="s">
        <v>178</v>
      </c>
      <c r="F58" s="411"/>
      <c r="G58" s="412"/>
      <c r="H58" s="209">
        <v>0</v>
      </c>
    </row>
    <row r="59" spans="1:9" ht="14.25" customHeight="1">
      <c r="A59" s="516" t="s">
        <v>230</v>
      </c>
      <c r="B59" s="517"/>
      <c r="C59" s="517"/>
      <c r="D59" s="518"/>
    </row>
    <row r="60" spans="1:9" ht="14.25" customHeight="1">
      <c r="A60" s="519" t="s">
        <v>231</v>
      </c>
      <c r="B60" s="447"/>
      <c r="C60" s="437"/>
      <c r="D60" s="210" t="s">
        <v>232</v>
      </c>
    </row>
    <row r="61" spans="1:9" ht="14.25" customHeight="1">
      <c r="A61" s="512" t="s">
        <v>233</v>
      </c>
      <c r="B61" s="404"/>
      <c r="C61" s="405"/>
      <c r="D61" s="211">
        <v>-396.88</v>
      </c>
    </row>
    <row r="62" spans="1:9" ht="14.25" customHeight="1">
      <c r="A62" s="512" t="s">
        <v>234</v>
      </c>
      <c r="B62" s="404"/>
      <c r="C62" s="405"/>
      <c r="D62" s="211">
        <v>0</v>
      </c>
    </row>
    <row r="63" spans="1:9" ht="14.25" customHeight="1">
      <c r="A63" s="512" t="s">
        <v>235</v>
      </c>
      <c r="B63" s="404"/>
      <c r="C63" s="405"/>
      <c r="D63" s="211">
        <v>0</v>
      </c>
    </row>
    <row r="64" spans="1:9" ht="14.25" customHeight="1">
      <c r="A64" s="512" t="s">
        <v>236</v>
      </c>
      <c r="B64" s="404"/>
      <c r="C64" s="405"/>
      <c r="D64" s="211">
        <v>0</v>
      </c>
    </row>
    <row r="65" spans="1:4" ht="14.25" customHeight="1">
      <c r="A65" s="512" t="s">
        <v>237</v>
      </c>
      <c r="B65" s="404"/>
      <c r="C65" s="405"/>
      <c r="D65" s="211"/>
    </row>
    <row r="66" spans="1:4" ht="14.25" customHeight="1">
      <c r="A66" s="512" t="s">
        <v>238</v>
      </c>
      <c r="B66" s="404"/>
      <c r="C66" s="405"/>
      <c r="D66" s="211"/>
    </row>
    <row r="67" spans="1:4" ht="14.25" customHeight="1">
      <c r="A67" s="512" t="s">
        <v>239</v>
      </c>
      <c r="B67" s="404"/>
      <c r="C67" s="405"/>
      <c r="D67" s="211"/>
    </row>
    <row r="68" spans="1:4" ht="14.25" customHeight="1">
      <c r="A68" s="512" t="s">
        <v>45</v>
      </c>
      <c r="B68" s="404"/>
      <c r="C68" s="405"/>
      <c r="D68" s="211"/>
    </row>
    <row r="69" spans="1:4" ht="14.25" customHeight="1">
      <c r="A69" s="512" t="s">
        <v>98</v>
      </c>
      <c r="B69" s="404"/>
      <c r="C69" s="405"/>
      <c r="D69" s="211"/>
    </row>
    <row r="70" spans="1:4" ht="14.25" customHeight="1">
      <c r="A70" s="512" t="s">
        <v>100</v>
      </c>
      <c r="B70" s="404"/>
      <c r="C70" s="405"/>
      <c r="D70" s="211"/>
    </row>
    <row r="71" spans="1:4" ht="14.25" customHeight="1">
      <c r="A71" s="512" t="s">
        <v>104</v>
      </c>
      <c r="B71" s="404"/>
      <c r="C71" s="405"/>
      <c r="D71" s="211"/>
    </row>
    <row r="72" spans="1:4" ht="14.25" customHeight="1">
      <c r="A72" s="512" t="s">
        <v>106</v>
      </c>
      <c r="B72" s="404"/>
      <c r="C72" s="405"/>
      <c r="D72" s="211"/>
    </row>
    <row r="73" spans="1:4" ht="14.25" customHeight="1">
      <c r="A73" s="513" t="s">
        <v>113</v>
      </c>
      <c r="B73" s="504"/>
      <c r="C73" s="467"/>
      <c r="D73" s="212"/>
    </row>
    <row r="74" spans="1:4" ht="14.25" customHeight="1">
      <c r="A74" s="511" t="s">
        <v>81</v>
      </c>
      <c r="B74" s="411"/>
      <c r="C74" s="480"/>
      <c r="D74" s="213">
        <f>SUM(D61:D73)</f>
        <v>-396.88</v>
      </c>
    </row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</sheetData>
  <mergeCells count="134">
    <mergeCell ref="D19:E19"/>
    <mergeCell ref="D18:E18"/>
    <mergeCell ref="F25:G25"/>
    <mergeCell ref="D26:E26"/>
    <mergeCell ref="F26:G26"/>
    <mergeCell ref="D27:E27"/>
    <mergeCell ref="F27:G27"/>
    <mergeCell ref="D46:E46"/>
    <mergeCell ref="D49:E49"/>
    <mergeCell ref="F49:G49"/>
    <mergeCell ref="D48:E48"/>
    <mergeCell ref="D47:E47"/>
    <mergeCell ref="F48:G48"/>
    <mergeCell ref="F47:G47"/>
    <mergeCell ref="D42:E42"/>
    <mergeCell ref="D43:E43"/>
    <mergeCell ref="D44:E44"/>
    <mergeCell ref="D25:E25"/>
    <mergeCell ref="D22:E22"/>
    <mergeCell ref="D31:E31"/>
    <mergeCell ref="F31:G31"/>
    <mergeCell ref="D32:E32"/>
    <mergeCell ref="F32:G32"/>
    <mergeCell ref="D33:E33"/>
    <mergeCell ref="A64:C64"/>
    <mergeCell ref="A65:C65"/>
    <mergeCell ref="A66:C66"/>
    <mergeCell ref="A57:C57"/>
    <mergeCell ref="A59:D59"/>
    <mergeCell ref="B56:C56"/>
    <mergeCell ref="C11:D11"/>
    <mergeCell ref="C12:D12"/>
    <mergeCell ref="F19:G19"/>
    <mergeCell ref="D20:E20"/>
    <mergeCell ref="F20:G20"/>
    <mergeCell ref="D21:E21"/>
    <mergeCell ref="F21:G21"/>
    <mergeCell ref="F18:G18"/>
    <mergeCell ref="F22:G22"/>
    <mergeCell ref="D23:E23"/>
    <mergeCell ref="F23:G23"/>
    <mergeCell ref="D24:E24"/>
    <mergeCell ref="F24:G24"/>
    <mergeCell ref="D28:E28"/>
    <mergeCell ref="F28:G28"/>
    <mergeCell ref="D29:E29"/>
    <mergeCell ref="F29:G29"/>
    <mergeCell ref="D30:E30"/>
    <mergeCell ref="B54:C54"/>
    <mergeCell ref="D45:E45"/>
    <mergeCell ref="B55:C55"/>
    <mergeCell ref="A74:C74"/>
    <mergeCell ref="A68:C68"/>
    <mergeCell ref="A69:C69"/>
    <mergeCell ref="A70:C70"/>
    <mergeCell ref="A71:C71"/>
    <mergeCell ref="A72:C72"/>
    <mergeCell ref="A73:C73"/>
    <mergeCell ref="A67:C67"/>
    <mergeCell ref="E57:G57"/>
    <mergeCell ref="E58:G58"/>
    <mergeCell ref="F56:G56"/>
    <mergeCell ref="F46:G46"/>
    <mergeCell ref="E52:H52"/>
    <mergeCell ref="F53:G53"/>
    <mergeCell ref="F54:G54"/>
    <mergeCell ref="F45:G45"/>
    <mergeCell ref="F55:G55"/>
    <mergeCell ref="A60:C60"/>
    <mergeCell ref="A61:C61"/>
    <mergeCell ref="A62:C62"/>
    <mergeCell ref="A63:C63"/>
    <mergeCell ref="A52:D52"/>
    <mergeCell ref="B53:C53"/>
    <mergeCell ref="F43:G43"/>
    <mergeCell ref="F44:G44"/>
    <mergeCell ref="F50:G50"/>
    <mergeCell ref="F42:G42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A16:B16"/>
    <mergeCell ref="C16:D16"/>
    <mergeCell ref="E16:H16"/>
    <mergeCell ref="E7:F7"/>
    <mergeCell ref="G7:H7"/>
    <mergeCell ref="F33:G33"/>
    <mergeCell ref="F30:G30"/>
    <mergeCell ref="A17:F17"/>
    <mergeCell ref="G17:H17"/>
    <mergeCell ref="A7:B7"/>
    <mergeCell ref="C7:D7"/>
    <mergeCell ref="A8:B8"/>
    <mergeCell ref="C8:D8"/>
    <mergeCell ref="A13:B14"/>
    <mergeCell ref="C13:D13"/>
    <mergeCell ref="C14:E14"/>
    <mergeCell ref="C10:D10"/>
    <mergeCell ref="E11:F11"/>
    <mergeCell ref="E10:F10"/>
    <mergeCell ref="E8:F8"/>
    <mergeCell ref="G8:H8"/>
    <mergeCell ref="F13:G13"/>
    <mergeCell ref="F14:H14"/>
    <mergeCell ref="G11:H11"/>
    <mergeCell ref="A1:H4"/>
    <mergeCell ref="A5:E5"/>
    <mergeCell ref="F5:G5"/>
    <mergeCell ref="I5:J5"/>
    <mergeCell ref="K5:L5"/>
    <mergeCell ref="B6:C6"/>
    <mergeCell ref="F6:G6"/>
    <mergeCell ref="G9:H9"/>
    <mergeCell ref="A15:B15"/>
    <mergeCell ref="C15:D15"/>
    <mergeCell ref="E15:H15"/>
    <mergeCell ref="E12:F12"/>
    <mergeCell ref="G12:H12"/>
    <mergeCell ref="G10:H10"/>
    <mergeCell ref="C9:D9"/>
    <mergeCell ref="E9:F9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271"/>
  <sheetViews>
    <sheetView workbookViewId="0">
      <selection activeCell="F18" sqref="F18:G1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+A8+C8+E8+G8+B10+C10+G10+G12</f>
        <v>1943826.1799603</v>
      </c>
      <c r="I5" s="431" t="s">
        <v>86</v>
      </c>
      <c r="J5" s="430"/>
      <c r="K5" s="429" t="str">
        <f>+B6</f>
        <v>ANTONIO VELEZ</v>
      </c>
      <c r="L5" s="430"/>
    </row>
    <row r="6" spans="1:12" ht="24.75" customHeight="1">
      <c r="A6" s="159" t="s">
        <v>179</v>
      </c>
      <c r="B6" s="526" t="s">
        <v>441</v>
      </c>
      <c r="C6" s="480"/>
      <c r="D6" s="160" t="s">
        <v>181</v>
      </c>
      <c r="E6" s="226">
        <v>34688648</v>
      </c>
      <c r="F6" s="525" t="s">
        <v>89</v>
      </c>
      <c r="G6" s="428"/>
      <c r="H6" s="97">
        <v>2</v>
      </c>
      <c r="I6" s="99" t="s">
        <v>45</v>
      </c>
      <c r="J6" s="100">
        <v>1320792.19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1320792.18878</v>
      </c>
    </row>
    <row r="8" spans="1:12" ht="24.75" customHeight="1">
      <c r="A8" s="491">
        <f>1127918.18*17.1%+1127918.18</f>
        <v>1320792.18878</v>
      </c>
      <c r="B8" s="405"/>
      <c r="C8" s="492">
        <f>+L20</f>
        <v>64622.90913</v>
      </c>
      <c r="D8" s="405"/>
      <c r="E8" s="422">
        <f>+L22</f>
        <v>65597.932830000005</v>
      </c>
      <c r="F8" s="405"/>
      <c r="G8" s="422">
        <f>+L24</f>
        <v>138169.66248</v>
      </c>
      <c r="H8" s="406"/>
      <c r="I8" s="99" t="s">
        <v>100</v>
      </c>
      <c r="J8" s="100"/>
      <c r="K8" t="s">
        <v>184</v>
      </c>
      <c r="L8" s="105">
        <f>+C8</f>
        <v>64622.90913</v>
      </c>
    </row>
    <row r="9" spans="1:12" ht="24.75" customHeight="1">
      <c r="A9" s="166" t="s">
        <v>111</v>
      </c>
      <c r="B9" s="167">
        <v>7</v>
      </c>
      <c r="C9" s="453" t="s">
        <v>185</v>
      </c>
      <c r="D9" s="405"/>
      <c r="E9" s="493" t="s">
        <v>96</v>
      </c>
      <c r="F9" s="405"/>
      <c r="G9" s="421" t="s">
        <v>442</v>
      </c>
      <c r="H9" s="406"/>
      <c r="I9" s="99" t="s">
        <v>104</v>
      </c>
      <c r="J9" s="100"/>
      <c r="K9" t="s">
        <v>101</v>
      </c>
      <c r="L9" s="105">
        <f>+E8</f>
        <v>65597.932830000005</v>
      </c>
    </row>
    <row r="10" spans="1:12" ht="24.75" customHeight="1">
      <c r="A10" s="168">
        <v>43344</v>
      </c>
      <c r="B10" s="130">
        <f>+L32</f>
        <v>149302.5</v>
      </c>
      <c r="C10" s="422">
        <v>0</v>
      </c>
      <c r="D10" s="405"/>
      <c r="E10" s="422">
        <f>+D54+H54</f>
        <v>0</v>
      </c>
      <c r="F10" s="405"/>
      <c r="G10" s="527">
        <f>+L35</f>
        <v>150483.9</v>
      </c>
      <c r="H10" s="406"/>
      <c r="I10" s="99" t="s">
        <v>106</v>
      </c>
      <c r="J10" s="100"/>
      <c r="K10" t="s">
        <v>105</v>
      </c>
      <c r="L10" s="105">
        <f>+G8</f>
        <v>138169.66248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149302.5</v>
      </c>
    </row>
    <row r="12" spans="1:12" ht="24.75" customHeight="1">
      <c r="A12" s="171">
        <v>220</v>
      </c>
      <c r="B12" s="172">
        <f>+H48</f>
        <v>231.31</v>
      </c>
      <c r="C12" s="498">
        <f>+B12-A12</f>
        <v>11.310000000000002</v>
      </c>
      <c r="D12" s="405"/>
      <c r="E12" s="422">
        <f>4142.03*17.1%+4142.03</f>
        <v>4850.3171299999995</v>
      </c>
      <c r="F12" s="405"/>
      <c r="G12" s="422">
        <f>+C12*E12</f>
        <v>54857.086740300008</v>
      </c>
      <c r="H12" s="406"/>
      <c r="I12" s="99" t="s">
        <v>81</v>
      </c>
      <c r="J12" s="100">
        <f>SUM(J6:J11)</f>
        <v>1320792.19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220132.03166666665</v>
      </c>
      <c r="K13" s="91" t="s">
        <v>443</v>
      </c>
      <c r="L13" s="105">
        <f>+G10</f>
        <v>150483.9</v>
      </c>
    </row>
    <row r="14" spans="1:12" ht="38.25" customHeight="1">
      <c r="A14" s="227" t="s">
        <v>124</v>
      </c>
      <c r="B14" s="528">
        <v>46143</v>
      </c>
      <c r="C14" s="467"/>
      <c r="D14" s="482" t="s">
        <v>125</v>
      </c>
      <c r="E14" s="467"/>
      <c r="F14" s="530" t="s">
        <v>444</v>
      </c>
      <c r="G14" s="504"/>
      <c r="H14" s="505"/>
      <c r="I14" s="99" t="s">
        <v>86</v>
      </c>
      <c r="J14" s="115">
        <f>+J13/2</f>
        <v>110066.01583333332</v>
      </c>
      <c r="K14" t="s">
        <v>191</v>
      </c>
      <c r="L14" s="105">
        <f>+G12</f>
        <v>54857.086740300008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1943826.1799603</v>
      </c>
      <c r="H15" s="412"/>
      <c r="I15" s="91"/>
      <c r="K15" s="112" t="s">
        <v>122</v>
      </c>
      <c r="L15" s="113">
        <f>SUM(L7:L14)</f>
        <v>1943826.1799603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t="s">
        <v>126</v>
      </c>
      <c r="L16" s="105">
        <f>+E10</f>
        <v>0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193</v>
      </c>
      <c r="E17" s="437"/>
      <c r="F17" s="510" t="s">
        <v>296</v>
      </c>
      <c r="G17" s="437"/>
      <c r="H17" s="179">
        <v>9.27</v>
      </c>
      <c r="I17" s="91"/>
      <c r="K17" s="119" t="s">
        <v>133</v>
      </c>
      <c r="L17" s="120">
        <f>+L15-L16</f>
        <v>1943826.1799603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194</v>
      </c>
      <c r="E18" s="405"/>
      <c r="F18" s="495" t="s">
        <v>218</v>
      </c>
      <c r="G18" s="405"/>
      <c r="H18" s="181">
        <v>9.3800000000000008</v>
      </c>
      <c r="I18" s="91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197</v>
      </c>
      <c r="E19" s="405"/>
      <c r="F19" s="495" t="s">
        <v>198</v>
      </c>
      <c r="G19" s="405"/>
      <c r="H19" s="181">
        <v>8.8000000000000007</v>
      </c>
      <c r="I19" s="91"/>
      <c r="K19" s="127" t="s">
        <v>196</v>
      </c>
      <c r="L19" s="128"/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243</v>
      </c>
      <c r="E20" s="405"/>
      <c r="F20" s="536" t="s">
        <v>445</v>
      </c>
      <c r="G20" s="405"/>
      <c r="H20" s="133">
        <v>6.12</v>
      </c>
      <c r="I20" s="91"/>
      <c r="K20" s="129" t="s">
        <v>140</v>
      </c>
      <c r="L20" s="130">
        <f>56894.03*17.1%+54894.03</f>
        <v>64622.90913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91"/>
      <c r="K21" s="127" t="s">
        <v>137</v>
      </c>
      <c r="L21" s="128"/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168</v>
      </c>
      <c r="G22" s="405"/>
      <c r="H22" s="181">
        <v>9.23</v>
      </c>
      <c r="I22" s="91"/>
      <c r="K22" s="129" t="s">
        <v>140</v>
      </c>
      <c r="L22" s="130">
        <f>56018.73*17.1%+56018.73</f>
        <v>65597.932830000005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I23" s="91"/>
      <c r="K23" s="127" t="s">
        <v>109</v>
      </c>
      <c r="L23" s="128"/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201</v>
      </c>
      <c r="E24" s="405"/>
      <c r="F24" s="495" t="s">
        <v>164</v>
      </c>
      <c r="G24" s="405"/>
      <c r="H24" s="181">
        <v>9.25</v>
      </c>
      <c r="I24" s="139"/>
      <c r="K24" s="129" t="s">
        <v>140</v>
      </c>
      <c r="L24" s="130">
        <f>117992.88*17.1%+117992.88</f>
        <v>138169.66248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199</v>
      </c>
      <c r="E25" s="405"/>
      <c r="F25" s="495" t="s">
        <v>203</v>
      </c>
      <c r="G25" s="405"/>
      <c r="H25" s="181">
        <v>9.67</v>
      </c>
      <c r="I25" s="91"/>
      <c r="K25" s="135" t="s">
        <v>111</v>
      </c>
      <c r="L25" s="91"/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204</v>
      </c>
      <c r="E26" s="405"/>
      <c r="F26" s="495" t="s">
        <v>430</v>
      </c>
      <c r="G26" s="405"/>
      <c r="H26" s="181">
        <v>10.02</v>
      </c>
      <c r="I26" s="91"/>
      <c r="K26" s="129" t="s">
        <v>149</v>
      </c>
      <c r="L26" s="130">
        <f>12500*17.1%+12500</f>
        <v>14637.5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243</v>
      </c>
      <c r="E27" s="405"/>
      <c r="F27" s="536" t="s">
        <v>446</v>
      </c>
      <c r="G27" s="405"/>
      <c r="H27" s="133">
        <v>7.57</v>
      </c>
      <c r="I27" s="220"/>
      <c r="J27" s="91"/>
      <c r="K27" s="129" t="s">
        <v>152</v>
      </c>
      <c r="L27" s="130">
        <f>20000*17.1%+20000</f>
        <v>23420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I28" s="91"/>
      <c r="J28" s="91"/>
      <c r="K28" s="129" t="s">
        <v>153</v>
      </c>
      <c r="L28" s="130">
        <f>27500*17.1%+27500</f>
        <v>32202.5</v>
      </c>
    </row>
    <row r="29" spans="1:12" ht="15" customHeight="1">
      <c r="A29" s="184" t="s">
        <v>59</v>
      </c>
      <c r="B29" s="185" t="s">
        <v>64</v>
      </c>
      <c r="C29" s="125">
        <v>46216</v>
      </c>
      <c r="D29" s="458"/>
      <c r="E29" s="405"/>
      <c r="F29" s="458"/>
      <c r="G29" s="405"/>
      <c r="H29" s="126">
        <v>8</v>
      </c>
      <c r="I29" s="91"/>
      <c r="K29" s="129" t="s">
        <v>154</v>
      </c>
      <c r="L29" s="130">
        <f>35000*17.1%+35000</f>
        <v>40985</v>
      </c>
    </row>
    <row r="30" spans="1:12" ht="15" customHeight="1">
      <c r="A30" s="184" t="s">
        <v>59</v>
      </c>
      <c r="B30" s="185" t="s">
        <v>66</v>
      </c>
      <c r="C30" s="125">
        <v>46217</v>
      </c>
      <c r="D30" s="458"/>
      <c r="E30" s="405"/>
      <c r="F30" s="458"/>
      <c r="G30" s="405"/>
      <c r="H30" s="126">
        <v>8</v>
      </c>
      <c r="I30" s="91"/>
      <c r="K30" s="129" t="s">
        <v>155</v>
      </c>
      <c r="L30" s="130">
        <f>42500*17.1%+42500</f>
        <v>49767.5</v>
      </c>
    </row>
    <row r="31" spans="1:12" ht="15" customHeight="1">
      <c r="A31" s="184" t="s">
        <v>59</v>
      </c>
      <c r="B31" s="185" t="s">
        <v>68</v>
      </c>
      <c r="C31" s="125">
        <v>46218</v>
      </c>
      <c r="D31" s="458"/>
      <c r="E31" s="405"/>
      <c r="F31" s="458"/>
      <c r="G31" s="405"/>
      <c r="H31" s="126">
        <v>8</v>
      </c>
      <c r="I31" s="91"/>
      <c r="K31" s="129" t="s">
        <v>156</v>
      </c>
      <c r="L31" s="130">
        <f>63750*17.1%+63750</f>
        <v>74651.25</v>
      </c>
    </row>
    <row r="32" spans="1:12" ht="15" customHeight="1">
      <c r="A32" s="184" t="s">
        <v>59</v>
      </c>
      <c r="B32" s="185" t="s">
        <v>60</v>
      </c>
      <c r="C32" s="125">
        <v>46219</v>
      </c>
      <c r="D32" s="458"/>
      <c r="E32" s="405"/>
      <c r="F32" s="458"/>
      <c r="G32" s="405"/>
      <c r="H32" s="126">
        <v>8</v>
      </c>
      <c r="I32" s="91"/>
      <c r="K32" s="129" t="s">
        <v>157</v>
      </c>
      <c r="L32" s="130">
        <f>127500*17.1%+127500</f>
        <v>149302.5</v>
      </c>
    </row>
    <row r="33" spans="1:12" ht="15" customHeight="1">
      <c r="A33" s="184" t="s">
        <v>59</v>
      </c>
      <c r="B33" s="185" t="s">
        <v>61</v>
      </c>
      <c r="C33" s="125">
        <v>46220</v>
      </c>
      <c r="D33" s="458"/>
      <c r="E33" s="405"/>
      <c r="F33" s="458"/>
      <c r="G33" s="405"/>
      <c r="H33" s="126">
        <v>8</v>
      </c>
      <c r="I33" s="91"/>
      <c r="K33" s="129" t="s">
        <v>158</v>
      </c>
      <c r="L33" s="130">
        <f>200000*17.1%+200000</f>
        <v>234200</v>
      </c>
    </row>
    <row r="34" spans="1:12" ht="15" customHeight="1">
      <c r="A34" s="190" t="s">
        <v>59</v>
      </c>
      <c r="B34" s="191" t="s">
        <v>62</v>
      </c>
      <c r="C34" s="132">
        <v>46221</v>
      </c>
      <c r="D34" s="456"/>
      <c r="E34" s="405"/>
      <c r="F34" s="456"/>
      <c r="G34" s="405"/>
      <c r="H34" s="133">
        <v>8</v>
      </c>
      <c r="I34" s="91"/>
      <c r="K34" s="228" t="s">
        <v>442</v>
      </c>
      <c r="L34" s="229"/>
    </row>
    <row r="35" spans="1:12" ht="15" customHeight="1">
      <c r="A35" s="190" t="s">
        <v>59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8</v>
      </c>
      <c r="I35" s="91"/>
      <c r="K35" s="129" t="s">
        <v>447</v>
      </c>
      <c r="L35" s="130">
        <f>105900*42.1%+105900</f>
        <v>150483.9</v>
      </c>
    </row>
    <row r="36" spans="1:12" ht="15" customHeight="1">
      <c r="A36" s="184" t="s">
        <v>59</v>
      </c>
      <c r="B36" s="185" t="s">
        <v>64</v>
      </c>
      <c r="C36" s="125">
        <v>46223</v>
      </c>
      <c r="D36" s="458"/>
      <c r="E36" s="405"/>
      <c r="F36" s="458"/>
      <c r="G36" s="405"/>
      <c r="H36" s="126">
        <v>8</v>
      </c>
      <c r="I36" s="91"/>
      <c r="K36" s="228" t="s">
        <v>372</v>
      </c>
      <c r="L36" s="229"/>
    </row>
    <row r="37" spans="1:12" ht="15" customHeight="1">
      <c r="A37" s="184" t="s">
        <v>59</v>
      </c>
      <c r="B37" s="185" t="s">
        <v>66</v>
      </c>
      <c r="C37" s="125">
        <v>46224</v>
      </c>
      <c r="D37" s="458"/>
      <c r="E37" s="405"/>
      <c r="F37" s="458"/>
      <c r="G37" s="405"/>
      <c r="H37" s="126">
        <v>8</v>
      </c>
      <c r="I37" s="91"/>
      <c r="K37" s="129" t="s">
        <v>263</v>
      </c>
      <c r="L37" s="130">
        <f>11281.2*17.1%+11281.2</f>
        <v>13210.2852</v>
      </c>
    </row>
    <row r="38" spans="1:12" ht="15" customHeight="1">
      <c r="A38" s="184" t="s">
        <v>59</v>
      </c>
      <c r="B38" s="185" t="s">
        <v>68</v>
      </c>
      <c r="C38" s="125">
        <v>46225</v>
      </c>
      <c r="D38" s="458"/>
      <c r="E38" s="405"/>
      <c r="F38" s="458"/>
      <c r="G38" s="405"/>
      <c r="H38" s="126">
        <v>8</v>
      </c>
      <c r="I38" s="91"/>
    </row>
    <row r="39" spans="1:12" ht="15" customHeight="1">
      <c r="A39" s="184" t="s">
        <v>59</v>
      </c>
      <c r="B39" s="185" t="s">
        <v>60</v>
      </c>
      <c r="C39" s="125">
        <v>46226</v>
      </c>
      <c r="D39" s="458"/>
      <c r="E39" s="405"/>
      <c r="F39" s="458"/>
      <c r="G39" s="405"/>
      <c r="H39" s="126">
        <v>8</v>
      </c>
      <c r="I39" s="91"/>
    </row>
    <row r="40" spans="1:12" ht="15" customHeight="1">
      <c r="A40" s="184" t="s">
        <v>59</v>
      </c>
      <c r="B40" s="185" t="s">
        <v>61</v>
      </c>
      <c r="C40" s="125">
        <v>46227</v>
      </c>
      <c r="D40" s="458"/>
      <c r="E40" s="405"/>
      <c r="F40" s="458"/>
      <c r="G40" s="405"/>
      <c r="H40" s="126">
        <v>8</v>
      </c>
      <c r="I40" s="91"/>
    </row>
    <row r="41" spans="1:12" ht="15" customHeight="1">
      <c r="A41" s="190" t="s">
        <v>59</v>
      </c>
      <c r="B41" s="191" t="s">
        <v>62</v>
      </c>
      <c r="C41" s="132">
        <v>46228</v>
      </c>
      <c r="D41" s="456"/>
      <c r="E41" s="405"/>
      <c r="F41" s="456"/>
      <c r="G41" s="405"/>
      <c r="H41" s="133">
        <v>8</v>
      </c>
      <c r="I41" s="91"/>
    </row>
    <row r="42" spans="1:12" ht="15" customHeight="1">
      <c r="A42" s="190" t="s">
        <v>59</v>
      </c>
      <c r="B42" s="191" t="s">
        <v>63</v>
      </c>
      <c r="C42" s="132">
        <v>46229</v>
      </c>
      <c r="D42" s="456"/>
      <c r="E42" s="405"/>
      <c r="F42" s="456"/>
      <c r="G42" s="405"/>
      <c r="H42" s="133">
        <v>8</v>
      </c>
      <c r="I42" s="91"/>
    </row>
    <row r="43" spans="1:12" ht="15" customHeight="1">
      <c r="A43" s="184" t="s">
        <v>59</v>
      </c>
      <c r="B43" s="185" t="s">
        <v>64</v>
      </c>
      <c r="C43" s="125">
        <v>46230</v>
      </c>
      <c r="D43" s="458"/>
      <c r="E43" s="405"/>
      <c r="F43" s="458"/>
      <c r="G43" s="405"/>
      <c r="H43" s="126">
        <v>8</v>
      </c>
      <c r="I43" s="91"/>
    </row>
    <row r="44" spans="1:12" ht="15" customHeight="1">
      <c r="A44" s="184" t="s">
        <v>59</v>
      </c>
      <c r="B44" s="185" t="s">
        <v>66</v>
      </c>
      <c r="C44" s="125">
        <v>46231</v>
      </c>
      <c r="D44" s="458"/>
      <c r="E44" s="405"/>
      <c r="F44" s="458"/>
      <c r="G44" s="405"/>
      <c r="H44" s="126">
        <v>8</v>
      </c>
      <c r="I44" s="91"/>
    </row>
    <row r="45" spans="1:12" ht="15" customHeight="1">
      <c r="A45" s="184" t="s">
        <v>59</v>
      </c>
      <c r="B45" s="185" t="s">
        <v>68</v>
      </c>
      <c r="C45" s="125">
        <v>46232</v>
      </c>
      <c r="D45" s="458"/>
      <c r="E45" s="405"/>
      <c r="F45" s="458"/>
      <c r="G45" s="405"/>
      <c r="H45" s="126">
        <v>8</v>
      </c>
      <c r="I45" s="91"/>
    </row>
    <row r="46" spans="1:12" ht="15" customHeight="1">
      <c r="A46" s="184" t="s">
        <v>59</v>
      </c>
      <c r="B46" s="185" t="s">
        <v>60</v>
      </c>
      <c r="C46" s="125">
        <v>46233</v>
      </c>
      <c r="D46" s="458"/>
      <c r="E46" s="405"/>
      <c r="F46" s="458"/>
      <c r="G46" s="405"/>
      <c r="H46" s="126">
        <v>8</v>
      </c>
      <c r="I46" s="91"/>
    </row>
    <row r="47" spans="1:12" ht="15" customHeight="1">
      <c r="A47" s="303" t="s">
        <v>59</v>
      </c>
      <c r="B47" s="258" t="s">
        <v>61</v>
      </c>
      <c r="C47" s="141">
        <v>46234</v>
      </c>
      <c r="D47" s="563"/>
      <c r="E47" s="467"/>
      <c r="F47" s="563"/>
      <c r="G47" s="467"/>
      <c r="H47" s="142">
        <v>8</v>
      </c>
      <c r="I47" s="91"/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231.31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/>
      <c r="B52" s="531"/>
      <c r="C52" s="437"/>
      <c r="D52" s="235"/>
      <c r="E52" s="202"/>
      <c r="F52" s="500"/>
      <c r="G52" s="437"/>
      <c r="H52" s="203"/>
    </row>
    <row r="53" spans="1:8" ht="14.25" customHeight="1">
      <c r="A53" s="224"/>
      <c r="B53" s="533"/>
      <c r="C53" s="467"/>
      <c r="D53" s="247"/>
      <c r="E53" s="224"/>
      <c r="F53" s="482"/>
      <c r="G53" s="467"/>
      <c r="H53" s="225"/>
    </row>
    <row r="54" spans="1:8" ht="14.25" customHeight="1">
      <c r="A54" s="514" t="s">
        <v>81</v>
      </c>
      <c r="B54" s="469"/>
      <c r="C54" s="515"/>
      <c r="D54" s="208">
        <f>SUM(D52:D53)</f>
        <v>0</v>
      </c>
      <c r="E54" s="507" t="s">
        <v>229</v>
      </c>
      <c r="F54" s="469"/>
      <c r="G54" s="470"/>
      <c r="H54" s="156">
        <f>+H53</f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7">
    <mergeCell ref="D40:E40"/>
    <mergeCell ref="A59:C59"/>
    <mergeCell ref="A60:C60"/>
    <mergeCell ref="A61:C61"/>
    <mergeCell ref="A62:C62"/>
    <mergeCell ref="A63:C63"/>
    <mergeCell ref="A57:C57"/>
    <mergeCell ref="A58:C58"/>
    <mergeCell ref="A71:C71"/>
    <mergeCell ref="A65:C65"/>
    <mergeCell ref="A66:C66"/>
    <mergeCell ref="A67:C67"/>
    <mergeCell ref="A68:C68"/>
    <mergeCell ref="A69:C69"/>
    <mergeCell ref="A70:C70"/>
    <mergeCell ref="A64:C64"/>
    <mergeCell ref="A54:C54"/>
    <mergeCell ref="A56:D56"/>
    <mergeCell ref="D46:E46"/>
    <mergeCell ref="D47:E47"/>
    <mergeCell ref="D45:E45"/>
    <mergeCell ref="D43:E43"/>
    <mergeCell ref="D44:E44"/>
    <mergeCell ref="B53:C53"/>
    <mergeCell ref="A50:D50"/>
    <mergeCell ref="B51:C51"/>
    <mergeCell ref="B52:C52"/>
    <mergeCell ref="F26:G26"/>
    <mergeCell ref="F27:G27"/>
    <mergeCell ref="F28:G28"/>
    <mergeCell ref="F32:G32"/>
    <mergeCell ref="F33:G33"/>
    <mergeCell ref="F29:G29"/>
    <mergeCell ref="F30:G30"/>
    <mergeCell ref="F31:G31"/>
    <mergeCell ref="D38:E38"/>
    <mergeCell ref="D30:E30"/>
    <mergeCell ref="D31:E31"/>
    <mergeCell ref="D34:E34"/>
    <mergeCell ref="D35:E35"/>
    <mergeCell ref="D36:E36"/>
    <mergeCell ref="D37:E37"/>
    <mergeCell ref="D26:E26"/>
    <mergeCell ref="D27:E27"/>
    <mergeCell ref="D28:E28"/>
    <mergeCell ref="D32:E32"/>
    <mergeCell ref="D33:E33"/>
    <mergeCell ref="D29:E29"/>
    <mergeCell ref="D23:E23"/>
    <mergeCell ref="F23:G23"/>
    <mergeCell ref="D24:E24"/>
    <mergeCell ref="F24:G24"/>
    <mergeCell ref="D25:E25"/>
    <mergeCell ref="F25:G25"/>
    <mergeCell ref="D20:E20"/>
    <mergeCell ref="F20:G20"/>
    <mergeCell ref="D21:E21"/>
    <mergeCell ref="F21:G21"/>
    <mergeCell ref="D22:E22"/>
    <mergeCell ref="F22:G22"/>
    <mergeCell ref="F34:G34"/>
    <mergeCell ref="F38:G38"/>
    <mergeCell ref="F39:G39"/>
    <mergeCell ref="F35:G35"/>
    <mergeCell ref="F36:G36"/>
    <mergeCell ref="F37:G37"/>
    <mergeCell ref="F40:G40"/>
    <mergeCell ref="E54:G54"/>
    <mergeCell ref="E55:G55"/>
    <mergeCell ref="F46:G46"/>
    <mergeCell ref="F47:G47"/>
    <mergeCell ref="F41:G41"/>
    <mergeCell ref="F42:G42"/>
    <mergeCell ref="F53:G53"/>
    <mergeCell ref="F48:G48"/>
    <mergeCell ref="E50:H50"/>
    <mergeCell ref="F51:G51"/>
    <mergeCell ref="F52:G52"/>
    <mergeCell ref="D39:E39"/>
    <mergeCell ref="F45:G45"/>
    <mergeCell ref="F43:G43"/>
    <mergeCell ref="F44:G44"/>
    <mergeCell ref="D41:E41"/>
    <mergeCell ref="D42:E42"/>
    <mergeCell ref="D17:E17"/>
    <mergeCell ref="F17:G17"/>
    <mergeCell ref="D18:E18"/>
    <mergeCell ref="F18:G18"/>
    <mergeCell ref="D19:E19"/>
    <mergeCell ref="F19:G19"/>
    <mergeCell ref="B14:C14"/>
    <mergeCell ref="D14:E14"/>
    <mergeCell ref="F14:H14"/>
    <mergeCell ref="A15:F15"/>
    <mergeCell ref="G15:H15"/>
    <mergeCell ref="D16:E16"/>
    <mergeCell ref="F16:G16"/>
    <mergeCell ref="E11:F11"/>
    <mergeCell ref="G11:H11"/>
    <mergeCell ref="G9:H9"/>
    <mergeCell ref="C11:D11"/>
    <mergeCell ref="C12:D12"/>
    <mergeCell ref="E12:F12"/>
    <mergeCell ref="G12:H12"/>
    <mergeCell ref="B13:C13"/>
    <mergeCell ref="D13:E13"/>
    <mergeCell ref="F13:H13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1:H4"/>
    <mergeCell ref="A5:E5"/>
    <mergeCell ref="F5:G5"/>
    <mergeCell ref="I5:J5"/>
    <mergeCell ref="K5:L5"/>
    <mergeCell ref="B6:C6"/>
    <mergeCell ref="F6:G6"/>
    <mergeCell ref="C9:D9"/>
    <mergeCell ref="E9:F9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273"/>
  <sheetViews>
    <sheetView workbookViewId="0">
      <selection activeCell="D13" sqref="D13:E13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566"/>
      <c r="B1" s="567"/>
      <c r="C1" s="567"/>
      <c r="D1" s="567"/>
      <c r="E1" s="567"/>
      <c r="F1" s="567"/>
      <c r="G1" s="567"/>
      <c r="H1" s="568"/>
    </row>
    <row r="2" spans="1:12" ht="14.25" customHeight="1">
      <c r="A2" s="569"/>
      <c r="B2" s="570"/>
      <c r="C2" s="570"/>
      <c r="D2" s="570"/>
      <c r="E2" s="570"/>
      <c r="F2" s="570"/>
      <c r="G2" s="570"/>
      <c r="H2" s="571"/>
      <c r="I2" s="92" t="s">
        <v>82</v>
      </c>
    </row>
    <row r="3" spans="1:12" ht="14.25" customHeight="1">
      <c r="A3" s="569"/>
      <c r="B3" s="570"/>
      <c r="C3" s="570"/>
      <c r="D3" s="570"/>
      <c r="E3" s="570"/>
      <c r="F3" s="570"/>
      <c r="G3" s="570"/>
      <c r="H3" s="571"/>
      <c r="I3" s="93" t="s">
        <v>641</v>
      </c>
    </row>
    <row r="4" spans="1:12" ht="12.75" customHeight="1">
      <c r="A4" s="572"/>
      <c r="B4" s="573"/>
      <c r="C4" s="573"/>
      <c r="D4" s="573"/>
      <c r="E4" s="573"/>
      <c r="F4" s="573"/>
      <c r="G4" s="573"/>
      <c r="H4" s="57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+A8+C8+E8+G8+B10+C10+G10+G12</f>
        <v>2298936.3658000003</v>
      </c>
      <c r="I5" s="431" t="s">
        <v>86</v>
      </c>
      <c r="J5" s="430"/>
      <c r="K5" s="429" t="str">
        <f>+B6</f>
        <v>DAVID AGUIRRE</v>
      </c>
      <c r="L5" s="430"/>
    </row>
    <row r="6" spans="1:12" ht="24.75" customHeight="1">
      <c r="A6" s="159" t="s">
        <v>179</v>
      </c>
      <c r="B6" s="526" t="s">
        <v>448</v>
      </c>
      <c r="C6" s="480"/>
      <c r="D6" s="160" t="s">
        <v>181</v>
      </c>
      <c r="E6" s="226"/>
      <c r="F6" s="525" t="s">
        <v>89</v>
      </c>
      <c r="G6" s="428"/>
      <c r="H6" s="97">
        <v>2</v>
      </c>
      <c r="I6" s="99" t="s">
        <v>45</v>
      </c>
      <c r="J6" s="100"/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449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1495000</v>
      </c>
    </row>
    <row r="8" spans="1:12" ht="24.75" customHeight="1">
      <c r="A8" s="491">
        <v>1495000</v>
      </c>
      <c r="B8" s="405"/>
      <c r="C8" s="492">
        <f>L20</f>
        <v>65428.13</v>
      </c>
      <c r="D8" s="405"/>
      <c r="E8" s="422">
        <v>0</v>
      </c>
      <c r="F8" s="405"/>
      <c r="G8" s="422">
        <f>L24</f>
        <v>135691.81</v>
      </c>
      <c r="H8" s="406"/>
      <c r="I8" s="99" t="s">
        <v>100</v>
      </c>
      <c r="J8" s="100"/>
      <c r="K8" t="s">
        <v>184</v>
      </c>
      <c r="L8" s="105">
        <f>+C8</f>
        <v>65428.13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450</v>
      </c>
      <c r="H9" s="406"/>
      <c r="I9" s="99" t="s">
        <v>104</v>
      </c>
      <c r="J9" s="100"/>
      <c r="K9" t="s">
        <v>451</v>
      </c>
      <c r="L9" s="105">
        <f>+E8</f>
        <v>0</v>
      </c>
    </row>
    <row r="10" spans="1:12" ht="24.75" customHeight="1">
      <c r="A10" s="168">
        <v>46023</v>
      </c>
      <c r="B10" s="130">
        <v>0</v>
      </c>
      <c r="C10" s="422">
        <v>0</v>
      </c>
      <c r="D10" s="405"/>
      <c r="E10" s="422">
        <f>+D56+H56</f>
        <v>650000</v>
      </c>
      <c r="F10" s="405"/>
      <c r="G10" s="527">
        <f>L35</f>
        <v>287500</v>
      </c>
      <c r="H10" s="406"/>
      <c r="I10" s="99" t="s">
        <v>106</v>
      </c>
      <c r="J10" s="100"/>
      <c r="K10" t="s">
        <v>105</v>
      </c>
      <c r="L10" s="105">
        <f>+G8</f>
        <v>135691.81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171">
        <v>200</v>
      </c>
      <c r="B12" s="172">
        <f>+H48</f>
        <v>256.53000000000003</v>
      </c>
      <c r="C12" s="498">
        <f>+B12-A12</f>
        <v>56.53000000000003</v>
      </c>
      <c r="D12" s="405"/>
      <c r="E12" s="422">
        <v>5577.86</v>
      </c>
      <c r="F12" s="405"/>
      <c r="G12" s="422">
        <f>+C12*E12</f>
        <v>315316.42580000014</v>
      </c>
      <c r="H12" s="406"/>
      <c r="I12" s="99" t="s">
        <v>81</v>
      </c>
      <c r="J12" s="100">
        <f>SUM(J6:J11)</f>
        <v>0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0</v>
      </c>
      <c r="K13" s="91" t="s">
        <v>452</v>
      </c>
      <c r="L13" s="105">
        <f>+G10</f>
        <v>287500</v>
      </c>
    </row>
    <row r="14" spans="1:12" ht="38.25" customHeight="1">
      <c r="A14" s="227" t="s">
        <v>124</v>
      </c>
      <c r="B14" s="564">
        <v>46204</v>
      </c>
      <c r="C14" s="467"/>
      <c r="D14" s="565" t="s">
        <v>125</v>
      </c>
      <c r="E14" s="467"/>
      <c r="F14" s="530" t="s">
        <v>453</v>
      </c>
      <c r="G14" s="504"/>
      <c r="H14" s="505"/>
      <c r="I14" s="99" t="s">
        <v>86</v>
      </c>
      <c r="J14" s="115">
        <f>+J13/2</f>
        <v>0</v>
      </c>
      <c r="K14" t="s">
        <v>191</v>
      </c>
      <c r="L14" s="105">
        <f>+G12</f>
        <v>315316.42580000014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1648936.3658000003</v>
      </c>
      <c r="H15" s="412"/>
      <c r="I15" s="91"/>
      <c r="K15" s="112" t="s">
        <v>122</v>
      </c>
      <c r="L15" s="113">
        <f>SUM(L7:L14)</f>
        <v>2298936.3658000003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t="s">
        <v>126</v>
      </c>
      <c r="L16" s="105">
        <f>+E10</f>
        <v>650000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193</v>
      </c>
      <c r="E17" s="437"/>
      <c r="F17" s="510" t="s">
        <v>300</v>
      </c>
      <c r="G17" s="437"/>
      <c r="H17" s="179">
        <v>9.2799999999999994</v>
      </c>
      <c r="I17" s="91"/>
      <c r="K17" s="119" t="s">
        <v>133</v>
      </c>
      <c r="L17" s="120">
        <f>+L15-L16</f>
        <v>1648936.3658000003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194</v>
      </c>
      <c r="E18" s="405"/>
      <c r="F18" s="495" t="s">
        <v>218</v>
      </c>
      <c r="G18" s="405"/>
      <c r="H18" s="181">
        <v>9.3800000000000008</v>
      </c>
      <c r="I18" s="91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385</v>
      </c>
      <c r="E19" s="405"/>
      <c r="F19" s="495" t="s">
        <v>198</v>
      </c>
      <c r="G19" s="405"/>
      <c r="H19" s="181">
        <v>8.7799999999999994</v>
      </c>
      <c r="I19" s="91"/>
      <c r="K19" s="127" t="s">
        <v>196</v>
      </c>
      <c r="L19" s="128"/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243</v>
      </c>
      <c r="E20" s="405"/>
      <c r="F20" s="536" t="s">
        <v>445</v>
      </c>
      <c r="G20" s="405"/>
      <c r="H20" s="133">
        <v>6.12</v>
      </c>
      <c r="I20" s="91"/>
      <c r="K20" s="129" t="s">
        <v>140</v>
      </c>
      <c r="L20" s="130">
        <v>65428.13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91"/>
      <c r="K21" s="127" t="s">
        <v>137</v>
      </c>
      <c r="L21" s="128"/>
    </row>
    <row r="22" spans="1:12" ht="15" customHeight="1">
      <c r="A22" s="184" t="s">
        <v>59</v>
      </c>
      <c r="B22" s="185" t="s">
        <v>64</v>
      </c>
      <c r="C22" s="125">
        <v>46209</v>
      </c>
      <c r="D22" s="458"/>
      <c r="E22" s="405"/>
      <c r="F22" s="458"/>
      <c r="G22" s="405"/>
      <c r="H22" s="126">
        <v>8</v>
      </c>
      <c r="I22" s="91"/>
      <c r="K22" s="129" t="s">
        <v>140</v>
      </c>
      <c r="L22" s="130"/>
    </row>
    <row r="23" spans="1:12" ht="15" customHeight="1">
      <c r="A23" s="184" t="s">
        <v>59</v>
      </c>
      <c r="B23" s="185" t="s">
        <v>66</v>
      </c>
      <c r="C23" s="125">
        <v>46210</v>
      </c>
      <c r="D23" s="458"/>
      <c r="E23" s="405"/>
      <c r="F23" s="458"/>
      <c r="G23" s="405"/>
      <c r="H23" s="126">
        <v>8</v>
      </c>
      <c r="I23" s="91"/>
      <c r="K23" s="127" t="s">
        <v>109</v>
      </c>
      <c r="L23" s="128"/>
    </row>
    <row r="24" spans="1:12" ht="15" customHeight="1">
      <c r="A24" s="184" t="s">
        <v>59</v>
      </c>
      <c r="B24" s="185" t="s">
        <v>68</v>
      </c>
      <c r="C24" s="125">
        <v>46211</v>
      </c>
      <c r="D24" s="458"/>
      <c r="E24" s="405"/>
      <c r="F24" s="458"/>
      <c r="G24" s="405"/>
      <c r="H24" s="126">
        <v>8</v>
      </c>
      <c r="I24" s="91"/>
      <c r="K24" s="129" t="s">
        <v>140</v>
      </c>
      <c r="L24" s="130">
        <v>135691.81</v>
      </c>
    </row>
    <row r="25" spans="1:12" ht="15" customHeight="1">
      <c r="A25" s="184" t="s">
        <v>59</v>
      </c>
      <c r="B25" s="185" t="s">
        <v>60</v>
      </c>
      <c r="C25" s="125">
        <v>46212</v>
      </c>
      <c r="D25" s="458"/>
      <c r="E25" s="405"/>
      <c r="F25" s="458"/>
      <c r="G25" s="405"/>
      <c r="H25" s="126">
        <v>8</v>
      </c>
      <c r="I25" s="91"/>
      <c r="K25" s="135" t="s">
        <v>111</v>
      </c>
      <c r="L25" s="91"/>
    </row>
    <row r="26" spans="1:12" ht="15" customHeight="1">
      <c r="A26" s="184" t="s">
        <v>59</v>
      </c>
      <c r="B26" s="185" t="s">
        <v>61</v>
      </c>
      <c r="C26" s="125">
        <v>46213</v>
      </c>
      <c r="D26" s="458"/>
      <c r="E26" s="405"/>
      <c r="F26" s="458"/>
      <c r="G26" s="405"/>
      <c r="H26" s="126">
        <v>8</v>
      </c>
      <c r="I26" s="91"/>
      <c r="K26" s="129" t="s">
        <v>149</v>
      </c>
      <c r="L26" s="130">
        <v>12500</v>
      </c>
    </row>
    <row r="27" spans="1:12" ht="15" customHeight="1">
      <c r="A27" s="190" t="s">
        <v>59</v>
      </c>
      <c r="B27" s="191" t="s">
        <v>62</v>
      </c>
      <c r="C27" s="132">
        <v>46214</v>
      </c>
      <c r="D27" s="456"/>
      <c r="E27" s="405"/>
      <c r="F27" s="456"/>
      <c r="G27" s="405"/>
      <c r="H27" s="133">
        <v>8</v>
      </c>
      <c r="I27" s="91"/>
      <c r="J27" s="91"/>
      <c r="K27" s="129" t="s">
        <v>152</v>
      </c>
      <c r="L27" s="130">
        <v>20000</v>
      </c>
    </row>
    <row r="28" spans="1:12" ht="15" customHeight="1">
      <c r="A28" s="190" t="s">
        <v>59</v>
      </c>
      <c r="B28" s="191" t="s">
        <v>63</v>
      </c>
      <c r="C28" s="132">
        <v>46215</v>
      </c>
      <c r="D28" s="456"/>
      <c r="E28" s="405"/>
      <c r="F28" s="456"/>
      <c r="G28" s="405"/>
      <c r="H28" s="133">
        <v>8</v>
      </c>
      <c r="I28" s="91"/>
      <c r="J28" s="91"/>
      <c r="K28" s="129" t="s">
        <v>153</v>
      </c>
      <c r="L28" s="130">
        <v>27500</v>
      </c>
    </row>
    <row r="29" spans="1:12" ht="15" customHeight="1">
      <c r="A29" s="184" t="s">
        <v>134</v>
      </c>
      <c r="B29" s="185" t="s">
        <v>64</v>
      </c>
      <c r="C29" s="125">
        <v>46216</v>
      </c>
      <c r="D29" s="455" t="s">
        <v>244</v>
      </c>
      <c r="E29" s="405"/>
      <c r="F29" s="455" t="s">
        <v>247</v>
      </c>
      <c r="G29" s="405"/>
      <c r="H29" s="126">
        <v>9.35</v>
      </c>
      <c r="I29" s="91"/>
      <c r="K29" s="129" t="s">
        <v>154</v>
      </c>
      <c r="L29" s="130">
        <v>35000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454</v>
      </c>
      <c r="E30" s="405"/>
      <c r="F30" s="495" t="s">
        <v>340</v>
      </c>
      <c r="G30" s="405"/>
      <c r="H30" s="181">
        <v>9.42</v>
      </c>
      <c r="I30" s="91"/>
      <c r="K30" s="129" t="s">
        <v>155</v>
      </c>
      <c r="L30" s="130">
        <v>42500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  <c r="I31" s="91"/>
      <c r="K31" s="129" t="s">
        <v>156</v>
      </c>
      <c r="L31" s="130">
        <v>63750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138</v>
      </c>
      <c r="E32" s="405"/>
      <c r="F32" s="495" t="s">
        <v>455</v>
      </c>
      <c r="G32" s="405"/>
      <c r="H32" s="181">
        <v>9.5500000000000007</v>
      </c>
      <c r="I32" s="91"/>
      <c r="K32" s="129" t="s">
        <v>157</v>
      </c>
      <c r="L32" s="130">
        <v>127500</v>
      </c>
    </row>
    <row r="33" spans="1:12" ht="15" customHeight="1">
      <c r="A33" s="180" t="s">
        <v>134</v>
      </c>
      <c r="B33" s="51" t="s">
        <v>61</v>
      </c>
      <c r="C33" s="52">
        <v>46220</v>
      </c>
      <c r="D33" s="495" t="s">
        <v>454</v>
      </c>
      <c r="E33" s="405"/>
      <c r="F33" s="495" t="s">
        <v>265</v>
      </c>
      <c r="G33" s="405"/>
      <c r="H33" s="181">
        <v>9.83</v>
      </c>
      <c r="I33" s="91"/>
      <c r="K33" s="129" t="s">
        <v>158</v>
      </c>
      <c r="L33" s="130">
        <v>200000</v>
      </c>
    </row>
    <row r="34" spans="1:12" ht="15" customHeight="1">
      <c r="A34" s="190" t="s">
        <v>134</v>
      </c>
      <c r="B34" s="191" t="s">
        <v>62</v>
      </c>
      <c r="C34" s="132">
        <v>46221</v>
      </c>
      <c r="D34" s="536" t="s">
        <v>316</v>
      </c>
      <c r="E34" s="405"/>
      <c r="F34" s="536" t="s">
        <v>456</v>
      </c>
      <c r="G34" s="405"/>
      <c r="H34" s="133">
        <v>7.95</v>
      </c>
      <c r="I34" s="91"/>
      <c r="K34" s="228" t="s">
        <v>457</v>
      </c>
      <c r="L34" s="229"/>
    </row>
    <row r="35" spans="1:12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5"/>
      <c r="H35" s="183">
        <v>0</v>
      </c>
      <c r="I35" s="91"/>
      <c r="K35" s="129" t="s">
        <v>447</v>
      </c>
      <c r="L35" s="130">
        <v>287500</v>
      </c>
    </row>
    <row r="36" spans="1:12" ht="15" customHeight="1">
      <c r="A36" s="180" t="s">
        <v>134</v>
      </c>
      <c r="B36" s="51" t="s">
        <v>64</v>
      </c>
      <c r="C36" s="52">
        <v>46223</v>
      </c>
      <c r="D36" s="495" t="s">
        <v>458</v>
      </c>
      <c r="E36" s="405"/>
      <c r="F36" s="495" t="s">
        <v>459</v>
      </c>
      <c r="G36" s="405"/>
      <c r="H36" s="181">
        <v>16.02</v>
      </c>
      <c r="I36" s="139" t="s">
        <v>460</v>
      </c>
      <c r="K36" s="228" t="s">
        <v>372</v>
      </c>
      <c r="L36" s="229"/>
    </row>
    <row r="37" spans="1:12" ht="15" customHeight="1">
      <c r="A37" s="180" t="s">
        <v>461</v>
      </c>
      <c r="B37" s="51" t="s">
        <v>66</v>
      </c>
      <c r="C37" s="52">
        <v>46224</v>
      </c>
      <c r="D37" s="495" t="s">
        <v>462</v>
      </c>
      <c r="E37" s="405"/>
      <c r="F37" s="495" t="s">
        <v>265</v>
      </c>
      <c r="G37" s="405"/>
      <c r="H37" s="181">
        <v>8.85</v>
      </c>
      <c r="I37" s="91"/>
      <c r="K37" s="129" t="s">
        <v>263</v>
      </c>
      <c r="L37" s="130">
        <v>12974.53</v>
      </c>
    </row>
    <row r="38" spans="1:12" ht="15" customHeight="1">
      <c r="A38" s="261" t="s">
        <v>332</v>
      </c>
      <c r="B38" s="51" t="s">
        <v>68</v>
      </c>
      <c r="C38" s="52">
        <v>46225</v>
      </c>
      <c r="D38" s="495" t="s">
        <v>463</v>
      </c>
      <c r="E38" s="405"/>
      <c r="F38" s="495" t="s">
        <v>170</v>
      </c>
      <c r="G38" s="405"/>
      <c r="H38" s="181">
        <v>10.57</v>
      </c>
      <c r="I38" s="91"/>
      <c r="K38" s="228" t="s">
        <v>449</v>
      </c>
      <c r="L38" s="229"/>
    </row>
    <row r="39" spans="1:12" ht="15" customHeight="1">
      <c r="A39" s="261" t="s">
        <v>332</v>
      </c>
      <c r="B39" s="51" t="s">
        <v>60</v>
      </c>
      <c r="C39" s="52">
        <v>46226</v>
      </c>
      <c r="D39" s="495" t="s">
        <v>464</v>
      </c>
      <c r="E39" s="405"/>
      <c r="F39" s="495" t="s">
        <v>151</v>
      </c>
      <c r="G39" s="405"/>
      <c r="H39" s="181">
        <v>10.27</v>
      </c>
      <c r="I39" s="91"/>
      <c r="K39" s="129" t="s">
        <v>447</v>
      </c>
      <c r="L39" s="130">
        <v>172500</v>
      </c>
    </row>
    <row r="40" spans="1:12" ht="15" customHeight="1">
      <c r="A40" s="261" t="s">
        <v>332</v>
      </c>
      <c r="B40" s="51" t="s">
        <v>61</v>
      </c>
      <c r="C40" s="52">
        <v>46227</v>
      </c>
      <c r="D40" s="495" t="s">
        <v>465</v>
      </c>
      <c r="E40" s="405"/>
      <c r="F40" s="495" t="s">
        <v>256</v>
      </c>
      <c r="G40" s="405"/>
      <c r="H40" s="181">
        <v>10.8</v>
      </c>
      <c r="I40" s="91"/>
    </row>
    <row r="41" spans="1:12" ht="15" customHeight="1">
      <c r="A41" s="131" t="s">
        <v>353</v>
      </c>
      <c r="B41" s="191" t="s">
        <v>62</v>
      </c>
      <c r="C41" s="132">
        <v>46228</v>
      </c>
      <c r="D41" s="536" t="s">
        <v>466</v>
      </c>
      <c r="E41" s="405"/>
      <c r="F41" s="536" t="s">
        <v>200</v>
      </c>
      <c r="G41" s="405"/>
      <c r="H41" s="133">
        <v>11.62</v>
      </c>
      <c r="I41" s="91"/>
    </row>
    <row r="42" spans="1:12" ht="15" customHeight="1">
      <c r="A42" s="304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  <c r="I42" s="91"/>
    </row>
    <row r="43" spans="1:12" ht="15" customHeight="1">
      <c r="A43" s="261" t="s">
        <v>336</v>
      </c>
      <c r="B43" s="51" t="s">
        <v>64</v>
      </c>
      <c r="C43" s="52">
        <v>46230</v>
      </c>
      <c r="D43" s="495" t="s">
        <v>337</v>
      </c>
      <c r="E43" s="405"/>
      <c r="F43" s="495" t="s">
        <v>217</v>
      </c>
      <c r="G43" s="405"/>
      <c r="H43" s="181">
        <v>11.93</v>
      </c>
      <c r="I43" s="91"/>
    </row>
    <row r="44" spans="1:12" ht="15" customHeight="1">
      <c r="A44" s="261" t="s">
        <v>336</v>
      </c>
      <c r="B44" s="51" t="s">
        <v>66</v>
      </c>
      <c r="C44" s="52">
        <v>46231</v>
      </c>
      <c r="D44" s="495" t="s">
        <v>338</v>
      </c>
      <c r="E44" s="405"/>
      <c r="F44" s="495" t="s">
        <v>296</v>
      </c>
      <c r="G44" s="405"/>
      <c r="H44" s="181">
        <v>11.77</v>
      </c>
      <c r="I44" s="91"/>
    </row>
    <row r="45" spans="1:12" ht="15" customHeight="1">
      <c r="A45" s="180" t="s">
        <v>332</v>
      </c>
      <c r="B45" s="51" t="s">
        <v>68</v>
      </c>
      <c r="C45" s="52">
        <v>46232</v>
      </c>
      <c r="D45" s="495" t="s">
        <v>467</v>
      </c>
      <c r="E45" s="405"/>
      <c r="F45" s="495" t="s">
        <v>340</v>
      </c>
      <c r="G45" s="405"/>
      <c r="H45" s="181">
        <v>10.199999999999999</v>
      </c>
      <c r="I45" s="91"/>
    </row>
    <row r="46" spans="1:12" ht="15" customHeight="1">
      <c r="A46" s="180" t="s">
        <v>134</v>
      </c>
      <c r="B46" s="51" t="s">
        <v>60</v>
      </c>
      <c r="C46" s="52">
        <v>46233</v>
      </c>
      <c r="D46" s="495" t="s">
        <v>199</v>
      </c>
      <c r="E46" s="405"/>
      <c r="F46" s="495" t="s">
        <v>341</v>
      </c>
      <c r="G46" s="405"/>
      <c r="H46" s="181">
        <v>9.3699999999999992</v>
      </c>
      <c r="I46" s="91"/>
    </row>
    <row r="47" spans="1:12" ht="15" customHeight="1">
      <c r="A47" s="192" t="s">
        <v>134</v>
      </c>
      <c r="B47" s="193" t="s">
        <v>61</v>
      </c>
      <c r="C47" s="194">
        <v>46234</v>
      </c>
      <c r="D47" s="502" t="s">
        <v>342</v>
      </c>
      <c r="E47" s="467"/>
      <c r="F47" s="502" t="s">
        <v>195</v>
      </c>
      <c r="G47" s="467"/>
      <c r="H47" s="195">
        <v>9.4700000000000006</v>
      </c>
      <c r="I47" s="91"/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256.53000000000003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>
        <v>46219</v>
      </c>
      <c r="B52" s="531" t="s">
        <v>228</v>
      </c>
      <c r="C52" s="437"/>
      <c r="D52" s="267">
        <v>650000</v>
      </c>
      <c r="E52" s="202"/>
      <c r="F52" s="500"/>
      <c r="G52" s="437"/>
      <c r="H52" s="203"/>
    </row>
    <row r="53" spans="1:8" ht="14.25" customHeight="1">
      <c r="A53" s="268"/>
      <c r="B53" s="473"/>
      <c r="C53" s="405"/>
      <c r="D53" s="305"/>
      <c r="E53" s="204"/>
      <c r="F53" s="499"/>
      <c r="G53" s="405"/>
      <c r="H53" s="205"/>
    </row>
    <row r="54" spans="1:8" ht="14.25" customHeight="1">
      <c r="A54" s="268"/>
      <c r="B54" s="473"/>
      <c r="C54" s="405"/>
      <c r="D54" s="305"/>
      <c r="E54" s="204"/>
      <c r="F54" s="499"/>
      <c r="G54" s="405"/>
      <c r="H54" s="205"/>
    </row>
    <row r="55" spans="1:8" ht="14.25" customHeight="1">
      <c r="A55" s="224"/>
      <c r="B55" s="533"/>
      <c r="C55" s="467"/>
      <c r="D55" s="247"/>
      <c r="E55" s="204"/>
      <c r="F55" s="499"/>
      <c r="G55" s="405"/>
      <c r="H55" s="205"/>
    </row>
    <row r="56" spans="1:8" ht="14.25" customHeight="1">
      <c r="A56" s="514" t="s">
        <v>81</v>
      </c>
      <c r="B56" s="469"/>
      <c r="C56" s="515"/>
      <c r="D56" s="208">
        <f>SUM(D52:D55)</f>
        <v>650000</v>
      </c>
      <c r="E56" s="507" t="s">
        <v>229</v>
      </c>
      <c r="F56" s="469"/>
      <c r="G56" s="470"/>
      <c r="H56" s="156">
        <f>+H55</f>
        <v>0</v>
      </c>
    </row>
    <row r="57" spans="1:8" ht="14.25" customHeight="1">
      <c r="D57" s="91"/>
      <c r="E57" s="472" t="s">
        <v>178</v>
      </c>
      <c r="F57" s="411"/>
      <c r="G57" s="412"/>
      <c r="H57" s="209">
        <v>0</v>
      </c>
    </row>
    <row r="58" spans="1:8" ht="14.25" customHeight="1">
      <c r="A58" s="516" t="s">
        <v>230</v>
      </c>
      <c r="B58" s="517"/>
      <c r="C58" s="517"/>
      <c r="D58" s="518"/>
    </row>
    <row r="59" spans="1:8" ht="14.25" customHeight="1">
      <c r="A59" s="519" t="s">
        <v>231</v>
      </c>
      <c r="B59" s="447"/>
      <c r="C59" s="437"/>
      <c r="D59" s="210" t="s">
        <v>232</v>
      </c>
    </row>
    <row r="60" spans="1:8" ht="14.25" customHeight="1">
      <c r="A60" s="512" t="s">
        <v>233</v>
      </c>
      <c r="B60" s="404"/>
      <c r="C60" s="405"/>
      <c r="D60" s="211">
        <v>-396.88</v>
      </c>
    </row>
    <row r="61" spans="1:8" ht="14.25" customHeight="1">
      <c r="A61" s="512" t="s">
        <v>234</v>
      </c>
      <c r="B61" s="404"/>
      <c r="C61" s="405"/>
      <c r="D61" s="211">
        <v>0</v>
      </c>
    </row>
    <row r="62" spans="1:8" ht="14.25" customHeight="1">
      <c r="A62" s="512" t="s">
        <v>235</v>
      </c>
      <c r="B62" s="404"/>
      <c r="C62" s="405"/>
      <c r="D62" s="211">
        <v>0</v>
      </c>
    </row>
    <row r="63" spans="1:8" ht="14.25" customHeight="1">
      <c r="A63" s="512" t="s">
        <v>236</v>
      </c>
      <c r="B63" s="404"/>
      <c r="C63" s="405"/>
      <c r="D63" s="211">
        <v>0</v>
      </c>
    </row>
    <row r="64" spans="1:8" ht="14.25" customHeight="1">
      <c r="A64" s="512" t="s">
        <v>237</v>
      </c>
      <c r="B64" s="404"/>
      <c r="C64" s="405"/>
      <c r="D64" s="211"/>
    </row>
    <row r="65" spans="1:4" ht="14.25" customHeight="1">
      <c r="A65" s="512" t="s">
        <v>238</v>
      </c>
      <c r="B65" s="404"/>
      <c r="C65" s="405"/>
      <c r="D65" s="211"/>
    </row>
    <row r="66" spans="1:4" ht="14.25" customHeight="1">
      <c r="A66" s="512" t="s">
        <v>239</v>
      </c>
      <c r="B66" s="404"/>
      <c r="C66" s="405"/>
      <c r="D66" s="211"/>
    </row>
    <row r="67" spans="1:4" ht="14.25" customHeight="1">
      <c r="A67" s="512" t="s">
        <v>45</v>
      </c>
      <c r="B67" s="404"/>
      <c r="C67" s="405"/>
      <c r="D67" s="211"/>
    </row>
    <row r="68" spans="1:4" ht="14.25" customHeight="1">
      <c r="A68" s="512" t="s">
        <v>98</v>
      </c>
      <c r="B68" s="404"/>
      <c r="C68" s="405"/>
      <c r="D68" s="211"/>
    </row>
    <row r="69" spans="1:4" ht="14.25" customHeight="1">
      <c r="A69" s="512" t="s">
        <v>100</v>
      </c>
      <c r="B69" s="404"/>
      <c r="C69" s="405"/>
      <c r="D69" s="211"/>
    </row>
    <row r="70" spans="1:4" ht="14.25" customHeight="1">
      <c r="A70" s="512" t="s">
        <v>104</v>
      </c>
      <c r="B70" s="404"/>
      <c r="C70" s="405"/>
      <c r="D70" s="211"/>
    </row>
    <row r="71" spans="1:4" ht="14.25" customHeight="1">
      <c r="A71" s="512" t="s">
        <v>106</v>
      </c>
      <c r="B71" s="404"/>
      <c r="C71" s="405"/>
      <c r="D71" s="211"/>
    </row>
    <row r="72" spans="1:4" ht="14.25" customHeight="1">
      <c r="A72" s="513" t="s">
        <v>113</v>
      </c>
      <c r="B72" s="504"/>
      <c r="C72" s="467"/>
      <c r="D72" s="212"/>
    </row>
    <row r="73" spans="1:4" ht="14.25" customHeight="1">
      <c r="A73" s="511" t="s">
        <v>81</v>
      </c>
      <c r="B73" s="411"/>
      <c r="C73" s="480"/>
      <c r="D73" s="213">
        <f>SUM(D60:D72)</f>
        <v>-396.88</v>
      </c>
    </row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</sheetData>
  <mergeCells count="131">
    <mergeCell ref="A1:H4"/>
    <mergeCell ref="A5:E5"/>
    <mergeCell ref="F5:G5"/>
    <mergeCell ref="B6:C6"/>
    <mergeCell ref="A7:B7"/>
    <mergeCell ref="A8:B8"/>
    <mergeCell ref="C11:D11"/>
    <mergeCell ref="C10:D10"/>
    <mergeCell ref="E10:F10"/>
    <mergeCell ref="G10:H10"/>
    <mergeCell ref="D25:E25"/>
    <mergeCell ref="D26:E26"/>
    <mergeCell ref="D22:E22"/>
    <mergeCell ref="D23:E23"/>
    <mergeCell ref="F27:G27"/>
    <mergeCell ref="F24:G24"/>
    <mergeCell ref="F25:G25"/>
    <mergeCell ref="F26:G26"/>
    <mergeCell ref="F21:G21"/>
    <mergeCell ref="F22:G22"/>
    <mergeCell ref="F23:G23"/>
    <mergeCell ref="D21:E21"/>
    <mergeCell ref="I5:J5"/>
    <mergeCell ref="K5:L5"/>
    <mergeCell ref="F6:G6"/>
    <mergeCell ref="E9:F9"/>
    <mergeCell ref="G9:H9"/>
    <mergeCell ref="D32:E32"/>
    <mergeCell ref="F32:G32"/>
    <mergeCell ref="D36:E36"/>
    <mergeCell ref="D33:E33"/>
    <mergeCell ref="F33:G33"/>
    <mergeCell ref="D34:E34"/>
    <mergeCell ref="F34:G34"/>
    <mergeCell ref="D35:E35"/>
    <mergeCell ref="F35:G35"/>
    <mergeCell ref="D30:E30"/>
    <mergeCell ref="F30:G30"/>
    <mergeCell ref="D31:E31"/>
    <mergeCell ref="F31:G31"/>
    <mergeCell ref="D27:E27"/>
    <mergeCell ref="F28:G28"/>
    <mergeCell ref="F29:G29"/>
    <mergeCell ref="D28:E28"/>
    <mergeCell ref="D29:E29"/>
    <mergeCell ref="D24:E24"/>
    <mergeCell ref="D18:E18"/>
    <mergeCell ref="D19:E19"/>
    <mergeCell ref="D20:E20"/>
    <mergeCell ref="E11:F11"/>
    <mergeCell ref="G11:H11"/>
    <mergeCell ref="G12:H12"/>
    <mergeCell ref="C9:D9"/>
    <mergeCell ref="C7:D7"/>
    <mergeCell ref="C8:D8"/>
    <mergeCell ref="E7:F7"/>
    <mergeCell ref="G7:H7"/>
    <mergeCell ref="E8:F8"/>
    <mergeCell ref="G8:H8"/>
    <mergeCell ref="C12:D12"/>
    <mergeCell ref="E12:F12"/>
    <mergeCell ref="F20:G20"/>
    <mergeCell ref="F18:G18"/>
    <mergeCell ref="F19:G19"/>
    <mergeCell ref="G15:H15"/>
    <mergeCell ref="D16:E16"/>
    <mergeCell ref="F16:G16"/>
    <mergeCell ref="D17:E17"/>
    <mergeCell ref="F17:G17"/>
    <mergeCell ref="A15:F15"/>
    <mergeCell ref="B13:C13"/>
    <mergeCell ref="D13:E13"/>
    <mergeCell ref="F13:H13"/>
    <mergeCell ref="B14:C14"/>
    <mergeCell ref="D14:E14"/>
    <mergeCell ref="F14:H14"/>
    <mergeCell ref="D47:E47"/>
    <mergeCell ref="D46:E46"/>
    <mergeCell ref="D45:E45"/>
    <mergeCell ref="D44:E44"/>
    <mergeCell ref="D39:E39"/>
    <mergeCell ref="D40:E40"/>
    <mergeCell ref="D37:E37"/>
    <mergeCell ref="D38:E38"/>
    <mergeCell ref="D41:E41"/>
    <mergeCell ref="D43:E43"/>
    <mergeCell ref="D42:E42"/>
    <mergeCell ref="F39:G39"/>
    <mergeCell ref="F36:G36"/>
    <mergeCell ref="F37:G37"/>
    <mergeCell ref="F38:G38"/>
    <mergeCell ref="F43:G43"/>
    <mergeCell ref="F42:G42"/>
    <mergeCell ref="F45:G45"/>
    <mergeCell ref="F41:G41"/>
    <mergeCell ref="A50:D50"/>
    <mergeCell ref="E50:H50"/>
    <mergeCell ref="B51:C51"/>
    <mergeCell ref="A56:C56"/>
    <mergeCell ref="A58:D58"/>
    <mergeCell ref="B53:C53"/>
    <mergeCell ref="B54:C54"/>
    <mergeCell ref="F54:G54"/>
    <mergeCell ref="B55:C55"/>
    <mergeCell ref="F55:G55"/>
    <mergeCell ref="B52:C52"/>
    <mergeCell ref="F53:G53"/>
    <mergeCell ref="F44:G44"/>
    <mergeCell ref="F48:G48"/>
    <mergeCell ref="F51:G51"/>
    <mergeCell ref="F52:G52"/>
    <mergeCell ref="F47:G47"/>
    <mergeCell ref="F40:G40"/>
    <mergeCell ref="F46:G46"/>
    <mergeCell ref="A73:C73"/>
    <mergeCell ref="A67:C67"/>
    <mergeCell ref="A68:C68"/>
    <mergeCell ref="A69:C69"/>
    <mergeCell ref="A70:C70"/>
    <mergeCell ref="A71:C71"/>
    <mergeCell ref="A72:C72"/>
    <mergeCell ref="A66:C66"/>
    <mergeCell ref="A59:C59"/>
    <mergeCell ref="A60:C60"/>
    <mergeCell ref="A61:C61"/>
    <mergeCell ref="A62:C62"/>
    <mergeCell ref="A63:C63"/>
    <mergeCell ref="A64:C64"/>
    <mergeCell ref="A65:C65"/>
    <mergeCell ref="E56:G56"/>
    <mergeCell ref="E57:G57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273"/>
  <sheetViews>
    <sheetView workbookViewId="0">
      <selection activeCell="A8" sqref="A8:B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575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468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+A8+C8+E8+G8+B10+C10+G10+G12</f>
        <v>2039290.84</v>
      </c>
      <c r="I5" s="431" t="s">
        <v>86</v>
      </c>
      <c r="J5" s="430"/>
      <c r="K5" s="429" t="str">
        <f>+B6</f>
        <v>CARLOS CARRIZO</v>
      </c>
      <c r="L5" s="430"/>
    </row>
    <row r="6" spans="1:12" ht="24.75" customHeight="1">
      <c r="A6" s="251" t="s">
        <v>179</v>
      </c>
      <c r="B6" s="576" t="s">
        <v>469</v>
      </c>
      <c r="C6" s="435"/>
      <c r="D6" s="252" t="s">
        <v>181</v>
      </c>
      <c r="E6" s="306">
        <v>37315890</v>
      </c>
      <c r="F6" s="544" t="s">
        <v>89</v>
      </c>
      <c r="G6" s="450"/>
      <c r="H6" s="254">
        <v>2</v>
      </c>
      <c r="I6" s="99" t="s">
        <v>45</v>
      </c>
      <c r="J6" s="100">
        <v>1400375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538" t="s">
        <v>109</v>
      </c>
      <c r="H7" s="448"/>
      <c r="I7" s="99" t="s">
        <v>98</v>
      </c>
      <c r="J7" s="100"/>
      <c r="K7" t="s">
        <v>99</v>
      </c>
      <c r="L7" s="105">
        <f>+A8</f>
        <v>1400375</v>
      </c>
    </row>
    <row r="8" spans="1:12" ht="24.75" customHeight="1">
      <c r="A8" s="491">
        <f>1120300*25%+1120300</f>
        <v>1400375</v>
      </c>
      <c r="B8" s="405"/>
      <c r="C8" s="492">
        <f>+L20</f>
        <v>58762.080000000002</v>
      </c>
      <c r="D8" s="405"/>
      <c r="E8" s="422">
        <f>+L22</f>
        <v>65291.199999999997</v>
      </c>
      <c r="F8" s="405"/>
      <c r="G8" s="422">
        <f>+L24</f>
        <v>123153.92</v>
      </c>
      <c r="H8" s="406"/>
      <c r="I8" s="99" t="s">
        <v>100</v>
      </c>
      <c r="J8" s="100"/>
      <c r="K8" t="s">
        <v>184</v>
      </c>
      <c r="L8" s="105">
        <f>+C8</f>
        <v>58762.080000000002</v>
      </c>
    </row>
    <row r="9" spans="1:12" ht="24.75" customHeight="1">
      <c r="A9" s="166" t="s">
        <v>111</v>
      </c>
      <c r="B9" s="167">
        <v>1</v>
      </c>
      <c r="C9" s="453" t="s">
        <v>185</v>
      </c>
      <c r="D9" s="405"/>
      <c r="E9" s="493" t="s">
        <v>96</v>
      </c>
      <c r="F9" s="405"/>
      <c r="G9" s="421" t="s">
        <v>470</v>
      </c>
      <c r="H9" s="406"/>
      <c r="I9" s="99" t="s">
        <v>104</v>
      </c>
      <c r="J9" s="100"/>
      <c r="K9" t="s">
        <v>101</v>
      </c>
      <c r="L9" s="105">
        <f>+E8</f>
        <v>65291.199999999997</v>
      </c>
    </row>
    <row r="10" spans="1:12" ht="24.75" customHeight="1">
      <c r="A10" s="168">
        <v>45748</v>
      </c>
      <c r="B10" s="130">
        <f>+L26</f>
        <v>14600</v>
      </c>
      <c r="C10" s="422">
        <v>0</v>
      </c>
      <c r="D10" s="405"/>
      <c r="E10" s="422">
        <f>+D56+H56</f>
        <v>300000</v>
      </c>
      <c r="F10" s="405"/>
      <c r="G10" s="527">
        <f>+L35</f>
        <v>202500</v>
      </c>
      <c r="H10" s="406"/>
      <c r="I10" s="99" t="s">
        <v>106</v>
      </c>
      <c r="J10" s="100"/>
      <c r="K10" t="s">
        <v>105</v>
      </c>
      <c r="L10" s="105">
        <f>+G8</f>
        <v>123153.92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14600</v>
      </c>
    </row>
    <row r="12" spans="1:12" ht="24.75" customHeight="1">
      <c r="A12" s="171">
        <v>200</v>
      </c>
      <c r="B12" s="172">
        <f>+H48</f>
        <v>233.12000000000003</v>
      </c>
      <c r="C12" s="498">
        <f>+B12-A12</f>
        <v>33.120000000000033</v>
      </c>
      <c r="D12" s="405"/>
      <c r="E12" s="422">
        <f>4217.6*25%+4217.6</f>
        <v>5272</v>
      </c>
      <c r="F12" s="405"/>
      <c r="G12" s="422">
        <f>+C12*E12</f>
        <v>174608.64000000016</v>
      </c>
      <c r="H12" s="406"/>
      <c r="I12" s="99" t="s">
        <v>81</v>
      </c>
      <c r="J12" s="100">
        <f>SUM(J6:J11)</f>
        <v>1400375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233395.83333333334</v>
      </c>
      <c r="K13" s="91" t="s">
        <v>471</v>
      </c>
      <c r="L13" s="105">
        <f>+G10</f>
        <v>202500</v>
      </c>
    </row>
    <row r="14" spans="1:12" ht="39" customHeight="1">
      <c r="A14" s="227" t="s">
        <v>290</v>
      </c>
      <c r="B14" s="528">
        <v>46113</v>
      </c>
      <c r="C14" s="467"/>
      <c r="D14" s="482" t="s">
        <v>125</v>
      </c>
      <c r="E14" s="467"/>
      <c r="F14" s="530" t="s">
        <v>472</v>
      </c>
      <c r="G14" s="504"/>
      <c r="H14" s="505"/>
      <c r="I14" s="99" t="s">
        <v>86</v>
      </c>
      <c r="J14" s="115">
        <f>+J13/2</f>
        <v>116697.91666666667</v>
      </c>
      <c r="K14" t="s">
        <v>191</v>
      </c>
      <c r="L14" s="105">
        <f>+G12</f>
        <v>174608.64000000016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1739290.84</v>
      </c>
      <c r="H15" s="412"/>
      <c r="I15" s="91"/>
      <c r="K15" s="112" t="s">
        <v>122</v>
      </c>
      <c r="L15" s="113">
        <f>SUM(L7:L14)</f>
        <v>2039290.84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t="s">
        <v>126</v>
      </c>
      <c r="L16" s="105">
        <f>+E10</f>
        <v>300000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243</v>
      </c>
      <c r="E17" s="437"/>
      <c r="F17" s="510" t="s">
        <v>376</v>
      </c>
      <c r="G17" s="437"/>
      <c r="H17" s="179">
        <v>9.1300000000000008</v>
      </c>
      <c r="I17" s="91"/>
      <c r="K17" s="119" t="s">
        <v>133</v>
      </c>
      <c r="L17" s="120">
        <f>+L15-L16</f>
        <v>1739290.84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199</v>
      </c>
      <c r="E18" s="405"/>
      <c r="F18" s="495" t="s">
        <v>166</v>
      </c>
      <c r="G18" s="405"/>
      <c r="H18" s="181">
        <v>9.08</v>
      </c>
      <c r="I18" s="91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210</v>
      </c>
      <c r="E19" s="405"/>
      <c r="F19" s="495" t="s">
        <v>473</v>
      </c>
      <c r="G19" s="405"/>
      <c r="H19" s="181">
        <v>8.5</v>
      </c>
      <c r="I19" s="91"/>
      <c r="K19" s="127" t="s">
        <v>196</v>
      </c>
      <c r="L19" s="128"/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216</v>
      </c>
      <c r="E20" s="405"/>
      <c r="F20" s="536" t="s">
        <v>474</v>
      </c>
      <c r="G20" s="405"/>
      <c r="H20" s="133">
        <v>4.2</v>
      </c>
      <c r="I20" s="91"/>
      <c r="K20" s="129" t="s">
        <v>140</v>
      </c>
      <c r="L20" s="130">
        <f>50310*16.8%+50310</f>
        <v>58762.080000000002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91"/>
      <c r="K21" s="127" t="s">
        <v>137</v>
      </c>
      <c r="L21" s="128"/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213</v>
      </c>
      <c r="E22" s="405"/>
      <c r="F22" s="495" t="s">
        <v>136</v>
      </c>
      <c r="G22" s="405"/>
      <c r="H22" s="181">
        <v>9.17</v>
      </c>
      <c r="I22" s="91"/>
      <c r="K22" s="129" t="s">
        <v>140</v>
      </c>
      <c r="L22" s="130">
        <f>55900*16.8%+55900</f>
        <v>65291.199999999997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I23" s="220"/>
      <c r="K23" s="127" t="s">
        <v>109</v>
      </c>
      <c r="L23" s="128"/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243</v>
      </c>
      <c r="E24" s="405"/>
      <c r="F24" s="495" t="s">
        <v>166</v>
      </c>
      <c r="G24" s="405"/>
      <c r="H24" s="181">
        <v>9.15</v>
      </c>
      <c r="I24" s="91"/>
      <c r="K24" s="129" t="s">
        <v>140</v>
      </c>
      <c r="L24" s="130">
        <f>105440*16.8%+105440</f>
        <v>123153.92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242</v>
      </c>
      <c r="E25" s="405"/>
      <c r="F25" s="495" t="s">
        <v>340</v>
      </c>
      <c r="G25" s="405"/>
      <c r="H25" s="181">
        <v>9.1300000000000008</v>
      </c>
      <c r="I25" s="91"/>
      <c r="K25" s="135" t="s">
        <v>111</v>
      </c>
      <c r="L25" s="91"/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250</v>
      </c>
      <c r="E26" s="405"/>
      <c r="F26" s="495" t="s">
        <v>247</v>
      </c>
      <c r="G26" s="405"/>
      <c r="H26" s="181">
        <v>9.2799999999999994</v>
      </c>
      <c r="I26" s="91"/>
      <c r="K26" s="129" t="s">
        <v>149</v>
      </c>
      <c r="L26" s="130">
        <f>12500*16.8%+12500</f>
        <v>14600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213</v>
      </c>
      <c r="E27" s="405"/>
      <c r="F27" s="536" t="s">
        <v>475</v>
      </c>
      <c r="G27" s="405"/>
      <c r="H27" s="133">
        <v>4.47</v>
      </c>
      <c r="I27" s="91"/>
      <c r="J27" s="91"/>
      <c r="K27" s="129" t="s">
        <v>152</v>
      </c>
      <c r="L27" s="130">
        <f>20000*16.8%+20000</f>
        <v>23360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I28" s="91"/>
      <c r="J28" s="91"/>
      <c r="K28" s="129" t="s">
        <v>153</v>
      </c>
      <c r="L28" s="130">
        <f>27500*16.8%+27500</f>
        <v>32120</v>
      </c>
    </row>
    <row r="29" spans="1:12" ht="15" customHeight="1">
      <c r="A29" s="184" t="s">
        <v>59</v>
      </c>
      <c r="B29" s="185" t="s">
        <v>64</v>
      </c>
      <c r="C29" s="125">
        <v>46216</v>
      </c>
      <c r="D29" s="458"/>
      <c r="E29" s="405"/>
      <c r="F29" s="458"/>
      <c r="G29" s="405"/>
      <c r="H29" s="126">
        <v>8</v>
      </c>
      <c r="I29" s="91"/>
      <c r="K29" s="129" t="s">
        <v>154</v>
      </c>
      <c r="L29" s="130">
        <f>35000*16.8%+35000</f>
        <v>40880</v>
      </c>
    </row>
    <row r="30" spans="1:12" ht="15" customHeight="1">
      <c r="A30" s="184" t="s">
        <v>59</v>
      </c>
      <c r="B30" s="185" t="s">
        <v>66</v>
      </c>
      <c r="C30" s="125">
        <v>46217</v>
      </c>
      <c r="D30" s="458"/>
      <c r="E30" s="405"/>
      <c r="F30" s="458"/>
      <c r="G30" s="405"/>
      <c r="H30" s="126">
        <v>8</v>
      </c>
      <c r="I30" s="91"/>
      <c r="K30" s="129" t="s">
        <v>155</v>
      </c>
      <c r="L30" s="130">
        <f>42500*16.8%+42500</f>
        <v>49640</v>
      </c>
    </row>
    <row r="31" spans="1:12" ht="15" customHeight="1">
      <c r="A31" s="184" t="s">
        <v>59</v>
      </c>
      <c r="B31" s="185" t="s">
        <v>68</v>
      </c>
      <c r="C31" s="125">
        <v>46218</v>
      </c>
      <c r="D31" s="458"/>
      <c r="E31" s="405"/>
      <c r="F31" s="458"/>
      <c r="G31" s="405"/>
      <c r="H31" s="126">
        <v>8</v>
      </c>
      <c r="I31" s="91"/>
      <c r="K31" s="129" t="s">
        <v>156</v>
      </c>
      <c r="L31" s="130">
        <f>63750*16.8%+63750</f>
        <v>74460</v>
      </c>
    </row>
    <row r="32" spans="1:12" ht="15" customHeight="1">
      <c r="A32" s="184" t="s">
        <v>59</v>
      </c>
      <c r="B32" s="185" t="s">
        <v>60</v>
      </c>
      <c r="C32" s="125">
        <v>46219</v>
      </c>
      <c r="D32" s="458"/>
      <c r="E32" s="405"/>
      <c r="F32" s="458"/>
      <c r="G32" s="405"/>
      <c r="H32" s="126">
        <v>8</v>
      </c>
      <c r="I32" s="91"/>
      <c r="K32" s="129" t="s">
        <v>157</v>
      </c>
      <c r="L32" s="130">
        <f>127500*16.8%+127500</f>
        <v>148920</v>
      </c>
    </row>
    <row r="33" spans="1:12" ht="15" customHeight="1">
      <c r="A33" s="184" t="s">
        <v>59</v>
      </c>
      <c r="B33" s="185" t="s">
        <v>61</v>
      </c>
      <c r="C33" s="125">
        <v>46220</v>
      </c>
      <c r="D33" s="458"/>
      <c r="E33" s="405"/>
      <c r="F33" s="458"/>
      <c r="G33" s="405"/>
      <c r="H33" s="126">
        <v>8</v>
      </c>
      <c r="I33" s="91"/>
      <c r="K33" s="129" t="s">
        <v>158</v>
      </c>
      <c r="L33" s="130">
        <f>200000*16.8%+200000</f>
        <v>233600</v>
      </c>
    </row>
    <row r="34" spans="1:12" ht="15" customHeight="1">
      <c r="A34" s="190" t="s">
        <v>59</v>
      </c>
      <c r="B34" s="191" t="s">
        <v>62</v>
      </c>
      <c r="C34" s="132">
        <v>46221</v>
      </c>
      <c r="D34" s="456"/>
      <c r="E34" s="405"/>
      <c r="F34" s="456"/>
      <c r="G34" s="405"/>
      <c r="H34" s="133">
        <v>8</v>
      </c>
      <c r="I34" s="91"/>
      <c r="K34" s="228" t="s">
        <v>470</v>
      </c>
      <c r="L34" s="229"/>
    </row>
    <row r="35" spans="1:12" ht="15" customHeight="1">
      <c r="A35" s="190" t="s">
        <v>59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8</v>
      </c>
      <c r="I35" s="91"/>
      <c r="K35" s="129" t="s">
        <v>447</v>
      </c>
      <c r="L35" s="130">
        <f>150000*35%+150000</f>
        <v>202500</v>
      </c>
    </row>
    <row r="36" spans="1:12" ht="15" customHeight="1">
      <c r="A36" s="184" t="s">
        <v>59</v>
      </c>
      <c r="B36" s="185" t="s">
        <v>64</v>
      </c>
      <c r="C36" s="125">
        <v>46223</v>
      </c>
      <c r="D36" s="458"/>
      <c r="E36" s="405"/>
      <c r="F36" s="458"/>
      <c r="G36" s="405"/>
      <c r="H36" s="126">
        <v>8</v>
      </c>
      <c r="I36" s="91"/>
    </row>
    <row r="37" spans="1:12" ht="15" customHeight="1">
      <c r="A37" s="184" t="s">
        <v>59</v>
      </c>
      <c r="B37" s="185" t="s">
        <v>66</v>
      </c>
      <c r="C37" s="125">
        <v>46224</v>
      </c>
      <c r="D37" s="458"/>
      <c r="E37" s="405"/>
      <c r="F37" s="458"/>
      <c r="G37" s="405"/>
      <c r="H37" s="126">
        <v>8</v>
      </c>
      <c r="I37" s="91"/>
    </row>
    <row r="38" spans="1:12" ht="15" customHeight="1">
      <c r="A38" s="184" t="s">
        <v>59</v>
      </c>
      <c r="B38" s="185" t="s">
        <v>68</v>
      </c>
      <c r="C38" s="125">
        <v>46225</v>
      </c>
      <c r="D38" s="458"/>
      <c r="E38" s="405"/>
      <c r="F38" s="458"/>
      <c r="G38" s="405"/>
      <c r="H38" s="126">
        <v>8</v>
      </c>
      <c r="I38" s="91"/>
    </row>
    <row r="39" spans="1:12" ht="15" customHeight="1">
      <c r="A39" s="184" t="s">
        <v>59</v>
      </c>
      <c r="B39" s="185" t="s">
        <v>60</v>
      </c>
      <c r="C39" s="125">
        <v>46226</v>
      </c>
      <c r="D39" s="458"/>
      <c r="E39" s="405"/>
      <c r="F39" s="458"/>
      <c r="G39" s="405"/>
      <c r="H39" s="126">
        <v>8</v>
      </c>
      <c r="I39" s="91"/>
    </row>
    <row r="40" spans="1:12" ht="15" customHeight="1">
      <c r="A40" s="184" t="s">
        <v>59</v>
      </c>
      <c r="B40" s="185" t="s">
        <v>61</v>
      </c>
      <c r="C40" s="125">
        <v>46227</v>
      </c>
      <c r="D40" s="458"/>
      <c r="E40" s="405"/>
      <c r="F40" s="458"/>
      <c r="G40" s="405"/>
      <c r="H40" s="126">
        <v>8</v>
      </c>
      <c r="I40" s="91"/>
    </row>
    <row r="41" spans="1:12" ht="15" customHeight="1">
      <c r="A41" s="190" t="s">
        <v>59</v>
      </c>
      <c r="B41" s="191" t="s">
        <v>62</v>
      </c>
      <c r="C41" s="132">
        <v>46228</v>
      </c>
      <c r="D41" s="456"/>
      <c r="E41" s="405"/>
      <c r="F41" s="456"/>
      <c r="G41" s="405"/>
      <c r="H41" s="133">
        <v>8</v>
      </c>
      <c r="I41" s="91"/>
    </row>
    <row r="42" spans="1:12" ht="15" customHeight="1">
      <c r="A42" s="190" t="s">
        <v>59</v>
      </c>
      <c r="B42" s="191" t="s">
        <v>63</v>
      </c>
      <c r="C42" s="132">
        <v>46229</v>
      </c>
      <c r="D42" s="456"/>
      <c r="E42" s="405"/>
      <c r="F42" s="456"/>
      <c r="G42" s="405"/>
      <c r="H42" s="133">
        <v>8</v>
      </c>
      <c r="I42" s="91"/>
    </row>
    <row r="43" spans="1:12" ht="15" customHeight="1">
      <c r="A43" s="180" t="s">
        <v>332</v>
      </c>
      <c r="B43" s="51" t="s">
        <v>64</v>
      </c>
      <c r="C43" s="52">
        <v>46230</v>
      </c>
      <c r="D43" s="495" t="s">
        <v>476</v>
      </c>
      <c r="E43" s="405"/>
      <c r="F43" s="495" t="s">
        <v>455</v>
      </c>
      <c r="G43" s="405"/>
      <c r="H43" s="181">
        <v>10.63</v>
      </c>
      <c r="I43" s="91"/>
    </row>
    <row r="44" spans="1:12" ht="15" customHeight="1">
      <c r="A44" s="180" t="s">
        <v>332</v>
      </c>
      <c r="B44" s="51" t="s">
        <v>66</v>
      </c>
      <c r="C44" s="52">
        <v>46231</v>
      </c>
      <c r="D44" s="495" t="s">
        <v>404</v>
      </c>
      <c r="E44" s="405"/>
      <c r="F44" s="495" t="s">
        <v>166</v>
      </c>
      <c r="G44" s="405"/>
      <c r="H44" s="181">
        <v>10.119999999999999</v>
      </c>
      <c r="I44" s="91"/>
    </row>
    <row r="45" spans="1:12" ht="15" customHeight="1">
      <c r="A45" s="180" t="s">
        <v>332</v>
      </c>
      <c r="B45" s="51" t="s">
        <v>68</v>
      </c>
      <c r="C45" s="52">
        <v>46232</v>
      </c>
      <c r="D45" s="495" t="s">
        <v>476</v>
      </c>
      <c r="E45" s="405"/>
      <c r="F45" s="495" t="s">
        <v>166</v>
      </c>
      <c r="G45" s="405"/>
      <c r="H45" s="181">
        <v>10.08</v>
      </c>
      <c r="I45" s="91"/>
    </row>
    <row r="46" spans="1:12" ht="15" customHeight="1">
      <c r="A46" s="180" t="s">
        <v>134</v>
      </c>
      <c r="B46" s="51" t="s">
        <v>60</v>
      </c>
      <c r="C46" s="52">
        <v>46233</v>
      </c>
      <c r="D46" s="495" t="s">
        <v>255</v>
      </c>
      <c r="E46" s="405"/>
      <c r="F46" s="495" t="s">
        <v>136</v>
      </c>
      <c r="G46" s="405"/>
      <c r="H46" s="181">
        <v>9.1</v>
      </c>
      <c r="I46" s="91"/>
    </row>
    <row r="47" spans="1:12" ht="15" customHeight="1">
      <c r="A47" s="192" t="s">
        <v>134</v>
      </c>
      <c r="B47" s="193" t="s">
        <v>61</v>
      </c>
      <c r="C47" s="194">
        <v>46234</v>
      </c>
      <c r="D47" s="502" t="s">
        <v>477</v>
      </c>
      <c r="E47" s="467"/>
      <c r="F47" s="502" t="s">
        <v>411</v>
      </c>
      <c r="G47" s="467"/>
      <c r="H47" s="195">
        <v>9.08</v>
      </c>
      <c r="I47" s="91"/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233.12000000000003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>
        <v>46227</v>
      </c>
      <c r="B52" s="531" t="s">
        <v>228</v>
      </c>
      <c r="C52" s="437"/>
      <c r="D52" s="235">
        <v>300000</v>
      </c>
      <c r="E52" s="202"/>
      <c r="F52" s="500"/>
      <c r="G52" s="437"/>
      <c r="H52" s="223"/>
    </row>
    <row r="53" spans="1:8" ht="14.25" customHeight="1">
      <c r="A53" s="268"/>
      <c r="B53" s="473"/>
      <c r="C53" s="405"/>
      <c r="D53" s="269"/>
      <c r="E53" s="300"/>
      <c r="F53" s="483"/>
      <c r="G53" s="405"/>
      <c r="H53" s="301"/>
    </row>
    <row r="54" spans="1:8" ht="14.25" customHeight="1">
      <c r="A54" s="268"/>
      <c r="B54" s="473"/>
      <c r="C54" s="405"/>
      <c r="D54" s="307"/>
      <c r="E54" s="300"/>
      <c r="F54" s="483"/>
      <c r="G54" s="405"/>
      <c r="H54" s="301"/>
    </row>
    <row r="55" spans="1:8" ht="14.25" customHeight="1">
      <c r="A55" s="224"/>
      <c r="B55" s="533"/>
      <c r="C55" s="467"/>
      <c r="D55" s="247"/>
      <c r="E55" s="224"/>
      <c r="F55" s="482"/>
      <c r="G55" s="467"/>
      <c r="H55" s="298"/>
    </row>
    <row r="56" spans="1:8" ht="14.25" customHeight="1">
      <c r="A56" s="514" t="s">
        <v>81</v>
      </c>
      <c r="B56" s="469"/>
      <c r="C56" s="515"/>
      <c r="D56" s="208">
        <f>SUM(D52:D55)</f>
        <v>300000</v>
      </c>
      <c r="E56" s="507" t="s">
        <v>229</v>
      </c>
      <c r="F56" s="469"/>
      <c r="G56" s="470"/>
      <c r="H56" s="308">
        <f>+H55</f>
        <v>0</v>
      </c>
    </row>
    <row r="57" spans="1:8" ht="14.25" customHeight="1">
      <c r="D57" s="91"/>
      <c r="E57" s="472" t="s">
        <v>178</v>
      </c>
      <c r="F57" s="411"/>
      <c r="G57" s="412"/>
      <c r="H57" s="309">
        <v>0</v>
      </c>
    </row>
    <row r="58" spans="1:8" ht="14.25" customHeight="1">
      <c r="A58" s="516" t="s">
        <v>230</v>
      </c>
      <c r="B58" s="517"/>
      <c r="C58" s="517"/>
      <c r="D58" s="518"/>
    </row>
    <row r="59" spans="1:8" ht="14.25" customHeight="1">
      <c r="A59" s="519" t="s">
        <v>231</v>
      </c>
      <c r="B59" s="447"/>
      <c r="C59" s="437"/>
      <c r="D59" s="210" t="s">
        <v>232</v>
      </c>
    </row>
    <row r="60" spans="1:8" ht="14.25" customHeight="1">
      <c r="A60" s="512" t="s">
        <v>233</v>
      </c>
      <c r="B60" s="404"/>
      <c r="C60" s="405"/>
      <c r="D60" s="211">
        <v>-396.88</v>
      </c>
    </row>
    <row r="61" spans="1:8" ht="14.25" customHeight="1">
      <c r="A61" s="512" t="s">
        <v>234</v>
      </c>
      <c r="B61" s="404"/>
      <c r="C61" s="405"/>
      <c r="D61" s="211">
        <v>0</v>
      </c>
    </row>
    <row r="62" spans="1:8" ht="14.25" customHeight="1">
      <c r="A62" s="512" t="s">
        <v>235</v>
      </c>
      <c r="B62" s="404"/>
      <c r="C62" s="405"/>
      <c r="D62" s="211">
        <v>0</v>
      </c>
    </row>
    <row r="63" spans="1:8" ht="14.25" customHeight="1">
      <c r="A63" s="512" t="s">
        <v>236</v>
      </c>
      <c r="B63" s="404"/>
      <c r="C63" s="405"/>
      <c r="D63" s="211">
        <v>0</v>
      </c>
    </row>
    <row r="64" spans="1:8" ht="14.25" customHeight="1">
      <c r="A64" s="512" t="s">
        <v>237</v>
      </c>
      <c r="B64" s="404"/>
      <c r="C64" s="405"/>
      <c r="D64" s="211"/>
    </row>
    <row r="65" spans="1:4" ht="14.25" customHeight="1">
      <c r="A65" s="512" t="s">
        <v>238</v>
      </c>
      <c r="B65" s="404"/>
      <c r="C65" s="405"/>
      <c r="D65" s="211"/>
    </row>
    <row r="66" spans="1:4" ht="14.25" customHeight="1">
      <c r="A66" s="512" t="s">
        <v>239</v>
      </c>
      <c r="B66" s="404"/>
      <c r="C66" s="405"/>
      <c r="D66" s="211"/>
    </row>
    <row r="67" spans="1:4" ht="14.25" customHeight="1">
      <c r="A67" s="512" t="s">
        <v>45</v>
      </c>
      <c r="B67" s="404"/>
      <c r="C67" s="405"/>
      <c r="D67" s="211"/>
    </row>
    <row r="68" spans="1:4" ht="14.25" customHeight="1">
      <c r="A68" s="512" t="s">
        <v>98</v>
      </c>
      <c r="B68" s="404"/>
      <c r="C68" s="405"/>
      <c r="D68" s="211"/>
    </row>
    <row r="69" spans="1:4" ht="14.25" customHeight="1">
      <c r="A69" s="512" t="s">
        <v>100</v>
      </c>
      <c r="B69" s="404"/>
      <c r="C69" s="405"/>
      <c r="D69" s="211"/>
    </row>
    <row r="70" spans="1:4" ht="14.25" customHeight="1">
      <c r="A70" s="512" t="s">
        <v>104</v>
      </c>
      <c r="B70" s="404"/>
      <c r="C70" s="405"/>
      <c r="D70" s="211"/>
    </row>
    <row r="71" spans="1:4" ht="14.25" customHeight="1">
      <c r="A71" s="512" t="s">
        <v>106</v>
      </c>
      <c r="B71" s="404"/>
      <c r="C71" s="405"/>
      <c r="D71" s="211"/>
    </row>
    <row r="72" spans="1:4" ht="14.25" customHeight="1">
      <c r="A72" s="513" t="s">
        <v>113</v>
      </c>
      <c r="B72" s="504"/>
      <c r="C72" s="467"/>
      <c r="D72" s="212"/>
    </row>
    <row r="73" spans="1:4" ht="14.25" customHeight="1">
      <c r="A73" s="511" t="s">
        <v>81</v>
      </c>
      <c r="B73" s="411"/>
      <c r="C73" s="480"/>
      <c r="D73" s="213">
        <f>SUM(D60:D72)</f>
        <v>-396.88</v>
      </c>
    </row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</sheetData>
  <mergeCells count="131">
    <mergeCell ref="F51:G51"/>
    <mergeCell ref="F48:G48"/>
    <mergeCell ref="E50:H50"/>
    <mergeCell ref="E57:G57"/>
    <mergeCell ref="F54:G54"/>
    <mergeCell ref="F55:G55"/>
    <mergeCell ref="E56:G56"/>
    <mergeCell ref="D45:E45"/>
    <mergeCell ref="D46:E46"/>
    <mergeCell ref="F52:G52"/>
    <mergeCell ref="F53:G53"/>
    <mergeCell ref="A50:D50"/>
    <mergeCell ref="D47:E47"/>
    <mergeCell ref="B55:C55"/>
    <mergeCell ref="A56:C56"/>
    <mergeCell ref="B53:C53"/>
    <mergeCell ref="F43:G43"/>
    <mergeCell ref="D42:E42"/>
    <mergeCell ref="F42:G42"/>
    <mergeCell ref="D39:E39"/>
    <mergeCell ref="F40:G40"/>
    <mergeCell ref="F47:G47"/>
    <mergeCell ref="F44:G44"/>
    <mergeCell ref="F45:G45"/>
    <mergeCell ref="F46:G46"/>
    <mergeCell ref="F41:G41"/>
    <mergeCell ref="A67:C67"/>
    <mergeCell ref="A68:C68"/>
    <mergeCell ref="A69:C69"/>
    <mergeCell ref="A70:C70"/>
    <mergeCell ref="A71:C71"/>
    <mergeCell ref="A72:C72"/>
    <mergeCell ref="A73:C73"/>
    <mergeCell ref="A63:C63"/>
    <mergeCell ref="A64:C64"/>
    <mergeCell ref="A65:C65"/>
    <mergeCell ref="A66:C66"/>
    <mergeCell ref="A58:D58"/>
    <mergeCell ref="A59:C59"/>
    <mergeCell ref="A60:C60"/>
    <mergeCell ref="A61:C61"/>
    <mergeCell ref="A62:C62"/>
    <mergeCell ref="B54:C54"/>
    <mergeCell ref="B51:C51"/>
    <mergeCell ref="B52:C52"/>
    <mergeCell ref="D34:E34"/>
    <mergeCell ref="D35:E35"/>
    <mergeCell ref="D40:E40"/>
    <mergeCell ref="D41:E41"/>
    <mergeCell ref="D44:E44"/>
    <mergeCell ref="D43:E43"/>
    <mergeCell ref="D30:E30"/>
    <mergeCell ref="D31:E31"/>
    <mergeCell ref="D32:E32"/>
    <mergeCell ref="D36:E36"/>
    <mergeCell ref="D37:E37"/>
    <mergeCell ref="D38:E38"/>
    <mergeCell ref="D33:E33"/>
    <mergeCell ref="D16:E16"/>
    <mergeCell ref="F16:G16"/>
    <mergeCell ref="D17:E17"/>
    <mergeCell ref="F17:G17"/>
    <mergeCell ref="D21:E21"/>
    <mergeCell ref="F21:G21"/>
    <mergeCell ref="D22:E22"/>
    <mergeCell ref="F22:G22"/>
    <mergeCell ref="D23:E23"/>
    <mergeCell ref="F23:G23"/>
    <mergeCell ref="D18:E18"/>
    <mergeCell ref="F18:G18"/>
    <mergeCell ref="D19:E19"/>
    <mergeCell ref="F19:G19"/>
    <mergeCell ref="D20:E20"/>
    <mergeCell ref="F20:G20"/>
    <mergeCell ref="F30:G30"/>
    <mergeCell ref="F38:G38"/>
    <mergeCell ref="F39:G39"/>
    <mergeCell ref="F31:G31"/>
    <mergeCell ref="F32:G32"/>
    <mergeCell ref="F36:G36"/>
    <mergeCell ref="F37:G37"/>
    <mergeCell ref="F33:G33"/>
    <mergeCell ref="F34:G34"/>
    <mergeCell ref="F35:G35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D27:E27"/>
    <mergeCell ref="F27:G27"/>
    <mergeCell ref="I5:J5"/>
    <mergeCell ref="K5:L5"/>
    <mergeCell ref="B6:C6"/>
    <mergeCell ref="F6:G6"/>
    <mergeCell ref="B14:C14"/>
    <mergeCell ref="D14:E14"/>
    <mergeCell ref="F14:H14"/>
    <mergeCell ref="A15:F15"/>
    <mergeCell ref="C11:D11"/>
    <mergeCell ref="E11:F11"/>
    <mergeCell ref="B13:C13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G11:H11"/>
    <mergeCell ref="F13:H13"/>
    <mergeCell ref="G15:H15"/>
    <mergeCell ref="D13:E13"/>
    <mergeCell ref="A7:B7"/>
    <mergeCell ref="C7:D7"/>
    <mergeCell ref="E7:F7"/>
    <mergeCell ref="G7:H7"/>
    <mergeCell ref="A8:B8"/>
    <mergeCell ref="C8:D8"/>
    <mergeCell ref="E8:F8"/>
    <mergeCell ref="G8:H8"/>
    <mergeCell ref="A1:H4"/>
    <mergeCell ref="A5:E5"/>
    <mergeCell ref="F5:G5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271"/>
  <sheetViews>
    <sheetView workbookViewId="0">
      <selection activeCell="A8" sqref="A8:B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+A8+C8+E8+G8+B10+C10+G10+G12</f>
        <v>1674811.3416495998</v>
      </c>
      <c r="I5" s="431" t="s">
        <v>86</v>
      </c>
      <c r="J5" s="430"/>
      <c r="K5" s="429" t="str">
        <f>+B6</f>
        <v>DAMIAN SANTILLAN</v>
      </c>
      <c r="L5" s="430"/>
    </row>
    <row r="6" spans="1:12" ht="24.75" customHeight="1">
      <c r="A6" s="159" t="s">
        <v>179</v>
      </c>
      <c r="B6" s="526" t="s">
        <v>478</v>
      </c>
      <c r="C6" s="480"/>
      <c r="D6" s="160" t="s">
        <v>181</v>
      </c>
      <c r="E6" s="226">
        <v>36234439</v>
      </c>
      <c r="F6" s="525" t="s">
        <v>89</v>
      </c>
      <c r="G6" s="428"/>
      <c r="H6" s="97">
        <v>2</v>
      </c>
      <c r="I6" s="99" t="s">
        <v>45</v>
      </c>
      <c r="J6" s="100">
        <v>1175918.98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1175918.9845700001</v>
      </c>
    </row>
    <row r="8" spans="1:12" ht="24.75" customHeight="1">
      <c r="A8" s="491">
        <f>1004200.67*17.1%+1004200.67</f>
        <v>1175918.9845700001</v>
      </c>
      <c r="B8" s="405"/>
      <c r="C8" s="492">
        <f>+L20</f>
        <v>92555.605800000005</v>
      </c>
      <c r="D8" s="405"/>
      <c r="E8" s="422">
        <f>+L22</f>
        <v>51419.781000000003</v>
      </c>
      <c r="F8" s="405"/>
      <c r="G8" s="422">
        <f>+L24</f>
        <v>138169.66248</v>
      </c>
      <c r="H8" s="406"/>
      <c r="I8" s="99" t="s">
        <v>100</v>
      </c>
      <c r="J8" s="100"/>
      <c r="K8" t="s">
        <v>184</v>
      </c>
      <c r="L8" s="105">
        <f>+C8</f>
        <v>92555.605800000005</v>
      </c>
    </row>
    <row r="9" spans="1:12" ht="24.75" customHeight="1">
      <c r="A9" s="166" t="s">
        <v>111</v>
      </c>
      <c r="B9" s="167">
        <v>5</v>
      </c>
      <c r="C9" s="453" t="s">
        <v>185</v>
      </c>
      <c r="D9" s="405"/>
      <c r="E9" s="493" t="s">
        <v>96</v>
      </c>
      <c r="F9" s="405"/>
      <c r="G9" s="421" t="s">
        <v>479</v>
      </c>
      <c r="H9" s="406"/>
      <c r="I9" s="99" t="s">
        <v>104</v>
      </c>
      <c r="J9" s="100"/>
      <c r="K9" t="s">
        <v>101</v>
      </c>
      <c r="L9" s="105">
        <f>+E8</f>
        <v>51419.781000000003</v>
      </c>
    </row>
    <row r="10" spans="1:12" ht="24.75" customHeight="1">
      <c r="A10" s="168">
        <v>44378</v>
      </c>
      <c r="B10" s="130">
        <f>+L30</f>
        <v>49767.5</v>
      </c>
      <c r="C10" s="422">
        <v>0</v>
      </c>
      <c r="D10" s="405"/>
      <c r="E10" s="422">
        <f>+D54+H54</f>
        <v>200000</v>
      </c>
      <c r="F10" s="405"/>
      <c r="G10" s="527">
        <f>+L35</f>
        <v>87825</v>
      </c>
      <c r="H10" s="406"/>
      <c r="I10" s="99" t="s">
        <v>106</v>
      </c>
      <c r="J10" s="100"/>
      <c r="K10" t="s">
        <v>105</v>
      </c>
      <c r="L10" s="105">
        <f>+G8</f>
        <v>138169.66248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49767.5</v>
      </c>
    </row>
    <row r="12" spans="1:12" ht="24.75" customHeight="1">
      <c r="A12" s="171">
        <v>200</v>
      </c>
      <c r="B12" s="172">
        <f>+H48</f>
        <v>218.32999999999998</v>
      </c>
      <c r="C12" s="498">
        <f>+B12-A12</f>
        <v>18.329999999999984</v>
      </c>
      <c r="D12" s="405"/>
      <c r="E12" s="422">
        <f>3687.72*17.1%+3687.72</f>
        <v>4318.3201200000003</v>
      </c>
      <c r="F12" s="405"/>
      <c r="G12" s="422">
        <f>+C12*E12</f>
        <v>79154.807799599934</v>
      </c>
      <c r="H12" s="406"/>
      <c r="I12" s="99" t="s">
        <v>81</v>
      </c>
      <c r="J12" s="100">
        <f>SUM(J6:J11)</f>
        <v>1175918.98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195986.49666666667</v>
      </c>
      <c r="K13" s="91" t="s">
        <v>480</v>
      </c>
      <c r="L13" s="105">
        <f>+G10</f>
        <v>87825</v>
      </c>
    </row>
    <row r="14" spans="1:12" ht="24.75" customHeight="1">
      <c r="A14" s="227" t="s">
        <v>124</v>
      </c>
      <c r="B14" s="528">
        <v>46143</v>
      </c>
      <c r="C14" s="467"/>
      <c r="D14" s="482" t="s">
        <v>125</v>
      </c>
      <c r="E14" s="467"/>
      <c r="F14" s="530" t="s">
        <v>481</v>
      </c>
      <c r="G14" s="504"/>
      <c r="H14" s="505"/>
      <c r="I14" s="99" t="s">
        <v>86</v>
      </c>
      <c r="J14" s="115">
        <f>+J13/2</f>
        <v>97993.248333333337</v>
      </c>
      <c r="K14" t="s">
        <v>191</v>
      </c>
      <c r="L14" s="105">
        <f>+G12</f>
        <v>79154.807799599934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1474811.3416495998</v>
      </c>
      <c r="H15" s="412"/>
      <c r="I15" s="91"/>
      <c r="K15" s="112" t="s">
        <v>122</v>
      </c>
      <c r="L15" s="113">
        <f>SUM(L7:L14)</f>
        <v>1674811.3416495998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t="s">
        <v>126</v>
      </c>
      <c r="L16" s="105">
        <f>+E10</f>
        <v>200000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135</v>
      </c>
      <c r="E17" s="437"/>
      <c r="F17" s="510" t="s">
        <v>166</v>
      </c>
      <c r="G17" s="437"/>
      <c r="H17" s="179">
        <v>8.73</v>
      </c>
      <c r="I17" s="91"/>
      <c r="K17" s="119" t="s">
        <v>133</v>
      </c>
      <c r="L17" s="120">
        <f>+L15-L16</f>
        <v>1474811.3416495998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146</v>
      </c>
      <c r="E18" s="405"/>
      <c r="F18" s="495" t="s">
        <v>247</v>
      </c>
      <c r="G18" s="405"/>
      <c r="H18" s="181">
        <v>9.02</v>
      </c>
      <c r="I18" s="91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150</v>
      </c>
      <c r="E19" s="405"/>
      <c r="F19" s="495" t="s">
        <v>473</v>
      </c>
      <c r="G19" s="405"/>
      <c r="H19" s="181">
        <v>8.25</v>
      </c>
      <c r="I19" s="91"/>
      <c r="K19" s="127" t="s">
        <v>196</v>
      </c>
      <c r="L19" s="128"/>
    </row>
    <row r="20" spans="1:12" ht="15" customHeight="1">
      <c r="A20" s="230" t="s">
        <v>134</v>
      </c>
      <c r="B20" s="191" t="s">
        <v>62</v>
      </c>
      <c r="C20" s="132">
        <v>46207</v>
      </c>
      <c r="D20" s="536" t="s">
        <v>266</v>
      </c>
      <c r="E20" s="405"/>
      <c r="F20" s="536" t="s">
        <v>482</v>
      </c>
      <c r="G20" s="405"/>
      <c r="H20" s="133">
        <v>5.23</v>
      </c>
      <c r="I20" s="220"/>
      <c r="K20" s="129" t="s">
        <v>140</v>
      </c>
      <c r="L20" s="130">
        <f>79039.8*17.1%+79039.8</f>
        <v>92555.605800000005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220"/>
      <c r="K21" s="127" t="s">
        <v>137</v>
      </c>
      <c r="L21" s="128"/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411</v>
      </c>
      <c r="G22" s="405"/>
      <c r="H22" s="181">
        <v>9.1300000000000008</v>
      </c>
      <c r="I22" s="220"/>
      <c r="K22" s="129" t="s">
        <v>140</v>
      </c>
      <c r="L22" s="130">
        <f>43911*17.1%+43911</f>
        <v>51419.781000000003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I23" s="91"/>
      <c r="K23" s="127" t="s">
        <v>109</v>
      </c>
      <c r="L23" s="128"/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162</v>
      </c>
      <c r="E24" s="405"/>
      <c r="F24" s="495" t="s">
        <v>247</v>
      </c>
      <c r="G24" s="405"/>
      <c r="H24" s="181">
        <v>8.92</v>
      </c>
      <c r="I24" s="91"/>
      <c r="K24" s="129" t="s">
        <v>140</v>
      </c>
      <c r="L24" s="130">
        <f>117992.88*17.1%+117992.88</f>
        <v>138169.66248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201</v>
      </c>
      <c r="E25" s="405"/>
      <c r="F25" s="495" t="s">
        <v>300</v>
      </c>
      <c r="G25" s="405"/>
      <c r="H25" s="181">
        <v>8.9499999999999993</v>
      </c>
      <c r="I25" s="91"/>
      <c r="K25" s="135" t="s">
        <v>111</v>
      </c>
      <c r="L25" s="91"/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242</v>
      </c>
      <c r="E26" s="405"/>
      <c r="F26" s="495" t="s">
        <v>151</v>
      </c>
      <c r="G26" s="405"/>
      <c r="H26" s="181">
        <v>9.32</v>
      </c>
      <c r="I26" s="91"/>
      <c r="K26" s="129" t="s">
        <v>149</v>
      </c>
      <c r="L26" s="130">
        <f>12500*17.1%+12500</f>
        <v>14637.5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138</v>
      </c>
      <c r="E27" s="405"/>
      <c r="F27" s="536" t="s">
        <v>483</v>
      </c>
      <c r="G27" s="405"/>
      <c r="H27" s="133">
        <v>4.78</v>
      </c>
      <c r="I27" s="91"/>
      <c r="J27" s="91"/>
      <c r="K27" s="129" t="s">
        <v>152</v>
      </c>
      <c r="L27" s="130">
        <f>20000*17.1%+20000</f>
        <v>23420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I28" s="91"/>
      <c r="J28" s="91"/>
      <c r="K28" s="129" t="s">
        <v>153</v>
      </c>
      <c r="L28" s="130">
        <f>27500*17.1%+27500</f>
        <v>32202.5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342</v>
      </c>
      <c r="E29" s="405"/>
      <c r="F29" s="495" t="s">
        <v>296</v>
      </c>
      <c r="G29" s="405"/>
      <c r="H29" s="181">
        <v>9.0500000000000007</v>
      </c>
      <c r="I29" s="91"/>
      <c r="K29" s="129" t="s">
        <v>154</v>
      </c>
      <c r="L29" s="130">
        <f>35000*17.1%+35000</f>
        <v>40985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385</v>
      </c>
      <c r="E30" s="405"/>
      <c r="F30" s="495" t="s">
        <v>340</v>
      </c>
      <c r="G30" s="405"/>
      <c r="H30" s="181">
        <v>8.9499999999999993</v>
      </c>
      <c r="I30" s="91"/>
      <c r="K30" s="129" t="s">
        <v>155</v>
      </c>
      <c r="L30" s="130">
        <f>42500*17.1%+42500</f>
        <v>49767.5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  <c r="I31" s="220"/>
      <c r="K31" s="129" t="s">
        <v>156</v>
      </c>
      <c r="L31" s="130">
        <f>63750*17.1%+63750</f>
        <v>74651.25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163</v>
      </c>
      <c r="E32" s="405"/>
      <c r="F32" s="495" t="s">
        <v>136</v>
      </c>
      <c r="G32" s="405"/>
      <c r="H32" s="181">
        <v>8.7799999999999994</v>
      </c>
      <c r="I32" s="220"/>
      <c r="K32" s="129" t="s">
        <v>157</v>
      </c>
      <c r="L32" s="130">
        <f>127500*17.1%+127500</f>
        <v>149302.5</v>
      </c>
    </row>
    <row r="33" spans="1:12" ht="15" customHeight="1">
      <c r="A33" s="180" t="s">
        <v>134</v>
      </c>
      <c r="B33" s="51" t="s">
        <v>61</v>
      </c>
      <c r="C33" s="52">
        <v>46220</v>
      </c>
      <c r="D33" s="495" t="s">
        <v>385</v>
      </c>
      <c r="E33" s="405"/>
      <c r="F33" s="495" t="s">
        <v>170</v>
      </c>
      <c r="G33" s="405"/>
      <c r="H33" s="181">
        <v>9.1</v>
      </c>
      <c r="I33" s="220"/>
      <c r="K33" s="129" t="s">
        <v>158</v>
      </c>
      <c r="L33" s="130">
        <f>200000*17.1%+200000</f>
        <v>234200</v>
      </c>
    </row>
    <row r="34" spans="1:12" ht="15" customHeight="1">
      <c r="A34" s="182" t="s">
        <v>67</v>
      </c>
      <c r="B34" s="65" t="s">
        <v>62</v>
      </c>
      <c r="C34" s="66">
        <v>46221</v>
      </c>
      <c r="D34" s="497"/>
      <c r="E34" s="405"/>
      <c r="F34" s="497"/>
      <c r="G34" s="405"/>
      <c r="H34" s="183">
        <v>0</v>
      </c>
      <c r="I34" s="220"/>
      <c r="K34" s="228" t="s">
        <v>479</v>
      </c>
      <c r="L34" s="229"/>
    </row>
    <row r="35" spans="1:12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5"/>
      <c r="H35" s="183">
        <v>0</v>
      </c>
      <c r="I35" s="91"/>
      <c r="K35" s="129" t="s">
        <v>447</v>
      </c>
      <c r="L35" s="130">
        <f>75000*17.1%+75000</f>
        <v>87825</v>
      </c>
    </row>
    <row r="36" spans="1:12" ht="15" customHeight="1">
      <c r="A36" s="180" t="s">
        <v>134</v>
      </c>
      <c r="B36" s="51" t="s">
        <v>64</v>
      </c>
      <c r="C36" s="52">
        <v>46223</v>
      </c>
      <c r="D36" s="495" t="s">
        <v>146</v>
      </c>
      <c r="E36" s="405"/>
      <c r="F36" s="495" t="s">
        <v>195</v>
      </c>
      <c r="G36" s="405"/>
      <c r="H36" s="181">
        <v>9.4</v>
      </c>
      <c r="I36" s="91"/>
    </row>
    <row r="37" spans="1:12" ht="15" customHeight="1">
      <c r="A37" s="261" t="s">
        <v>332</v>
      </c>
      <c r="B37" s="51" t="s">
        <v>66</v>
      </c>
      <c r="C37" s="52">
        <v>46224</v>
      </c>
      <c r="D37" s="495" t="s">
        <v>391</v>
      </c>
      <c r="E37" s="405"/>
      <c r="F37" s="495" t="s">
        <v>484</v>
      </c>
      <c r="G37" s="405"/>
      <c r="H37" s="181">
        <v>10.63</v>
      </c>
      <c r="I37" s="91"/>
    </row>
    <row r="38" spans="1:12" ht="15" customHeight="1">
      <c r="A38" s="261" t="s">
        <v>332</v>
      </c>
      <c r="B38" s="51" t="s">
        <v>68</v>
      </c>
      <c r="C38" s="52">
        <v>46225</v>
      </c>
      <c r="D38" s="495" t="s">
        <v>485</v>
      </c>
      <c r="E38" s="405"/>
      <c r="F38" s="495" t="s">
        <v>248</v>
      </c>
      <c r="G38" s="405"/>
      <c r="H38" s="181">
        <v>10.95</v>
      </c>
      <c r="I38" s="91"/>
    </row>
    <row r="39" spans="1:12" ht="15" customHeight="1">
      <c r="A39" s="261" t="s">
        <v>332</v>
      </c>
      <c r="B39" s="51" t="s">
        <v>60</v>
      </c>
      <c r="C39" s="52">
        <v>46226</v>
      </c>
      <c r="D39" s="495" t="s">
        <v>401</v>
      </c>
      <c r="E39" s="405"/>
      <c r="F39" s="495" t="s">
        <v>247</v>
      </c>
      <c r="G39" s="405"/>
      <c r="H39" s="181">
        <v>10.02</v>
      </c>
      <c r="I39" s="91"/>
    </row>
    <row r="40" spans="1:12" ht="15" customHeight="1">
      <c r="A40" s="261" t="s">
        <v>332</v>
      </c>
      <c r="B40" s="51" t="s">
        <v>61</v>
      </c>
      <c r="C40" s="52">
        <v>46227</v>
      </c>
      <c r="D40" s="495" t="s">
        <v>401</v>
      </c>
      <c r="E40" s="405"/>
      <c r="F40" s="495" t="s">
        <v>300</v>
      </c>
      <c r="G40" s="405"/>
      <c r="H40" s="181">
        <v>10</v>
      </c>
      <c r="I40" s="91"/>
    </row>
    <row r="41" spans="1:12" ht="15" customHeight="1">
      <c r="A41" s="131" t="s">
        <v>334</v>
      </c>
      <c r="B41" s="191" t="s">
        <v>62</v>
      </c>
      <c r="C41" s="132">
        <v>46228</v>
      </c>
      <c r="D41" s="536" t="s">
        <v>486</v>
      </c>
      <c r="E41" s="405"/>
      <c r="F41" s="536" t="s">
        <v>269</v>
      </c>
      <c r="G41" s="405"/>
      <c r="H41" s="133">
        <v>10.75</v>
      </c>
      <c r="I41" s="91"/>
    </row>
    <row r="42" spans="1:12" ht="15" customHeight="1">
      <c r="A42" s="304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  <c r="I42" s="91"/>
    </row>
    <row r="43" spans="1:12" ht="15" customHeight="1">
      <c r="A43" s="261" t="s">
        <v>332</v>
      </c>
      <c r="B43" s="51" t="s">
        <v>64</v>
      </c>
      <c r="C43" s="52">
        <v>46230</v>
      </c>
      <c r="D43" s="495" t="s">
        <v>252</v>
      </c>
      <c r="E43" s="405"/>
      <c r="F43" s="495" t="s">
        <v>411</v>
      </c>
      <c r="G43" s="405"/>
      <c r="H43" s="181">
        <v>10.029999999999999</v>
      </c>
      <c r="I43" s="91"/>
    </row>
    <row r="44" spans="1:12" ht="15" customHeight="1">
      <c r="A44" s="261" t="s">
        <v>332</v>
      </c>
      <c r="B44" s="51" t="s">
        <v>66</v>
      </c>
      <c r="C44" s="52">
        <v>46231</v>
      </c>
      <c r="D44" s="495" t="s">
        <v>435</v>
      </c>
      <c r="E44" s="405"/>
      <c r="F44" s="495" t="s">
        <v>166</v>
      </c>
      <c r="G44" s="405"/>
      <c r="H44" s="181">
        <v>9.8800000000000008</v>
      </c>
      <c r="I44" s="91"/>
    </row>
    <row r="45" spans="1:12" ht="15" customHeight="1">
      <c r="A45" s="261" t="s">
        <v>332</v>
      </c>
      <c r="B45" s="51" t="s">
        <v>68</v>
      </c>
      <c r="C45" s="52">
        <v>46232</v>
      </c>
      <c r="D45" s="495" t="s">
        <v>438</v>
      </c>
      <c r="E45" s="405"/>
      <c r="F45" s="495" t="s">
        <v>142</v>
      </c>
      <c r="G45" s="405"/>
      <c r="H45" s="181">
        <v>10</v>
      </c>
      <c r="I45" s="91"/>
    </row>
    <row r="46" spans="1:12" ht="15" customHeight="1">
      <c r="A46" s="261" t="s">
        <v>134</v>
      </c>
      <c r="B46" s="51" t="s">
        <v>60</v>
      </c>
      <c r="C46" s="52">
        <v>46233</v>
      </c>
      <c r="D46" s="495" t="s">
        <v>193</v>
      </c>
      <c r="E46" s="405"/>
      <c r="F46" s="495" t="s">
        <v>411</v>
      </c>
      <c r="G46" s="405"/>
      <c r="H46" s="181">
        <v>9.23</v>
      </c>
      <c r="I46" s="91"/>
    </row>
    <row r="47" spans="1:12" ht="15" customHeight="1">
      <c r="A47" s="266" t="s">
        <v>134</v>
      </c>
      <c r="B47" s="193" t="s">
        <v>61</v>
      </c>
      <c r="C47" s="194">
        <v>46234</v>
      </c>
      <c r="D47" s="502" t="s">
        <v>197</v>
      </c>
      <c r="E47" s="467"/>
      <c r="F47" s="502" t="s">
        <v>341</v>
      </c>
      <c r="G47" s="467"/>
      <c r="H47" s="195">
        <v>9.23</v>
      </c>
      <c r="I47" s="91"/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218.32999999999998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>
        <v>46227</v>
      </c>
      <c r="B52" s="531" t="s">
        <v>228</v>
      </c>
      <c r="C52" s="437"/>
      <c r="D52" s="235">
        <v>200000</v>
      </c>
      <c r="E52" s="202"/>
      <c r="F52" s="500"/>
      <c r="G52" s="437"/>
      <c r="H52" s="203"/>
    </row>
    <row r="53" spans="1:8" ht="14.25" customHeight="1">
      <c r="A53" s="224"/>
      <c r="B53" s="533"/>
      <c r="C53" s="467"/>
      <c r="D53" s="247"/>
      <c r="E53" s="224"/>
      <c r="F53" s="482"/>
      <c r="G53" s="467"/>
      <c r="H53" s="225"/>
    </row>
    <row r="54" spans="1:8" ht="14.25" customHeight="1">
      <c r="A54" s="514" t="s">
        <v>81</v>
      </c>
      <c r="B54" s="469"/>
      <c r="C54" s="515"/>
      <c r="D54" s="208">
        <f>SUM(D52:D53)</f>
        <v>200000</v>
      </c>
      <c r="E54" s="507" t="s">
        <v>229</v>
      </c>
      <c r="F54" s="469"/>
      <c r="G54" s="470"/>
      <c r="H54" s="156">
        <f>+H53</f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7">
    <mergeCell ref="A64:C64"/>
    <mergeCell ref="A65:C65"/>
    <mergeCell ref="A60:C60"/>
    <mergeCell ref="A67:C67"/>
    <mergeCell ref="A68:C68"/>
    <mergeCell ref="A69:C69"/>
    <mergeCell ref="A70:C70"/>
    <mergeCell ref="A71:C71"/>
    <mergeCell ref="A61:C61"/>
    <mergeCell ref="A66:C66"/>
    <mergeCell ref="E55:G55"/>
    <mergeCell ref="A56:D56"/>
    <mergeCell ref="A57:C57"/>
    <mergeCell ref="A58:C58"/>
    <mergeCell ref="A59:C59"/>
    <mergeCell ref="A54:C54"/>
    <mergeCell ref="E54:G54"/>
    <mergeCell ref="A62:C62"/>
    <mergeCell ref="A63:C63"/>
    <mergeCell ref="F52:G52"/>
    <mergeCell ref="F53:G53"/>
    <mergeCell ref="D38:E38"/>
    <mergeCell ref="F38:G38"/>
    <mergeCell ref="B51:C51"/>
    <mergeCell ref="F51:G51"/>
    <mergeCell ref="B52:C52"/>
    <mergeCell ref="F48:G48"/>
    <mergeCell ref="B53:C53"/>
    <mergeCell ref="A50:D50"/>
    <mergeCell ref="E50:H50"/>
    <mergeCell ref="D39:E39"/>
    <mergeCell ref="F39:G39"/>
    <mergeCell ref="D47:E47"/>
    <mergeCell ref="F47:G47"/>
    <mergeCell ref="F42:G42"/>
    <mergeCell ref="D43:E43"/>
    <mergeCell ref="F43:G43"/>
    <mergeCell ref="F44:G44"/>
    <mergeCell ref="A1:H4"/>
    <mergeCell ref="F5:G5"/>
    <mergeCell ref="I5:J5"/>
    <mergeCell ref="K5:L5"/>
    <mergeCell ref="F6:G6"/>
    <mergeCell ref="G8:H8"/>
    <mergeCell ref="D44:E44"/>
    <mergeCell ref="D46:E46"/>
    <mergeCell ref="F46:G46"/>
    <mergeCell ref="D45:E45"/>
    <mergeCell ref="F45:G45"/>
    <mergeCell ref="D37:E37"/>
    <mergeCell ref="F37:G37"/>
    <mergeCell ref="D33:E33"/>
    <mergeCell ref="F33:G33"/>
    <mergeCell ref="D34:E34"/>
    <mergeCell ref="F34:G34"/>
    <mergeCell ref="D35:E35"/>
    <mergeCell ref="F35:G35"/>
    <mergeCell ref="D40:E40"/>
    <mergeCell ref="F40:G40"/>
    <mergeCell ref="D41:E41"/>
    <mergeCell ref="F41:G41"/>
    <mergeCell ref="D42:E42"/>
    <mergeCell ref="D36:E36"/>
    <mergeCell ref="F36:G36"/>
    <mergeCell ref="G10:H10"/>
    <mergeCell ref="B13:C13"/>
    <mergeCell ref="D13:E13"/>
    <mergeCell ref="F13:H13"/>
    <mergeCell ref="C11:D11"/>
    <mergeCell ref="E11:F11"/>
    <mergeCell ref="G11:H11"/>
    <mergeCell ref="D30:E30"/>
    <mergeCell ref="F30:G30"/>
    <mergeCell ref="D31:E31"/>
    <mergeCell ref="F31:G31"/>
    <mergeCell ref="D32:E32"/>
    <mergeCell ref="F32:G32"/>
    <mergeCell ref="D27:E27"/>
    <mergeCell ref="F27:G27"/>
    <mergeCell ref="D28:E28"/>
    <mergeCell ref="F28:G28"/>
    <mergeCell ref="D29:E29"/>
    <mergeCell ref="F29:G29"/>
    <mergeCell ref="D25:E25"/>
    <mergeCell ref="F25:G25"/>
    <mergeCell ref="D26:E26"/>
    <mergeCell ref="D24:E24"/>
    <mergeCell ref="F24:G24"/>
    <mergeCell ref="B14:C14"/>
    <mergeCell ref="D14:E14"/>
    <mergeCell ref="F26:G26"/>
    <mergeCell ref="D21:E21"/>
    <mergeCell ref="F21:G21"/>
    <mergeCell ref="D22:E22"/>
    <mergeCell ref="F22:G22"/>
    <mergeCell ref="D23:E23"/>
    <mergeCell ref="F23:G23"/>
    <mergeCell ref="D20:E20"/>
    <mergeCell ref="F20:G20"/>
    <mergeCell ref="D18:E18"/>
    <mergeCell ref="F18:G18"/>
    <mergeCell ref="D19:E19"/>
    <mergeCell ref="F19:G19"/>
    <mergeCell ref="B6:C6"/>
    <mergeCell ref="C9:D9"/>
    <mergeCell ref="C7:D7"/>
    <mergeCell ref="C8:D8"/>
    <mergeCell ref="E9:F9"/>
    <mergeCell ref="G9:H9"/>
    <mergeCell ref="C10:D10"/>
    <mergeCell ref="E10:F10"/>
    <mergeCell ref="A15:F15"/>
    <mergeCell ref="G15:H15"/>
    <mergeCell ref="D16:E16"/>
    <mergeCell ref="F16:G16"/>
    <mergeCell ref="D17:E17"/>
    <mergeCell ref="F17:G17"/>
    <mergeCell ref="A5:E5"/>
    <mergeCell ref="A7:B7"/>
    <mergeCell ref="E7:F7"/>
    <mergeCell ref="G7:H7"/>
    <mergeCell ref="A8:B8"/>
    <mergeCell ref="E8:F8"/>
    <mergeCell ref="C12:D12"/>
    <mergeCell ref="E12:F12"/>
    <mergeCell ref="F14:H14"/>
    <mergeCell ref="G12:H12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272"/>
  <sheetViews>
    <sheetView workbookViewId="0">
      <selection activeCell="A14" sqref="A14:B14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566"/>
      <c r="B1" s="567"/>
      <c r="C1" s="567"/>
      <c r="D1" s="567"/>
      <c r="E1" s="567"/>
      <c r="F1" s="567"/>
      <c r="G1" s="567"/>
      <c r="H1" s="568"/>
    </row>
    <row r="2" spans="1:12" ht="14.25" customHeight="1">
      <c r="A2" s="569"/>
      <c r="B2" s="570"/>
      <c r="C2" s="570"/>
      <c r="D2" s="570"/>
      <c r="E2" s="570"/>
      <c r="F2" s="570"/>
      <c r="G2" s="570"/>
      <c r="H2" s="571"/>
      <c r="I2" s="92" t="s">
        <v>82</v>
      </c>
    </row>
    <row r="3" spans="1:12" ht="14.25" customHeight="1">
      <c r="A3" s="569"/>
      <c r="B3" s="570"/>
      <c r="C3" s="570"/>
      <c r="D3" s="570"/>
      <c r="E3" s="570"/>
      <c r="F3" s="570"/>
      <c r="G3" s="570"/>
      <c r="H3" s="571"/>
      <c r="I3" s="93" t="s">
        <v>641</v>
      </c>
    </row>
    <row r="4" spans="1:12" ht="12.75" customHeight="1">
      <c r="A4" s="572"/>
      <c r="B4" s="573"/>
      <c r="C4" s="573"/>
      <c r="D4" s="573"/>
      <c r="E4" s="573"/>
      <c r="F4" s="573"/>
      <c r="G4" s="573"/>
      <c r="H4" s="57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437"/>
      <c r="H5" s="250">
        <f>+A8+C8+H8+A10+C12+E12+G12</f>
        <v>2259750</v>
      </c>
      <c r="I5" s="431" t="s">
        <v>86</v>
      </c>
      <c r="J5" s="430"/>
      <c r="K5" s="429" t="str">
        <f>+B6</f>
        <v>LUIS LEDESMA</v>
      </c>
      <c r="L5" s="430"/>
    </row>
    <row r="6" spans="1:12" ht="24.75" customHeight="1">
      <c r="A6" s="251" t="s">
        <v>179</v>
      </c>
      <c r="B6" s="546" t="s">
        <v>43</v>
      </c>
      <c r="C6" s="435"/>
      <c r="D6" s="252" t="s">
        <v>181</v>
      </c>
      <c r="E6" s="310"/>
      <c r="F6" s="544" t="s">
        <v>89</v>
      </c>
      <c r="G6" s="450"/>
      <c r="H6" s="311">
        <v>2</v>
      </c>
      <c r="I6" s="99" t="s">
        <v>45</v>
      </c>
      <c r="J6" s="100"/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109</v>
      </c>
      <c r="D7" s="437"/>
      <c r="E7" s="538" t="s">
        <v>111</v>
      </c>
      <c r="F7" s="447"/>
      <c r="G7" s="437"/>
      <c r="H7" s="312">
        <v>0</v>
      </c>
      <c r="I7" s="99" t="s">
        <v>98</v>
      </c>
      <c r="J7" s="100"/>
      <c r="K7" t="s">
        <v>99</v>
      </c>
      <c r="L7" s="105">
        <f>+A8</f>
        <v>1610000</v>
      </c>
    </row>
    <row r="8" spans="1:12" ht="24.75" customHeight="1">
      <c r="A8" s="491">
        <v>1610000</v>
      </c>
      <c r="B8" s="405"/>
      <c r="C8" s="422">
        <v>115000</v>
      </c>
      <c r="D8" s="405"/>
      <c r="E8" s="580">
        <v>46023</v>
      </c>
      <c r="F8" s="404"/>
      <c r="G8" s="405"/>
      <c r="H8" s="313">
        <v>0</v>
      </c>
      <c r="I8" s="99" t="s">
        <v>100</v>
      </c>
      <c r="J8" s="100"/>
      <c r="K8" t="s">
        <v>105</v>
      </c>
      <c r="L8" s="105">
        <f>+C8</f>
        <v>115000</v>
      </c>
    </row>
    <row r="9" spans="1:12" ht="24.75" customHeight="1">
      <c r="A9" s="579" t="s">
        <v>185</v>
      </c>
      <c r="B9" s="404"/>
      <c r="C9" s="405"/>
      <c r="D9" s="493" t="s">
        <v>96</v>
      </c>
      <c r="E9" s="404"/>
      <c r="F9" s="405"/>
      <c r="G9" s="421" t="s">
        <v>117</v>
      </c>
      <c r="H9" s="406"/>
      <c r="I9" s="99" t="s">
        <v>104</v>
      </c>
      <c r="J9" s="100"/>
      <c r="K9" s="91" t="s">
        <v>107</v>
      </c>
      <c r="L9" s="105">
        <f>+H8</f>
        <v>0</v>
      </c>
    </row>
    <row r="10" spans="1:12" ht="24.75" customHeight="1">
      <c r="A10" s="491">
        <f>+J14</f>
        <v>0</v>
      </c>
      <c r="B10" s="404"/>
      <c r="C10" s="405"/>
      <c r="D10" s="422">
        <f>+D55+H55</f>
        <v>565300</v>
      </c>
      <c r="E10" s="404"/>
      <c r="F10" s="405"/>
      <c r="G10" s="583" t="s">
        <v>290</v>
      </c>
      <c r="H10" s="406"/>
      <c r="I10" s="99" t="s">
        <v>106</v>
      </c>
      <c r="J10" s="100"/>
      <c r="K10" s="91" t="s">
        <v>115</v>
      </c>
      <c r="L10" s="105">
        <f>+A10</f>
        <v>0</v>
      </c>
    </row>
    <row r="11" spans="1:12" ht="24.75" customHeight="1">
      <c r="A11" s="557" t="s">
        <v>487</v>
      </c>
      <c r="B11" s="433"/>
      <c r="C11" s="314" t="s">
        <v>55</v>
      </c>
      <c r="D11" s="167">
        <f>+'VIAJES LUIS'!H36</f>
        <v>2</v>
      </c>
      <c r="E11" s="314" t="s">
        <v>56</v>
      </c>
      <c r="F11" s="167">
        <f>+'VIAJES LUIS'!I36</f>
        <v>5</v>
      </c>
      <c r="G11" s="314" t="s">
        <v>488</v>
      </c>
      <c r="H11" s="259">
        <f>+'VIAJES LUIS'!J36</f>
        <v>0</v>
      </c>
      <c r="I11" s="99" t="s">
        <v>113</v>
      </c>
      <c r="J11" s="100"/>
      <c r="K11" s="91" t="s">
        <v>489</v>
      </c>
      <c r="L11" s="105">
        <f>+C12+E12+G12</f>
        <v>534750</v>
      </c>
    </row>
    <row r="12" spans="1:12" ht="24.75" customHeight="1">
      <c r="A12" s="397"/>
      <c r="B12" s="558"/>
      <c r="C12" s="422">
        <f>+L28*D11</f>
        <v>103500</v>
      </c>
      <c r="D12" s="405"/>
      <c r="E12" s="422">
        <f>+L29*F11</f>
        <v>431250</v>
      </c>
      <c r="F12" s="405"/>
      <c r="G12" s="422">
        <f>+L30*H11</f>
        <v>0</v>
      </c>
      <c r="H12" s="406"/>
      <c r="I12" s="99" t="s">
        <v>81</v>
      </c>
      <c r="J12" s="100">
        <f>SUM(J6:J11)</f>
        <v>0</v>
      </c>
      <c r="K12" s="112" t="s">
        <v>122</v>
      </c>
      <c r="L12" s="113">
        <f>SUM(L7:L11)</f>
        <v>2259750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0</v>
      </c>
      <c r="K13" t="s">
        <v>126</v>
      </c>
      <c r="L13" s="105">
        <f>+D10</f>
        <v>565300</v>
      </c>
    </row>
    <row r="14" spans="1:12" ht="24.75" customHeight="1">
      <c r="A14" s="564">
        <v>46204</v>
      </c>
      <c r="B14" s="467"/>
      <c r="C14" s="582" t="s">
        <v>125</v>
      </c>
      <c r="D14" s="467"/>
      <c r="E14" s="581" t="s">
        <v>490</v>
      </c>
      <c r="F14" s="504"/>
      <c r="G14" s="504"/>
      <c r="H14" s="505"/>
      <c r="I14" s="99" t="s">
        <v>86</v>
      </c>
      <c r="J14" s="115">
        <f>+J13/2</f>
        <v>0</v>
      </c>
      <c r="K14" s="119" t="s">
        <v>133</v>
      </c>
      <c r="L14" s="120">
        <f>+L12-L13</f>
        <v>1694450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+H5-D10</f>
        <v>1694450</v>
      </c>
      <c r="H15" s="412"/>
      <c r="I15" s="91"/>
    </row>
    <row r="16" spans="1:12" ht="30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261</v>
      </c>
      <c r="I16" s="91"/>
      <c r="K16" s="127" t="s">
        <v>109</v>
      </c>
      <c r="L16" s="128"/>
    </row>
    <row r="17" spans="1:12" ht="15" customHeight="1">
      <c r="A17" s="216" t="s">
        <v>59</v>
      </c>
      <c r="B17" s="217" t="s">
        <v>58</v>
      </c>
      <c r="C17" s="218">
        <v>46204</v>
      </c>
      <c r="D17" s="521"/>
      <c r="E17" s="437"/>
      <c r="F17" s="521"/>
      <c r="G17" s="437"/>
      <c r="H17" s="219">
        <v>8</v>
      </c>
      <c r="K17" s="129" t="s">
        <v>140</v>
      </c>
      <c r="L17" s="130">
        <v>100000</v>
      </c>
    </row>
    <row r="18" spans="1:12" ht="15" customHeight="1">
      <c r="A18" s="184" t="s">
        <v>59</v>
      </c>
      <c r="B18" s="185" t="s">
        <v>60</v>
      </c>
      <c r="C18" s="125">
        <v>46205</v>
      </c>
      <c r="D18" s="458"/>
      <c r="E18" s="405"/>
      <c r="F18" s="458"/>
      <c r="G18" s="405"/>
      <c r="H18" s="126">
        <v>8</v>
      </c>
      <c r="K18" s="135" t="s">
        <v>111</v>
      </c>
      <c r="L18" s="91"/>
    </row>
    <row r="19" spans="1:12" ht="15" customHeight="1">
      <c r="A19" s="184" t="s">
        <v>59</v>
      </c>
      <c r="B19" s="185" t="s">
        <v>61</v>
      </c>
      <c r="C19" s="125">
        <v>46206</v>
      </c>
      <c r="D19" s="458"/>
      <c r="E19" s="405"/>
      <c r="F19" s="458"/>
      <c r="G19" s="405"/>
      <c r="H19" s="126">
        <v>8</v>
      </c>
      <c r="K19" s="129" t="s">
        <v>149</v>
      </c>
      <c r="L19" s="130">
        <v>12500</v>
      </c>
    </row>
    <row r="20" spans="1:12" ht="15" customHeight="1">
      <c r="A20" s="190" t="s">
        <v>59</v>
      </c>
      <c r="B20" s="191" t="s">
        <v>62</v>
      </c>
      <c r="C20" s="132">
        <v>46207</v>
      </c>
      <c r="D20" s="456"/>
      <c r="E20" s="405"/>
      <c r="F20" s="456"/>
      <c r="G20" s="405"/>
      <c r="H20" s="133">
        <v>8</v>
      </c>
      <c r="K20" s="129" t="s">
        <v>152</v>
      </c>
      <c r="L20" s="130">
        <v>20000</v>
      </c>
    </row>
    <row r="21" spans="1:12" ht="15" customHeight="1">
      <c r="A21" s="190" t="s">
        <v>59</v>
      </c>
      <c r="B21" s="191" t="s">
        <v>63</v>
      </c>
      <c r="C21" s="132">
        <v>46208</v>
      </c>
      <c r="D21" s="456"/>
      <c r="E21" s="405"/>
      <c r="F21" s="456"/>
      <c r="G21" s="405"/>
      <c r="H21" s="133">
        <v>8</v>
      </c>
      <c r="K21" s="129" t="s">
        <v>153</v>
      </c>
      <c r="L21" s="130">
        <v>27500</v>
      </c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136</v>
      </c>
      <c r="G22" s="405"/>
      <c r="H22" s="181">
        <v>9.1199999999999992</v>
      </c>
      <c r="K22" s="129" t="s">
        <v>154</v>
      </c>
      <c r="L22" s="130">
        <v>35000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K23" s="129" t="s">
        <v>155</v>
      </c>
      <c r="L23" s="130">
        <v>42500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243</v>
      </c>
      <c r="E24" s="405"/>
      <c r="F24" s="495" t="s">
        <v>340</v>
      </c>
      <c r="G24" s="405"/>
      <c r="H24" s="181">
        <v>9.17</v>
      </c>
      <c r="K24" s="129" t="s">
        <v>156</v>
      </c>
      <c r="L24" s="130">
        <v>63750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219</v>
      </c>
      <c r="E25" s="405"/>
      <c r="F25" s="495" t="s">
        <v>166</v>
      </c>
      <c r="G25" s="405"/>
      <c r="H25" s="181">
        <v>9.2200000000000006</v>
      </c>
      <c r="K25" s="129" t="s">
        <v>157</v>
      </c>
      <c r="L25" s="130">
        <v>127500</v>
      </c>
    </row>
    <row r="26" spans="1:12" ht="15" customHeight="1">
      <c r="A26" s="180" t="s">
        <v>491</v>
      </c>
      <c r="B26" s="51" t="s">
        <v>61</v>
      </c>
      <c r="C26" s="52">
        <v>46213</v>
      </c>
      <c r="D26" s="495" t="s">
        <v>492</v>
      </c>
      <c r="E26" s="405"/>
      <c r="F26" s="495" t="s">
        <v>358</v>
      </c>
      <c r="G26" s="405"/>
      <c r="H26" s="181">
        <v>7.65</v>
      </c>
      <c r="K26" s="129" t="s">
        <v>158</v>
      </c>
      <c r="L26" s="130">
        <v>200000</v>
      </c>
    </row>
    <row r="27" spans="1:12" ht="15" customHeight="1">
      <c r="A27" s="182" t="s">
        <v>67</v>
      </c>
      <c r="B27" s="65" t="s">
        <v>62</v>
      </c>
      <c r="C27" s="66">
        <v>46214</v>
      </c>
      <c r="D27" s="497"/>
      <c r="E27" s="405"/>
      <c r="F27" s="497"/>
      <c r="G27" s="405"/>
      <c r="H27" s="183">
        <v>0</v>
      </c>
      <c r="J27" s="91"/>
      <c r="K27" s="228" t="s">
        <v>487</v>
      </c>
      <c r="L27" s="229"/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J28" s="91"/>
      <c r="K28" s="129" t="s">
        <v>55</v>
      </c>
      <c r="L28" s="130">
        <v>51750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244</v>
      </c>
      <c r="E29" s="405"/>
      <c r="F29" s="495" t="s">
        <v>166</v>
      </c>
      <c r="G29" s="405"/>
      <c r="H29" s="181">
        <v>9.23</v>
      </c>
      <c r="K29" s="129" t="s">
        <v>56</v>
      </c>
      <c r="L29" s="130">
        <v>86250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243</v>
      </c>
      <c r="E30" s="405"/>
      <c r="F30" s="495" t="s">
        <v>493</v>
      </c>
      <c r="G30" s="405"/>
      <c r="H30" s="181">
        <v>12.25</v>
      </c>
      <c r="I30" t="s">
        <v>72</v>
      </c>
      <c r="K30" s="129" t="s">
        <v>488</v>
      </c>
      <c r="L30" s="130">
        <v>115000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208</v>
      </c>
      <c r="E32" s="405"/>
      <c r="F32" s="495" t="s">
        <v>307</v>
      </c>
      <c r="G32" s="405"/>
      <c r="H32" s="181">
        <v>9.67</v>
      </c>
    </row>
    <row r="33" spans="1:9" ht="15" customHeight="1">
      <c r="A33" s="180" t="s">
        <v>134</v>
      </c>
      <c r="B33" s="51" t="s">
        <v>61</v>
      </c>
      <c r="C33" s="52">
        <v>46220</v>
      </c>
      <c r="D33" s="495" t="s">
        <v>242</v>
      </c>
      <c r="E33" s="405"/>
      <c r="F33" s="495" t="s">
        <v>459</v>
      </c>
      <c r="G33" s="405"/>
      <c r="H33" s="181">
        <v>15.88</v>
      </c>
      <c r="I33" t="s">
        <v>494</v>
      </c>
    </row>
    <row r="34" spans="1:9" ht="15" customHeight="1">
      <c r="A34" s="190" t="s">
        <v>134</v>
      </c>
      <c r="B34" s="191" t="s">
        <v>62</v>
      </c>
      <c r="C34" s="132">
        <v>46221</v>
      </c>
      <c r="D34" s="536" t="s">
        <v>335</v>
      </c>
      <c r="E34" s="405"/>
      <c r="F34" s="536" t="s">
        <v>495</v>
      </c>
      <c r="G34" s="405"/>
      <c r="H34" s="133">
        <v>13.57</v>
      </c>
      <c r="I34" t="s">
        <v>496</v>
      </c>
    </row>
    <row r="35" spans="1:9" ht="15" customHeight="1">
      <c r="A35" s="190" t="s">
        <v>134</v>
      </c>
      <c r="B35" s="191" t="s">
        <v>63</v>
      </c>
      <c r="C35" s="132">
        <v>46222</v>
      </c>
      <c r="D35" s="536" t="s">
        <v>497</v>
      </c>
      <c r="E35" s="405"/>
      <c r="F35" s="536" t="s">
        <v>498</v>
      </c>
      <c r="G35" s="405"/>
      <c r="H35" s="133">
        <v>7.93</v>
      </c>
      <c r="I35" t="s">
        <v>494</v>
      </c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499</v>
      </c>
      <c r="E36" s="405"/>
      <c r="F36" s="495" t="s">
        <v>340</v>
      </c>
      <c r="G36" s="405"/>
      <c r="H36" s="181">
        <v>10.52</v>
      </c>
      <c r="I36" t="s">
        <v>496</v>
      </c>
    </row>
    <row r="37" spans="1:9" ht="15" customHeight="1">
      <c r="A37" s="180" t="s">
        <v>332</v>
      </c>
      <c r="B37" s="51" t="s">
        <v>66</v>
      </c>
      <c r="C37" s="52">
        <v>46224</v>
      </c>
      <c r="D37" s="495" t="s">
        <v>500</v>
      </c>
      <c r="E37" s="405"/>
      <c r="F37" s="495" t="s">
        <v>331</v>
      </c>
      <c r="G37" s="405"/>
      <c r="H37" s="181">
        <v>11.15</v>
      </c>
      <c r="I37" t="s">
        <v>501</v>
      </c>
    </row>
    <row r="38" spans="1:9" ht="15" customHeight="1">
      <c r="A38" s="261" t="s">
        <v>332</v>
      </c>
      <c r="B38" s="51" t="s">
        <v>68</v>
      </c>
      <c r="C38" s="52">
        <v>46225</v>
      </c>
      <c r="D38" s="495" t="s">
        <v>485</v>
      </c>
      <c r="E38" s="405"/>
      <c r="F38" s="495" t="s">
        <v>502</v>
      </c>
      <c r="G38" s="405"/>
      <c r="H38" s="181">
        <v>14.15</v>
      </c>
      <c r="I38" t="s">
        <v>503</v>
      </c>
    </row>
    <row r="39" spans="1:9" ht="15" customHeight="1">
      <c r="A39" s="261" t="s">
        <v>74</v>
      </c>
      <c r="B39" s="51" t="s">
        <v>60</v>
      </c>
      <c r="C39" s="52">
        <v>46226</v>
      </c>
      <c r="D39" s="495" t="s">
        <v>499</v>
      </c>
      <c r="E39" s="405"/>
      <c r="F39" s="495" t="s">
        <v>504</v>
      </c>
      <c r="G39" s="405"/>
      <c r="H39" s="181">
        <v>7.83</v>
      </c>
      <c r="I39" t="s">
        <v>505</v>
      </c>
    </row>
    <row r="40" spans="1:9" ht="15" customHeight="1">
      <c r="A40" s="261" t="s">
        <v>332</v>
      </c>
      <c r="B40" s="51" t="s">
        <v>61</v>
      </c>
      <c r="C40" s="52">
        <v>46227</v>
      </c>
      <c r="D40" s="495" t="s">
        <v>464</v>
      </c>
      <c r="E40" s="405"/>
      <c r="F40" s="495" t="s">
        <v>506</v>
      </c>
      <c r="G40" s="405"/>
      <c r="H40" s="181">
        <v>11.42</v>
      </c>
    </row>
    <row r="41" spans="1:9" ht="15" customHeight="1">
      <c r="A41" s="131" t="s">
        <v>334</v>
      </c>
      <c r="B41" s="191" t="s">
        <v>62</v>
      </c>
      <c r="C41" s="132">
        <v>46228</v>
      </c>
      <c r="D41" s="536" t="s">
        <v>507</v>
      </c>
      <c r="E41" s="405"/>
      <c r="F41" s="536" t="s">
        <v>164</v>
      </c>
      <c r="G41" s="405"/>
      <c r="H41" s="133">
        <v>11.1</v>
      </c>
    </row>
    <row r="42" spans="1:9" ht="15" customHeight="1">
      <c r="A42" s="131" t="s">
        <v>508</v>
      </c>
      <c r="B42" s="191" t="s">
        <v>63</v>
      </c>
      <c r="C42" s="132">
        <v>46229</v>
      </c>
      <c r="D42" s="536" t="s">
        <v>509</v>
      </c>
      <c r="E42" s="405"/>
      <c r="F42" s="536" t="s">
        <v>510</v>
      </c>
      <c r="G42" s="405"/>
      <c r="H42" s="133">
        <v>12.75</v>
      </c>
      <c r="I42" t="s">
        <v>511</v>
      </c>
    </row>
    <row r="43" spans="1:9" ht="15" customHeight="1">
      <c r="A43" s="261" t="s">
        <v>332</v>
      </c>
      <c r="B43" s="51" t="s">
        <v>64</v>
      </c>
      <c r="C43" s="52">
        <v>46230</v>
      </c>
      <c r="D43" s="495" t="s">
        <v>512</v>
      </c>
      <c r="E43" s="405"/>
      <c r="F43" s="495" t="s">
        <v>513</v>
      </c>
      <c r="G43" s="405"/>
      <c r="H43" s="181">
        <v>18.329999999999998</v>
      </c>
      <c r="I43" t="s">
        <v>514</v>
      </c>
    </row>
    <row r="44" spans="1:9" ht="15" customHeight="1">
      <c r="A44" s="261" t="s">
        <v>334</v>
      </c>
      <c r="B44" s="51" t="s">
        <v>66</v>
      </c>
      <c r="C44" s="52">
        <v>46231</v>
      </c>
      <c r="D44" s="495" t="s">
        <v>515</v>
      </c>
      <c r="E44" s="405"/>
      <c r="F44" s="495" t="s">
        <v>516</v>
      </c>
      <c r="G44" s="405"/>
      <c r="H44" s="181">
        <v>16.8</v>
      </c>
      <c r="I44" t="s">
        <v>514</v>
      </c>
    </row>
    <row r="45" spans="1:9" ht="15" customHeight="1">
      <c r="A45" s="221" t="s">
        <v>67</v>
      </c>
      <c r="B45" s="222" t="s">
        <v>68</v>
      </c>
      <c r="C45" s="137">
        <v>46232</v>
      </c>
      <c r="D45" s="457"/>
      <c r="E45" s="405"/>
      <c r="F45" s="457"/>
      <c r="G45" s="405"/>
      <c r="H45" s="138">
        <v>0</v>
      </c>
    </row>
    <row r="46" spans="1:9" ht="15" customHeight="1">
      <c r="A46" s="315" t="s">
        <v>80</v>
      </c>
      <c r="B46" s="316" t="s">
        <v>60</v>
      </c>
      <c r="C46" s="317">
        <v>46233</v>
      </c>
      <c r="D46" s="578"/>
      <c r="E46" s="405"/>
      <c r="F46" s="578"/>
      <c r="G46" s="405"/>
      <c r="H46" s="318">
        <v>8</v>
      </c>
    </row>
    <row r="47" spans="1:9" ht="15" customHeight="1">
      <c r="A47" s="319" t="s">
        <v>80</v>
      </c>
      <c r="B47" s="320" t="s">
        <v>61</v>
      </c>
      <c r="C47" s="321">
        <v>46234</v>
      </c>
      <c r="D47" s="577"/>
      <c r="E47" s="467"/>
      <c r="F47" s="577"/>
      <c r="G47" s="467"/>
      <c r="H47" s="322">
        <v>8</v>
      </c>
    </row>
    <row r="48" spans="1:9" ht="1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273.74000000000007</v>
      </c>
      <c r="I48" s="91"/>
    </row>
    <row r="49" spans="1:9" ht="15" customHeight="1">
      <c r="A49" s="91"/>
      <c r="B49" s="91"/>
      <c r="C49" s="91"/>
      <c r="D49" s="91"/>
      <c r="E49" s="91"/>
      <c r="F49" s="197"/>
      <c r="G49" s="144"/>
      <c r="H49" s="198"/>
      <c r="I49" s="91"/>
    </row>
    <row r="50" spans="1:9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  <c r="I50" s="91"/>
    </row>
    <row r="51" spans="1:9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  <c r="I51" s="91"/>
    </row>
    <row r="52" spans="1:9" ht="15" customHeight="1">
      <c r="A52" s="202">
        <v>46227</v>
      </c>
      <c r="B52" s="500" t="s">
        <v>228</v>
      </c>
      <c r="C52" s="437"/>
      <c r="D52" s="323">
        <v>500000</v>
      </c>
      <c r="E52" s="202"/>
      <c r="F52" s="500"/>
      <c r="G52" s="437"/>
      <c r="H52" s="203"/>
    </row>
    <row r="53" spans="1:9" ht="15" customHeight="1">
      <c r="A53" s="295">
        <v>46238</v>
      </c>
      <c r="B53" s="499" t="s">
        <v>517</v>
      </c>
      <c r="C53" s="405"/>
      <c r="D53" s="324">
        <v>65300</v>
      </c>
      <c r="E53" s="295"/>
      <c r="F53" s="325"/>
      <c r="G53" s="326"/>
      <c r="H53" s="297"/>
    </row>
    <row r="54" spans="1:9" ht="14.25" customHeight="1">
      <c r="A54" s="224"/>
      <c r="B54" s="482"/>
      <c r="C54" s="467"/>
      <c r="D54" s="225"/>
      <c r="E54" s="224"/>
      <c r="F54" s="482"/>
      <c r="G54" s="467"/>
      <c r="H54" s="225"/>
    </row>
    <row r="55" spans="1:9" ht="14.25" customHeight="1">
      <c r="A55" s="514" t="s">
        <v>81</v>
      </c>
      <c r="B55" s="469"/>
      <c r="C55" s="515"/>
      <c r="D55" s="208">
        <f>SUM(D52:D54)</f>
        <v>565300</v>
      </c>
      <c r="E55" s="507" t="s">
        <v>229</v>
      </c>
      <c r="F55" s="469"/>
      <c r="G55" s="470"/>
      <c r="H55" s="156">
        <f>+H54</f>
        <v>0</v>
      </c>
    </row>
    <row r="56" spans="1:9" ht="14.25" customHeight="1">
      <c r="D56" s="91"/>
      <c r="E56" s="472" t="s">
        <v>178</v>
      </c>
      <c r="F56" s="411"/>
      <c r="G56" s="412"/>
      <c r="H56" s="209">
        <v>0</v>
      </c>
    </row>
    <row r="57" spans="1:9" ht="14.25" customHeight="1">
      <c r="A57" s="516" t="s">
        <v>230</v>
      </c>
      <c r="B57" s="517"/>
      <c r="C57" s="517"/>
      <c r="D57" s="518"/>
    </row>
    <row r="58" spans="1:9" ht="14.25" customHeight="1">
      <c r="A58" s="519" t="s">
        <v>231</v>
      </c>
      <c r="B58" s="447"/>
      <c r="C58" s="437"/>
      <c r="D58" s="210" t="s">
        <v>232</v>
      </c>
    </row>
    <row r="59" spans="1:9" ht="14.25" customHeight="1">
      <c r="A59" s="512" t="s">
        <v>233</v>
      </c>
      <c r="B59" s="404"/>
      <c r="C59" s="405"/>
      <c r="D59" s="211">
        <v>-396.88</v>
      </c>
    </row>
    <row r="60" spans="1:9" ht="14.25" customHeight="1">
      <c r="A60" s="512" t="s">
        <v>234</v>
      </c>
      <c r="B60" s="404"/>
      <c r="C60" s="405"/>
      <c r="D60" s="211">
        <v>0</v>
      </c>
    </row>
    <row r="61" spans="1:9" ht="14.25" customHeight="1">
      <c r="A61" s="512" t="s">
        <v>235</v>
      </c>
      <c r="B61" s="404"/>
      <c r="C61" s="405"/>
      <c r="D61" s="211">
        <v>0</v>
      </c>
    </row>
    <row r="62" spans="1:9" ht="14.25" customHeight="1">
      <c r="A62" s="512" t="s">
        <v>236</v>
      </c>
      <c r="B62" s="404"/>
      <c r="C62" s="405"/>
      <c r="D62" s="211">
        <v>0</v>
      </c>
    </row>
    <row r="63" spans="1:9" ht="14.25" customHeight="1">
      <c r="A63" s="512" t="s">
        <v>237</v>
      </c>
      <c r="B63" s="404"/>
      <c r="C63" s="405"/>
      <c r="D63" s="211"/>
    </row>
    <row r="64" spans="1:9" ht="14.25" customHeight="1">
      <c r="A64" s="512" t="s">
        <v>238</v>
      </c>
      <c r="B64" s="404"/>
      <c r="C64" s="405"/>
      <c r="D64" s="211"/>
    </row>
    <row r="65" spans="1:4" ht="14.25" customHeight="1">
      <c r="A65" s="512" t="s">
        <v>239</v>
      </c>
      <c r="B65" s="404"/>
      <c r="C65" s="405"/>
      <c r="D65" s="211"/>
    </row>
    <row r="66" spans="1:4" ht="14.25" customHeight="1">
      <c r="A66" s="512" t="s">
        <v>45</v>
      </c>
      <c r="B66" s="404"/>
      <c r="C66" s="405"/>
      <c r="D66" s="211"/>
    </row>
    <row r="67" spans="1:4" ht="14.25" customHeight="1">
      <c r="A67" s="512" t="s">
        <v>98</v>
      </c>
      <c r="B67" s="404"/>
      <c r="C67" s="405"/>
      <c r="D67" s="211"/>
    </row>
    <row r="68" spans="1:4" ht="14.25" customHeight="1">
      <c r="A68" s="512" t="s">
        <v>100</v>
      </c>
      <c r="B68" s="404"/>
      <c r="C68" s="405"/>
      <c r="D68" s="211"/>
    </row>
    <row r="69" spans="1:4" ht="14.25" customHeight="1">
      <c r="A69" s="512" t="s">
        <v>104</v>
      </c>
      <c r="B69" s="404"/>
      <c r="C69" s="405"/>
      <c r="D69" s="211"/>
    </row>
    <row r="70" spans="1:4" ht="14.25" customHeight="1">
      <c r="A70" s="512" t="s">
        <v>106</v>
      </c>
      <c r="B70" s="404"/>
      <c r="C70" s="405"/>
      <c r="D70" s="211"/>
    </row>
    <row r="71" spans="1:4" ht="14.25" customHeight="1">
      <c r="A71" s="513" t="s">
        <v>113</v>
      </c>
      <c r="B71" s="504"/>
      <c r="C71" s="467"/>
      <c r="D71" s="212"/>
    </row>
    <row r="72" spans="1:4" ht="14.25" customHeight="1">
      <c r="A72" s="511" t="s">
        <v>81</v>
      </c>
      <c r="B72" s="411"/>
      <c r="C72" s="480"/>
      <c r="D72" s="213">
        <f>SUM(D59:D71)</f>
        <v>-396.88</v>
      </c>
    </row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</sheetData>
  <mergeCells count="124">
    <mergeCell ref="D9:F9"/>
    <mergeCell ref="G9:H9"/>
    <mergeCell ref="G10:H10"/>
    <mergeCell ref="A1:H4"/>
    <mergeCell ref="A5:E5"/>
    <mergeCell ref="F5:G5"/>
    <mergeCell ref="I5:J5"/>
    <mergeCell ref="K5:L5"/>
    <mergeCell ref="B6:C6"/>
    <mergeCell ref="F6:G6"/>
    <mergeCell ref="F18:G18"/>
    <mergeCell ref="F19:G19"/>
    <mergeCell ref="E14:H14"/>
    <mergeCell ref="G15:H15"/>
    <mergeCell ref="F16:G16"/>
    <mergeCell ref="D17:E17"/>
    <mergeCell ref="D16:E16"/>
    <mergeCell ref="A13:B13"/>
    <mergeCell ref="C13:D13"/>
    <mergeCell ref="E13:H13"/>
    <mergeCell ref="D18:E18"/>
    <mergeCell ref="D19:E19"/>
    <mergeCell ref="A14:B14"/>
    <mergeCell ref="C14:D14"/>
    <mergeCell ref="A15:F15"/>
    <mergeCell ref="A10:C10"/>
    <mergeCell ref="D10:F10"/>
    <mergeCell ref="C12:D12"/>
    <mergeCell ref="E12:F12"/>
    <mergeCell ref="G12:H12"/>
    <mergeCell ref="D29:E29"/>
    <mergeCell ref="D30:E30"/>
    <mergeCell ref="D31:E31"/>
    <mergeCell ref="D27:E27"/>
    <mergeCell ref="D28:E28"/>
    <mergeCell ref="F20:G20"/>
    <mergeCell ref="F17:G17"/>
    <mergeCell ref="A7:B7"/>
    <mergeCell ref="C7:D7"/>
    <mergeCell ref="E7:G7"/>
    <mergeCell ref="D26:E26"/>
    <mergeCell ref="D23:E23"/>
    <mergeCell ref="D24:E24"/>
    <mergeCell ref="D25:E25"/>
    <mergeCell ref="D20:E20"/>
    <mergeCell ref="F21:G21"/>
    <mergeCell ref="F22:G22"/>
    <mergeCell ref="D21:E21"/>
    <mergeCell ref="D22:E22"/>
    <mergeCell ref="A9:C9"/>
    <mergeCell ref="A8:B8"/>
    <mergeCell ref="C8:D8"/>
    <mergeCell ref="E8:G8"/>
    <mergeCell ref="A11:B12"/>
    <mergeCell ref="F23:G23"/>
    <mergeCell ref="D47:E47"/>
    <mergeCell ref="D43:E43"/>
    <mergeCell ref="D45:E45"/>
    <mergeCell ref="D44:E44"/>
    <mergeCell ref="D46:E46"/>
    <mergeCell ref="F43:G43"/>
    <mergeCell ref="F45:G45"/>
    <mergeCell ref="F44:G44"/>
    <mergeCell ref="D42:E42"/>
    <mergeCell ref="F42:G42"/>
    <mergeCell ref="F47:G47"/>
    <mergeCell ref="F46:G46"/>
    <mergeCell ref="F41:G41"/>
    <mergeCell ref="D38:E38"/>
    <mergeCell ref="D41:E41"/>
    <mergeCell ref="D35:E35"/>
    <mergeCell ref="D36:E36"/>
    <mergeCell ref="D37:E37"/>
    <mergeCell ref="D39:E39"/>
    <mergeCell ref="D40:E40"/>
    <mergeCell ref="D34:E34"/>
    <mergeCell ref="D32:E32"/>
    <mergeCell ref="D33:E33"/>
    <mergeCell ref="F32:G32"/>
    <mergeCell ref="F24:G24"/>
    <mergeCell ref="F25:G25"/>
    <mergeCell ref="F29:G29"/>
    <mergeCell ref="F30:G30"/>
    <mergeCell ref="F31:G31"/>
    <mergeCell ref="F26:G26"/>
    <mergeCell ref="F27:G27"/>
    <mergeCell ref="F28:G28"/>
    <mergeCell ref="A50:D50"/>
    <mergeCell ref="A57:D57"/>
    <mergeCell ref="B53:C53"/>
    <mergeCell ref="F33:G33"/>
    <mergeCell ref="F34:G34"/>
    <mergeCell ref="F38:G38"/>
    <mergeCell ref="F35:G35"/>
    <mergeCell ref="F36:G36"/>
    <mergeCell ref="F37:G37"/>
    <mergeCell ref="F39:G39"/>
    <mergeCell ref="F40:G40"/>
    <mergeCell ref="F52:G52"/>
    <mergeCell ref="F48:G48"/>
    <mergeCell ref="E50:H50"/>
    <mergeCell ref="F51:G51"/>
    <mergeCell ref="A62:C62"/>
    <mergeCell ref="A63:C63"/>
    <mergeCell ref="A61:C61"/>
    <mergeCell ref="E55:G55"/>
    <mergeCell ref="E56:G56"/>
    <mergeCell ref="B52:C52"/>
    <mergeCell ref="B51:C51"/>
    <mergeCell ref="A59:C59"/>
    <mergeCell ref="A58:C58"/>
    <mergeCell ref="A60:C60"/>
    <mergeCell ref="B54:C54"/>
    <mergeCell ref="F54:G54"/>
    <mergeCell ref="A55:C55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1"/>
  <sheetViews>
    <sheetView workbookViewId="0">
      <selection sqref="A1:H4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A8+C8+E8+G8+B10+C10+G12</f>
        <v>1570226.6382325001</v>
      </c>
      <c r="I5" s="431" t="s">
        <v>86</v>
      </c>
      <c r="J5" s="430"/>
      <c r="K5" s="429" t="str">
        <f>+B6</f>
        <v>GERARDO MACHADO</v>
      </c>
      <c r="L5" s="430"/>
    </row>
    <row r="6" spans="1:12" ht="24.75" customHeight="1">
      <c r="A6" s="159" t="s">
        <v>179</v>
      </c>
      <c r="B6" s="520" t="s">
        <v>518</v>
      </c>
      <c r="C6" s="480"/>
      <c r="D6" s="160" t="s">
        <v>181</v>
      </c>
      <c r="E6" s="214">
        <v>42473547</v>
      </c>
      <c r="F6" s="525" t="s">
        <v>89</v>
      </c>
      <c r="G6" s="428"/>
      <c r="H6" s="97">
        <v>3</v>
      </c>
      <c r="I6" s="99" t="s">
        <v>45</v>
      </c>
      <c r="J6" s="100">
        <v>1194489.23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1194489.2295200001</v>
      </c>
    </row>
    <row r="8" spans="1:12" ht="24.75" customHeight="1">
      <c r="A8" s="491">
        <f>1020059.12*17.1%+1020059.12</f>
        <v>1194489.2295200001</v>
      </c>
      <c r="B8" s="405"/>
      <c r="C8" s="492">
        <f>+L19</f>
        <v>62003.571750000003</v>
      </c>
      <c r="D8" s="405"/>
      <c r="E8" s="422">
        <f>+L21</f>
        <v>66963.857490000009</v>
      </c>
      <c r="F8" s="405"/>
      <c r="G8" s="422">
        <f>+L23</f>
        <v>127638.43792000001</v>
      </c>
      <c r="H8" s="406"/>
      <c r="I8" s="99" t="s">
        <v>100</v>
      </c>
      <c r="J8" s="100"/>
      <c r="K8" t="s">
        <v>184</v>
      </c>
      <c r="L8" s="105">
        <f>+C8</f>
        <v>62003.571750000003</v>
      </c>
    </row>
    <row r="9" spans="1:12" ht="24.75" customHeight="1">
      <c r="A9" s="166" t="s">
        <v>111</v>
      </c>
      <c r="B9" s="167">
        <v>3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66963.857490000009</v>
      </c>
    </row>
    <row r="10" spans="1:12" ht="24.75" customHeight="1">
      <c r="A10" s="168">
        <v>44835</v>
      </c>
      <c r="B10" s="130">
        <f>+L27</f>
        <v>32202.5</v>
      </c>
      <c r="C10" s="422">
        <v>0</v>
      </c>
      <c r="D10" s="405"/>
      <c r="E10" s="422">
        <f>+D54+H54</f>
        <v>400000</v>
      </c>
      <c r="F10" s="405"/>
      <c r="G10" s="483" t="s">
        <v>124</v>
      </c>
      <c r="H10" s="406"/>
      <c r="I10" s="99" t="s">
        <v>106</v>
      </c>
      <c r="J10" s="100"/>
      <c r="K10" t="s">
        <v>105</v>
      </c>
      <c r="L10" s="105">
        <f>+G8</f>
        <v>127638.43792000001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32202.5</v>
      </c>
    </row>
    <row r="12" spans="1:12" ht="24.75" customHeight="1">
      <c r="A12" s="171">
        <v>220</v>
      </c>
      <c r="B12" s="172">
        <f>+H48</f>
        <v>241.07</v>
      </c>
      <c r="C12" s="498">
        <f>+B12-A12</f>
        <v>21.069999999999993</v>
      </c>
      <c r="D12" s="405"/>
      <c r="E12" s="422">
        <f>3523.25*17.1%+3523.25</f>
        <v>4125.7257499999996</v>
      </c>
      <c r="F12" s="405"/>
      <c r="G12" s="422">
        <f>+C12*E12</f>
        <v>86929.04155249997</v>
      </c>
      <c r="H12" s="406"/>
      <c r="I12" s="99" t="s">
        <v>81</v>
      </c>
      <c r="J12" s="100">
        <f>SUM(J6:J11)</f>
        <v>1194489.23</v>
      </c>
      <c r="K12" s="91" t="s">
        <v>115</v>
      </c>
      <c r="L12" s="105">
        <f>+C10</f>
        <v>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199081.53833333333</v>
      </c>
      <c r="K13" t="s">
        <v>191</v>
      </c>
      <c r="L13" s="105">
        <f>+G12</f>
        <v>86929.04155249997</v>
      </c>
    </row>
    <row r="14" spans="1:12" ht="24.75" customHeight="1">
      <c r="A14" s="528">
        <v>46143</v>
      </c>
      <c r="B14" s="467"/>
      <c r="C14" s="482" t="s">
        <v>125</v>
      </c>
      <c r="D14" s="467"/>
      <c r="E14" s="554" t="s">
        <v>192</v>
      </c>
      <c r="F14" s="555"/>
      <c r="G14" s="555"/>
      <c r="H14" s="556"/>
      <c r="I14" s="99" t="s">
        <v>86</v>
      </c>
      <c r="J14" s="115">
        <f>+J13/2</f>
        <v>99540.769166666665</v>
      </c>
      <c r="K14" s="112" t="s">
        <v>122</v>
      </c>
      <c r="L14" s="113">
        <f>SUM(L7:L13)</f>
        <v>1570226.6382325001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1170226.6382325001</v>
      </c>
      <c r="H15" s="412"/>
      <c r="I15" s="91"/>
      <c r="K15" t="s">
        <v>126</v>
      </c>
      <c r="L15" s="105">
        <f>+E10</f>
        <v>400000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132</v>
      </c>
      <c r="I16" s="91"/>
      <c r="K16" s="119" t="s">
        <v>133</v>
      </c>
      <c r="L16" s="120">
        <f>+L14-L15</f>
        <v>1170226.6382325001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199</v>
      </c>
      <c r="E17" s="437"/>
      <c r="F17" s="510" t="s">
        <v>376</v>
      </c>
      <c r="G17" s="448"/>
      <c r="H17" s="328">
        <v>9.07</v>
      </c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138</v>
      </c>
      <c r="E18" s="405"/>
      <c r="F18" s="495" t="s">
        <v>340</v>
      </c>
      <c r="G18" s="406"/>
      <c r="H18" s="329">
        <v>9.02</v>
      </c>
      <c r="K18" s="127" t="s">
        <v>196</v>
      </c>
      <c r="L18" s="128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255</v>
      </c>
      <c r="E19" s="405"/>
      <c r="F19" s="495" t="s">
        <v>473</v>
      </c>
      <c r="G19" s="406"/>
      <c r="H19" s="329">
        <v>8.5500000000000007</v>
      </c>
      <c r="K19" s="129" t="s">
        <v>140</v>
      </c>
      <c r="L19" s="130">
        <f>52949.25*17.1%+52949.25</f>
        <v>62003.571750000003</v>
      </c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477</v>
      </c>
      <c r="E20" s="405"/>
      <c r="F20" s="536" t="s">
        <v>519</v>
      </c>
      <c r="G20" s="406"/>
      <c r="H20" s="330">
        <v>6.47</v>
      </c>
      <c r="K20" s="127" t="s">
        <v>137</v>
      </c>
      <c r="L20" s="128"/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6"/>
      <c r="H21" s="331">
        <v>0</v>
      </c>
      <c r="K21" s="129" t="s">
        <v>140</v>
      </c>
      <c r="L21" s="130">
        <f>57185.19*17.1%+57185.19</f>
        <v>66963.857490000009</v>
      </c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243</v>
      </c>
      <c r="E22" s="405"/>
      <c r="F22" s="495" t="s">
        <v>411</v>
      </c>
      <c r="G22" s="406"/>
      <c r="H22" s="329">
        <v>9.1999999999999993</v>
      </c>
      <c r="K22" s="127" t="s">
        <v>109</v>
      </c>
      <c r="L22" s="128"/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6"/>
      <c r="H23" s="332">
        <v>0</v>
      </c>
      <c r="K23" s="129" t="s">
        <v>140</v>
      </c>
      <c r="L23" s="130">
        <f>108999.52*17.1%+108999.52</f>
        <v>127638.43792000001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375</v>
      </c>
      <c r="E24" s="405"/>
      <c r="F24" s="495" t="s">
        <v>166</v>
      </c>
      <c r="G24" s="406"/>
      <c r="H24" s="329">
        <v>8.98</v>
      </c>
      <c r="K24" s="135" t="s">
        <v>111</v>
      </c>
      <c r="L24" s="91"/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199</v>
      </c>
      <c r="E25" s="405"/>
      <c r="F25" s="495" t="s">
        <v>166</v>
      </c>
      <c r="G25" s="406"/>
      <c r="H25" s="329">
        <v>9.08</v>
      </c>
      <c r="K25" s="129" t="s">
        <v>149</v>
      </c>
      <c r="L25" s="130">
        <f>12500*17.1%+12500</f>
        <v>14637.5</v>
      </c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375</v>
      </c>
      <c r="E26" s="405"/>
      <c r="F26" s="495" t="s">
        <v>300</v>
      </c>
      <c r="G26" s="406"/>
      <c r="H26" s="329">
        <v>9.08</v>
      </c>
      <c r="K26" s="129" t="s">
        <v>152</v>
      </c>
      <c r="L26" s="130">
        <f>20000*17.1%+20000</f>
        <v>23420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204</v>
      </c>
      <c r="E27" s="405"/>
      <c r="F27" s="536" t="s">
        <v>520</v>
      </c>
      <c r="G27" s="406"/>
      <c r="H27" s="330">
        <v>6.18</v>
      </c>
      <c r="J27" s="91"/>
      <c r="K27" s="129" t="s">
        <v>153</v>
      </c>
      <c r="L27" s="130">
        <f>27500*17.1%+27500</f>
        <v>32202.5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6"/>
      <c r="H28" s="331">
        <v>0</v>
      </c>
      <c r="J28" s="91"/>
      <c r="K28" s="129" t="s">
        <v>154</v>
      </c>
      <c r="L28" s="130">
        <f>35000*17.1%+35000</f>
        <v>40985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199</v>
      </c>
      <c r="E29" s="405"/>
      <c r="F29" s="495" t="s">
        <v>340</v>
      </c>
      <c r="G29" s="406"/>
      <c r="H29" s="329">
        <v>9.1</v>
      </c>
      <c r="K29" s="129" t="s">
        <v>155</v>
      </c>
      <c r="L29" s="130">
        <f>42500*17.1%+42500</f>
        <v>49767.5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375</v>
      </c>
      <c r="E30" s="405"/>
      <c r="F30" s="495" t="s">
        <v>340</v>
      </c>
      <c r="G30" s="406"/>
      <c r="H30" s="329">
        <v>9</v>
      </c>
      <c r="K30" s="129" t="s">
        <v>156</v>
      </c>
      <c r="L30" s="130">
        <f>63750*17.1%+63750</f>
        <v>74651.25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6"/>
      <c r="H31" s="332">
        <v>0</v>
      </c>
      <c r="K31" s="129" t="s">
        <v>157</v>
      </c>
      <c r="L31" s="130">
        <f>127500*17.1%+127500</f>
        <v>149302.5</v>
      </c>
    </row>
    <row r="32" spans="1:12" ht="15" customHeight="1">
      <c r="A32" s="180" t="s">
        <v>521</v>
      </c>
      <c r="B32" s="51" t="s">
        <v>60</v>
      </c>
      <c r="C32" s="52">
        <v>46219</v>
      </c>
      <c r="D32" s="495" t="s">
        <v>522</v>
      </c>
      <c r="E32" s="405"/>
      <c r="F32" s="495" t="s">
        <v>356</v>
      </c>
      <c r="G32" s="406"/>
      <c r="H32" s="329">
        <v>9.5</v>
      </c>
      <c r="I32" t="s">
        <v>523</v>
      </c>
      <c r="K32" s="129" t="s">
        <v>158</v>
      </c>
      <c r="L32" s="130">
        <f>200000*17.1%+200000</f>
        <v>234200</v>
      </c>
    </row>
    <row r="33" spans="1:9" ht="15" customHeight="1">
      <c r="A33" s="180" t="s">
        <v>524</v>
      </c>
      <c r="B33" s="51" t="s">
        <v>61</v>
      </c>
      <c r="C33" s="52">
        <v>46220</v>
      </c>
      <c r="D33" s="495" t="s">
        <v>350</v>
      </c>
      <c r="E33" s="405"/>
      <c r="F33" s="495" t="s">
        <v>525</v>
      </c>
      <c r="G33" s="406"/>
      <c r="H33" s="329">
        <v>12.83</v>
      </c>
      <c r="I33" t="s">
        <v>496</v>
      </c>
    </row>
    <row r="34" spans="1:9" ht="15" customHeight="1">
      <c r="A34" s="190" t="s">
        <v>334</v>
      </c>
      <c r="B34" s="191" t="s">
        <v>62</v>
      </c>
      <c r="C34" s="132">
        <v>46221</v>
      </c>
      <c r="D34" s="536" t="s">
        <v>526</v>
      </c>
      <c r="E34" s="405"/>
      <c r="F34" s="536" t="s">
        <v>527</v>
      </c>
      <c r="G34" s="406"/>
      <c r="H34" s="330">
        <v>7.78</v>
      </c>
      <c r="I34" t="s">
        <v>528</v>
      </c>
    </row>
    <row r="35" spans="1:9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6"/>
      <c r="H35" s="331">
        <v>0</v>
      </c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477</v>
      </c>
      <c r="E36" s="405"/>
      <c r="F36" s="495" t="s">
        <v>529</v>
      </c>
      <c r="G36" s="406"/>
      <c r="H36" s="329">
        <v>9.8000000000000007</v>
      </c>
    </row>
    <row r="37" spans="1:9" ht="15" customHeight="1">
      <c r="A37" s="180" t="s">
        <v>461</v>
      </c>
      <c r="B37" s="51" t="s">
        <v>66</v>
      </c>
      <c r="C37" s="52">
        <v>46224</v>
      </c>
      <c r="D37" s="495" t="s">
        <v>298</v>
      </c>
      <c r="E37" s="405"/>
      <c r="F37" s="495" t="s">
        <v>411</v>
      </c>
      <c r="G37" s="406"/>
      <c r="H37" s="329">
        <v>8.57</v>
      </c>
    </row>
    <row r="38" spans="1:9" ht="15" customHeight="1">
      <c r="A38" s="261" t="s">
        <v>332</v>
      </c>
      <c r="B38" s="51" t="s">
        <v>68</v>
      </c>
      <c r="C38" s="52">
        <v>46225</v>
      </c>
      <c r="D38" s="495" t="s">
        <v>252</v>
      </c>
      <c r="E38" s="405"/>
      <c r="F38" s="495" t="s">
        <v>296</v>
      </c>
      <c r="G38" s="406"/>
      <c r="H38" s="329">
        <v>10.07</v>
      </c>
    </row>
    <row r="39" spans="1:9" ht="15" customHeight="1">
      <c r="A39" s="261" t="s">
        <v>332</v>
      </c>
      <c r="B39" s="51" t="s">
        <v>60</v>
      </c>
      <c r="C39" s="52">
        <v>46226</v>
      </c>
      <c r="D39" s="495" t="s">
        <v>252</v>
      </c>
      <c r="E39" s="405"/>
      <c r="F39" s="495" t="s">
        <v>222</v>
      </c>
      <c r="G39" s="406"/>
      <c r="H39" s="329">
        <v>11.07</v>
      </c>
    </row>
    <row r="40" spans="1:9" ht="15" customHeight="1">
      <c r="A40" s="261" t="s">
        <v>134</v>
      </c>
      <c r="B40" s="51" t="s">
        <v>61</v>
      </c>
      <c r="C40" s="52">
        <v>46227</v>
      </c>
      <c r="D40" s="495" t="s">
        <v>477</v>
      </c>
      <c r="E40" s="405"/>
      <c r="F40" s="495" t="s">
        <v>530</v>
      </c>
      <c r="G40" s="406"/>
      <c r="H40" s="329">
        <v>12.88</v>
      </c>
    </row>
    <row r="41" spans="1:9" ht="15" customHeight="1">
      <c r="A41" s="131" t="s">
        <v>334</v>
      </c>
      <c r="B41" s="191" t="s">
        <v>62</v>
      </c>
      <c r="C41" s="132">
        <v>46228</v>
      </c>
      <c r="D41" s="536" t="s">
        <v>526</v>
      </c>
      <c r="E41" s="405"/>
      <c r="F41" s="536" t="s">
        <v>531</v>
      </c>
      <c r="G41" s="406"/>
      <c r="H41" s="330">
        <v>12.08</v>
      </c>
    </row>
    <row r="42" spans="1:9" ht="15" customHeight="1">
      <c r="A42" s="131" t="s">
        <v>332</v>
      </c>
      <c r="B42" s="191" t="s">
        <v>63</v>
      </c>
      <c r="C42" s="132">
        <v>46229</v>
      </c>
      <c r="D42" s="536" t="s">
        <v>317</v>
      </c>
      <c r="E42" s="405"/>
      <c r="F42" s="536" t="s">
        <v>532</v>
      </c>
      <c r="G42" s="406"/>
      <c r="H42" s="330">
        <v>11.62</v>
      </c>
    </row>
    <row r="43" spans="1:9" ht="15" customHeight="1">
      <c r="A43" s="261" t="s">
        <v>332</v>
      </c>
      <c r="B43" s="51" t="s">
        <v>64</v>
      </c>
      <c r="C43" s="52">
        <v>46230</v>
      </c>
      <c r="D43" s="495" t="s">
        <v>252</v>
      </c>
      <c r="E43" s="405"/>
      <c r="F43" s="495" t="s">
        <v>533</v>
      </c>
      <c r="G43" s="406"/>
      <c r="H43" s="329">
        <v>11.12</v>
      </c>
    </row>
    <row r="44" spans="1:9" ht="15" customHeight="1">
      <c r="A44" s="261" t="s">
        <v>336</v>
      </c>
      <c r="B44" s="51" t="s">
        <v>66</v>
      </c>
      <c r="C44" s="52">
        <v>46231</v>
      </c>
      <c r="D44" s="495" t="s">
        <v>145</v>
      </c>
      <c r="E44" s="405"/>
      <c r="F44" s="495" t="s">
        <v>534</v>
      </c>
      <c r="G44" s="406"/>
      <c r="H44" s="329">
        <v>8.5299999999999994</v>
      </c>
      <c r="I44" t="s">
        <v>535</v>
      </c>
    </row>
    <row r="45" spans="1:9" ht="15" customHeight="1">
      <c r="A45" s="180" t="s">
        <v>332</v>
      </c>
      <c r="B45" s="51" t="s">
        <v>68</v>
      </c>
      <c r="C45" s="52">
        <v>46232</v>
      </c>
      <c r="D45" s="495" t="s">
        <v>536</v>
      </c>
      <c r="E45" s="405"/>
      <c r="F45" s="495" t="s">
        <v>537</v>
      </c>
      <c r="G45" s="406"/>
      <c r="H45" s="329">
        <v>11.72</v>
      </c>
    </row>
    <row r="46" spans="1:9" ht="15" customHeight="1">
      <c r="A46" s="221" t="s">
        <v>406</v>
      </c>
      <c r="B46" s="222" t="s">
        <v>60</v>
      </c>
      <c r="C46" s="137">
        <v>46233</v>
      </c>
      <c r="D46" s="457"/>
      <c r="E46" s="405"/>
      <c r="F46" s="457"/>
      <c r="G46" s="406"/>
      <c r="H46" s="332">
        <v>0</v>
      </c>
    </row>
    <row r="47" spans="1:9" ht="15" customHeight="1">
      <c r="A47" s="192" t="s">
        <v>134</v>
      </c>
      <c r="B47" s="193" t="s">
        <v>61</v>
      </c>
      <c r="C47" s="194">
        <v>46234</v>
      </c>
      <c r="D47" s="502" t="s">
        <v>342</v>
      </c>
      <c r="E47" s="467"/>
      <c r="F47" s="502" t="s">
        <v>248</v>
      </c>
      <c r="G47" s="505"/>
      <c r="H47" s="333">
        <v>9.77</v>
      </c>
    </row>
    <row r="48" spans="1:9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241.07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02">
        <v>46227</v>
      </c>
      <c r="B52" s="500" t="s">
        <v>228</v>
      </c>
      <c r="C52" s="437"/>
      <c r="D52" s="223">
        <v>400000</v>
      </c>
      <c r="E52" s="202"/>
      <c r="F52" s="500"/>
      <c r="G52" s="437"/>
      <c r="H52" s="223"/>
    </row>
    <row r="53" spans="1:8" ht="14.25" customHeight="1">
      <c r="A53" s="206"/>
      <c r="B53" s="533"/>
      <c r="C53" s="467"/>
      <c r="D53" s="334"/>
      <c r="E53" s="335"/>
      <c r="F53" s="533"/>
      <c r="G53" s="467"/>
      <c r="H53" s="334"/>
    </row>
    <row r="54" spans="1:8" ht="14.25" customHeight="1">
      <c r="A54" s="514" t="s">
        <v>81</v>
      </c>
      <c r="B54" s="469"/>
      <c r="C54" s="515"/>
      <c r="D54" s="208">
        <f>SUM(D52:D53)</f>
        <v>400000</v>
      </c>
      <c r="E54" s="507" t="s">
        <v>229</v>
      </c>
      <c r="F54" s="469"/>
      <c r="G54" s="470"/>
      <c r="H54" s="156">
        <f>SUM(H52:H53)</f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7">
    <mergeCell ref="D35:E35"/>
    <mergeCell ref="F35:G35"/>
    <mergeCell ref="B52:C52"/>
    <mergeCell ref="F48:G48"/>
    <mergeCell ref="A50:D50"/>
    <mergeCell ref="E50:H50"/>
    <mergeCell ref="B53:C53"/>
    <mergeCell ref="D46:E46"/>
    <mergeCell ref="F46:G46"/>
    <mergeCell ref="D44:E44"/>
    <mergeCell ref="F44:G44"/>
    <mergeCell ref="D45:E45"/>
    <mergeCell ref="F45:G45"/>
    <mergeCell ref="D40:E40"/>
    <mergeCell ref="F40:G40"/>
    <mergeCell ref="D41:E41"/>
    <mergeCell ref="F41:G41"/>
    <mergeCell ref="D42:E42"/>
    <mergeCell ref="F42:G42"/>
    <mergeCell ref="D47:E47"/>
    <mergeCell ref="F47:G47"/>
    <mergeCell ref="D39:E39"/>
    <mergeCell ref="F39:G39"/>
    <mergeCell ref="D43:E43"/>
    <mergeCell ref="A66:C66"/>
    <mergeCell ref="A59:C59"/>
    <mergeCell ref="A60:C60"/>
    <mergeCell ref="A67:C67"/>
    <mergeCell ref="A68:C68"/>
    <mergeCell ref="A69:C69"/>
    <mergeCell ref="A70:C70"/>
    <mergeCell ref="A71:C71"/>
    <mergeCell ref="A61:C61"/>
    <mergeCell ref="A62:C62"/>
    <mergeCell ref="F43:G43"/>
    <mergeCell ref="A63:C63"/>
    <mergeCell ref="A64:C64"/>
    <mergeCell ref="A65:C65"/>
    <mergeCell ref="F52:G52"/>
    <mergeCell ref="F53:G53"/>
    <mergeCell ref="B51:C51"/>
    <mergeCell ref="F51:G51"/>
    <mergeCell ref="E55:G55"/>
    <mergeCell ref="A56:D56"/>
    <mergeCell ref="A57:C57"/>
    <mergeCell ref="A58:C58"/>
    <mergeCell ref="A54:C54"/>
    <mergeCell ref="E54:G54"/>
    <mergeCell ref="D26:E26"/>
    <mergeCell ref="F26:G26"/>
    <mergeCell ref="D36:E36"/>
    <mergeCell ref="D37:E37"/>
    <mergeCell ref="D38:E38"/>
    <mergeCell ref="F37:G37"/>
    <mergeCell ref="F38:G38"/>
    <mergeCell ref="D27:E27"/>
    <mergeCell ref="F27:G27"/>
    <mergeCell ref="D28:E28"/>
    <mergeCell ref="F28:G28"/>
    <mergeCell ref="D29:E29"/>
    <mergeCell ref="F29:G29"/>
    <mergeCell ref="D33:E33"/>
    <mergeCell ref="F33:G33"/>
    <mergeCell ref="D34:E34"/>
    <mergeCell ref="F34:G34"/>
    <mergeCell ref="D30:E30"/>
    <mergeCell ref="F30:G30"/>
    <mergeCell ref="D31:E31"/>
    <mergeCell ref="F31:G31"/>
    <mergeCell ref="D32:E32"/>
    <mergeCell ref="F32:G32"/>
    <mergeCell ref="F36:G36"/>
    <mergeCell ref="D22:E22"/>
    <mergeCell ref="F22:G22"/>
    <mergeCell ref="D23:E23"/>
    <mergeCell ref="F23:G23"/>
    <mergeCell ref="D20:E20"/>
    <mergeCell ref="D24:E24"/>
    <mergeCell ref="F24:G24"/>
    <mergeCell ref="D25:E25"/>
    <mergeCell ref="F25:G25"/>
    <mergeCell ref="D18:E18"/>
    <mergeCell ref="F18:G18"/>
    <mergeCell ref="D19:E19"/>
    <mergeCell ref="F19:G19"/>
    <mergeCell ref="F20:G20"/>
    <mergeCell ref="D17:E17"/>
    <mergeCell ref="F17:G17"/>
    <mergeCell ref="D21:E21"/>
    <mergeCell ref="F21:G21"/>
    <mergeCell ref="D16:E16"/>
    <mergeCell ref="F16:G16"/>
    <mergeCell ref="A8:B8"/>
    <mergeCell ref="C8:D8"/>
    <mergeCell ref="A13:B13"/>
    <mergeCell ref="C13:D13"/>
    <mergeCell ref="A14:B14"/>
    <mergeCell ref="C14:D14"/>
    <mergeCell ref="C12:D12"/>
    <mergeCell ref="I5:J5"/>
    <mergeCell ref="K5:L5"/>
    <mergeCell ref="B6:C6"/>
    <mergeCell ref="C9:D9"/>
    <mergeCell ref="F6:G6"/>
    <mergeCell ref="C11:D11"/>
    <mergeCell ref="E11:F11"/>
    <mergeCell ref="A15:F15"/>
    <mergeCell ref="G15:H15"/>
    <mergeCell ref="A7:B7"/>
    <mergeCell ref="C7:D7"/>
    <mergeCell ref="E7:F7"/>
    <mergeCell ref="G7:H7"/>
    <mergeCell ref="E8:F8"/>
    <mergeCell ref="G8:H8"/>
    <mergeCell ref="E14:H14"/>
    <mergeCell ref="A1:H4"/>
    <mergeCell ref="A5:E5"/>
    <mergeCell ref="F5:G5"/>
    <mergeCell ref="E13:H13"/>
    <mergeCell ref="E12:F12"/>
    <mergeCell ref="G12:H12"/>
    <mergeCell ref="E9:F9"/>
    <mergeCell ref="G9:H9"/>
    <mergeCell ref="C10:D10"/>
    <mergeCell ref="E10:F10"/>
    <mergeCell ref="G10:H10"/>
    <mergeCell ref="G11:H11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3"/>
  <sheetViews>
    <sheetView workbookViewId="0">
      <selection sqref="A1:H4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A8+C8+E8+F8+B10+C10+G12</f>
        <v>1297083.4201799999</v>
      </c>
      <c r="I5" s="431" t="s">
        <v>86</v>
      </c>
      <c r="J5" s="430"/>
      <c r="K5" s="429" t="str">
        <f>+B6</f>
        <v>LEANDRO NAVARRO</v>
      </c>
      <c r="L5" s="430"/>
    </row>
    <row r="6" spans="1:12" ht="24.75" customHeight="1">
      <c r="A6" s="159" t="s">
        <v>179</v>
      </c>
      <c r="B6" s="526" t="s">
        <v>538</v>
      </c>
      <c r="C6" s="480"/>
      <c r="D6" s="160" t="s">
        <v>181</v>
      </c>
      <c r="E6" s="161"/>
      <c r="F6" s="525" t="s">
        <v>89</v>
      </c>
      <c r="G6" s="428"/>
      <c r="H6" s="97">
        <v>3</v>
      </c>
      <c r="I6" s="99" t="s">
        <v>45</v>
      </c>
      <c r="J6" s="100">
        <v>1094570.8999999999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585" t="s">
        <v>182</v>
      </c>
      <c r="D7" s="586"/>
      <c r="E7" s="463"/>
      <c r="F7" s="538" t="s">
        <v>109</v>
      </c>
      <c r="G7" s="447"/>
      <c r="H7" s="448"/>
      <c r="I7" s="99" t="s">
        <v>98</v>
      </c>
      <c r="J7" s="100"/>
      <c r="K7" t="s">
        <v>99</v>
      </c>
      <c r="L7" s="105">
        <f>+A8</f>
        <v>1094570.90267</v>
      </c>
    </row>
    <row r="8" spans="1:12" ht="24.75" customHeight="1">
      <c r="A8" s="491">
        <f>934731.77*17.1%+934731.77</f>
        <v>1094570.90267</v>
      </c>
      <c r="B8" s="405"/>
      <c r="C8" s="422">
        <f>+L18</f>
        <v>46188.479020000006</v>
      </c>
      <c r="D8" s="404"/>
      <c r="E8" s="405"/>
      <c r="F8" s="422">
        <f>+L20</f>
        <v>132904.03849000001</v>
      </c>
      <c r="G8" s="404"/>
      <c r="H8" s="406"/>
      <c r="I8" s="99" t="s">
        <v>100</v>
      </c>
      <c r="J8" s="100"/>
      <c r="K8" t="s">
        <v>184</v>
      </c>
      <c r="L8" s="105">
        <f>+C8</f>
        <v>46188.479020000006</v>
      </c>
    </row>
    <row r="9" spans="1:12" ht="24.75" customHeight="1">
      <c r="A9" s="166" t="s">
        <v>111</v>
      </c>
      <c r="B9" s="167">
        <v>2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105</v>
      </c>
      <c r="L9" s="105">
        <f>+F8</f>
        <v>132904.03849000001</v>
      </c>
    </row>
    <row r="10" spans="1:12" ht="24.75" customHeight="1">
      <c r="A10" s="168">
        <v>45292</v>
      </c>
      <c r="B10" s="130">
        <f>+L23</f>
        <v>23420</v>
      </c>
      <c r="C10" s="422">
        <v>0</v>
      </c>
      <c r="D10" s="405"/>
      <c r="E10" s="422">
        <f>+D56+H60</f>
        <v>1110000</v>
      </c>
      <c r="F10" s="405"/>
      <c r="G10" s="483" t="s">
        <v>290</v>
      </c>
      <c r="H10" s="406"/>
      <c r="I10" s="99" t="s">
        <v>106</v>
      </c>
      <c r="J10" s="100"/>
      <c r="K10" s="91" t="s">
        <v>107</v>
      </c>
      <c r="L10" s="105">
        <f>+B10</f>
        <v>23420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115</v>
      </c>
      <c r="L11" s="105">
        <f>+C10</f>
        <v>0</v>
      </c>
    </row>
    <row r="12" spans="1:12" ht="24.75" customHeight="1">
      <c r="A12" s="171">
        <v>240</v>
      </c>
      <c r="B12" s="172">
        <f>+H49</f>
        <v>213.15</v>
      </c>
      <c r="C12" s="498">
        <f>+B12-A12</f>
        <v>-26.849999999999994</v>
      </c>
      <c r="D12" s="405"/>
      <c r="E12" s="422">
        <f>2963.3*17.1%+2963.3</f>
        <v>3470.0243</v>
      </c>
      <c r="F12" s="405"/>
      <c r="G12" s="422">
        <v>0</v>
      </c>
      <c r="H12" s="406"/>
      <c r="I12" s="99" t="s">
        <v>81</v>
      </c>
      <c r="J12" s="100">
        <f>SUM(J6:J11)</f>
        <v>1094570.8999999999</v>
      </c>
      <c r="K12" t="s">
        <v>191</v>
      </c>
      <c r="L12" s="105">
        <f>+G12</f>
        <v>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182428.48333333331</v>
      </c>
      <c r="K13" s="112" t="s">
        <v>122</v>
      </c>
      <c r="L13" s="113">
        <f>SUM(L7:L12)</f>
        <v>1297083.4201799999</v>
      </c>
    </row>
    <row r="14" spans="1:12" ht="24.75" customHeight="1">
      <c r="A14" s="528">
        <v>46143</v>
      </c>
      <c r="B14" s="467"/>
      <c r="C14" s="482" t="s">
        <v>125</v>
      </c>
      <c r="D14" s="467"/>
      <c r="E14" s="554" t="s">
        <v>192</v>
      </c>
      <c r="F14" s="555"/>
      <c r="G14" s="555"/>
      <c r="H14" s="556"/>
      <c r="I14" s="99" t="s">
        <v>86</v>
      </c>
      <c r="J14" s="115">
        <f>+J13/2</f>
        <v>91214.241666666654</v>
      </c>
      <c r="K14" t="s">
        <v>126</v>
      </c>
      <c r="L14" s="105">
        <f>+E10</f>
        <v>1110000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187083.4201799999</v>
      </c>
      <c r="H15" s="412"/>
      <c r="I15" s="91"/>
      <c r="K15" s="119" t="s">
        <v>133</v>
      </c>
      <c r="L15" s="120">
        <f>+L13-L14</f>
        <v>187083.4201799999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132</v>
      </c>
      <c r="I16" s="91"/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193</v>
      </c>
      <c r="E17" s="437"/>
      <c r="F17" s="510" t="s">
        <v>340</v>
      </c>
      <c r="G17" s="437"/>
      <c r="H17" s="179">
        <v>9.1999999999999993</v>
      </c>
      <c r="I17" s="91"/>
      <c r="K17" s="127" t="s">
        <v>196</v>
      </c>
      <c r="L17" s="128"/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539</v>
      </c>
      <c r="E18" s="405"/>
      <c r="F18" s="495" t="s">
        <v>166</v>
      </c>
      <c r="G18" s="405"/>
      <c r="H18" s="181">
        <v>9.3000000000000007</v>
      </c>
      <c r="I18" s="220"/>
      <c r="K18" s="129" t="s">
        <v>140</v>
      </c>
      <c r="L18" s="130">
        <f>39443.62*17.1%+39443.62</f>
        <v>46188.479020000006</v>
      </c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242</v>
      </c>
      <c r="E19" s="405"/>
      <c r="F19" s="495" t="s">
        <v>209</v>
      </c>
      <c r="G19" s="405"/>
      <c r="H19" s="181">
        <v>8.9499999999999993</v>
      </c>
      <c r="I19" s="220"/>
      <c r="K19" s="127" t="s">
        <v>109</v>
      </c>
      <c r="L19" s="128"/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242</v>
      </c>
      <c r="E20" s="405"/>
      <c r="F20" s="536" t="s">
        <v>540</v>
      </c>
      <c r="G20" s="405"/>
      <c r="H20" s="133">
        <v>11.5</v>
      </c>
      <c r="I20" s="91"/>
      <c r="K20" s="129" t="s">
        <v>140</v>
      </c>
      <c r="L20" s="130">
        <f>113496.19*17.1%+113496.19</f>
        <v>132904.03849000001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91"/>
      <c r="K21" s="135" t="s">
        <v>111</v>
      </c>
      <c r="L21" s="91"/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339</v>
      </c>
      <c r="E22" s="405"/>
      <c r="F22" s="495" t="s">
        <v>429</v>
      </c>
      <c r="G22" s="405"/>
      <c r="H22" s="181">
        <v>11.63</v>
      </c>
      <c r="I22" s="91"/>
      <c r="K22" s="129" t="s">
        <v>149</v>
      </c>
      <c r="L22" s="130">
        <f>12500*17.1%+12500</f>
        <v>14637.5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I23" s="91"/>
      <c r="K23" s="129" t="s">
        <v>152</v>
      </c>
      <c r="L23" s="130">
        <f>20000*17.1%+20000</f>
        <v>23420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246</v>
      </c>
      <c r="E24" s="405"/>
      <c r="F24" s="495" t="s">
        <v>136</v>
      </c>
      <c r="G24" s="405"/>
      <c r="H24" s="181">
        <v>9.35</v>
      </c>
      <c r="I24" s="91"/>
      <c r="K24" s="129" t="s">
        <v>153</v>
      </c>
      <c r="L24" s="130">
        <f>27500*17.1%+27500</f>
        <v>32202.5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541</v>
      </c>
      <c r="E25" s="405"/>
      <c r="F25" s="495" t="s">
        <v>166</v>
      </c>
      <c r="G25" s="405"/>
      <c r="H25" s="181">
        <v>9.3800000000000008</v>
      </c>
      <c r="I25" s="91"/>
      <c r="K25" s="129" t="s">
        <v>154</v>
      </c>
      <c r="L25" s="130">
        <f>35000*17.1%+35000</f>
        <v>40985</v>
      </c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219</v>
      </c>
      <c r="E26" s="405"/>
      <c r="F26" s="495" t="s">
        <v>195</v>
      </c>
      <c r="G26" s="405"/>
      <c r="H26" s="181">
        <v>9.7200000000000006</v>
      </c>
      <c r="I26" s="91"/>
      <c r="K26" s="129" t="s">
        <v>155</v>
      </c>
      <c r="L26" s="130">
        <f>42500*17.1%+42500</f>
        <v>49767.5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342</v>
      </c>
      <c r="E27" s="405"/>
      <c r="F27" s="536" t="s">
        <v>405</v>
      </c>
      <c r="G27" s="405"/>
      <c r="H27" s="133">
        <v>10.23</v>
      </c>
      <c r="I27" s="91"/>
      <c r="J27" s="91"/>
      <c r="K27" s="129" t="s">
        <v>156</v>
      </c>
      <c r="L27" s="130">
        <f>63750*17.1%+63750</f>
        <v>74651.25</v>
      </c>
    </row>
    <row r="28" spans="1:12" ht="15" customHeight="1">
      <c r="A28" s="190" t="s">
        <v>334</v>
      </c>
      <c r="B28" s="191" t="s">
        <v>63</v>
      </c>
      <c r="C28" s="132">
        <v>46215</v>
      </c>
      <c r="D28" s="536" t="s">
        <v>542</v>
      </c>
      <c r="E28" s="405"/>
      <c r="F28" s="536" t="s">
        <v>543</v>
      </c>
      <c r="G28" s="405"/>
      <c r="H28" s="133">
        <v>2.82</v>
      </c>
      <c r="I28" s="91"/>
      <c r="J28" s="91"/>
      <c r="K28" s="129" t="s">
        <v>157</v>
      </c>
      <c r="L28" s="130">
        <f>127500*17.1%+127500</f>
        <v>149302.5</v>
      </c>
    </row>
    <row r="29" spans="1:12" ht="15" customHeight="1">
      <c r="A29" s="336"/>
      <c r="B29" s="191" t="s">
        <v>63</v>
      </c>
      <c r="C29" s="132">
        <v>46215</v>
      </c>
      <c r="D29" s="536" t="s">
        <v>414</v>
      </c>
      <c r="E29" s="405"/>
      <c r="F29" s="536" t="s">
        <v>544</v>
      </c>
      <c r="G29" s="405"/>
      <c r="H29" s="133">
        <v>7.42</v>
      </c>
      <c r="I29" s="91"/>
      <c r="K29" s="129" t="s">
        <v>158</v>
      </c>
      <c r="L29" s="130">
        <f>200000*17.1%+200000</f>
        <v>234200</v>
      </c>
    </row>
    <row r="30" spans="1:12" ht="15" customHeight="1">
      <c r="A30" s="180" t="s">
        <v>134</v>
      </c>
      <c r="B30" s="51" t="s">
        <v>64</v>
      </c>
      <c r="C30" s="52">
        <v>46216</v>
      </c>
      <c r="D30" s="495" t="s">
        <v>204</v>
      </c>
      <c r="E30" s="405"/>
      <c r="F30" s="495" t="s">
        <v>200</v>
      </c>
      <c r="G30" s="405"/>
      <c r="H30" s="181">
        <v>9.42</v>
      </c>
      <c r="I30" s="91"/>
    </row>
    <row r="31" spans="1:12" ht="15" customHeight="1">
      <c r="A31" s="180" t="s">
        <v>134</v>
      </c>
      <c r="B31" s="51" t="s">
        <v>66</v>
      </c>
      <c r="C31" s="52">
        <v>46217</v>
      </c>
      <c r="D31" s="495" t="s">
        <v>254</v>
      </c>
      <c r="E31" s="405"/>
      <c r="F31" s="495" t="s">
        <v>340</v>
      </c>
      <c r="G31" s="405"/>
      <c r="H31" s="181">
        <v>9.1199999999999992</v>
      </c>
      <c r="I31" s="91"/>
    </row>
    <row r="32" spans="1:12" ht="15" customHeight="1">
      <c r="A32" s="221" t="s">
        <v>67</v>
      </c>
      <c r="B32" s="222" t="s">
        <v>68</v>
      </c>
      <c r="C32" s="137">
        <v>46218</v>
      </c>
      <c r="D32" s="457"/>
      <c r="E32" s="405"/>
      <c r="F32" s="457"/>
      <c r="G32" s="405"/>
      <c r="H32" s="138">
        <v>0</v>
      </c>
      <c r="I32" s="91"/>
    </row>
    <row r="33" spans="1:9" ht="15" customHeight="1">
      <c r="A33" s="180" t="s">
        <v>134</v>
      </c>
      <c r="B33" s="51" t="s">
        <v>60</v>
      </c>
      <c r="C33" s="52">
        <v>46219</v>
      </c>
      <c r="D33" s="495" t="s">
        <v>545</v>
      </c>
      <c r="E33" s="405"/>
      <c r="F33" s="495" t="s">
        <v>546</v>
      </c>
      <c r="G33" s="405"/>
      <c r="H33" s="181">
        <v>15.92</v>
      </c>
      <c r="I33" s="220" t="s">
        <v>547</v>
      </c>
    </row>
    <row r="34" spans="1:9" ht="15" customHeight="1">
      <c r="A34" s="180" t="s">
        <v>134</v>
      </c>
      <c r="B34" s="51" t="s">
        <v>61</v>
      </c>
      <c r="C34" s="52">
        <v>46220</v>
      </c>
      <c r="D34" s="495" t="s">
        <v>210</v>
      </c>
      <c r="E34" s="405"/>
      <c r="F34" s="495" t="s">
        <v>166</v>
      </c>
      <c r="G34" s="405"/>
      <c r="H34" s="181">
        <v>9.02</v>
      </c>
      <c r="I34" s="91"/>
    </row>
    <row r="35" spans="1:9" ht="15" customHeight="1">
      <c r="A35" s="190" t="s">
        <v>134</v>
      </c>
      <c r="B35" s="191" t="s">
        <v>62</v>
      </c>
      <c r="C35" s="132">
        <v>46221</v>
      </c>
      <c r="D35" s="536" t="s">
        <v>548</v>
      </c>
      <c r="E35" s="405"/>
      <c r="F35" s="536" t="s">
        <v>549</v>
      </c>
      <c r="G35" s="405"/>
      <c r="H35" s="133">
        <v>9.2200000000000006</v>
      </c>
      <c r="I35" s="91"/>
    </row>
    <row r="36" spans="1:9" ht="15" customHeight="1">
      <c r="A36" s="190" t="s">
        <v>134</v>
      </c>
      <c r="B36" s="191" t="s">
        <v>63</v>
      </c>
      <c r="C36" s="132">
        <v>46222</v>
      </c>
      <c r="D36" s="536" t="s">
        <v>162</v>
      </c>
      <c r="E36" s="405"/>
      <c r="F36" s="536" t="s">
        <v>388</v>
      </c>
      <c r="G36" s="405"/>
      <c r="H36" s="133">
        <v>4.95</v>
      </c>
      <c r="I36" s="91"/>
    </row>
    <row r="37" spans="1:9" ht="15" customHeight="1">
      <c r="A37" s="184" t="s">
        <v>59</v>
      </c>
      <c r="B37" s="185" t="s">
        <v>64</v>
      </c>
      <c r="C37" s="125">
        <v>46223</v>
      </c>
      <c r="D37" s="458"/>
      <c r="E37" s="405"/>
      <c r="F37" s="458"/>
      <c r="G37" s="405"/>
      <c r="H37" s="126">
        <v>8</v>
      </c>
      <c r="I37" s="91"/>
    </row>
    <row r="38" spans="1:9" ht="15" customHeight="1">
      <c r="A38" s="184" t="s">
        <v>59</v>
      </c>
      <c r="B38" s="185" t="s">
        <v>66</v>
      </c>
      <c r="C38" s="125">
        <v>46224</v>
      </c>
      <c r="D38" s="458"/>
      <c r="E38" s="405"/>
      <c r="F38" s="458"/>
      <c r="G38" s="405"/>
      <c r="H38" s="126">
        <v>8</v>
      </c>
      <c r="I38" s="91"/>
    </row>
    <row r="39" spans="1:9" ht="15" customHeight="1">
      <c r="A39" s="184" t="s">
        <v>59</v>
      </c>
      <c r="B39" s="185" t="s">
        <v>68</v>
      </c>
      <c r="C39" s="125">
        <v>46225</v>
      </c>
      <c r="D39" s="458"/>
      <c r="E39" s="405"/>
      <c r="F39" s="458"/>
      <c r="G39" s="405"/>
      <c r="H39" s="126">
        <v>8</v>
      </c>
      <c r="I39" s="91"/>
    </row>
    <row r="40" spans="1:9" ht="15" customHeight="1">
      <c r="A40" s="184" t="s">
        <v>59</v>
      </c>
      <c r="B40" s="185" t="s">
        <v>60</v>
      </c>
      <c r="C40" s="125">
        <v>46226</v>
      </c>
      <c r="D40" s="458"/>
      <c r="E40" s="405"/>
      <c r="F40" s="458"/>
      <c r="G40" s="405"/>
      <c r="H40" s="126">
        <v>8</v>
      </c>
      <c r="I40" s="91"/>
    </row>
    <row r="41" spans="1:9" ht="15" customHeight="1">
      <c r="A41" s="184" t="s">
        <v>59</v>
      </c>
      <c r="B41" s="185" t="s">
        <v>61</v>
      </c>
      <c r="C41" s="125">
        <v>46227</v>
      </c>
      <c r="D41" s="458"/>
      <c r="E41" s="405"/>
      <c r="F41" s="458"/>
      <c r="G41" s="405"/>
      <c r="H41" s="126">
        <v>8</v>
      </c>
      <c r="I41" s="91"/>
    </row>
    <row r="42" spans="1:9" ht="15" customHeight="1">
      <c r="A42" s="190" t="s">
        <v>59</v>
      </c>
      <c r="B42" s="191" t="s">
        <v>62</v>
      </c>
      <c r="C42" s="132">
        <v>46228</v>
      </c>
      <c r="D42" s="456"/>
      <c r="E42" s="405"/>
      <c r="F42" s="456"/>
      <c r="G42" s="405"/>
      <c r="H42" s="133">
        <v>8</v>
      </c>
      <c r="I42" s="91"/>
    </row>
    <row r="43" spans="1:9" ht="15" customHeight="1">
      <c r="A43" s="190" t="s">
        <v>59</v>
      </c>
      <c r="B43" s="191" t="s">
        <v>63</v>
      </c>
      <c r="C43" s="132">
        <v>46229</v>
      </c>
      <c r="D43" s="456"/>
      <c r="E43" s="405"/>
      <c r="F43" s="456"/>
      <c r="G43" s="405"/>
      <c r="H43" s="133">
        <v>8</v>
      </c>
      <c r="I43" s="91"/>
    </row>
    <row r="44" spans="1:9" ht="15" customHeight="1">
      <c r="A44" s="221" t="s">
        <v>406</v>
      </c>
      <c r="B44" s="222" t="s">
        <v>64</v>
      </c>
      <c r="C44" s="137">
        <v>46230</v>
      </c>
      <c r="D44" s="457"/>
      <c r="E44" s="405"/>
      <c r="F44" s="457"/>
      <c r="G44" s="405"/>
      <c r="H44" s="138">
        <v>0</v>
      </c>
      <c r="I44" s="91"/>
    </row>
    <row r="45" spans="1:9" ht="15" customHeight="1">
      <c r="A45" s="221" t="s">
        <v>406</v>
      </c>
      <c r="B45" s="222" t="s">
        <v>66</v>
      </c>
      <c r="C45" s="137">
        <v>46231</v>
      </c>
      <c r="D45" s="457"/>
      <c r="E45" s="405"/>
      <c r="F45" s="457"/>
      <c r="G45" s="405"/>
      <c r="H45" s="138">
        <v>0</v>
      </c>
      <c r="I45" s="91"/>
    </row>
    <row r="46" spans="1:9" ht="15" customHeight="1">
      <c r="A46" s="221" t="s">
        <v>406</v>
      </c>
      <c r="B46" s="222" t="s">
        <v>68</v>
      </c>
      <c r="C46" s="137">
        <v>46232</v>
      </c>
      <c r="D46" s="457"/>
      <c r="E46" s="405"/>
      <c r="F46" s="457"/>
      <c r="G46" s="405"/>
      <c r="H46" s="138">
        <v>0</v>
      </c>
      <c r="I46" s="91"/>
    </row>
    <row r="47" spans="1:9" ht="15" customHeight="1">
      <c r="A47" s="221" t="s">
        <v>406</v>
      </c>
      <c r="B47" s="222" t="s">
        <v>60</v>
      </c>
      <c r="C47" s="137">
        <v>46233</v>
      </c>
      <c r="D47" s="457"/>
      <c r="E47" s="405"/>
      <c r="F47" s="457"/>
      <c r="G47" s="405"/>
      <c r="H47" s="138">
        <v>0</v>
      </c>
      <c r="I47" s="220"/>
    </row>
    <row r="48" spans="1:9" ht="15" customHeight="1">
      <c r="A48" s="282" t="s">
        <v>406</v>
      </c>
      <c r="B48" s="283" t="s">
        <v>61</v>
      </c>
      <c r="C48" s="284">
        <v>46234</v>
      </c>
      <c r="D48" s="560"/>
      <c r="E48" s="467"/>
      <c r="F48" s="560"/>
      <c r="G48" s="467"/>
      <c r="H48" s="285">
        <v>0</v>
      </c>
      <c r="I48" s="220"/>
    </row>
    <row r="49" spans="1:8" ht="14.25" customHeight="1">
      <c r="A49" s="196"/>
      <c r="B49" s="91"/>
      <c r="C49" s="91"/>
      <c r="D49" s="91"/>
      <c r="E49" s="91"/>
      <c r="F49" s="506" t="s">
        <v>41</v>
      </c>
      <c r="G49" s="412"/>
      <c r="H49" s="146">
        <f>SUM(H17:H48)</f>
        <v>213.15</v>
      </c>
    </row>
    <row r="50" spans="1:8" ht="15" customHeight="1">
      <c r="A50" s="91"/>
      <c r="B50" s="91"/>
      <c r="C50" s="91"/>
      <c r="D50" s="91"/>
      <c r="E50" s="91"/>
      <c r="F50" s="197"/>
      <c r="G50" s="144"/>
      <c r="H50" s="198"/>
    </row>
    <row r="51" spans="1:8" ht="15" customHeight="1">
      <c r="A51" s="477" t="s">
        <v>226</v>
      </c>
      <c r="B51" s="411"/>
      <c r="C51" s="411"/>
      <c r="D51" s="412"/>
      <c r="E51" s="523" t="s">
        <v>173</v>
      </c>
      <c r="F51" s="411"/>
      <c r="G51" s="411"/>
      <c r="H51" s="412"/>
    </row>
    <row r="52" spans="1:8" ht="15" customHeight="1">
      <c r="A52" s="199" t="s">
        <v>5</v>
      </c>
      <c r="B52" s="524" t="s">
        <v>174</v>
      </c>
      <c r="C52" s="518"/>
      <c r="D52" s="199" t="s">
        <v>175</v>
      </c>
      <c r="E52" s="200" t="s">
        <v>5</v>
      </c>
      <c r="F52" s="522" t="s">
        <v>174</v>
      </c>
      <c r="G52" s="518"/>
      <c r="H52" s="201" t="s">
        <v>176</v>
      </c>
    </row>
    <row r="53" spans="1:8" ht="15" customHeight="1">
      <c r="A53" s="234">
        <v>46227</v>
      </c>
      <c r="B53" s="531" t="s">
        <v>228</v>
      </c>
      <c r="C53" s="437"/>
      <c r="D53" s="267">
        <v>300000</v>
      </c>
      <c r="E53" s="337">
        <v>46203</v>
      </c>
      <c r="F53" s="587" t="s">
        <v>550</v>
      </c>
      <c r="G53" s="437"/>
      <c r="H53" s="338">
        <v>50000</v>
      </c>
    </row>
    <row r="54" spans="1:8" ht="15" customHeight="1">
      <c r="A54" s="268"/>
      <c r="B54" s="473"/>
      <c r="C54" s="405"/>
      <c r="D54" s="305"/>
      <c r="E54" s="270">
        <v>46212</v>
      </c>
      <c r="F54" s="552" t="s">
        <v>551</v>
      </c>
      <c r="G54" s="405"/>
      <c r="H54" s="271">
        <v>870000</v>
      </c>
    </row>
    <row r="55" spans="1:8" ht="15" customHeight="1">
      <c r="A55" s="268"/>
      <c r="B55" s="473"/>
      <c r="C55" s="405"/>
      <c r="D55" s="305"/>
      <c r="E55" s="272">
        <v>46204</v>
      </c>
      <c r="F55" s="551" t="s">
        <v>552</v>
      </c>
      <c r="G55" s="405"/>
      <c r="H55" s="273">
        <v>435000</v>
      </c>
    </row>
    <row r="56" spans="1:8" ht="14.25" customHeight="1">
      <c r="A56" s="514" t="s">
        <v>81</v>
      </c>
      <c r="B56" s="469"/>
      <c r="C56" s="515"/>
      <c r="D56" s="208">
        <f>SUM(D53:D55)</f>
        <v>300000</v>
      </c>
      <c r="E56" s="272">
        <v>46235</v>
      </c>
      <c r="F56" s="551" t="s">
        <v>553</v>
      </c>
      <c r="G56" s="405"/>
      <c r="H56" s="273">
        <v>435000</v>
      </c>
    </row>
    <row r="57" spans="1:8" ht="14.25" customHeight="1">
      <c r="D57" s="91"/>
      <c r="E57" s="270">
        <v>46212</v>
      </c>
      <c r="F57" s="552" t="s">
        <v>554</v>
      </c>
      <c r="G57" s="405"/>
      <c r="H57" s="271">
        <v>750000</v>
      </c>
    </row>
    <row r="58" spans="1:8" ht="14.25" customHeight="1">
      <c r="A58" s="516" t="s">
        <v>230</v>
      </c>
      <c r="B58" s="517"/>
      <c r="C58" s="517"/>
      <c r="D58" s="518"/>
      <c r="E58" s="272">
        <v>46204</v>
      </c>
      <c r="F58" s="551" t="s">
        <v>555</v>
      </c>
      <c r="G58" s="405"/>
      <c r="H58" s="273">
        <v>375000</v>
      </c>
    </row>
    <row r="59" spans="1:8" ht="14.25" customHeight="1">
      <c r="A59" s="519" t="s">
        <v>231</v>
      </c>
      <c r="B59" s="447"/>
      <c r="C59" s="437"/>
      <c r="D59" s="210" t="s">
        <v>232</v>
      </c>
      <c r="E59" s="272">
        <v>46235</v>
      </c>
      <c r="F59" s="551" t="s">
        <v>556</v>
      </c>
      <c r="G59" s="405"/>
      <c r="H59" s="273">
        <v>375000</v>
      </c>
    </row>
    <row r="60" spans="1:8" ht="14.25" customHeight="1">
      <c r="A60" s="512" t="s">
        <v>233</v>
      </c>
      <c r="B60" s="404"/>
      <c r="C60" s="405"/>
      <c r="D60" s="211">
        <v>-396.88</v>
      </c>
      <c r="E60" s="507" t="s">
        <v>229</v>
      </c>
      <c r="F60" s="469"/>
      <c r="G60" s="470"/>
      <c r="H60" s="156">
        <f>+H56+H59</f>
        <v>810000</v>
      </c>
    </row>
    <row r="61" spans="1:8" ht="14.25" customHeight="1">
      <c r="A61" s="512" t="s">
        <v>234</v>
      </c>
      <c r="B61" s="404"/>
      <c r="C61" s="405"/>
      <c r="D61" s="211">
        <v>0</v>
      </c>
      <c r="E61" s="472" t="s">
        <v>178</v>
      </c>
      <c r="F61" s="411"/>
      <c r="G61" s="412"/>
      <c r="H61" s="209">
        <v>0</v>
      </c>
    </row>
    <row r="62" spans="1:8" ht="14.25" customHeight="1">
      <c r="A62" s="512" t="s">
        <v>235</v>
      </c>
      <c r="B62" s="404"/>
      <c r="C62" s="405"/>
      <c r="D62" s="211">
        <v>0</v>
      </c>
    </row>
    <row r="63" spans="1:8" ht="14.25" customHeight="1">
      <c r="A63" s="512" t="s">
        <v>236</v>
      </c>
      <c r="B63" s="404"/>
      <c r="C63" s="405"/>
      <c r="D63" s="211">
        <v>0</v>
      </c>
    </row>
    <row r="64" spans="1:8" ht="14.25" customHeight="1">
      <c r="A64" s="512" t="s">
        <v>237</v>
      </c>
      <c r="B64" s="404"/>
      <c r="C64" s="405"/>
      <c r="D64" s="211"/>
    </row>
    <row r="65" spans="1:4" ht="14.25" customHeight="1">
      <c r="A65" s="512" t="s">
        <v>238</v>
      </c>
      <c r="B65" s="404"/>
      <c r="C65" s="405"/>
      <c r="D65" s="211"/>
    </row>
    <row r="66" spans="1:4" ht="14.25" customHeight="1">
      <c r="A66" s="512" t="s">
        <v>239</v>
      </c>
      <c r="B66" s="404"/>
      <c r="C66" s="405"/>
      <c r="D66" s="211"/>
    </row>
    <row r="67" spans="1:4" ht="14.25" customHeight="1">
      <c r="A67" s="512" t="s">
        <v>45</v>
      </c>
      <c r="B67" s="404"/>
      <c r="C67" s="405"/>
      <c r="D67" s="211"/>
    </row>
    <row r="68" spans="1:4" ht="14.25" customHeight="1">
      <c r="A68" s="512" t="s">
        <v>98</v>
      </c>
      <c r="B68" s="404"/>
      <c r="C68" s="405"/>
      <c r="D68" s="211"/>
    </row>
    <row r="69" spans="1:4" ht="14.25" customHeight="1">
      <c r="A69" s="512" t="s">
        <v>100</v>
      </c>
      <c r="B69" s="404"/>
      <c r="C69" s="405"/>
      <c r="D69" s="211"/>
    </row>
    <row r="70" spans="1:4" ht="14.25" customHeight="1">
      <c r="A70" s="512" t="s">
        <v>104</v>
      </c>
      <c r="B70" s="404"/>
      <c r="C70" s="405"/>
      <c r="D70" s="211"/>
    </row>
    <row r="71" spans="1:4" ht="14.25" customHeight="1">
      <c r="A71" s="512" t="s">
        <v>106</v>
      </c>
      <c r="B71" s="404"/>
      <c r="C71" s="405"/>
      <c r="D71" s="211"/>
    </row>
    <row r="72" spans="1:4" ht="14.25" customHeight="1">
      <c r="A72" s="513" t="s">
        <v>113</v>
      </c>
      <c r="B72" s="504"/>
      <c r="C72" s="467"/>
      <c r="D72" s="212"/>
    </row>
    <row r="73" spans="1:4" ht="14.25" customHeight="1">
      <c r="A73" s="511" t="s">
        <v>81</v>
      </c>
      <c r="B73" s="411"/>
      <c r="C73" s="480"/>
      <c r="D73" s="213">
        <f>SUM(D60:D72)</f>
        <v>-396.88</v>
      </c>
    </row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</sheetData>
  <mergeCells count="133">
    <mergeCell ref="A71:C71"/>
    <mergeCell ref="A72:C72"/>
    <mergeCell ref="A73:C73"/>
    <mergeCell ref="A56:C56"/>
    <mergeCell ref="B55:C55"/>
    <mergeCell ref="D30:E30"/>
    <mergeCell ref="F30:G30"/>
    <mergeCell ref="D31:E31"/>
    <mergeCell ref="F31:G31"/>
    <mergeCell ref="D32:E32"/>
    <mergeCell ref="F32:G32"/>
    <mergeCell ref="D43:E43"/>
    <mergeCell ref="F43:G43"/>
    <mergeCell ref="D37:E37"/>
    <mergeCell ref="D38:E38"/>
    <mergeCell ref="A64:C64"/>
    <mergeCell ref="A65:C65"/>
    <mergeCell ref="E61:G61"/>
    <mergeCell ref="E60:G60"/>
    <mergeCell ref="F59:G59"/>
    <mergeCell ref="F56:G56"/>
    <mergeCell ref="F57:G57"/>
    <mergeCell ref="F58:G58"/>
    <mergeCell ref="D47:E47"/>
    <mergeCell ref="A68:C68"/>
    <mergeCell ref="A69:C69"/>
    <mergeCell ref="A51:D51"/>
    <mergeCell ref="B52:C52"/>
    <mergeCell ref="B53:C53"/>
    <mergeCell ref="B54:C54"/>
    <mergeCell ref="D40:E40"/>
    <mergeCell ref="D41:E41"/>
    <mergeCell ref="A70:C70"/>
    <mergeCell ref="D45:E45"/>
    <mergeCell ref="I5:J5"/>
    <mergeCell ref="K5:L5"/>
    <mergeCell ref="F48:G48"/>
    <mergeCell ref="F36:G36"/>
    <mergeCell ref="D36:E36"/>
    <mergeCell ref="A66:C66"/>
    <mergeCell ref="A67:C67"/>
    <mergeCell ref="A63:C63"/>
    <mergeCell ref="A58:D58"/>
    <mergeCell ref="A59:C59"/>
    <mergeCell ref="A60:C60"/>
    <mergeCell ref="A61:C61"/>
    <mergeCell ref="A62:C62"/>
    <mergeCell ref="F47:G47"/>
    <mergeCell ref="F49:G49"/>
    <mergeCell ref="F52:G52"/>
    <mergeCell ref="F53:G53"/>
    <mergeCell ref="F54:G54"/>
    <mergeCell ref="F55:G55"/>
    <mergeCell ref="D44:E44"/>
    <mergeCell ref="F44:G44"/>
    <mergeCell ref="D46:E46"/>
    <mergeCell ref="F46:G46"/>
    <mergeCell ref="E51:H51"/>
    <mergeCell ref="F45:G45"/>
    <mergeCell ref="D48:E48"/>
    <mergeCell ref="F37:G37"/>
    <mergeCell ref="F40:G40"/>
    <mergeCell ref="D33:E33"/>
    <mergeCell ref="F33:G33"/>
    <mergeCell ref="D34:E34"/>
    <mergeCell ref="F34:G34"/>
    <mergeCell ref="D35:E35"/>
    <mergeCell ref="F35:G35"/>
    <mergeCell ref="F41:G41"/>
    <mergeCell ref="D42:E42"/>
    <mergeCell ref="F42:G42"/>
    <mergeCell ref="F38:G38"/>
    <mergeCell ref="D39:E39"/>
    <mergeCell ref="F39:G39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D23:E23"/>
    <mergeCell ref="F23:G23"/>
    <mergeCell ref="D18:E18"/>
    <mergeCell ref="F18:G18"/>
    <mergeCell ref="D19:E19"/>
    <mergeCell ref="F19:G19"/>
    <mergeCell ref="D20:E20"/>
    <mergeCell ref="F20:G20"/>
    <mergeCell ref="D27:E27"/>
    <mergeCell ref="F27:G27"/>
    <mergeCell ref="D17:E17"/>
    <mergeCell ref="F17:G17"/>
    <mergeCell ref="A5:E5"/>
    <mergeCell ref="F5:G5"/>
    <mergeCell ref="A14:B14"/>
    <mergeCell ref="C14:D14"/>
    <mergeCell ref="D21:E21"/>
    <mergeCell ref="F21:G21"/>
    <mergeCell ref="D22:E22"/>
    <mergeCell ref="F22:G22"/>
    <mergeCell ref="A15:F15"/>
    <mergeCell ref="G15:H15"/>
    <mergeCell ref="A13:B13"/>
    <mergeCell ref="E13:H13"/>
    <mergeCell ref="E14:H14"/>
    <mergeCell ref="A1:H4"/>
    <mergeCell ref="C8:E8"/>
    <mergeCell ref="F8:H8"/>
    <mergeCell ref="E9:F9"/>
    <mergeCell ref="G9:H9"/>
    <mergeCell ref="E10:F10"/>
    <mergeCell ref="G10:H10"/>
    <mergeCell ref="D16:E16"/>
    <mergeCell ref="F16:G16"/>
    <mergeCell ref="A7:B7"/>
    <mergeCell ref="C7:E7"/>
    <mergeCell ref="F6:G6"/>
    <mergeCell ref="F7:H7"/>
    <mergeCell ref="B6:C6"/>
    <mergeCell ref="C11:D11"/>
    <mergeCell ref="C9:D9"/>
    <mergeCell ref="C10:D10"/>
    <mergeCell ref="A8:B8"/>
    <mergeCell ref="C13:D13"/>
    <mergeCell ref="C12:D12"/>
    <mergeCell ref="E12:F12"/>
    <mergeCell ref="G12:H12"/>
    <mergeCell ref="E11:F11"/>
    <mergeCell ref="G11:H11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2"/>
  <sheetViews>
    <sheetView workbookViewId="0">
      <selection sqref="A1:H4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A8+C8+E8+G8+B10+C10+G12</f>
        <v>1424860</v>
      </c>
      <c r="I5" s="431" t="s">
        <v>86</v>
      </c>
      <c r="J5" s="430"/>
      <c r="K5" s="429" t="str">
        <f>+B6</f>
        <v>PABLO VESSONI</v>
      </c>
      <c r="L5" s="430"/>
    </row>
    <row r="6" spans="1:12" ht="24.75" customHeight="1">
      <c r="A6" s="159" t="s">
        <v>179</v>
      </c>
      <c r="B6" s="520" t="s">
        <v>557</v>
      </c>
      <c r="C6" s="480"/>
      <c r="D6" s="160" t="s">
        <v>181</v>
      </c>
      <c r="E6" s="214"/>
      <c r="F6" s="525" t="s">
        <v>89</v>
      </c>
      <c r="G6" s="428"/>
      <c r="H6" s="97">
        <v>3</v>
      </c>
      <c r="I6" s="99" t="s">
        <v>45</v>
      </c>
      <c r="J6" s="100">
        <v>1100000</v>
      </c>
      <c r="K6" s="101" t="str">
        <f>+MAYRA!L6</f>
        <v>Mes: JULIO 2026</v>
      </c>
      <c r="L6" s="165"/>
    </row>
    <row r="7" spans="1:12" ht="24.75" customHeight="1">
      <c r="A7" s="490" t="s">
        <v>94</v>
      </c>
      <c r="B7" s="405"/>
      <c r="C7" s="421" t="s">
        <v>182</v>
      </c>
      <c r="D7" s="405"/>
      <c r="E7" s="421" t="s">
        <v>183</v>
      </c>
      <c r="F7" s="405"/>
      <c r="G7" s="421" t="s">
        <v>109</v>
      </c>
      <c r="H7" s="406"/>
      <c r="I7" s="99" t="s">
        <v>98</v>
      </c>
      <c r="J7" s="100"/>
      <c r="K7" t="s">
        <v>99</v>
      </c>
      <c r="L7" s="105">
        <f>+A8</f>
        <v>1100000</v>
      </c>
    </row>
    <row r="8" spans="1:12" ht="24.75" customHeight="1">
      <c r="A8" s="491">
        <v>1100000</v>
      </c>
      <c r="B8" s="405"/>
      <c r="C8" s="492">
        <f>+L19</f>
        <v>70000</v>
      </c>
      <c r="D8" s="405"/>
      <c r="E8" s="422">
        <f>+L21</f>
        <v>70000</v>
      </c>
      <c r="F8" s="405"/>
      <c r="G8" s="422">
        <f>+L23</f>
        <v>135000</v>
      </c>
      <c r="H8" s="406"/>
      <c r="I8" s="99" t="s">
        <v>100</v>
      </c>
      <c r="J8" s="100"/>
      <c r="K8" t="s">
        <v>184</v>
      </c>
      <c r="L8" s="105">
        <f>+C8</f>
        <v>70000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70000</v>
      </c>
    </row>
    <row r="10" spans="1:12" ht="24.75" customHeight="1">
      <c r="A10" s="168">
        <v>46143</v>
      </c>
      <c r="B10" s="130">
        <v>0</v>
      </c>
      <c r="C10" s="422">
        <v>0</v>
      </c>
      <c r="D10" s="405"/>
      <c r="E10" s="422">
        <f>+D55+H55</f>
        <v>200000</v>
      </c>
      <c r="F10" s="405"/>
      <c r="G10" s="483" t="s">
        <v>290</v>
      </c>
      <c r="H10" s="406"/>
      <c r="I10" s="99" t="s">
        <v>106</v>
      </c>
      <c r="J10" s="100"/>
      <c r="K10" t="s">
        <v>105</v>
      </c>
      <c r="L10" s="105">
        <f>+G8</f>
        <v>135000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171">
        <v>220</v>
      </c>
      <c r="B12" s="172">
        <f>+H48</f>
        <v>231.08</v>
      </c>
      <c r="C12" s="498">
        <f>+B12-A12</f>
        <v>11.080000000000013</v>
      </c>
      <c r="D12" s="405"/>
      <c r="E12" s="422">
        <v>4500</v>
      </c>
      <c r="F12" s="405"/>
      <c r="G12" s="422">
        <f>+C12*E12</f>
        <v>49860.000000000058</v>
      </c>
      <c r="H12" s="406"/>
      <c r="I12" s="99" t="s">
        <v>81</v>
      </c>
      <c r="J12" s="100">
        <f>SUM(J6:J11)</f>
        <v>1100000</v>
      </c>
      <c r="K12" s="91" t="s">
        <v>115</v>
      </c>
      <c r="L12" s="105">
        <f>+C10</f>
        <v>0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183333.33333333334</v>
      </c>
      <c r="K13" t="s">
        <v>191</v>
      </c>
      <c r="L13" s="105">
        <f>+G12</f>
        <v>49860.000000000058</v>
      </c>
    </row>
    <row r="14" spans="1:12" ht="24.75" customHeight="1">
      <c r="A14" s="528">
        <v>46143</v>
      </c>
      <c r="B14" s="467"/>
      <c r="C14" s="482" t="s">
        <v>125</v>
      </c>
      <c r="D14" s="467"/>
      <c r="E14" s="554" t="s">
        <v>558</v>
      </c>
      <c r="F14" s="555"/>
      <c r="G14" s="555"/>
      <c r="H14" s="556"/>
      <c r="I14" s="99" t="s">
        <v>86</v>
      </c>
      <c r="J14" s="115">
        <f>+J13/2</f>
        <v>91666.666666666672</v>
      </c>
      <c r="K14" s="112" t="s">
        <v>122</v>
      </c>
      <c r="L14" s="113">
        <f>SUM(L7:L13)</f>
        <v>1424860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1224860</v>
      </c>
      <c r="H15" s="412"/>
      <c r="I15" s="91"/>
      <c r="K15" t="s">
        <v>126</v>
      </c>
      <c r="L15" s="105">
        <f>+E10</f>
        <v>200000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132</v>
      </c>
      <c r="I16" s="91"/>
      <c r="K16" s="119" t="s">
        <v>133</v>
      </c>
      <c r="L16" s="120">
        <f>+L14-L15</f>
        <v>1224860</v>
      </c>
    </row>
    <row r="17" spans="1:12" ht="15" customHeight="1">
      <c r="A17" s="176" t="s">
        <v>134</v>
      </c>
      <c r="B17" s="177" t="s">
        <v>58</v>
      </c>
      <c r="C17" s="178">
        <v>46204</v>
      </c>
      <c r="D17" s="510" t="s">
        <v>210</v>
      </c>
      <c r="E17" s="437"/>
      <c r="F17" s="510" t="s">
        <v>340</v>
      </c>
      <c r="G17" s="437"/>
      <c r="H17" s="179">
        <v>9.0299999999999994</v>
      </c>
      <c r="I17" s="220"/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199</v>
      </c>
      <c r="E18" s="405"/>
      <c r="F18" s="495" t="s">
        <v>411</v>
      </c>
      <c r="G18" s="405"/>
      <c r="H18" s="181">
        <v>9.1300000000000008</v>
      </c>
      <c r="I18" s="220"/>
      <c r="K18" s="127" t="s">
        <v>196</v>
      </c>
      <c r="L18" s="128"/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210</v>
      </c>
      <c r="E19" s="405"/>
      <c r="F19" s="495" t="s">
        <v>559</v>
      </c>
      <c r="G19" s="405"/>
      <c r="H19" s="181">
        <v>8.02</v>
      </c>
      <c r="I19" s="220"/>
      <c r="K19" s="129" t="s">
        <v>140</v>
      </c>
      <c r="L19" s="130">
        <v>70000</v>
      </c>
    </row>
    <row r="20" spans="1:12" ht="15" customHeight="1">
      <c r="A20" s="190" t="s">
        <v>134</v>
      </c>
      <c r="B20" s="191" t="s">
        <v>62</v>
      </c>
      <c r="C20" s="132">
        <v>46207</v>
      </c>
      <c r="D20" s="536" t="s">
        <v>254</v>
      </c>
      <c r="E20" s="405"/>
      <c r="F20" s="536" t="s">
        <v>560</v>
      </c>
      <c r="G20" s="405"/>
      <c r="H20" s="133">
        <v>6.55</v>
      </c>
      <c r="I20" s="220"/>
      <c r="K20" s="127" t="s">
        <v>137</v>
      </c>
      <c r="L20" s="128"/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I21" s="220"/>
      <c r="K21" s="129" t="s">
        <v>140</v>
      </c>
      <c r="L21" s="130">
        <v>70000</v>
      </c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411</v>
      </c>
      <c r="G22" s="405"/>
      <c r="H22" s="181">
        <v>9.1300000000000008</v>
      </c>
      <c r="I22" s="220"/>
      <c r="K22" s="127" t="s">
        <v>109</v>
      </c>
      <c r="L22" s="128"/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I23" s="220"/>
      <c r="K23" s="129" t="s">
        <v>140</v>
      </c>
      <c r="L23" s="130">
        <v>135000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255</v>
      </c>
      <c r="E24" s="405"/>
      <c r="F24" s="495" t="s">
        <v>340</v>
      </c>
      <c r="G24" s="405"/>
      <c r="H24" s="181">
        <v>9.08</v>
      </c>
      <c r="I24" s="220"/>
      <c r="K24" s="135" t="s">
        <v>111</v>
      </c>
      <c r="L24" s="91"/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242</v>
      </c>
      <c r="E25" s="405"/>
      <c r="F25" s="495" t="s">
        <v>136</v>
      </c>
      <c r="G25" s="405"/>
      <c r="H25" s="181">
        <v>9.15</v>
      </c>
      <c r="I25" s="220"/>
      <c r="K25" s="129" t="s">
        <v>149</v>
      </c>
      <c r="L25" s="130">
        <f>12500*17.1%+12500</f>
        <v>14637.5</v>
      </c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204</v>
      </c>
      <c r="E26" s="405"/>
      <c r="F26" s="495" t="s">
        <v>300</v>
      </c>
      <c r="G26" s="405"/>
      <c r="H26" s="181">
        <v>9.15</v>
      </c>
      <c r="I26" s="220"/>
      <c r="K26" s="129" t="s">
        <v>152</v>
      </c>
      <c r="L26" s="130">
        <f>20000*17.1%+20000</f>
        <v>23420</v>
      </c>
    </row>
    <row r="27" spans="1:12" ht="15" customHeight="1">
      <c r="A27" s="190" t="s">
        <v>134</v>
      </c>
      <c r="B27" s="191" t="s">
        <v>62</v>
      </c>
      <c r="C27" s="132">
        <v>46214</v>
      </c>
      <c r="D27" s="536" t="s">
        <v>243</v>
      </c>
      <c r="E27" s="405"/>
      <c r="F27" s="536" t="s">
        <v>561</v>
      </c>
      <c r="G27" s="405"/>
      <c r="H27" s="133">
        <v>6.53</v>
      </c>
      <c r="I27" s="220"/>
      <c r="J27" s="91"/>
      <c r="K27" s="129" t="s">
        <v>153</v>
      </c>
      <c r="L27" s="130">
        <f>27500*17.1%+27500</f>
        <v>32202.5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I28" s="220"/>
      <c r="J28" s="91"/>
      <c r="K28" s="129" t="s">
        <v>154</v>
      </c>
      <c r="L28" s="130">
        <f>35000*17.1%+35000</f>
        <v>40985</v>
      </c>
    </row>
    <row r="29" spans="1:12" ht="15" customHeight="1">
      <c r="A29" s="180" t="s">
        <v>134</v>
      </c>
      <c r="B29" s="51" t="s">
        <v>64</v>
      </c>
      <c r="C29" s="52">
        <v>46216</v>
      </c>
      <c r="D29" s="495" t="s">
        <v>254</v>
      </c>
      <c r="E29" s="405"/>
      <c r="F29" s="495" t="s">
        <v>136</v>
      </c>
      <c r="G29" s="405"/>
      <c r="H29" s="181">
        <v>9.1300000000000008</v>
      </c>
      <c r="I29" s="220"/>
      <c r="K29" s="129" t="s">
        <v>155</v>
      </c>
      <c r="L29" s="130">
        <f>42500*17.1%+42500</f>
        <v>49767.5</v>
      </c>
    </row>
    <row r="30" spans="1:12" ht="15" customHeight="1">
      <c r="A30" s="180" t="s">
        <v>134</v>
      </c>
      <c r="B30" s="51" t="s">
        <v>66</v>
      </c>
      <c r="C30" s="52">
        <v>46217</v>
      </c>
      <c r="D30" s="495" t="s">
        <v>243</v>
      </c>
      <c r="E30" s="405"/>
      <c r="F30" s="495" t="s">
        <v>411</v>
      </c>
      <c r="G30" s="405"/>
      <c r="H30" s="181">
        <v>9.1999999999999993</v>
      </c>
      <c r="I30" s="220"/>
      <c r="K30" s="129" t="s">
        <v>156</v>
      </c>
      <c r="L30" s="130">
        <f>63750*17.1%+63750</f>
        <v>74651.25</v>
      </c>
    </row>
    <row r="31" spans="1:12" ht="15" customHeight="1">
      <c r="A31" s="221" t="s">
        <v>67</v>
      </c>
      <c r="B31" s="222" t="s">
        <v>68</v>
      </c>
      <c r="C31" s="137">
        <v>46218</v>
      </c>
      <c r="D31" s="457"/>
      <c r="E31" s="405"/>
      <c r="F31" s="457"/>
      <c r="G31" s="405"/>
      <c r="H31" s="138">
        <v>0</v>
      </c>
      <c r="I31" s="220"/>
      <c r="K31" s="129" t="s">
        <v>157</v>
      </c>
      <c r="L31" s="130">
        <f>127500*17.1%+127500</f>
        <v>149302.5</v>
      </c>
    </row>
    <row r="32" spans="1:12" ht="15" customHeight="1">
      <c r="A32" s="180" t="s">
        <v>134</v>
      </c>
      <c r="B32" s="51" t="s">
        <v>60</v>
      </c>
      <c r="C32" s="52">
        <v>46219</v>
      </c>
      <c r="D32" s="495" t="s">
        <v>210</v>
      </c>
      <c r="E32" s="405"/>
      <c r="F32" s="495" t="s">
        <v>270</v>
      </c>
      <c r="G32" s="405"/>
      <c r="H32" s="181">
        <v>9.27</v>
      </c>
      <c r="I32" s="220"/>
      <c r="K32" s="129" t="s">
        <v>158</v>
      </c>
      <c r="L32" s="130">
        <f>200000*17.1%+200000</f>
        <v>234200</v>
      </c>
    </row>
    <row r="33" spans="1:9" ht="15" customHeight="1">
      <c r="A33" s="180" t="s">
        <v>134</v>
      </c>
      <c r="B33" s="51" t="s">
        <v>61</v>
      </c>
      <c r="C33" s="52">
        <v>46220</v>
      </c>
      <c r="D33" s="495" t="s">
        <v>213</v>
      </c>
      <c r="E33" s="405"/>
      <c r="F33" s="495" t="s">
        <v>327</v>
      </c>
      <c r="G33" s="405"/>
      <c r="H33" s="181">
        <v>9.4499999999999993</v>
      </c>
      <c r="I33" s="220"/>
    </row>
    <row r="34" spans="1:9" ht="15" customHeight="1">
      <c r="A34" s="190" t="s">
        <v>134</v>
      </c>
      <c r="B34" s="191" t="s">
        <v>62</v>
      </c>
      <c r="C34" s="132">
        <v>46221</v>
      </c>
      <c r="D34" s="536" t="s">
        <v>242</v>
      </c>
      <c r="E34" s="405"/>
      <c r="F34" s="536" t="s">
        <v>562</v>
      </c>
      <c r="G34" s="405"/>
      <c r="H34" s="133">
        <v>8.0299999999999994</v>
      </c>
      <c r="I34" s="220"/>
    </row>
    <row r="35" spans="1:9" ht="15" customHeight="1">
      <c r="A35" s="182" t="s">
        <v>67</v>
      </c>
      <c r="B35" s="65" t="s">
        <v>63</v>
      </c>
      <c r="C35" s="66">
        <v>46222</v>
      </c>
      <c r="D35" s="497"/>
      <c r="E35" s="405"/>
      <c r="F35" s="497"/>
      <c r="G35" s="405"/>
      <c r="H35" s="183">
        <v>0</v>
      </c>
      <c r="I35" s="220"/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242</v>
      </c>
      <c r="E36" s="405"/>
      <c r="F36" s="495" t="s">
        <v>142</v>
      </c>
      <c r="G36" s="405"/>
      <c r="H36" s="181">
        <v>9.18</v>
      </c>
      <c r="I36" s="220"/>
    </row>
    <row r="37" spans="1:9" ht="15" customHeight="1">
      <c r="A37" s="180" t="s">
        <v>332</v>
      </c>
      <c r="B37" s="51" t="s">
        <v>66</v>
      </c>
      <c r="C37" s="52">
        <v>46224</v>
      </c>
      <c r="D37" s="495" t="s">
        <v>306</v>
      </c>
      <c r="E37" s="405"/>
      <c r="F37" s="495" t="s">
        <v>170</v>
      </c>
      <c r="G37" s="405"/>
      <c r="H37" s="181">
        <v>10.130000000000001</v>
      </c>
      <c r="I37" s="339"/>
    </row>
    <row r="38" spans="1:9" ht="15" customHeight="1">
      <c r="A38" s="261" t="s">
        <v>332</v>
      </c>
      <c r="B38" s="51" t="s">
        <v>68</v>
      </c>
      <c r="C38" s="52">
        <v>46225</v>
      </c>
      <c r="D38" s="495" t="s">
        <v>485</v>
      </c>
      <c r="E38" s="405"/>
      <c r="F38" s="495" t="s">
        <v>142</v>
      </c>
      <c r="G38" s="405"/>
      <c r="H38" s="181">
        <v>10.220000000000001</v>
      </c>
      <c r="I38" s="220"/>
    </row>
    <row r="39" spans="1:9" ht="15" customHeight="1">
      <c r="A39" s="261" t="s">
        <v>332</v>
      </c>
      <c r="B39" s="51" t="s">
        <v>60</v>
      </c>
      <c r="C39" s="52">
        <v>46226</v>
      </c>
      <c r="D39" s="495" t="s">
        <v>563</v>
      </c>
      <c r="E39" s="405"/>
      <c r="F39" s="495" t="s">
        <v>296</v>
      </c>
      <c r="G39" s="405"/>
      <c r="H39" s="181">
        <v>10.18</v>
      </c>
      <c r="I39" s="91"/>
    </row>
    <row r="40" spans="1:9" ht="15" customHeight="1">
      <c r="A40" s="261" t="s">
        <v>332</v>
      </c>
      <c r="B40" s="51" t="s">
        <v>61</v>
      </c>
      <c r="C40" s="52">
        <v>46227</v>
      </c>
      <c r="D40" s="495" t="s">
        <v>317</v>
      </c>
      <c r="E40" s="405"/>
      <c r="F40" s="495" t="s">
        <v>136</v>
      </c>
      <c r="G40" s="405"/>
      <c r="H40" s="181">
        <v>10.050000000000001</v>
      </c>
      <c r="I40" s="91"/>
    </row>
    <row r="41" spans="1:9" ht="15" customHeight="1">
      <c r="A41" s="131" t="s">
        <v>334</v>
      </c>
      <c r="B41" s="191" t="s">
        <v>62</v>
      </c>
      <c r="C41" s="132">
        <v>46228</v>
      </c>
      <c r="D41" s="536" t="s">
        <v>564</v>
      </c>
      <c r="E41" s="405"/>
      <c r="F41" s="536" t="s">
        <v>565</v>
      </c>
      <c r="G41" s="405"/>
      <c r="H41" s="133">
        <v>7.67</v>
      </c>
      <c r="I41" s="91"/>
    </row>
    <row r="42" spans="1:9" ht="15" customHeight="1">
      <c r="A42" s="304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  <c r="I42" s="91"/>
    </row>
    <row r="43" spans="1:9" ht="15" customHeight="1">
      <c r="A43" s="261" t="s">
        <v>336</v>
      </c>
      <c r="B43" s="51" t="s">
        <v>64</v>
      </c>
      <c r="C43" s="52">
        <v>46230</v>
      </c>
      <c r="D43" s="495" t="s">
        <v>566</v>
      </c>
      <c r="E43" s="405"/>
      <c r="F43" s="495" t="s">
        <v>217</v>
      </c>
      <c r="G43" s="405"/>
      <c r="H43" s="181">
        <v>12.4</v>
      </c>
      <c r="I43" s="220"/>
    </row>
    <row r="44" spans="1:9" ht="15" customHeight="1">
      <c r="A44" s="261" t="s">
        <v>336</v>
      </c>
      <c r="B44" s="51" t="s">
        <v>66</v>
      </c>
      <c r="C44" s="52">
        <v>46231</v>
      </c>
      <c r="D44" s="495" t="s">
        <v>567</v>
      </c>
      <c r="E44" s="405"/>
      <c r="F44" s="495" t="s">
        <v>142</v>
      </c>
      <c r="G44" s="405"/>
      <c r="H44" s="181">
        <v>11.77</v>
      </c>
      <c r="I44" s="91"/>
    </row>
    <row r="45" spans="1:9" ht="15" customHeight="1">
      <c r="A45" s="261" t="s">
        <v>332</v>
      </c>
      <c r="B45" s="51" t="s">
        <v>68</v>
      </c>
      <c r="C45" s="52">
        <v>46232</v>
      </c>
      <c r="D45" s="495" t="s">
        <v>317</v>
      </c>
      <c r="E45" s="405"/>
      <c r="F45" s="495" t="s">
        <v>340</v>
      </c>
      <c r="G45" s="405"/>
      <c r="H45" s="181">
        <v>10.029999999999999</v>
      </c>
      <c r="I45" s="91"/>
    </row>
    <row r="46" spans="1:9" ht="15" customHeight="1">
      <c r="A46" s="180" t="s">
        <v>134</v>
      </c>
      <c r="B46" s="51" t="s">
        <v>60</v>
      </c>
      <c r="C46" s="52">
        <v>46233</v>
      </c>
      <c r="D46" s="495" t="s">
        <v>568</v>
      </c>
      <c r="E46" s="405"/>
      <c r="F46" s="495" t="s">
        <v>142</v>
      </c>
      <c r="G46" s="405"/>
      <c r="H46" s="181">
        <v>9.43</v>
      </c>
      <c r="I46" s="91"/>
    </row>
    <row r="47" spans="1:9" ht="15" customHeight="1">
      <c r="A47" s="192" t="s">
        <v>134</v>
      </c>
      <c r="B47" s="193" t="s">
        <v>61</v>
      </c>
      <c r="C47" s="194">
        <v>46234</v>
      </c>
      <c r="D47" s="502" t="s">
        <v>255</v>
      </c>
      <c r="E47" s="467"/>
      <c r="F47" s="502" t="s">
        <v>300</v>
      </c>
      <c r="G47" s="467"/>
      <c r="H47" s="195">
        <v>9.17</v>
      </c>
      <c r="I47" s="91"/>
    </row>
    <row r="48" spans="1:9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231.08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477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02">
        <v>46226</v>
      </c>
      <c r="B52" s="500" t="s">
        <v>228</v>
      </c>
      <c r="C52" s="437"/>
      <c r="D52" s="223">
        <v>200000</v>
      </c>
      <c r="E52" s="202"/>
      <c r="F52" s="500"/>
      <c r="G52" s="437"/>
      <c r="H52" s="223"/>
    </row>
    <row r="53" spans="1:8" ht="15" customHeight="1">
      <c r="A53" s="295"/>
      <c r="B53" s="499"/>
      <c r="C53" s="405"/>
      <c r="D53" s="296"/>
      <c r="E53" s="295"/>
      <c r="F53" s="499"/>
      <c r="G53" s="405"/>
      <c r="H53" s="296"/>
    </row>
    <row r="54" spans="1:8" ht="14.25" customHeight="1">
      <c r="A54" s="340"/>
      <c r="B54" s="533"/>
      <c r="C54" s="467"/>
      <c r="D54" s="334"/>
      <c r="E54" s="335"/>
      <c r="F54" s="533"/>
      <c r="G54" s="467"/>
      <c r="H54" s="341"/>
    </row>
    <row r="55" spans="1:8" ht="14.25" customHeight="1">
      <c r="A55" s="514" t="s">
        <v>81</v>
      </c>
      <c r="B55" s="469"/>
      <c r="C55" s="515"/>
      <c r="D55" s="208">
        <f>SUM(D52:D54)</f>
        <v>200000</v>
      </c>
      <c r="E55" s="507" t="s">
        <v>229</v>
      </c>
      <c r="F55" s="469"/>
      <c r="G55" s="470"/>
      <c r="H55" s="156">
        <f>+H52</f>
        <v>0</v>
      </c>
    </row>
    <row r="56" spans="1:8" ht="14.25" customHeight="1">
      <c r="D56" s="91"/>
      <c r="E56" s="472" t="s">
        <v>178</v>
      </c>
      <c r="F56" s="411"/>
      <c r="G56" s="412"/>
      <c r="H56" s="209">
        <v>0</v>
      </c>
    </row>
    <row r="57" spans="1:8" ht="14.25" customHeight="1">
      <c r="A57" s="516" t="s">
        <v>230</v>
      </c>
      <c r="B57" s="517"/>
      <c r="C57" s="517"/>
      <c r="D57" s="518"/>
    </row>
    <row r="58" spans="1:8" ht="14.25" customHeight="1">
      <c r="A58" s="519" t="s">
        <v>231</v>
      </c>
      <c r="B58" s="447"/>
      <c r="C58" s="437"/>
      <c r="D58" s="210" t="s">
        <v>232</v>
      </c>
    </row>
    <row r="59" spans="1:8" ht="14.25" customHeight="1">
      <c r="A59" s="512" t="s">
        <v>233</v>
      </c>
      <c r="B59" s="404"/>
      <c r="C59" s="405"/>
      <c r="D59" s="211">
        <v>-396.88</v>
      </c>
    </row>
    <row r="60" spans="1:8" ht="14.25" customHeight="1">
      <c r="A60" s="512" t="s">
        <v>234</v>
      </c>
      <c r="B60" s="404"/>
      <c r="C60" s="405"/>
      <c r="D60" s="211">
        <v>0</v>
      </c>
    </row>
    <row r="61" spans="1:8" ht="14.25" customHeight="1">
      <c r="A61" s="512" t="s">
        <v>235</v>
      </c>
      <c r="B61" s="404"/>
      <c r="C61" s="405"/>
      <c r="D61" s="211">
        <v>0</v>
      </c>
    </row>
    <row r="62" spans="1:8" ht="14.25" customHeight="1">
      <c r="A62" s="512" t="s">
        <v>236</v>
      </c>
      <c r="B62" s="404"/>
      <c r="C62" s="405"/>
      <c r="D62" s="211">
        <v>0</v>
      </c>
    </row>
    <row r="63" spans="1:8" ht="14.25" customHeight="1">
      <c r="A63" s="512" t="s">
        <v>237</v>
      </c>
      <c r="B63" s="404"/>
      <c r="C63" s="405"/>
      <c r="D63" s="211"/>
    </row>
    <row r="64" spans="1:8" ht="14.25" customHeight="1">
      <c r="A64" s="512" t="s">
        <v>238</v>
      </c>
      <c r="B64" s="404"/>
      <c r="C64" s="405"/>
      <c r="D64" s="211"/>
    </row>
    <row r="65" spans="1:4" ht="14.25" customHeight="1">
      <c r="A65" s="512" t="s">
        <v>239</v>
      </c>
      <c r="B65" s="404"/>
      <c r="C65" s="405"/>
      <c r="D65" s="211"/>
    </row>
    <row r="66" spans="1:4" ht="14.25" customHeight="1">
      <c r="A66" s="512" t="s">
        <v>45</v>
      </c>
      <c r="B66" s="404"/>
      <c r="C66" s="405"/>
      <c r="D66" s="211"/>
    </row>
    <row r="67" spans="1:4" ht="14.25" customHeight="1">
      <c r="A67" s="512" t="s">
        <v>98</v>
      </c>
      <c r="B67" s="404"/>
      <c r="C67" s="405"/>
      <c r="D67" s="211"/>
    </row>
    <row r="68" spans="1:4" ht="14.25" customHeight="1">
      <c r="A68" s="512" t="s">
        <v>100</v>
      </c>
      <c r="B68" s="404"/>
      <c r="C68" s="405"/>
      <c r="D68" s="211"/>
    </row>
    <row r="69" spans="1:4" ht="14.25" customHeight="1">
      <c r="A69" s="512" t="s">
        <v>104</v>
      </c>
      <c r="B69" s="404"/>
      <c r="C69" s="405"/>
      <c r="D69" s="211"/>
    </row>
    <row r="70" spans="1:4" ht="14.25" customHeight="1">
      <c r="A70" s="512" t="s">
        <v>106</v>
      </c>
      <c r="B70" s="404"/>
      <c r="C70" s="405"/>
      <c r="D70" s="211"/>
    </row>
    <row r="71" spans="1:4" ht="14.25" customHeight="1">
      <c r="A71" s="513" t="s">
        <v>113</v>
      </c>
      <c r="B71" s="504"/>
      <c r="C71" s="467"/>
      <c r="D71" s="212"/>
    </row>
    <row r="72" spans="1:4" ht="14.25" customHeight="1">
      <c r="A72" s="511" t="s">
        <v>81</v>
      </c>
      <c r="B72" s="411"/>
      <c r="C72" s="480"/>
      <c r="D72" s="213">
        <f>SUM(D59:D71)</f>
        <v>-396.88</v>
      </c>
    </row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</sheetData>
  <mergeCells count="129">
    <mergeCell ref="F48:G48"/>
    <mergeCell ref="D47:E47"/>
    <mergeCell ref="F47:G47"/>
    <mergeCell ref="F52:G52"/>
    <mergeCell ref="F53:G53"/>
    <mergeCell ref="A58:C58"/>
    <mergeCell ref="A59:C59"/>
    <mergeCell ref="A60:C60"/>
    <mergeCell ref="A61:C61"/>
    <mergeCell ref="B54:C54"/>
    <mergeCell ref="F54:G54"/>
    <mergeCell ref="A55:C55"/>
    <mergeCell ref="E55:G55"/>
    <mergeCell ref="E56:G56"/>
    <mergeCell ref="A57:D57"/>
    <mergeCell ref="A50:D50"/>
    <mergeCell ref="E50:H50"/>
    <mergeCell ref="B51:C51"/>
    <mergeCell ref="F51:G51"/>
    <mergeCell ref="B52:C52"/>
    <mergeCell ref="B53:C53"/>
    <mergeCell ref="D46:E46"/>
    <mergeCell ref="F45:G45"/>
    <mergeCell ref="F46:G46"/>
    <mergeCell ref="F36:G36"/>
    <mergeCell ref="F37:G37"/>
    <mergeCell ref="F38:G38"/>
    <mergeCell ref="F35:G35"/>
    <mergeCell ref="F43:G43"/>
    <mergeCell ref="F44:G44"/>
    <mergeCell ref="F41:G41"/>
    <mergeCell ref="D43:E43"/>
    <mergeCell ref="D44:E44"/>
    <mergeCell ref="D45:E45"/>
    <mergeCell ref="D39:E39"/>
    <mergeCell ref="D40:E40"/>
    <mergeCell ref="D41:E41"/>
    <mergeCell ref="D42:E42"/>
    <mergeCell ref="F39:G39"/>
    <mergeCell ref="F40:G40"/>
    <mergeCell ref="F42:G42"/>
    <mergeCell ref="D36:E36"/>
    <mergeCell ref="D37:E37"/>
    <mergeCell ref="D38:E38"/>
    <mergeCell ref="A68:C68"/>
    <mergeCell ref="A69:C69"/>
    <mergeCell ref="A62:C62"/>
    <mergeCell ref="A63:C63"/>
    <mergeCell ref="A70:C70"/>
    <mergeCell ref="A71:C71"/>
    <mergeCell ref="A72:C72"/>
    <mergeCell ref="A64:C64"/>
    <mergeCell ref="A65:C65"/>
    <mergeCell ref="A66:C66"/>
    <mergeCell ref="A67:C67"/>
    <mergeCell ref="D27:E27"/>
    <mergeCell ref="D28:E28"/>
    <mergeCell ref="D29:E29"/>
    <mergeCell ref="D18:E18"/>
    <mergeCell ref="D24:E24"/>
    <mergeCell ref="D25:E25"/>
    <mergeCell ref="D26:E26"/>
    <mergeCell ref="D21:E21"/>
    <mergeCell ref="F18:G18"/>
    <mergeCell ref="D19:E19"/>
    <mergeCell ref="F19:G19"/>
    <mergeCell ref="D20:E20"/>
    <mergeCell ref="F20:G20"/>
    <mergeCell ref="D22:E22"/>
    <mergeCell ref="D23:E23"/>
    <mergeCell ref="F16:G16"/>
    <mergeCell ref="F17:G17"/>
    <mergeCell ref="D16:E16"/>
    <mergeCell ref="D17:E17"/>
    <mergeCell ref="D34:E34"/>
    <mergeCell ref="D35:E35"/>
    <mergeCell ref="D30:E30"/>
    <mergeCell ref="D31:E31"/>
    <mergeCell ref="D32:E32"/>
    <mergeCell ref="D33:E33"/>
    <mergeCell ref="F33:G33"/>
    <mergeCell ref="F34:G34"/>
    <mergeCell ref="F26:G26"/>
    <mergeCell ref="F30:G30"/>
    <mergeCell ref="F31:G31"/>
    <mergeCell ref="F32:G32"/>
    <mergeCell ref="F27:G27"/>
    <mergeCell ref="F28:G28"/>
    <mergeCell ref="F29:G29"/>
    <mergeCell ref="F24:G24"/>
    <mergeCell ref="F25:G25"/>
    <mergeCell ref="F21:G21"/>
    <mergeCell ref="F22:G22"/>
    <mergeCell ref="F23:G23"/>
    <mergeCell ref="A15:F15"/>
    <mergeCell ref="G15:H15"/>
    <mergeCell ref="C11:D11"/>
    <mergeCell ref="E11:F11"/>
    <mergeCell ref="E12:F12"/>
    <mergeCell ref="G12:H12"/>
    <mergeCell ref="C9:D9"/>
    <mergeCell ref="E9:F9"/>
    <mergeCell ref="G9:H9"/>
    <mergeCell ref="E10:F10"/>
    <mergeCell ref="G10:H10"/>
    <mergeCell ref="A13:B13"/>
    <mergeCell ref="G11:H11"/>
    <mergeCell ref="C10:D10"/>
    <mergeCell ref="C12:D12"/>
    <mergeCell ref="A14:B14"/>
    <mergeCell ref="C14:D14"/>
    <mergeCell ref="E14:H14"/>
    <mergeCell ref="A7:B7"/>
    <mergeCell ref="C7:D7"/>
    <mergeCell ref="E7:F7"/>
    <mergeCell ref="G7:H7"/>
    <mergeCell ref="A8:B8"/>
    <mergeCell ref="C8:D8"/>
    <mergeCell ref="E8:F8"/>
    <mergeCell ref="G8:H8"/>
    <mergeCell ref="A1:H4"/>
    <mergeCell ref="A5:E5"/>
    <mergeCell ref="F5:G5"/>
    <mergeCell ref="I5:J5"/>
    <mergeCell ref="K5:L5"/>
    <mergeCell ref="B6:C6"/>
    <mergeCell ref="F6:G6"/>
    <mergeCell ref="C13:D13"/>
    <mergeCell ref="E13:H13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274"/>
  <sheetViews>
    <sheetView workbookViewId="0">
      <selection activeCell="E12" sqref="E12:F12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21.5546875" customWidth="1"/>
    <col min="9" max="9" width="27" customWidth="1"/>
    <col min="10" max="10" width="18.6640625" customWidth="1"/>
    <col min="11" max="11" width="37.44140625" customWidth="1"/>
    <col min="12" max="12" width="21.44140625" customWidth="1"/>
  </cols>
  <sheetData>
    <row r="1" spans="1:12" ht="14.25" customHeight="1">
      <c r="A1" s="588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344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+A8+C8+E8+G8+B10+C10+C12+E12+G12+G14</f>
        <v>1762530.2</v>
      </c>
      <c r="I5" s="431" t="s">
        <v>86</v>
      </c>
      <c r="J5" s="430"/>
      <c r="K5" s="429" t="str">
        <f>+B6</f>
        <v>RODRIGO FERNANDEZ</v>
      </c>
      <c r="L5" s="430"/>
    </row>
    <row r="6" spans="1:12" ht="24.75" customHeight="1">
      <c r="A6" s="251" t="s">
        <v>179</v>
      </c>
      <c r="B6" s="526" t="s">
        <v>569</v>
      </c>
      <c r="C6" s="480"/>
      <c r="D6" s="252" t="s">
        <v>181</v>
      </c>
      <c r="E6" s="226">
        <v>44061846</v>
      </c>
      <c r="F6" s="544" t="s">
        <v>89</v>
      </c>
      <c r="G6" s="450"/>
      <c r="H6" s="254">
        <v>3</v>
      </c>
      <c r="I6" s="99" t="s">
        <v>45</v>
      </c>
      <c r="J6" s="100">
        <v>1185221.46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538" t="s">
        <v>109</v>
      </c>
      <c r="H7" s="448"/>
      <c r="I7" s="99" t="s">
        <v>98</v>
      </c>
      <c r="J7" s="100"/>
      <c r="K7" t="s">
        <v>99</v>
      </c>
      <c r="L7" s="105">
        <f>+A8</f>
        <v>1185221.46</v>
      </c>
    </row>
    <row r="8" spans="1:12" ht="24.75" customHeight="1">
      <c r="A8" s="422">
        <v>1185221.46</v>
      </c>
      <c r="B8" s="405"/>
      <c r="C8" s="492">
        <f>+L21</f>
        <v>56335.39</v>
      </c>
      <c r="D8" s="405"/>
      <c r="E8" s="422">
        <f>+L23</f>
        <v>122500</v>
      </c>
      <c r="F8" s="405"/>
      <c r="G8" s="422">
        <f>+L25</f>
        <v>91875</v>
      </c>
      <c r="H8" s="406"/>
      <c r="I8" s="99" t="s">
        <v>100</v>
      </c>
      <c r="J8" s="100"/>
      <c r="K8" t="s">
        <v>184</v>
      </c>
      <c r="L8" s="105">
        <f>+C8</f>
        <v>56335.39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122500</v>
      </c>
    </row>
    <row r="10" spans="1:12" ht="24.75" customHeight="1">
      <c r="A10" s="168">
        <v>45870</v>
      </c>
      <c r="B10" s="130">
        <v>0</v>
      </c>
      <c r="C10" s="422">
        <v>0</v>
      </c>
      <c r="D10" s="405"/>
      <c r="E10" s="422">
        <f>+D57+H57</f>
        <v>400000</v>
      </c>
      <c r="F10" s="405"/>
      <c r="G10" s="483" t="s">
        <v>290</v>
      </c>
      <c r="H10" s="406"/>
      <c r="I10" s="99" t="s">
        <v>106</v>
      </c>
      <c r="J10" s="100"/>
      <c r="K10" t="s">
        <v>105</v>
      </c>
      <c r="L10" s="105">
        <f>+G8</f>
        <v>91875</v>
      </c>
    </row>
    <row r="11" spans="1:12" ht="24.75" customHeight="1">
      <c r="A11" s="557" t="s">
        <v>371</v>
      </c>
      <c r="B11" s="433"/>
      <c r="C11" s="314" t="s">
        <v>570</v>
      </c>
      <c r="D11" s="167">
        <v>0</v>
      </c>
      <c r="E11" s="314" t="s">
        <v>571</v>
      </c>
      <c r="F11" s="167">
        <v>1</v>
      </c>
      <c r="G11" s="314" t="s">
        <v>372</v>
      </c>
      <c r="H11" s="259">
        <v>1</v>
      </c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397"/>
      <c r="B12" s="558"/>
      <c r="C12" s="422">
        <f>+L36*D11</f>
        <v>0</v>
      </c>
      <c r="D12" s="405"/>
      <c r="E12" s="422">
        <f>+L37*F11</f>
        <v>78000</v>
      </c>
      <c r="F12" s="405"/>
      <c r="G12" s="422">
        <f>+L39*H11</f>
        <v>11594.62</v>
      </c>
      <c r="H12" s="406"/>
      <c r="I12" s="99" t="s">
        <v>81</v>
      </c>
      <c r="J12" s="100">
        <f>SUM(J6:J11)</f>
        <v>1185221.46</v>
      </c>
      <c r="K12" s="91" t="s">
        <v>115</v>
      </c>
      <c r="L12" s="105">
        <f>+C10</f>
        <v>0</v>
      </c>
    </row>
    <row r="13" spans="1:12" ht="24.75" customHeight="1">
      <c r="A13" s="169" t="s">
        <v>186</v>
      </c>
      <c r="B13" s="170" t="s">
        <v>187</v>
      </c>
      <c r="C13" s="421" t="s">
        <v>188</v>
      </c>
      <c r="D13" s="405"/>
      <c r="E13" s="421" t="s">
        <v>189</v>
      </c>
      <c r="F13" s="405"/>
      <c r="G13" s="421" t="s">
        <v>190</v>
      </c>
      <c r="H13" s="406"/>
      <c r="I13" s="99" t="s">
        <v>121</v>
      </c>
      <c r="J13" s="100">
        <f>+J12/6</f>
        <v>197536.91</v>
      </c>
      <c r="K13" s="91" t="s">
        <v>572</v>
      </c>
      <c r="L13" s="105">
        <f>+C12+E12</f>
        <v>78000</v>
      </c>
    </row>
    <row r="14" spans="1:12" ht="24.75" customHeight="1">
      <c r="A14" s="171">
        <v>220</v>
      </c>
      <c r="B14" s="172">
        <f>+H51</f>
        <v>273</v>
      </c>
      <c r="C14" s="498">
        <f>+B14-A14</f>
        <v>53</v>
      </c>
      <c r="D14" s="405"/>
      <c r="E14" s="422">
        <v>4094.41</v>
      </c>
      <c r="F14" s="405"/>
      <c r="G14" s="422">
        <f>+C14*E14</f>
        <v>217003.72999999998</v>
      </c>
      <c r="H14" s="406"/>
      <c r="I14" s="99" t="s">
        <v>86</v>
      </c>
      <c r="J14" s="115">
        <f>+J13/2</f>
        <v>98768.455000000002</v>
      </c>
      <c r="K14" s="91" t="s">
        <v>373</v>
      </c>
      <c r="L14" s="105">
        <f>+G12</f>
        <v>11594.62</v>
      </c>
    </row>
    <row r="15" spans="1:12" ht="24.75" customHeight="1">
      <c r="A15" s="421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t="s">
        <v>191</v>
      </c>
      <c r="L15" s="105">
        <f>+G14</f>
        <v>217003.72999999998</v>
      </c>
    </row>
    <row r="16" spans="1:12" ht="24.75" customHeight="1">
      <c r="A16" s="583">
        <v>46054</v>
      </c>
      <c r="B16" s="405"/>
      <c r="C16" s="482" t="s">
        <v>121</v>
      </c>
      <c r="D16" s="467"/>
      <c r="E16" s="530" t="s">
        <v>573</v>
      </c>
      <c r="F16" s="504"/>
      <c r="G16" s="504"/>
      <c r="H16" s="505"/>
      <c r="I16" s="91"/>
      <c r="K16" s="112" t="s">
        <v>122</v>
      </c>
      <c r="L16" s="113">
        <f>SUM(L7:L15)</f>
        <v>1762530.2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1362530.2</v>
      </c>
      <c r="H17" s="412"/>
      <c r="I17" s="91"/>
      <c r="K17" t="s">
        <v>126</v>
      </c>
      <c r="L17" s="105">
        <f>+E10</f>
        <v>400000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434" t="s">
        <v>130</v>
      </c>
      <c r="E18" s="435"/>
      <c r="F18" s="508" t="s">
        <v>131</v>
      </c>
      <c r="G18" s="509"/>
      <c r="H18" s="175" t="s">
        <v>261</v>
      </c>
      <c r="I18" s="91"/>
      <c r="K18" s="119" t="s">
        <v>133</v>
      </c>
      <c r="L18" s="120">
        <f>+L16-L17</f>
        <v>1362530.2</v>
      </c>
    </row>
    <row r="19" spans="1:12" ht="15" customHeight="1">
      <c r="A19" s="176" t="s">
        <v>134</v>
      </c>
      <c r="B19" s="177" t="s">
        <v>58</v>
      </c>
      <c r="C19" s="178">
        <v>46204</v>
      </c>
      <c r="D19" s="510" t="s">
        <v>250</v>
      </c>
      <c r="E19" s="437"/>
      <c r="F19" s="510" t="s">
        <v>296</v>
      </c>
      <c r="G19" s="437"/>
      <c r="H19" s="179">
        <v>9.25</v>
      </c>
    </row>
    <row r="20" spans="1:12" ht="15" customHeight="1">
      <c r="A20" s="180" t="s">
        <v>134</v>
      </c>
      <c r="B20" s="51" t="s">
        <v>60</v>
      </c>
      <c r="C20" s="52">
        <v>46205</v>
      </c>
      <c r="D20" s="495" t="s">
        <v>541</v>
      </c>
      <c r="E20" s="405"/>
      <c r="F20" s="495" t="s">
        <v>166</v>
      </c>
      <c r="G20" s="405"/>
      <c r="H20" s="181">
        <v>9.3800000000000008</v>
      </c>
      <c r="K20" s="127" t="s">
        <v>196</v>
      </c>
      <c r="L20" s="128"/>
    </row>
    <row r="21" spans="1:12" ht="15" customHeight="1">
      <c r="A21" s="180" t="s">
        <v>134</v>
      </c>
      <c r="B21" s="51" t="s">
        <v>61</v>
      </c>
      <c r="C21" s="52">
        <v>46206</v>
      </c>
      <c r="D21" s="495" t="s">
        <v>574</v>
      </c>
      <c r="E21" s="405"/>
      <c r="F21" s="495" t="s">
        <v>323</v>
      </c>
      <c r="G21" s="405"/>
      <c r="H21" s="181">
        <v>8.77</v>
      </c>
      <c r="K21" s="129" t="s">
        <v>140</v>
      </c>
      <c r="L21" s="130">
        <v>56335.39</v>
      </c>
    </row>
    <row r="22" spans="1:12" ht="15" customHeight="1">
      <c r="A22" s="190" t="s">
        <v>134</v>
      </c>
      <c r="B22" s="191" t="s">
        <v>62</v>
      </c>
      <c r="C22" s="132">
        <v>46207</v>
      </c>
      <c r="D22" s="536" t="s">
        <v>197</v>
      </c>
      <c r="E22" s="405"/>
      <c r="F22" s="536" t="s">
        <v>575</v>
      </c>
      <c r="G22" s="405"/>
      <c r="H22" s="133">
        <v>6.73</v>
      </c>
      <c r="K22" s="127" t="s">
        <v>137</v>
      </c>
      <c r="L22" s="128"/>
    </row>
    <row r="23" spans="1:12" ht="15" customHeight="1">
      <c r="A23" s="182" t="s">
        <v>67</v>
      </c>
      <c r="B23" s="65" t="s">
        <v>63</v>
      </c>
      <c r="C23" s="66">
        <v>46208</v>
      </c>
      <c r="D23" s="497"/>
      <c r="E23" s="405"/>
      <c r="F23" s="497"/>
      <c r="G23" s="405"/>
      <c r="H23" s="183">
        <v>0</v>
      </c>
      <c r="K23" s="129" t="s">
        <v>140</v>
      </c>
      <c r="L23" s="130">
        <v>122500</v>
      </c>
    </row>
    <row r="24" spans="1:12" ht="15" customHeight="1">
      <c r="A24" s="180" t="s">
        <v>134</v>
      </c>
      <c r="B24" s="51" t="s">
        <v>64</v>
      </c>
      <c r="C24" s="52">
        <v>46209</v>
      </c>
      <c r="D24" s="495" t="s">
        <v>576</v>
      </c>
      <c r="E24" s="405"/>
      <c r="F24" s="495" t="s">
        <v>142</v>
      </c>
      <c r="G24" s="405"/>
      <c r="H24" s="181">
        <v>9.8800000000000008</v>
      </c>
      <c r="K24" s="127" t="s">
        <v>109</v>
      </c>
      <c r="L24" s="128"/>
    </row>
    <row r="25" spans="1:12" ht="15" customHeight="1">
      <c r="A25" s="221" t="s">
        <v>67</v>
      </c>
      <c r="B25" s="222" t="s">
        <v>66</v>
      </c>
      <c r="C25" s="137">
        <v>46210</v>
      </c>
      <c r="D25" s="457"/>
      <c r="E25" s="405"/>
      <c r="F25" s="457"/>
      <c r="G25" s="405"/>
      <c r="H25" s="138">
        <v>0</v>
      </c>
      <c r="K25" s="129" t="s">
        <v>140</v>
      </c>
      <c r="L25" s="130">
        <v>91875</v>
      </c>
    </row>
    <row r="26" spans="1:12" ht="15" customHeight="1">
      <c r="A26" s="180" t="s">
        <v>134</v>
      </c>
      <c r="B26" s="51" t="s">
        <v>68</v>
      </c>
      <c r="C26" s="52">
        <v>46211</v>
      </c>
      <c r="D26" s="495" t="s">
        <v>138</v>
      </c>
      <c r="E26" s="405"/>
      <c r="F26" s="495" t="s">
        <v>411</v>
      </c>
      <c r="G26" s="405"/>
      <c r="H26" s="181">
        <v>9.0500000000000007</v>
      </c>
      <c r="K26" s="135" t="s">
        <v>111</v>
      </c>
      <c r="L26" s="91"/>
    </row>
    <row r="27" spans="1:12" ht="15" customHeight="1">
      <c r="A27" s="180" t="s">
        <v>134</v>
      </c>
      <c r="B27" s="51" t="s">
        <v>60</v>
      </c>
      <c r="C27" s="52">
        <v>46212</v>
      </c>
      <c r="D27" s="495" t="s">
        <v>213</v>
      </c>
      <c r="E27" s="405"/>
      <c r="F27" s="495" t="s">
        <v>411</v>
      </c>
      <c r="G27" s="405"/>
      <c r="H27" s="181">
        <v>9.18</v>
      </c>
      <c r="J27" s="91"/>
      <c r="K27" s="129" t="s">
        <v>149</v>
      </c>
      <c r="L27" s="130">
        <v>12500</v>
      </c>
    </row>
    <row r="28" spans="1:12" ht="15" customHeight="1">
      <c r="A28" s="180" t="s">
        <v>134</v>
      </c>
      <c r="B28" s="51" t="s">
        <v>61</v>
      </c>
      <c r="C28" s="52">
        <v>46213</v>
      </c>
      <c r="D28" s="495" t="s">
        <v>208</v>
      </c>
      <c r="E28" s="405"/>
      <c r="F28" s="495" t="s">
        <v>247</v>
      </c>
      <c r="G28" s="405"/>
      <c r="H28" s="181">
        <v>9.4</v>
      </c>
      <c r="J28" s="91"/>
      <c r="K28" s="129" t="s">
        <v>152</v>
      </c>
      <c r="L28" s="130">
        <v>20000</v>
      </c>
    </row>
    <row r="29" spans="1:12" ht="15" customHeight="1">
      <c r="A29" s="190" t="s">
        <v>134</v>
      </c>
      <c r="B29" s="191" t="s">
        <v>62</v>
      </c>
      <c r="C29" s="132">
        <v>46214</v>
      </c>
      <c r="D29" s="536" t="s">
        <v>477</v>
      </c>
      <c r="E29" s="405"/>
      <c r="F29" s="536" t="s">
        <v>577</v>
      </c>
      <c r="G29" s="405"/>
      <c r="H29" s="133">
        <v>7.47</v>
      </c>
      <c r="K29" s="129" t="s">
        <v>153</v>
      </c>
      <c r="L29" s="130">
        <v>27500</v>
      </c>
    </row>
    <row r="30" spans="1:12" ht="15" customHeight="1">
      <c r="A30" s="182" t="s">
        <v>67</v>
      </c>
      <c r="B30" s="65" t="s">
        <v>63</v>
      </c>
      <c r="C30" s="66">
        <v>46215</v>
      </c>
      <c r="D30" s="497"/>
      <c r="E30" s="405"/>
      <c r="F30" s="497"/>
      <c r="G30" s="405"/>
      <c r="H30" s="183">
        <v>0</v>
      </c>
      <c r="K30" s="129" t="s">
        <v>154</v>
      </c>
      <c r="L30" s="130">
        <v>35000</v>
      </c>
    </row>
    <row r="31" spans="1:12" ht="15" customHeight="1">
      <c r="A31" s="180" t="s">
        <v>134</v>
      </c>
      <c r="B31" s="51" t="s">
        <v>64</v>
      </c>
      <c r="C31" s="52">
        <v>46216</v>
      </c>
      <c r="D31" s="495" t="s">
        <v>210</v>
      </c>
      <c r="E31" s="405"/>
      <c r="F31" s="495" t="s">
        <v>300</v>
      </c>
      <c r="G31" s="405"/>
      <c r="H31" s="181">
        <v>9.1199999999999992</v>
      </c>
      <c r="K31" s="129" t="s">
        <v>155</v>
      </c>
      <c r="L31" s="130">
        <v>42500</v>
      </c>
    </row>
    <row r="32" spans="1:12" ht="15" customHeight="1">
      <c r="A32" s="180" t="s">
        <v>134</v>
      </c>
      <c r="B32" s="51" t="s">
        <v>66</v>
      </c>
      <c r="C32" s="52">
        <v>46217</v>
      </c>
      <c r="D32" s="495" t="s">
        <v>138</v>
      </c>
      <c r="E32" s="405"/>
      <c r="F32" s="495" t="s">
        <v>247</v>
      </c>
      <c r="G32" s="405"/>
      <c r="H32" s="181">
        <v>9.1199999999999992</v>
      </c>
      <c r="K32" s="129" t="s">
        <v>156</v>
      </c>
      <c r="L32" s="130">
        <v>63750</v>
      </c>
    </row>
    <row r="33" spans="1:12" ht="15" customHeight="1">
      <c r="A33" s="221" t="s">
        <v>67</v>
      </c>
      <c r="B33" s="222" t="s">
        <v>68</v>
      </c>
      <c r="C33" s="137">
        <v>46218</v>
      </c>
      <c r="D33" s="457"/>
      <c r="E33" s="405"/>
      <c r="F33" s="457"/>
      <c r="G33" s="405"/>
      <c r="H33" s="138">
        <v>0</v>
      </c>
      <c r="K33" s="129" t="s">
        <v>157</v>
      </c>
      <c r="L33" s="130">
        <v>127500</v>
      </c>
    </row>
    <row r="34" spans="1:12" ht="15" customHeight="1">
      <c r="A34" s="180" t="s">
        <v>134</v>
      </c>
      <c r="B34" s="51" t="s">
        <v>60</v>
      </c>
      <c r="C34" s="52">
        <v>46219</v>
      </c>
      <c r="D34" s="495" t="s">
        <v>146</v>
      </c>
      <c r="E34" s="405"/>
      <c r="F34" s="495" t="s">
        <v>164</v>
      </c>
      <c r="G34" s="405"/>
      <c r="H34" s="181">
        <v>9.3000000000000007</v>
      </c>
      <c r="K34" s="129" t="s">
        <v>158</v>
      </c>
      <c r="L34" s="130">
        <v>200000</v>
      </c>
    </row>
    <row r="35" spans="1:12" ht="15" customHeight="1">
      <c r="A35" s="180" t="s">
        <v>134</v>
      </c>
      <c r="B35" s="51" t="s">
        <v>61</v>
      </c>
      <c r="C35" s="52">
        <v>46220</v>
      </c>
      <c r="D35" s="495" t="s">
        <v>255</v>
      </c>
      <c r="E35" s="405"/>
      <c r="F35" s="495" t="s">
        <v>578</v>
      </c>
      <c r="G35" s="405"/>
      <c r="H35" s="181">
        <v>10.35</v>
      </c>
      <c r="K35" s="228" t="s">
        <v>371</v>
      </c>
      <c r="L35" s="229"/>
    </row>
    <row r="36" spans="1:12" ht="15" customHeight="1">
      <c r="A36" s="190" t="s">
        <v>347</v>
      </c>
      <c r="B36" s="191" t="s">
        <v>62</v>
      </c>
      <c r="C36" s="132">
        <v>46221</v>
      </c>
      <c r="D36" s="536" t="s">
        <v>412</v>
      </c>
      <c r="E36" s="405"/>
      <c r="F36" s="536" t="s">
        <v>351</v>
      </c>
      <c r="G36" s="405"/>
      <c r="H36" s="133">
        <v>8.08</v>
      </c>
      <c r="I36" t="s">
        <v>460</v>
      </c>
      <c r="K36" s="129" t="s">
        <v>570</v>
      </c>
      <c r="L36" s="130">
        <v>52000</v>
      </c>
    </row>
    <row r="37" spans="1:12" ht="15" customHeight="1">
      <c r="A37" s="190" t="s">
        <v>353</v>
      </c>
      <c r="B37" s="191" t="s">
        <v>63</v>
      </c>
      <c r="C37" s="132">
        <v>46222</v>
      </c>
      <c r="D37" s="536" t="s">
        <v>350</v>
      </c>
      <c r="E37" s="405"/>
      <c r="F37" s="536" t="s">
        <v>414</v>
      </c>
      <c r="G37" s="405"/>
      <c r="H37" s="133">
        <v>7</v>
      </c>
      <c r="I37" t="s">
        <v>74</v>
      </c>
      <c r="K37" s="129" t="s">
        <v>571</v>
      </c>
      <c r="L37" s="130">
        <v>78000</v>
      </c>
    </row>
    <row r="38" spans="1:12" ht="15" customHeight="1">
      <c r="A38" s="180" t="s">
        <v>134</v>
      </c>
      <c r="B38" s="51" t="s">
        <v>64</v>
      </c>
      <c r="C38" s="52">
        <v>46223</v>
      </c>
      <c r="D38" s="495" t="s">
        <v>350</v>
      </c>
      <c r="E38" s="405"/>
      <c r="F38" s="495" t="s">
        <v>356</v>
      </c>
      <c r="G38" s="405"/>
      <c r="H38" s="181">
        <v>14</v>
      </c>
      <c r="I38" t="s">
        <v>74</v>
      </c>
      <c r="K38" s="228" t="s">
        <v>372</v>
      </c>
      <c r="L38" s="229"/>
    </row>
    <row r="39" spans="1:12" ht="15" customHeight="1">
      <c r="A39" s="180" t="s">
        <v>332</v>
      </c>
      <c r="B39" s="51" t="s">
        <v>66</v>
      </c>
      <c r="C39" s="52">
        <v>46224</v>
      </c>
      <c r="D39" s="495" t="s">
        <v>335</v>
      </c>
      <c r="E39" s="405"/>
      <c r="F39" s="495" t="s">
        <v>356</v>
      </c>
      <c r="G39" s="405"/>
      <c r="H39" s="181">
        <v>13</v>
      </c>
      <c r="I39" t="s">
        <v>74</v>
      </c>
      <c r="K39" s="129" t="s">
        <v>263</v>
      </c>
      <c r="L39" s="130">
        <v>11594.62</v>
      </c>
    </row>
    <row r="40" spans="1:12" ht="15" customHeight="1">
      <c r="A40" s="180" t="s">
        <v>332</v>
      </c>
      <c r="B40" s="51" t="s">
        <v>68</v>
      </c>
      <c r="C40" s="52">
        <v>46225</v>
      </c>
      <c r="D40" s="495" t="s">
        <v>335</v>
      </c>
      <c r="E40" s="405"/>
      <c r="F40" s="495" t="s">
        <v>159</v>
      </c>
      <c r="G40" s="405"/>
      <c r="H40" s="181">
        <v>11</v>
      </c>
      <c r="I40" t="s">
        <v>74</v>
      </c>
    </row>
    <row r="41" spans="1:12" ht="15" customHeight="1">
      <c r="A41" s="180" t="s">
        <v>134</v>
      </c>
      <c r="B41" s="51" t="s">
        <v>60</v>
      </c>
      <c r="C41" s="52">
        <v>46226</v>
      </c>
      <c r="D41" s="495" t="s">
        <v>335</v>
      </c>
      <c r="E41" s="405"/>
      <c r="F41" s="495" t="s">
        <v>159</v>
      </c>
      <c r="G41" s="405"/>
      <c r="H41" s="181">
        <v>11</v>
      </c>
      <c r="I41" t="s">
        <v>74</v>
      </c>
    </row>
    <row r="42" spans="1:12" ht="15" customHeight="1">
      <c r="A42" s="180" t="s">
        <v>134</v>
      </c>
      <c r="B42" s="51" t="s">
        <v>61</v>
      </c>
      <c r="C42" s="52">
        <v>46227</v>
      </c>
      <c r="D42" s="495" t="s">
        <v>335</v>
      </c>
      <c r="E42" s="405"/>
      <c r="F42" s="495" t="s">
        <v>159</v>
      </c>
      <c r="G42" s="405"/>
      <c r="H42" s="181">
        <v>11</v>
      </c>
      <c r="I42" t="s">
        <v>74</v>
      </c>
    </row>
    <row r="43" spans="1:12" ht="15" customHeight="1">
      <c r="A43" s="190" t="s">
        <v>134</v>
      </c>
      <c r="B43" s="191" t="s">
        <v>62</v>
      </c>
      <c r="C43" s="132">
        <v>46228</v>
      </c>
      <c r="D43" s="536" t="s">
        <v>350</v>
      </c>
      <c r="E43" s="405"/>
      <c r="F43" s="536" t="s">
        <v>415</v>
      </c>
      <c r="G43" s="405"/>
      <c r="H43" s="133">
        <v>9</v>
      </c>
      <c r="I43" t="s">
        <v>74</v>
      </c>
    </row>
    <row r="44" spans="1:12" ht="15" customHeight="1">
      <c r="A44" s="336"/>
      <c r="B44" s="191" t="s">
        <v>62</v>
      </c>
      <c r="C44" s="132">
        <v>46228</v>
      </c>
      <c r="D44" s="536" t="s">
        <v>559</v>
      </c>
      <c r="E44" s="405"/>
      <c r="F44" s="536" t="s">
        <v>579</v>
      </c>
      <c r="G44" s="405"/>
      <c r="H44" s="133">
        <v>10</v>
      </c>
      <c r="I44" s="281" t="s">
        <v>580</v>
      </c>
    </row>
    <row r="45" spans="1:12" ht="15" customHeight="1">
      <c r="A45" s="190" t="s">
        <v>134</v>
      </c>
      <c r="B45" s="191" t="s">
        <v>63</v>
      </c>
      <c r="C45" s="132">
        <v>46229</v>
      </c>
      <c r="D45" s="536" t="s">
        <v>138</v>
      </c>
      <c r="E45" s="405"/>
      <c r="F45" s="536" t="s">
        <v>361</v>
      </c>
      <c r="G45" s="405"/>
      <c r="H45" s="133">
        <v>10.5</v>
      </c>
      <c r="I45" t="s">
        <v>74</v>
      </c>
    </row>
    <row r="46" spans="1:12" ht="15" customHeight="1">
      <c r="A46" s="180" t="s">
        <v>134</v>
      </c>
      <c r="B46" s="51" t="s">
        <v>64</v>
      </c>
      <c r="C46" s="52">
        <v>46230</v>
      </c>
      <c r="D46" s="495" t="s">
        <v>335</v>
      </c>
      <c r="E46" s="405"/>
      <c r="F46" s="495" t="s">
        <v>159</v>
      </c>
      <c r="G46" s="405"/>
      <c r="H46" s="181">
        <v>11</v>
      </c>
      <c r="I46" t="s">
        <v>74</v>
      </c>
    </row>
    <row r="47" spans="1:12" ht="15" customHeight="1">
      <c r="A47" s="180" t="s">
        <v>134</v>
      </c>
      <c r="B47" s="51" t="s">
        <v>66</v>
      </c>
      <c r="C47" s="52">
        <v>46231</v>
      </c>
      <c r="D47" s="495" t="s">
        <v>335</v>
      </c>
      <c r="E47" s="405"/>
      <c r="F47" s="495" t="s">
        <v>323</v>
      </c>
      <c r="G47" s="405"/>
      <c r="H47" s="181">
        <v>9.5</v>
      </c>
      <c r="I47" t="s">
        <v>581</v>
      </c>
    </row>
    <row r="48" spans="1:12" ht="15" customHeight="1">
      <c r="A48" s="180" t="s">
        <v>334</v>
      </c>
      <c r="B48" s="51" t="s">
        <v>68</v>
      </c>
      <c r="C48" s="52">
        <v>46232</v>
      </c>
      <c r="D48" s="495" t="s">
        <v>486</v>
      </c>
      <c r="E48" s="405"/>
      <c r="F48" s="495" t="s">
        <v>537</v>
      </c>
      <c r="G48" s="405"/>
      <c r="H48" s="181">
        <v>12.18</v>
      </c>
    </row>
    <row r="49" spans="1:8" ht="15" customHeight="1">
      <c r="A49" s="180" t="s">
        <v>134</v>
      </c>
      <c r="B49" s="51" t="s">
        <v>60</v>
      </c>
      <c r="C49" s="52">
        <v>46233</v>
      </c>
      <c r="D49" s="495" t="s">
        <v>213</v>
      </c>
      <c r="E49" s="405"/>
      <c r="F49" s="495" t="s">
        <v>136</v>
      </c>
      <c r="G49" s="405"/>
      <c r="H49" s="181">
        <v>9.17</v>
      </c>
    </row>
    <row r="50" spans="1:8" ht="15" customHeight="1">
      <c r="A50" s="192" t="s">
        <v>134</v>
      </c>
      <c r="B50" s="193" t="s">
        <v>61</v>
      </c>
      <c r="C50" s="194">
        <v>46234</v>
      </c>
      <c r="D50" s="502" t="s">
        <v>194</v>
      </c>
      <c r="E50" s="467"/>
      <c r="F50" s="502" t="s">
        <v>200</v>
      </c>
      <c r="G50" s="467"/>
      <c r="H50" s="195">
        <v>9.57</v>
      </c>
    </row>
    <row r="51" spans="1:8" ht="15" customHeight="1">
      <c r="A51" s="196"/>
      <c r="B51" s="91"/>
      <c r="C51" s="91"/>
      <c r="D51" s="91"/>
      <c r="E51" s="91"/>
      <c r="F51" s="506" t="s">
        <v>41</v>
      </c>
      <c r="G51" s="412"/>
      <c r="H51" s="146">
        <f>SUM(H19:H50)</f>
        <v>273</v>
      </c>
    </row>
    <row r="52" spans="1:8" ht="15" customHeight="1">
      <c r="A52" s="91"/>
      <c r="B52" s="91"/>
      <c r="C52" s="91"/>
      <c r="D52" s="91"/>
      <c r="E52" s="91"/>
      <c r="F52" s="197"/>
      <c r="G52" s="144"/>
      <c r="H52" s="198"/>
    </row>
    <row r="53" spans="1:8" ht="15" customHeight="1">
      <c r="A53" s="477" t="s">
        <v>226</v>
      </c>
      <c r="B53" s="411"/>
      <c r="C53" s="411"/>
      <c r="D53" s="412"/>
      <c r="E53" s="477" t="s">
        <v>173</v>
      </c>
      <c r="F53" s="411"/>
      <c r="G53" s="411"/>
      <c r="H53" s="412"/>
    </row>
    <row r="54" spans="1:8" ht="14.25" customHeight="1">
      <c r="A54" s="199" t="s">
        <v>5</v>
      </c>
      <c r="B54" s="524" t="s">
        <v>174</v>
      </c>
      <c r="C54" s="518"/>
      <c r="D54" s="199" t="s">
        <v>175</v>
      </c>
      <c r="E54" s="200" t="s">
        <v>5</v>
      </c>
      <c r="F54" s="522" t="s">
        <v>174</v>
      </c>
      <c r="G54" s="518"/>
      <c r="H54" s="201" t="s">
        <v>176</v>
      </c>
    </row>
    <row r="55" spans="1:8" ht="14.25" customHeight="1">
      <c r="A55" s="202">
        <v>46227</v>
      </c>
      <c r="B55" s="500" t="s">
        <v>228</v>
      </c>
      <c r="C55" s="437"/>
      <c r="D55" s="323">
        <v>400000</v>
      </c>
      <c r="E55" s="202"/>
      <c r="F55" s="500"/>
      <c r="G55" s="437"/>
      <c r="H55" s="203"/>
    </row>
    <row r="56" spans="1:8" ht="14.25" customHeight="1">
      <c r="A56" s="224"/>
      <c r="B56" s="482"/>
      <c r="C56" s="467"/>
      <c r="D56" s="225"/>
      <c r="E56" s="224"/>
      <c r="F56" s="482"/>
      <c r="G56" s="467"/>
      <c r="H56" s="225"/>
    </row>
    <row r="57" spans="1:8" ht="14.25" customHeight="1">
      <c r="A57" s="514" t="s">
        <v>81</v>
      </c>
      <c r="B57" s="469"/>
      <c r="C57" s="515"/>
      <c r="D57" s="208">
        <f>SUM(D55:D56)</f>
        <v>400000</v>
      </c>
      <c r="E57" s="507" t="s">
        <v>229</v>
      </c>
      <c r="F57" s="469"/>
      <c r="G57" s="470"/>
      <c r="H57" s="156">
        <f>+H56</f>
        <v>0</v>
      </c>
    </row>
    <row r="58" spans="1:8" ht="14.25" customHeight="1">
      <c r="D58" s="91"/>
      <c r="E58" s="472" t="s">
        <v>178</v>
      </c>
      <c r="F58" s="411"/>
      <c r="G58" s="412"/>
      <c r="H58" s="209">
        <v>0</v>
      </c>
    </row>
    <row r="59" spans="1:8" ht="14.25" customHeight="1">
      <c r="A59" s="516" t="s">
        <v>230</v>
      </c>
      <c r="B59" s="517"/>
      <c r="C59" s="517"/>
      <c r="D59" s="518"/>
    </row>
    <row r="60" spans="1:8" ht="14.25" customHeight="1">
      <c r="A60" s="519" t="s">
        <v>231</v>
      </c>
      <c r="B60" s="447"/>
      <c r="C60" s="437"/>
      <c r="D60" s="210" t="s">
        <v>232</v>
      </c>
    </row>
    <row r="61" spans="1:8" ht="14.25" customHeight="1">
      <c r="A61" s="512" t="s">
        <v>233</v>
      </c>
      <c r="B61" s="404"/>
      <c r="C61" s="405"/>
      <c r="D61" s="211">
        <v>-396.88</v>
      </c>
    </row>
    <row r="62" spans="1:8" ht="14.25" customHeight="1">
      <c r="A62" s="512" t="s">
        <v>234</v>
      </c>
      <c r="B62" s="404"/>
      <c r="C62" s="405"/>
      <c r="D62" s="211">
        <v>0</v>
      </c>
    </row>
    <row r="63" spans="1:8" ht="14.25" customHeight="1">
      <c r="A63" s="512" t="s">
        <v>235</v>
      </c>
      <c r="B63" s="404"/>
      <c r="C63" s="405"/>
      <c r="D63" s="211">
        <v>0</v>
      </c>
    </row>
    <row r="64" spans="1:8" ht="14.25" customHeight="1">
      <c r="A64" s="512" t="s">
        <v>236</v>
      </c>
      <c r="B64" s="404"/>
      <c r="C64" s="405"/>
      <c r="D64" s="211">
        <v>0</v>
      </c>
    </row>
    <row r="65" spans="1:4" ht="14.25" customHeight="1">
      <c r="A65" s="512" t="s">
        <v>237</v>
      </c>
      <c r="B65" s="404"/>
      <c r="C65" s="405"/>
      <c r="D65" s="211"/>
    </row>
    <row r="66" spans="1:4" ht="14.25" customHeight="1">
      <c r="A66" s="512" t="s">
        <v>238</v>
      </c>
      <c r="B66" s="404"/>
      <c r="C66" s="405"/>
      <c r="D66" s="211"/>
    </row>
    <row r="67" spans="1:4" ht="14.25" customHeight="1">
      <c r="A67" s="512" t="s">
        <v>239</v>
      </c>
      <c r="B67" s="404"/>
      <c r="C67" s="405"/>
      <c r="D67" s="211"/>
    </row>
    <row r="68" spans="1:4" ht="14.25" customHeight="1">
      <c r="A68" s="512" t="s">
        <v>45</v>
      </c>
      <c r="B68" s="404"/>
      <c r="C68" s="405"/>
      <c r="D68" s="211"/>
    </row>
    <row r="69" spans="1:4" ht="14.25" customHeight="1">
      <c r="A69" s="512" t="s">
        <v>98</v>
      </c>
      <c r="B69" s="404"/>
      <c r="C69" s="405"/>
      <c r="D69" s="211"/>
    </row>
    <row r="70" spans="1:4" ht="14.25" customHeight="1">
      <c r="A70" s="512" t="s">
        <v>100</v>
      </c>
      <c r="B70" s="404"/>
      <c r="C70" s="405"/>
      <c r="D70" s="211"/>
    </row>
    <row r="71" spans="1:4" ht="14.25" customHeight="1">
      <c r="A71" s="512" t="s">
        <v>104</v>
      </c>
      <c r="B71" s="404"/>
      <c r="C71" s="405"/>
      <c r="D71" s="211"/>
    </row>
    <row r="72" spans="1:4" ht="14.25" customHeight="1">
      <c r="A72" s="512" t="s">
        <v>106</v>
      </c>
      <c r="B72" s="404"/>
      <c r="C72" s="405"/>
      <c r="D72" s="211"/>
    </row>
    <row r="73" spans="1:4" ht="14.25" customHeight="1">
      <c r="A73" s="513" t="s">
        <v>113</v>
      </c>
      <c r="B73" s="504"/>
      <c r="C73" s="467"/>
      <c r="D73" s="212"/>
    </row>
    <row r="74" spans="1:4" ht="14.25" customHeight="1">
      <c r="A74" s="511" t="s">
        <v>81</v>
      </c>
      <c r="B74" s="411"/>
      <c r="C74" s="480"/>
      <c r="D74" s="213">
        <f>SUM(D61:D73)</f>
        <v>-396.88</v>
      </c>
    </row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</sheetData>
  <mergeCells count="133">
    <mergeCell ref="A72:C72"/>
    <mergeCell ref="A70:C70"/>
    <mergeCell ref="A71:C71"/>
    <mergeCell ref="A73:C73"/>
    <mergeCell ref="A74:C74"/>
    <mergeCell ref="A64:C64"/>
    <mergeCell ref="A69:C69"/>
    <mergeCell ref="A63:C63"/>
    <mergeCell ref="A65:C65"/>
    <mergeCell ref="A66:C66"/>
    <mergeCell ref="A67:C67"/>
    <mergeCell ref="A68:C68"/>
    <mergeCell ref="A57:C57"/>
    <mergeCell ref="A59:D59"/>
    <mergeCell ref="A60:C60"/>
    <mergeCell ref="A61:C61"/>
    <mergeCell ref="A62:C62"/>
    <mergeCell ref="F56:G56"/>
    <mergeCell ref="E57:G57"/>
    <mergeCell ref="F55:G55"/>
    <mergeCell ref="E58:G58"/>
    <mergeCell ref="D46:E46"/>
    <mergeCell ref="D47:E47"/>
    <mergeCell ref="D48:E48"/>
    <mergeCell ref="D50:E50"/>
    <mergeCell ref="D43:E43"/>
    <mergeCell ref="D49:E49"/>
    <mergeCell ref="A53:D53"/>
    <mergeCell ref="D44:E44"/>
    <mergeCell ref="D45:E45"/>
    <mergeCell ref="B54:C54"/>
    <mergeCell ref="B55:C55"/>
    <mergeCell ref="B56:C56"/>
    <mergeCell ref="D26:E26"/>
    <mergeCell ref="F26:G26"/>
    <mergeCell ref="D27:E27"/>
    <mergeCell ref="F27:G27"/>
    <mergeCell ref="D28:E28"/>
    <mergeCell ref="F28:G28"/>
    <mergeCell ref="F32:G32"/>
    <mergeCell ref="F54:G54"/>
    <mergeCell ref="E53:H53"/>
    <mergeCell ref="D32:E32"/>
    <mergeCell ref="D33:E33"/>
    <mergeCell ref="D34:E34"/>
    <mergeCell ref="D35:E35"/>
    <mergeCell ref="D36:E36"/>
    <mergeCell ref="D42:E42"/>
    <mergeCell ref="D37:E37"/>
    <mergeCell ref="D41:E41"/>
    <mergeCell ref="D38:E38"/>
    <mergeCell ref="D39:E39"/>
    <mergeCell ref="D40:E40"/>
    <mergeCell ref="F33:G33"/>
    <mergeCell ref="F34:G34"/>
    <mergeCell ref="F35:G35"/>
    <mergeCell ref="F36:G36"/>
    <mergeCell ref="F37:G37"/>
    <mergeCell ref="F41:G41"/>
    <mergeCell ref="F40:G40"/>
    <mergeCell ref="F42:G42"/>
    <mergeCell ref="D29:E29"/>
    <mergeCell ref="F29:G29"/>
    <mergeCell ref="D30:E30"/>
    <mergeCell ref="F30:G30"/>
    <mergeCell ref="D31:E31"/>
    <mergeCell ref="F31:G31"/>
    <mergeCell ref="F48:G48"/>
    <mergeCell ref="F46:G46"/>
    <mergeCell ref="F47:G47"/>
    <mergeCell ref="F44:G44"/>
    <mergeCell ref="F43:G43"/>
    <mergeCell ref="F45:G45"/>
    <mergeCell ref="F38:G38"/>
    <mergeCell ref="F39:G39"/>
    <mergeCell ref="F51:G51"/>
    <mergeCell ref="F49:G49"/>
    <mergeCell ref="F50:G50"/>
    <mergeCell ref="D23:E23"/>
    <mergeCell ref="F23:G23"/>
    <mergeCell ref="D24:E24"/>
    <mergeCell ref="F24:G24"/>
    <mergeCell ref="D25:E25"/>
    <mergeCell ref="F25:G25"/>
    <mergeCell ref="C16:D16"/>
    <mergeCell ref="D20:E20"/>
    <mergeCell ref="F20:G20"/>
    <mergeCell ref="D21:E21"/>
    <mergeCell ref="F21:G21"/>
    <mergeCell ref="D22:E22"/>
    <mergeCell ref="F22:G22"/>
    <mergeCell ref="A16:B16"/>
    <mergeCell ref="G14:H14"/>
    <mergeCell ref="G10:H10"/>
    <mergeCell ref="A17:F17"/>
    <mergeCell ref="E16:H16"/>
    <mergeCell ref="G17:H17"/>
    <mergeCell ref="D18:E18"/>
    <mergeCell ref="F18:G18"/>
    <mergeCell ref="D19:E19"/>
    <mergeCell ref="F19:G19"/>
    <mergeCell ref="A11:B12"/>
    <mergeCell ref="G13:H13"/>
    <mergeCell ref="C12:D12"/>
    <mergeCell ref="E12:F12"/>
    <mergeCell ref="G12:H12"/>
    <mergeCell ref="A8:B8"/>
    <mergeCell ref="E8:F8"/>
    <mergeCell ref="A15:B15"/>
    <mergeCell ref="E15:H15"/>
    <mergeCell ref="C13:D13"/>
    <mergeCell ref="E13:F13"/>
    <mergeCell ref="C15:D15"/>
    <mergeCell ref="C14:D14"/>
    <mergeCell ref="E14:F14"/>
    <mergeCell ref="C8:D8"/>
    <mergeCell ref="C9:D9"/>
    <mergeCell ref="E9:F9"/>
    <mergeCell ref="G9:H9"/>
    <mergeCell ref="G8:H8"/>
    <mergeCell ref="C10:D10"/>
    <mergeCell ref="E10:F10"/>
    <mergeCell ref="A1:H4"/>
    <mergeCell ref="A5:E5"/>
    <mergeCell ref="F5:G5"/>
    <mergeCell ref="I5:J5"/>
    <mergeCell ref="K5:L5"/>
    <mergeCell ref="B6:C6"/>
    <mergeCell ref="F6:G6"/>
    <mergeCell ref="A7:B7"/>
    <mergeCell ref="C7:D7"/>
    <mergeCell ref="E7:F7"/>
    <mergeCell ref="G7:H7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274"/>
  <sheetViews>
    <sheetView workbookViewId="0">
      <selection activeCell="E12" sqref="E12:F12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21.33203125" customWidth="1"/>
    <col min="8" max="8" width="21.5546875" customWidth="1"/>
    <col min="9" max="9" width="27.33203125" customWidth="1"/>
    <col min="10" max="10" width="18.6640625" customWidth="1"/>
    <col min="11" max="11" width="33.6640625" customWidth="1"/>
    <col min="12" max="12" width="17" customWidth="1"/>
  </cols>
  <sheetData>
    <row r="1" spans="1:12" ht="14.25" customHeight="1">
      <c r="A1" s="588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344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543" t="s">
        <v>85</v>
      </c>
      <c r="G5" s="428"/>
      <c r="H5" s="250">
        <f>+A8+C8+E8+G8+B10+C10+C12+E12+G12+G14</f>
        <v>1812638.3386999997</v>
      </c>
      <c r="I5" s="431" t="s">
        <v>86</v>
      </c>
      <c r="J5" s="430"/>
      <c r="K5" s="429" t="str">
        <f>+B6</f>
        <v>JOSE LUIS PEREZ STRIPPOLI</v>
      </c>
      <c r="L5" s="430"/>
    </row>
    <row r="6" spans="1:12" ht="24.75" customHeight="1">
      <c r="A6" s="251" t="s">
        <v>179</v>
      </c>
      <c r="B6" s="526" t="s">
        <v>582</v>
      </c>
      <c r="C6" s="480"/>
      <c r="D6" s="252" t="s">
        <v>181</v>
      </c>
      <c r="E6" s="226">
        <v>35318400</v>
      </c>
      <c r="F6" s="544" t="s">
        <v>89</v>
      </c>
      <c r="G6" s="450"/>
      <c r="H6" s="254">
        <v>3</v>
      </c>
      <c r="I6" s="99" t="s">
        <v>45</v>
      </c>
      <c r="J6" s="100">
        <v>1185221.46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538" t="s">
        <v>109</v>
      </c>
      <c r="H7" s="448"/>
      <c r="I7" s="99" t="s">
        <v>98</v>
      </c>
      <c r="J7" s="100"/>
      <c r="K7" t="s">
        <v>99</v>
      </c>
      <c r="L7" s="105">
        <f>+A8</f>
        <v>1185221.46</v>
      </c>
    </row>
    <row r="8" spans="1:12" ht="24.75" customHeight="1">
      <c r="A8" s="422">
        <v>1185221.46</v>
      </c>
      <c r="B8" s="405"/>
      <c r="C8" s="492">
        <f>+L21</f>
        <v>56335.39</v>
      </c>
      <c r="D8" s="405"/>
      <c r="E8" s="422">
        <f>+L23</f>
        <v>122500</v>
      </c>
      <c r="F8" s="405"/>
      <c r="G8" s="422">
        <f>+L25</f>
        <v>91875</v>
      </c>
      <c r="H8" s="406"/>
      <c r="I8" s="99" t="s">
        <v>100</v>
      </c>
      <c r="J8" s="100"/>
      <c r="K8" t="s">
        <v>184</v>
      </c>
      <c r="L8" s="105">
        <f>+C8</f>
        <v>56335.39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101</v>
      </c>
      <c r="L9" s="105">
        <f>+E8</f>
        <v>122500</v>
      </c>
    </row>
    <row r="10" spans="1:12" ht="24.75" customHeight="1">
      <c r="A10" s="168">
        <v>45870</v>
      </c>
      <c r="B10" s="130">
        <v>0</v>
      </c>
      <c r="C10" s="422">
        <v>0</v>
      </c>
      <c r="D10" s="405"/>
      <c r="E10" s="422">
        <f>+D57+H57</f>
        <v>300000</v>
      </c>
      <c r="F10" s="405"/>
      <c r="G10" s="483" t="s">
        <v>290</v>
      </c>
      <c r="H10" s="406"/>
      <c r="I10" s="99" t="s">
        <v>106</v>
      </c>
      <c r="J10" s="100"/>
      <c r="K10" t="s">
        <v>105</v>
      </c>
      <c r="L10" s="105">
        <f>+G8</f>
        <v>91875</v>
      </c>
    </row>
    <row r="11" spans="1:12" ht="24.75" customHeight="1">
      <c r="A11" s="557" t="s">
        <v>371</v>
      </c>
      <c r="B11" s="433"/>
      <c r="C11" s="314" t="s">
        <v>570</v>
      </c>
      <c r="D11" s="167">
        <v>0</v>
      </c>
      <c r="E11" s="314" t="s">
        <v>571</v>
      </c>
      <c r="F11" s="167">
        <v>1</v>
      </c>
      <c r="G11" s="314" t="s">
        <v>372</v>
      </c>
      <c r="H11" s="259">
        <v>0</v>
      </c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397"/>
      <c r="B12" s="558"/>
      <c r="C12" s="422">
        <f>+L36*D11</f>
        <v>0</v>
      </c>
      <c r="D12" s="405"/>
      <c r="E12" s="422">
        <f>+L37*F11</f>
        <v>78000</v>
      </c>
      <c r="F12" s="405"/>
      <c r="G12" s="422">
        <f>+L39*H11</f>
        <v>0</v>
      </c>
      <c r="H12" s="406"/>
      <c r="I12" s="99" t="s">
        <v>81</v>
      </c>
      <c r="J12" s="100">
        <f>SUM(J6:J11)</f>
        <v>1185221.46</v>
      </c>
      <c r="K12" s="91" t="s">
        <v>115</v>
      </c>
      <c r="L12" s="105">
        <f>+C10</f>
        <v>0</v>
      </c>
    </row>
    <row r="13" spans="1:12" ht="24.75" customHeight="1">
      <c r="A13" s="169" t="s">
        <v>186</v>
      </c>
      <c r="B13" s="170" t="s">
        <v>187</v>
      </c>
      <c r="C13" s="421" t="s">
        <v>188</v>
      </c>
      <c r="D13" s="405"/>
      <c r="E13" s="421" t="s">
        <v>189</v>
      </c>
      <c r="F13" s="405"/>
      <c r="G13" s="421" t="s">
        <v>190</v>
      </c>
      <c r="H13" s="406"/>
      <c r="I13" s="99" t="s">
        <v>121</v>
      </c>
      <c r="J13" s="100">
        <f>+J12/6</f>
        <v>197536.91</v>
      </c>
      <c r="K13" s="91" t="s">
        <v>572</v>
      </c>
      <c r="L13" s="105">
        <f>+C12+E12</f>
        <v>78000</v>
      </c>
    </row>
    <row r="14" spans="1:12" ht="24.75" customHeight="1">
      <c r="A14" s="171">
        <v>220</v>
      </c>
      <c r="B14" s="172">
        <f>+H50</f>
        <v>288.06999999999994</v>
      </c>
      <c r="C14" s="498">
        <f>+B14-A14</f>
        <v>68.069999999999936</v>
      </c>
      <c r="D14" s="405"/>
      <c r="E14" s="422">
        <v>4094.41</v>
      </c>
      <c r="F14" s="405"/>
      <c r="G14" s="422">
        <f>+C14*E14</f>
        <v>278706.48869999975</v>
      </c>
      <c r="H14" s="406"/>
      <c r="I14" s="99" t="s">
        <v>86</v>
      </c>
      <c r="J14" s="115">
        <f>+J13/2</f>
        <v>98768.455000000002</v>
      </c>
      <c r="K14" s="91" t="s">
        <v>373</v>
      </c>
      <c r="L14" s="105">
        <f>+G12</f>
        <v>0</v>
      </c>
    </row>
    <row r="15" spans="1:12" ht="24.75" customHeight="1">
      <c r="A15" s="421" t="s">
        <v>118</v>
      </c>
      <c r="B15" s="405"/>
      <c r="C15" s="421" t="s">
        <v>119</v>
      </c>
      <c r="D15" s="405"/>
      <c r="E15" s="421" t="s">
        <v>116</v>
      </c>
      <c r="F15" s="404"/>
      <c r="G15" s="404"/>
      <c r="H15" s="406"/>
      <c r="I15" s="91"/>
      <c r="K15" t="s">
        <v>191</v>
      </c>
      <c r="L15" s="105">
        <f>+G14</f>
        <v>278706.48869999975</v>
      </c>
    </row>
    <row r="16" spans="1:12" ht="24.75" customHeight="1">
      <c r="A16" s="583">
        <v>46054</v>
      </c>
      <c r="B16" s="405"/>
      <c r="C16" s="482" t="s">
        <v>121</v>
      </c>
      <c r="D16" s="467"/>
      <c r="E16" s="530" t="s">
        <v>573</v>
      </c>
      <c r="F16" s="504"/>
      <c r="G16" s="504"/>
      <c r="H16" s="505"/>
      <c r="I16" s="91"/>
      <c r="K16" s="112" t="s">
        <v>122</v>
      </c>
      <c r="L16" s="113">
        <f>SUM(L7:L15)</f>
        <v>1812638.3386999997</v>
      </c>
    </row>
    <row r="17" spans="1:12" ht="24.75" customHeight="1">
      <c r="A17" s="494" t="s">
        <v>120</v>
      </c>
      <c r="B17" s="411"/>
      <c r="C17" s="411"/>
      <c r="D17" s="411"/>
      <c r="E17" s="411"/>
      <c r="F17" s="480"/>
      <c r="G17" s="485">
        <f>+H5-E10</f>
        <v>1512638.3386999997</v>
      </c>
      <c r="H17" s="412"/>
      <c r="I17" s="91"/>
      <c r="K17" t="s">
        <v>126</v>
      </c>
      <c r="L17" s="105">
        <f>+E10</f>
        <v>300000</v>
      </c>
    </row>
    <row r="18" spans="1:12" ht="24.75" customHeight="1">
      <c r="A18" s="173" t="s">
        <v>127</v>
      </c>
      <c r="B18" s="174" t="s">
        <v>128</v>
      </c>
      <c r="C18" s="174" t="s">
        <v>129</v>
      </c>
      <c r="D18" s="434" t="s">
        <v>130</v>
      </c>
      <c r="E18" s="435"/>
      <c r="F18" s="508" t="s">
        <v>131</v>
      </c>
      <c r="G18" s="509"/>
      <c r="H18" s="175" t="s">
        <v>261</v>
      </c>
      <c r="I18" s="91"/>
      <c r="K18" s="119" t="s">
        <v>133</v>
      </c>
      <c r="L18" s="120">
        <f>+L16-L17</f>
        <v>1512638.3386999997</v>
      </c>
    </row>
    <row r="19" spans="1:12" ht="15" customHeight="1">
      <c r="A19" s="176" t="s">
        <v>134</v>
      </c>
      <c r="B19" s="177" t="s">
        <v>58</v>
      </c>
      <c r="C19" s="178">
        <v>46204</v>
      </c>
      <c r="D19" s="510" t="s">
        <v>384</v>
      </c>
      <c r="E19" s="437"/>
      <c r="F19" s="510" t="s">
        <v>340</v>
      </c>
      <c r="G19" s="437"/>
      <c r="H19" s="179">
        <v>8.85</v>
      </c>
    </row>
    <row r="20" spans="1:12" ht="15" customHeight="1">
      <c r="A20" s="180" t="s">
        <v>134</v>
      </c>
      <c r="B20" s="51" t="s">
        <v>60</v>
      </c>
      <c r="C20" s="52">
        <v>46205</v>
      </c>
      <c r="D20" s="495" t="s">
        <v>146</v>
      </c>
      <c r="E20" s="405"/>
      <c r="F20" s="495" t="s">
        <v>340</v>
      </c>
      <c r="G20" s="405"/>
      <c r="H20" s="181">
        <v>8.92</v>
      </c>
      <c r="K20" s="127" t="s">
        <v>196</v>
      </c>
      <c r="L20" s="128"/>
    </row>
    <row r="21" spans="1:12" ht="15" customHeight="1">
      <c r="A21" s="180" t="s">
        <v>134</v>
      </c>
      <c r="B21" s="51" t="s">
        <v>61</v>
      </c>
      <c r="C21" s="52">
        <v>46206</v>
      </c>
      <c r="D21" s="495" t="s">
        <v>163</v>
      </c>
      <c r="E21" s="405"/>
      <c r="F21" s="495" t="s">
        <v>409</v>
      </c>
      <c r="G21" s="405"/>
      <c r="H21" s="181">
        <v>8.2799999999999994</v>
      </c>
      <c r="K21" s="129" t="s">
        <v>140</v>
      </c>
      <c r="L21" s="130">
        <v>56335.39</v>
      </c>
    </row>
    <row r="22" spans="1:12" ht="15" customHeight="1">
      <c r="A22" s="190" t="s">
        <v>134</v>
      </c>
      <c r="B22" s="191" t="s">
        <v>62</v>
      </c>
      <c r="C22" s="132">
        <v>46207</v>
      </c>
      <c r="D22" s="536" t="s">
        <v>167</v>
      </c>
      <c r="E22" s="405"/>
      <c r="F22" s="536" t="s">
        <v>425</v>
      </c>
      <c r="G22" s="405"/>
      <c r="H22" s="133">
        <v>11.57</v>
      </c>
      <c r="I22" s="281" t="s">
        <v>410</v>
      </c>
      <c r="K22" s="127" t="s">
        <v>137</v>
      </c>
      <c r="L22" s="128"/>
    </row>
    <row r="23" spans="1:12" ht="15" customHeight="1">
      <c r="A23" s="182" t="s">
        <v>67</v>
      </c>
      <c r="B23" s="65" t="s">
        <v>63</v>
      </c>
      <c r="C23" s="66">
        <v>46208</v>
      </c>
      <c r="D23" s="497"/>
      <c r="E23" s="405"/>
      <c r="F23" s="497"/>
      <c r="G23" s="405"/>
      <c r="H23" s="183">
        <v>0</v>
      </c>
      <c r="K23" s="129" t="s">
        <v>140</v>
      </c>
      <c r="L23" s="130">
        <v>122500</v>
      </c>
    </row>
    <row r="24" spans="1:12" ht="15" customHeight="1">
      <c r="A24" s="180" t="s">
        <v>134</v>
      </c>
      <c r="B24" s="51" t="s">
        <v>64</v>
      </c>
      <c r="C24" s="52">
        <v>46209</v>
      </c>
      <c r="D24" s="495" t="s">
        <v>210</v>
      </c>
      <c r="E24" s="405"/>
      <c r="F24" s="495" t="s">
        <v>583</v>
      </c>
      <c r="G24" s="405"/>
      <c r="H24" s="181">
        <v>10.5</v>
      </c>
      <c r="K24" s="127" t="s">
        <v>109</v>
      </c>
      <c r="L24" s="128"/>
    </row>
    <row r="25" spans="1:12" ht="15" customHeight="1">
      <c r="A25" s="221" t="s">
        <v>67</v>
      </c>
      <c r="B25" s="222" t="s">
        <v>66</v>
      </c>
      <c r="C25" s="137">
        <v>46210</v>
      </c>
      <c r="D25" s="457"/>
      <c r="E25" s="405"/>
      <c r="F25" s="457"/>
      <c r="G25" s="405"/>
      <c r="H25" s="138">
        <v>0</v>
      </c>
      <c r="K25" s="129" t="s">
        <v>140</v>
      </c>
      <c r="L25" s="130">
        <v>91875</v>
      </c>
    </row>
    <row r="26" spans="1:12" ht="15" customHeight="1">
      <c r="A26" s="180" t="s">
        <v>134</v>
      </c>
      <c r="B26" s="51" t="s">
        <v>68</v>
      </c>
      <c r="C26" s="52">
        <v>46211</v>
      </c>
      <c r="D26" s="495" t="s">
        <v>138</v>
      </c>
      <c r="E26" s="405"/>
      <c r="F26" s="495" t="s">
        <v>166</v>
      </c>
      <c r="G26" s="405"/>
      <c r="H26" s="181">
        <v>9</v>
      </c>
      <c r="K26" s="135" t="s">
        <v>111</v>
      </c>
      <c r="L26" s="91"/>
    </row>
    <row r="27" spans="1:12" ht="15" customHeight="1">
      <c r="A27" s="180" t="s">
        <v>134</v>
      </c>
      <c r="B27" s="51" t="s">
        <v>60</v>
      </c>
      <c r="C27" s="52">
        <v>46212</v>
      </c>
      <c r="D27" s="495" t="s">
        <v>242</v>
      </c>
      <c r="E27" s="405"/>
      <c r="F27" s="495" t="s">
        <v>136</v>
      </c>
      <c r="G27" s="405"/>
      <c r="H27" s="181">
        <v>9.15</v>
      </c>
      <c r="J27" s="91"/>
      <c r="K27" s="129" t="s">
        <v>149</v>
      </c>
      <c r="L27" s="130">
        <v>12500</v>
      </c>
    </row>
    <row r="28" spans="1:12" ht="15" customHeight="1">
      <c r="A28" s="180" t="s">
        <v>134</v>
      </c>
      <c r="B28" s="51" t="s">
        <v>61</v>
      </c>
      <c r="C28" s="52">
        <v>46213</v>
      </c>
      <c r="D28" s="495" t="s">
        <v>584</v>
      </c>
      <c r="E28" s="405"/>
      <c r="F28" s="495" t="s">
        <v>585</v>
      </c>
      <c r="G28" s="405"/>
      <c r="H28" s="181">
        <v>10.42</v>
      </c>
      <c r="J28" s="91"/>
      <c r="K28" s="129" t="s">
        <v>152</v>
      </c>
      <c r="L28" s="130">
        <v>20000</v>
      </c>
    </row>
    <row r="29" spans="1:12" ht="15" customHeight="1">
      <c r="A29" s="190" t="s">
        <v>334</v>
      </c>
      <c r="B29" s="191" t="s">
        <v>62</v>
      </c>
      <c r="C29" s="132">
        <v>46214</v>
      </c>
      <c r="D29" s="536" t="s">
        <v>586</v>
      </c>
      <c r="E29" s="405"/>
      <c r="F29" s="536" t="s">
        <v>587</v>
      </c>
      <c r="G29" s="405"/>
      <c r="H29" s="133">
        <v>12.62</v>
      </c>
      <c r="K29" s="129" t="s">
        <v>153</v>
      </c>
      <c r="L29" s="130">
        <v>27500</v>
      </c>
    </row>
    <row r="30" spans="1:12" ht="15" customHeight="1">
      <c r="A30" s="190" t="s">
        <v>334</v>
      </c>
      <c r="B30" s="191" t="s">
        <v>63</v>
      </c>
      <c r="C30" s="132">
        <v>46215</v>
      </c>
      <c r="D30" s="536" t="s">
        <v>588</v>
      </c>
      <c r="E30" s="405"/>
      <c r="F30" s="536" t="s">
        <v>393</v>
      </c>
      <c r="G30" s="405"/>
      <c r="H30" s="133">
        <v>14.83</v>
      </c>
      <c r="K30" s="129" t="s">
        <v>154</v>
      </c>
      <c r="L30" s="130">
        <v>35000</v>
      </c>
    </row>
    <row r="31" spans="1:12" ht="15" customHeight="1">
      <c r="A31" s="184" t="s">
        <v>59</v>
      </c>
      <c r="B31" s="185" t="s">
        <v>64</v>
      </c>
      <c r="C31" s="125">
        <v>46216</v>
      </c>
      <c r="D31" s="458"/>
      <c r="E31" s="405"/>
      <c r="F31" s="458"/>
      <c r="G31" s="405"/>
      <c r="H31" s="126">
        <v>8</v>
      </c>
      <c r="K31" s="129" t="s">
        <v>155</v>
      </c>
      <c r="L31" s="130">
        <v>42500</v>
      </c>
    </row>
    <row r="32" spans="1:12" ht="15" customHeight="1">
      <c r="A32" s="184" t="s">
        <v>59</v>
      </c>
      <c r="B32" s="185" t="s">
        <v>66</v>
      </c>
      <c r="C32" s="125">
        <v>46217</v>
      </c>
      <c r="D32" s="458"/>
      <c r="E32" s="405"/>
      <c r="F32" s="458"/>
      <c r="G32" s="405"/>
      <c r="H32" s="126">
        <v>8</v>
      </c>
      <c r="K32" s="129" t="s">
        <v>156</v>
      </c>
      <c r="L32" s="130">
        <v>63750</v>
      </c>
    </row>
    <row r="33" spans="1:12" ht="15" customHeight="1">
      <c r="A33" s="184" t="s">
        <v>59</v>
      </c>
      <c r="B33" s="185" t="s">
        <v>68</v>
      </c>
      <c r="C33" s="125">
        <v>46218</v>
      </c>
      <c r="D33" s="458"/>
      <c r="E33" s="405"/>
      <c r="F33" s="458"/>
      <c r="G33" s="405"/>
      <c r="H33" s="126">
        <v>8</v>
      </c>
      <c r="K33" s="129" t="s">
        <v>157</v>
      </c>
      <c r="L33" s="130">
        <v>127500</v>
      </c>
    </row>
    <row r="34" spans="1:12" ht="15" customHeight="1">
      <c r="A34" s="184" t="s">
        <v>59</v>
      </c>
      <c r="B34" s="185" t="s">
        <v>60</v>
      </c>
      <c r="C34" s="125">
        <v>46219</v>
      </c>
      <c r="D34" s="458"/>
      <c r="E34" s="405"/>
      <c r="F34" s="458"/>
      <c r="G34" s="405"/>
      <c r="H34" s="126">
        <v>8</v>
      </c>
      <c r="K34" s="129" t="s">
        <v>158</v>
      </c>
      <c r="L34" s="130">
        <v>200000</v>
      </c>
    </row>
    <row r="35" spans="1:12" ht="15" customHeight="1">
      <c r="A35" s="184" t="s">
        <v>59</v>
      </c>
      <c r="B35" s="185" t="s">
        <v>61</v>
      </c>
      <c r="C35" s="125">
        <v>46220</v>
      </c>
      <c r="D35" s="458"/>
      <c r="E35" s="405"/>
      <c r="F35" s="458"/>
      <c r="G35" s="405"/>
      <c r="H35" s="126">
        <v>8</v>
      </c>
      <c r="K35" s="228" t="s">
        <v>371</v>
      </c>
      <c r="L35" s="229"/>
    </row>
    <row r="36" spans="1:12" ht="15" customHeight="1">
      <c r="A36" s="190" t="s">
        <v>347</v>
      </c>
      <c r="B36" s="191" t="s">
        <v>62</v>
      </c>
      <c r="C36" s="132">
        <v>46221</v>
      </c>
      <c r="D36" s="536" t="s">
        <v>589</v>
      </c>
      <c r="E36" s="405"/>
      <c r="F36" s="536" t="s">
        <v>351</v>
      </c>
      <c r="G36" s="405"/>
      <c r="H36" s="133">
        <v>4.9000000000000004</v>
      </c>
      <c r="I36" t="s">
        <v>460</v>
      </c>
      <c r="K36" s="129" t="s">
        <v>570</v>
      </c>
      <c r="L36" s="130">
        <v>52000</v>
      </c>
    </row>
    <row r="37" spans="1:12" ht="15" customHeight="1">
      <c r="A37" s="190" t="s">
        <v>353</v>
      </c>
      <c r="B37" s="191" t="s">
        <v>63</v>
      </c>
      <c r="C37" s="132">
        <v>46222</v>
      </c>
      <c r="D37" s="536" t="s">
        <v>350</v>
      </c>
      <c r="E37" s="405"/>
      <c r="F37" s="536" t="s">
        <v>414</v>
      </c>
      <c r="G37" s="405"/>
      <c r="H37" s="133">
        <v>7</v>
      </c>
      <c r="I37" t="s">
        <v>74</v>
      </c>
      <c r="K37" s="129" t="s">
        <v>571</v>
      </c>
      <c r="L37" s="130">
        <v>78000</v>
      </c>
    </row>
    <row r="38" spans="1:12" ht="15" customHeight="1">
      <c r="A38" s="180" t="s">
        <v>353</v>
      </c>
      <c r="B38" s="51" t="s">
        <v>64</v>
      </c>
      <c r="C38" s="52">
        <v>46223</v>
      </c>
      <c r="D38" s="495" t="s">
        <v>350</v>
      </c>
      <c r="E38" s="405"/>
      <c r="F38" s="495" t="s">
        <v>356</v>
      </c>
      <c r="G38" s="405"/>
      <c r="H38" s="181">
        <v>14</v>
      </c>
      <c r="I38" t="s">
        <v>74</v>
      </c>
      <c r="K38" s="228" t="s">
        <v>372</v>
      </c>
      <c r="L38" s="229"/>
    </row>
    <row r="39" spans="1:12" ht="15" customHeight="1">
      <c r="A39" s="180" t="s">
        <v>332</v>
      </c>
      <c r="B39" s="51" t="s">
        <v>66</v>
      </c>
      <c r="C39" s="52">
        <v>46224</v>
      </c>
      <c r="D39" s="495" t="s">
        <v>335</v>
      </c>
      <c r="E39" s="405"/>
      <c r="F39" s="495" t="s">
        <v>356</v>
      </c>
      <c r="G39" s="405"/>
      <c r="H39" s="181">
        <v>13</v>
      </c>
      <c r="I39" t="s">
        <v>74</v>
      </c>
      <c r="K39" s="129" t="s">
        <v>263</v>
      </c>
      <c r="L39" s="130">
        <v>11594.62</v>
      </c>
    </row>
    <row r="40" spans="1:12" ht="15" customHeight="1">
      <c r="A40" s="180" t="s">
        <v>332</v>
      </c>
      <c r="B40" s="51" t="s">
        <v>68</v>
      </c>
      <c r="C40" s="52">
        <v>46225</v>
      </c>
      <c r="D40" s="495" t="s">
        <v>335</v>
      </c>
      <c r="E40" s="405"/>
      <c r="F40" s="495" t="s">
        <v>159</v>
      </c>
      <c r="G40" s="405"/>
      <c r="H40" s="181">
        <v>11</v>
      </c>
      <c r="I40" t="s">
        <v>74</v>
      </c>
    </row>
    <row r="41" spans="1:12" ht="15" customHeight="1">
      <c r="A41" s="180" t="s">
        <v>134</v>
      </c>
      <c r="B41" s="51" t="s">
        <v>60</v>
      </c>
      <c r="C41" s="52">
        <v>46226</v>
      </c>
      <c r="D41" s="495" t="s">
        <v>335</v>
      </c>
      <c r="E41" s="405"/>
      <c r="F41" s="495" t="s">
        <v>159</v>
      </c>
      <c r="G41" s="405"/>
      <c r="H41" s="181">
        <v>11</v>
      </c>
      <c r="I41" t="s">
        <v>74</v>
      </c>
    </row>
    <row r="42" spans="1:12" ht="15" customHeight="1">
      <c r="A42" s="180" t="s">
        <v>134</v>
      </c>
      <c r="B42" s="51" t="s">
        <v>61</v>
      </c>
      <c r="C42" s="52">
        <v>46227</v>
      </c>
      <c r="D42" s="495" t="s">
        <v>335</v>
      </c>
      <c r="E42" s="405"/>
      <c r="F42" s="495" t="s">
        <v>159</v>
      </c>
      <c r="G42" s="405"/>
      <c r="H42" s="181">
        <v>11</v>
      </c>
      <c r="I42" t="s">
        <v>74</v>
      </c>
    </row>
    <row r="43" spans="1:12" ht="15" customHeight="1">
      <c r="A43" s="190" t="s">
        <v>134</v>
      </c>
      <c r="B43" s="191" t="s">
        <v>62</v>
      </c>
      <c r="C43" s="132">
        <v>46228</v>
      </c>
      <c r="D43" s="536" t="s">
        <v>415</v>
      </c>
      <c r="E43" s="405"/>
      <c r="F43" s="536" t="s">
        <v>579</v>
      </c>
      <c r="G43" s="405"/>
      <c r="H43" s="133">
        <v>11</v>
      </c>
      <c r="I43" s="281" t="s">
        <v>590</v>
      </c>
    </row>
    <row r="44" spans="1:12" ht="15" customHeight="1">
      <c r="A44" s="190" t="s">
        <v>134</v>
      </c>
      <c r="B44" s="191" t="s">
        <v>63</v>
      </c>
      <c r="C44" s="132">
        <v>46229</v>
      </c>
      <c r="D44" s="536" t="s">
        <v>138</v>
      </c>
      <c r="E44" s="405"/>
      <c r="F44" s="536" t="s">
        <v>361</v>
      </c>
      <c r="G44" s="405"/>
      <c r="H44" s="133">
        <v>10.5</v>
      </c>
      <c r="I44" t="s">
        <v>74</v>
      </c>
    </row>
    <row r="45" spans="1:12" ht="15" customHeight="1">
      <c r="A45" s="180" t="s">
        <v>134</v>
      </c>
      <c r="B45" s="51" t="s">
        <v>64</v>
      </c>
      <c r="C45" s="52">
        <v>46230</v>
      </c>
      <c r="D45" s="495" t="s">
        <v>335</v>
      </c>
      <c r="E45" s="405"/>
      <c r="F45" s="495" t="s">
        <v>159</v>
      </c>
      <c r="G45" s="405"/>
      <c r="H45" s="181">
        <v>11</v>
      </c>
      <c r="I45" t="s">
        <v>74</v>
      </c>
    </row>
    <row r="46" spans="1:12" ht="15" customHeight="1">
      <c r="A46" s="180" t="s">
        <v>134</v>
      </c>
      <c r="B46" s="51" t="s">
        <v>66</v>
      </c>
      <c r="C46" s="52">
        <v>46231</v>
      </c>
      <c r="D46" s="495" t="s">
        <v>335</v>
      </c>
      <c r="E46" s="405"/>
      <c r="F46" s="495" t="s">
        <v>323</v>
      </c>
      <c r="G46" s="405"/>
      <c r="H46" s="181">
        <v>9.5</v>
      </c>
      <c r="I46" t="s">
        <v>581</v>
      </c>
    </row>
    <row r="47" spans="1:12" ht="15" customHeight="1">
      <c r="A47" s="180" t="s">
        <v>334</v>
      </c>
      <c r="B47" s="51" t="s">
        <v>68</v>
      </c>
      <c r="C47" s="52">
        <v>46232</v>
      </c>
      <c r="D47" s="495" t="s">
        <v>463</v>
      </c>
      <c r="E47" s="405"/>
      <c r="F47" s="495" t="s">
        <v>437</v>
      </c>
      <c r="G47" s="405"/>
      <c r="H47" s="181">
        <v>12.15</v>
      </c>
    </row>
    <row r="48" spans="1:12" ht="15" customHeight="1">
      <c r="A48" s="180" t="s">
        <v>134</v>
      </c>
      <c r="B48" s="51" t="s">
        <v>60</v>
      </c>
      <c r="C48" s="52">
        <v>46233</v>
      </c>
      <c r="D48" s="495" t="s">
        <v>201</v>
      </c>
      <c r="E48" s="405"/>
      <c r="F48" s="495" t="s">
        <v>136</v>
      </c>
      <c r="G48" s="405"/>
      <c r="H48" s="181">
        <v>8.8800000000000008</v>
      </c>
    </row>
    <row r="49" spans="1:8" ht="15" customHeight="1">
      <c r="A49" s="257" t="s">
        <v>134</v>
      </c>
      <c r="B49" s="258" t="s">
        <v>61</v>
      </c>
      <c r="C49" s="141">
        <v>46234</v>
      </c>
      <c r="D49" s="466" t="s">
        <v>423</v>
      </c>
      <c r="E49" s="467"/>
      <c r="F49" s="466" t="s">
        <v>147</v>
      </c>
      <c r="G49" s="467"/>
      <c r="H49" s="142">
        <v>9</v>
      </c>
    </row>
    <row r="50" spans="1:8" ht="15" customHeight="1">
      <c r="A50" s="196"/>
      <c r="B50" s="91"/>
      <c r="C50" s="91"/>
      <c r="D50" s="91"/>
      <c r="E50" s="91"/>
      <c r="F50" s="471" t="s">
        <v>41</v>
      </c>
      <c r="G50" s="470"/>
      <c r="H50" s="146">
        <f>SUM(H19:H49)</f>
        <v>288.06999999999994</v>
      </c>
    </row>
    <row r="51" spans="1:8" ht="15" customHeight="1">
      <c r="A51" s="91"/>
      <c r="B51" s="91"/>
      <c r="C51" s="91"/>
      <c r="D51" s="91"/>
      <c r="E51" s="91"/>
      <c r="F51" s="197"/>
      <c r="G51" s="144"/>
      <c r="H51" s="198"/>
    </row>
    <row r="52" spans="1:8" ht="15" customHeight="1">
      <c r="A52" s="477" t="s">
        <v>226</v>
      </c>
      <c r="B52" s="411"/>
      <c r="C52" s="411"/>
      <c r="D52" s="412"/>
      <c r="E52" s="523" t="s">
        <v>173</v>
      </c>
      <c r="F52" s="411"/>
      <c r="G52" s="411"/>
      <c r="H52" s="412"/>
    </row>
    <row r="53" spans="1:8" ht="14.25" customHeight="1">
      <c r="A53" s="199" t="s">
        <v>5</v>
      </c>
      <c r="B53" s="524" t="s">
        <v>174</v>
      </c>
      <c r="C53" s="518"/>
      <c r="D53" s="199" t="s">
        <v>175</v>
      </c>
      <c r="E53" s="200" t="s">
        <v>5</v>
      </c>
      <c r="F53" s="522" t="s">
        <v>174</v>
      </c>
      <c r="G53" s="518"/>
      <c r="H53" s="201" t="s">
        <v>176</v>
      </c>
    </row>
    <row r="54" spans="1:8" ht="14.25" customHeight="1">
      <c r="A54" s="234">
        <v>46227</v>
      </c>
      <c r="B54" s="531" t="s">
        <v>228</v>
      </c>
      <c r="C54" s="437"/>
      <c r="D54" s="267">
        <v>300000</v>
      </c>
      <c r="E54" s="234"/>
      <c r="F54" s="531"/>
      <c r="G54" s="437"/>
      <c r="H54" s="267"/>
    </row>
    <row r="55" spans="1:8" ht="14.25" customHeight="1">
      <c r="A55" s="268"/>
      <c r="B55" s="473"/>
      <c r="C55" s="405"/>
      <c r="D55" s="342"/>
      <c r="E55" s="268"/>
      <c r="F55" s="473"/>
      <c r="G55" s="405"/>
      <c r="H55" s="342"/>
    </row>
    <row r="56" spans="1:8" ht="14.25" customHeight="1">
      <c r="A56" s="343"/>
      <c r="B56" s="533"/>
      <c r="C56" s="467"/>
      <c r="D56" s="344"/>
      <c r="E56" s="343"/>
      <c r="F56" s="533"/>
      <c r="G56" s="467"/>
      <c r="H56" s="344"/>
    </row>
    <row r="57" spans="1:8" ht="14.25" customHeight="1">
      <c r="A57" s="514" t="s">
        <v>81</v>
      </c>
      <c r="B57" s="469"/>
      <c r="C57" s="515"/>
      <c r="D57" s="208">
        <f>SUM(D54:D56)</f>
        <v>300000</v>
      </c>
      <c r="E57" s="507" t="s">
        <v>229</v>
      </c>
      <c r="F57" s="469"/>
      <c r="G57" s="470"/>
      <c r="H57" s="156">
        <f>+H56</f>
        <v>0</v>
      </c>
    </row>
    <row r="58" spans="1:8" ht="14.25" customHeight="1">
      <c r="D58" s="91"/>
      <c r="E58" s="472" t="s">
        <v>178</v>
      </c>
      <c r="F58" s="411"/>
      <c r="G58" s="412"/>
      <c r="H58" s="209">
        <v>0</v>
      </c>
    </row>
    <row r="59" spans="1:8" ht="14.25" customHeight="1">
      <c r="A59" s="516" t="s">
        <v>230</v>
      </c>
      <c r="B59" s="517"/>
      <c r="C59" s="517"/>
      <c r="D59" s="518"/>
    </row>
    <row r="60" spans="1:8" ht="14.25" customHeight="1">
      <c r="A60" s="519" t="s">
        <v>231</v>
      </c>
      <c r="B60" s="447"/>
      <c r="C60" s="437"/>
      <c r="D60" s="210" t="s">
        <v>232</v>
      </c>
    </row>
    <row r="61" spans="1:8" ht="14.25" customHeight="1">
      <c r="A61" s="512" t="s">
        <v>233</v>
      </c>
      <c r="B61" s="404"/>
      <c r="C61" s="405"/>
      <c r="D61" s="211">
        <v>-396.88</v>
      </c>
    </row>
    <row r="62" spans="1:8" ht="14.25" customHeight="1">
      <c r="A62" s="512" t="s">
        <v>234</v>
      </c>
      <c r="B62" s="404"/>
      <c r="C62" s="405"/>
      <c r="D62" s="211">
        <v>0</v>
      </c>
    </row>
    <row r="63" spans="1:8" ht="14.25" customHeight="1">
      <c r="A63" s="512" t="s">
        <v>235</v>
      </c>
      <c r="B63" s="404"/>
      <c r="C63" s="405"/>
      <c r="D63" s="211">
        <v>0</v>
      </c>
    </row>
    <row r="64" spans="1:8" ht="14.25" customHeight="1">
      <c r="A64" s="512" t="s">
        <v>236</v>
      </c>
      <c r="B64" s="404"/>
      <c r="C64" s="405"/>
      <c r="D64" s="211">
        <v>0</v>
      </c>
    </row>
    <row r="65" spans="1:4" ht="14.25" customHeight="1">
      <c r="A65" s="512" t="s">
        <v>237</v>
      </c>
      <c r="B65" s="404"/>
      <c r="C65" s="405"/>
      <c r="D65" s="211"/>
    </row>
    <row r="66" spans="1:4" ht="14.25" customHeight="1">
      <c r="A66" s="512" t="s">
        <v>238</v>
      </c>
      <c r="B66" s="404"/>
      <c r="C66" s="405"/>
      <c r="D66" s="211"/>
    </row>
    <row r="67" spans="1:4" ht="14.25" customHeight="1">
      <c r="A67" s="512" t="s">
        <v>239</v>
      </c>
      <c r="B67" s="404"/>
      <c r="C67" s="405"/>
      <c r="D67" s="211"/>
    </row>
    <row r="68" spans="1:4" ht="14.25" customHeight="1">
      <c r="A68" s="512" t="s">
        <v>45</v>
      </c>
      <c r="B68" s="404"/>
      <c r="C68" s="405"/>
      <c r="D68" s="211"/>
    </row>
    <row r="69" spans="1:4" ht="14.25" customHeight="1">
      <c r="A69" s="512" t="s">
        <v>98</v>
      </c>
      <c r="B69" s="404"/>
      <c r="C69" s="405"/>
      <c r="D69" s="211"/>
    </row>
    <row r="70" spans="1:4" ht="14.25" customHeight="1">
      <c r="A70" s="512" t="s">
        <v>100</v>
      </c>
      <c r="B70" s="404"/>
      <c r="C70" s="405"/>
      <c r="D70" s="211"/>
    </row>
    <row r="71" spans="1:4" ht="14.25" customHeight="1">
      <c r="A71" s="512" t="s">
        <v>104</v>
      </c>
      <c r="B71" s="404"/>
      <c r="C71" s="405"/>
      <c r="D71" s="211"/>
    </row>
    <row r="72" spans="1:4" ht="14.25" customHeight="1">
      <c r="A72" s="512" t="s">
        <v>106</v>
      </c>
      <c r="B72" s="404"/>
      <c r="C72" s="405"/>
      <c r="D72" s="211"/>
    </row>
    <row r="73" spans="1:4" ht="14.25" customHeight="1">
      <c r="A73" s="513" t="s">
        <v>113</v>
      </c>
      <c r="B73" s="504"/>
      <c r="C73" s="467"/>
      <c r="D73" s="212"/>
    </row>
    <row r="74" spans="1:4" ht="14.25" customHeight="1">
      <c r="A74" s="511" t="s">
        <v>81</v>
      </c>
      <c r="B74" s="411"/>
      <c r="C74" s="480"/>
      <c r="D74" s="213">
        <f>SUM(D61:D73)</f>
        <v>-396.88</v>
      </c>
    </row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</sheetData>
  <mergeCells count="133">
    <mergeCell ref="A74:C74"/>
    <mergeCell ref="A73:C73"/>
    <mergeCell ref="B56:C56"/>
    <mergeCell ref="F42:G42"/>
    <mergeCell ref="D43:E43"/>
    <mergeCell ref="F43:G43"/>
    <mergeCell ref="D46:E46"/>
    <mergeCell ref="F46:G46"/>
    <mergeCell ref="F48:G48"/>
    <mergeCell ref="F49:G49"/>
    <mergeCell ref="D44:E44"/>
    <mergeCell ref="F44:G44"/>
    <mergeCell ref="D45:E45"/>
    <mergeCell ref="F45:G45"/>
    <mergeCell ref="F54:G54"/>
    <mergeCell ref="F55:G55"/>
    <mergeCell ref="E57:G57"/>
    <mergeCell ref="E58:G58"/>
    <mergeCell ref="F56:G56"/>
    <mergeCell ref="B53:C53"/>
    <mergeCell ref="F53:G53"/>
    <mergeCell ref="A57:C57"/>
    <mergeCell ref="A59:D59"/>
    <mergeCell ref="A60:C60"/>
    <mergeCell ref="A61:C61"/>
    <mergeCell ref="B54:C54"/>
    <mergeCell ref="A52:D52"/>
    <mergeCell ref="B55:C55"/>
    <mergeCell ref="D47:E47"/>
    <mergeCell ref="A15:B15"/>
    <mergeCell ref="E15:H15"/>
    <mergeCell ref="A17:F17"/>
    <mergeCell ref="A69:C69"/>
    <mergeCell ref="A70:C70"/>
    <mergeCell ref="A71:C71"/>
    <mergeCell ref="A72:C72"/>
    <mergeCell ref="A68:C68"/>
    <mergeCell ref="A62:C62"/>
    <mergeCell ref="A63:C63"/>
    <mergeCell ref="A64:C64"/>
    <mergeCell ref="A65:C65"/>
    <mergeCell ref="A66:C66"/>
    <mergeCell ref="A67:C67"/>
    <mergeCell ref="D41:E41"/>
    <mergeCell ref="F41:G41"/>
    <mergeCell ref="D37:E37"/>
    <mergeCell ref="F37:G37"/>
    <mergeCell ref="D38:E38"/>
    <mergeCell ref="F38:G38"/>
    <mergeCell ref="D39:E39"/>
    <mergeCell ref="F39:G39"/>
    <mergeCell ref="E52:H52"/>
    <mergeCell ref="D48:E48"/>
    <mergeCell ref="D49:E49"/>
    <mergeCell ref="F47:G47"/>
    <mergeCell ref="D42:E42"/>
    <mergeCell ref="F50:G50"/>
    <mergeCell ref="D34:E34"/>
    <mergeCell ref="F34:G34"/>
    <mergeCell ref="D35:E35"/>
    <mergeCell ref="F35:G35"/>
    <mergeCell ref="D36:E36"/>
    <mergeCell ref="F36:G36"/>
    <mergeCell ref="D40:E40"/>
    <mergeCell ref="F40:G40"/>
    <mergeCell ref="C15:D15"/>
    <mergeCell ref="D25:E25"/>
    <mergeCell ref="D22:E22"/>
    <mergeCell ref="D23:E23"/>
    <mergeCell ref="D24:E24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D21:E21"/>
    <mergeCell ref="F21:G21"/>
    <mergeCell ref="A16:B16"/>
    <mergeCell ref="C16:D16"/>
    <mergeCell ref="F25:G25"/>
    <mergeCell ref="D26:E26"/>
    <mergeCell ref="F26:G26"/>
    <mergeCell ref="D27:E27"/>
    <mergeCell ref="F27:G27"/>
    <mergeCell ref="F22:G22"/>
    <mergeCell ref="F23:G23"/>
    <mergeCell ref="F24:G24"/>
    <mergeCell ref="D19:E19"/>
    <mergeCell ref="F19:G19"/>
    <mergeCell ref="A1:H4"/>
    <mergeCell ref="A5:E5"/>
    <mergeCell ref="F5:G5"/>
    <mergeCell ref="A7:B7"/>
    <mergeCell ref="A8:B8"/>
    <mergeCell ref="A11:B12"/>
    <mergeCell ref="C8:D8"/>
    <mergeCell ref="E8:F8"/>
    <mergeCell ref="B6:C6"/>
    <mergeCell ref="C12:D12"/>
    <mergeCell ref="C9:D9"/>
    <mergeCell ref="C10:D10"/>
    <mergeCell ref="E12:F12"/>
    <mergeCell ref="G12:H12"/>
    <mergeCell ref="I5:J5"/>
    <mergeCell ref="K5:L5"/>
    <mergeCell ref="F6:G6"/>
    <mergeCell ref="G7:H7"/>
    <mergeCell ref="G8:H8"/>
    <mergeCell ref="D20:E20"/>
    <mergeCell ref="F20:G20"/>
    <mergeCell ref="C7:D7"/>
    <mergeCell ref="E7:F7"/>
    <mergeCell ref="C13:D13"/>
    <mergeCell ref="C14:D14"/>
    <mergeCell ref="E14:F14"/>
    <mergeCell ref="G14:H14"/>
    <mergeCell ref="E13:F13"/>
    <mergeCell ref="G13:H13"/>
    <mergeCell ref="E9:F9"/>
    <mergeCell ref="G9:H9"/>
    <mergeCell ref="E10:F10"/>
    <mergeCell ref="G10:H10"/>
    <mergeCell ref="E16:H16"/>
    <mergeCell ref="G17:H17"/>
    <mergeCell ref="D18:E18"/>
    <mergeCell ref="F18:G18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271"/>
  <sheetViews>
    <sheetView workbookViewId="0">
      <selection activeCell="G8" sqref="G8:H8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7" width="17.33203125" customWidth="1"/>
    <col min="8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575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468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+A8+C8+E8+G8+B10+C10+G10+G12</f>
        <v>1230629.58825</v>
      </c>
      <c r="I5" s="431" t="s">
        <v>86</v>
      </c>
      <c r="J5" s="430"/>
      <c r="K5" s="429" t="str">
        <f>+B6</f>
        <v>GONZALO CATALANO</v>
      </c>
      <c r="L5" s="430"/>
    </row>
    <row r="6" spans="1:12" ht="24.75" customHeight="1">
      <c r="A6" s="251" t="s">
        <v>179</v>
      </c>
      <c r="B6" s="526" t="s">
        <v>591</v>
      </c>
      <c r="C6" s="480"/>
      <c r="D6" s="252" t="s">
        <v>181</v>
      </c>
      <c r="E6" s="310">
        <v>0</v>
      </c>
      <c r="F6" s="544" t="s">
        <v>89</v>
      </c>
      <c r="G6" s="450"/>
      <c r="H6" s="254">
        <v>3</v>
      </c>
      <c r="I6" s="99" t="s">
        <v>45</v>
      </c>
      <c r="J6" s="100">
        <v>1168000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37"/>
      <c r="E7" s="538" t="s">
        <v>183</v>
      </c>
      <c r="F7" s="437"/>
      <c r="G7" s="538" t="s">
        <v>109</v>
      </c>
      <c r="H7" s="448"/>
      <c r="I7" s="99" t="s">
        <v>98</v>
      </c>
      <c r="J7" s="100"/>
      <c r="K7" t="s">
        <v>99</v>
      </c>
      <c r="L7" s="105">
        <f>+A8</f>
        <v>1168000</v>
      </c>
    </row>
    <row r="8" spans="1:12" ht="24.75" customHeight="1">
      <c r="A8" s="491">
        <f>1000000*16.8%+1000000</f>
        <v>1168000</v>
      </c>
      <c r="B8" s="405"/>
      <c r="C8" s="547"/>
      <c r="D8" s="548"/>
      <c r="E8" s="422">
        <f>+L22</f>
        <v>46720</v>
      </c>
      <c r="F8" s="405"/>
      <c r="G8" s="539"/>
      <c r="H8" s="540"/>
      <c r="I8" s="99" t="s">
        <v>100</v>
      </c>
      <c r="J8" s="100"/>
      <c r="K8" t="s">
        <v>184</v>
      </c>
      <c r="L8" s="105">
        <f>+C8</f>
        <v>0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345" t="s">
        <v>592</v>
      </c>
      <c r="H9" s="259">
        <v>1</v>
      </c>
      <c r="I9" s="99" t="s">
        <v>104</v>
      </c>
      <c r="J9" s="100"/>
      <c r="K9" t="s">
        <v>101</v>
      </c>
      <c r="L9" s="105">
        <f>+E8</f>
        <v>46720</v>
      </c>
    </row>
    <row r="10" spans="1:12" ht="24.75" customHeight="1">
      <c r="A10" s="168">
        <v>45931</v>
      </c>
      <c r="B10" s="130">
        <v>0</v>
      </c>
      <c r="C10" s="422">
        <v>0</v>
      </c>
      <c r="D10" s="405"/>
      <c r="E10" s="422">
        <f>+D54+H54</f>
        <v>300000</v>
      </c>
      <c r="F10" s="405"/>
      <c r="G10" s="527">
        <f>+L35*H9</f>
        <v>11055.12</v>
      </c>
      <c r="H10" s="406"/>
      <c r="I10" s="99" t="s">
        <v>106</v>
      </c>
      <c r="J10" s="100"/>
      <c r="K10" t="s">
        <v>105</v>
      </c>
      <c r="L10" s="105">
        <f>+G8</f>
        <v>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107</v>
      </c>
      <c r="L11" s="105">
        <f>+B10</f>
        <v>0</v>
      </c>
    </row>
    <row r="12" spans="1:12" ht="24.75" customHeight="1">
      <c r="A12" s="171">
        <v>220</v>
      </c>
      <c r="B12" s="172">
        <f>+H48</f>
        <v>221.33999999999997</v>
      </c>
      <c r="C12" s="498">
        <f>+B12-A12</f>
        <v>1.339999999999975</v>
      </c>
      <c r="D12" s="405"/>
      <c r="E12" s="422">
        <f>2898.19*25%+2898.19</f>
        <v>3622.7375000000002</v>
      </c>
      <c r="F12" s="405"/>
      <c r="G12" s="422">
        <f>+C12*E12</f>
        <v>4854.4682499999099</v>
      </c>
      <c r="H12" s="406"/>
      <c r="I12" s="99" t="s">
        <v>81</v>
      </c>
      <c r="J12" s="100">
        <f>SUM(J6:J11)</f>
        <v>1168000</v>
      </c>
      <c r="K12" s="91" t="s">
        <v>115</v>
      </c>
      <c r="L12" s="105">
        <f>+C10</f>
        <v>0</v>
      </c>
    </row>
    <row r="13" spans="1:12" ht="24.75" customHeight="1">
      <c r="A13" s="169" t="s">
        <v>117</v>
      </c>
      <c r="B13" s="421" t="s">
        <v>118</v>
      </c>
      <c r="C13" s="405"/>
      <c r="D13" s="421" t="s">
        <v>119</v>
      </c>
      <c r="E13" s="405"/>
      <c r="F13" s="421" t="s">
        <v>116</v>
      </c>
      <c r="G13" s="404"/>
      <c r="H13" s="406"/>
      <c r="I13" s="99" t="s">
        <v>121</v>
      </c>
      <c r="J13" s="100">
        <f>+J12/6</f>
        <v>194666.66666666666</v>
      </c>
      <c r="K13" s="91" t="s">
        <v>593</v>
      </c>
      <c r="L13" s="105">
        <f>+G10</f>
        <v>11055.12</v>
      </c>
    </row>
    <row r="14" spans="1:12" ht="30" customHeight="1">
      <c r="A14" s="346" t="s">
        <v>290</v>
      </c>
      <c r="B14" s="528">
        <v>46113</v>
      </c>
      <c r="C14" s="467"/>
      <c r="D14" s="482" t="s">
        <v>125</v>
      </c>
      <c r="E14" s="467"/>
      <c r="F14" s="530" t="s">
        <v>594</v>
      </c>
      <c r="G14" s="504"/>
      <c r="H14" s="505"/>
      <c r="I14" s="99" t="s">
        <v>86</v>
      </c>
      <c r="J14" s="115">
        <f>+J13/2</f>
        <v>97333.333333333328</v>
      </c>
      <c r="K14" t="s">
        <v>191</v>
      </c>
      <c r="L14" s="105">
        <f>+G12</f>
        <v>4854.4682499999099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930629.58825000003</v>
      </c>
      <c r="H15" s="412"/>
      <c r="I15" s="91"/>
      <c r="K15" s="112" t="s">
        <v>122</v>
      </c>
      <c r="L15" s="113">
        <f>SUM(L7:L14)</f>
        <v>1230629.58825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08" t="s">
        <v>130</v>
      </c>
      <c r="E16" s="509"/>
      <c r="F16" s="508" t="s">
        <v>131</v>
      </c>
      <c r="G16" s="509"/>
      <c r="H16" s="175" t="s">
        <v>132</v>
      </c>
      <c r="I16" s="347"/>
      <c r="K16" t="s">
        <v>126</v>
      </c>
      <c r="L16" s="105">
        <f>+E10</f>
        <v>300000</v>
      </c>
    </row>
    <row r="17" spans="1:12" ht="15" customHeight="1">
      <c r="A17" s="255" t="s">
        <v>134</v>
      </c>
      <c r="B17" s="217" t="s">
        <v>58</v>
      </c>
      <c r="C17" s="218">
        <v>46204</v>
      </c>
      <c r="D17" s="537" t="s">
        <v>595</v>
      </c>
      <c r="E17" s="437"/>
      <c r="F17" s="537" t="s">
        <v>323</v>
      </c>
      <c r="G17" s="437"/>
      <c r="H17" s="219">
        <v>7.33</v>
      </c>
      <c r="K17" s="119" t="s">
        <v>133</v>
      </c>
      <c r="L17" s="120">
        <f>+L15-L16</f>
        <v>930629.58825000003</v>
      </c>
    </row>
    <row r="18" spans="1:12" ht="15" customHeight="1">
      <c r="A18" s="230" t="s">
        <v>134</v>
      </c>
      <c r="B18" s="185" t="s">
        <v>60</v>
      </c>
      <c r="C18" s="125">
        <v>46205</v>
      </c>
      <c r="D18" s="455" t="s">
        <v>596</v>
      </c>
      <c r="E18" s="405"/>
      <c r="F18" s="455" t="s">
        <v>324</v>
      </c>
      <c r="G18" s="405"/>
      <c r="H18" s="126">
        <v>7.67</v>
      </c>
    </row>
    <row r="19" spans="1:12" ht="15" customHeight="1">
      <c r="A19" s="230" t="s">
        <v>134</v>
      </c>
      <c r="B19" s="185" t="s">
        <v>61</v>
      </c>
      <c r="C19" s="125">
        <v>46206</v>
      </c>
      <c r="D19" s="455" t="s">
        <v>597</v>
      </c>
      <c r="E19" s="405"/>
      <c r="F19" s="455" t="s">
        <v>598</v>
      </c>
      <c r="G19" s="405"/>
      <c r="H19" s="126">
        <v>7.82</v>
      </c>
      <c r="K19" s="127" t="s">
        <v>196</v>
      </c>
      <c r="L19" s="128"/>
    </row>
    <row r="20" spans="1:12" ht="15" customHeight="1">
      <c r="A20" s="230" t="s">
        <v>134</v>
      </c>
      <c r="B20" s="191" t="s">
        <v>62</v>
      </c>
      <c r="C20" s="132">
        <v>46207</v>
      </c>
      <c r="D20" s="536" t="s">
        <v>599</v>
      </c>
      <c r="E20" s="405"/>
      <c r="F20" s="536" t="s">
        <v>299</v>
      </c>
      <c r="G20" s="405"/>
      <c r="H20" s="133">
        <v>6.38</v>
      </c>
      <c r="K20" s="129" t="s">
        <v>140</v>
      </c>
      <c r="L20" s="130">
        <f>30000*16.8%+30000</f>
        <v>35040</v>
      </c>
    </row>
    <row r="21" spans="1:12" ht="15" customHeight="1">
      <c r="A21" s="182" t="s">
        <v>67</v>
      </c>
      <c r="B21" s="191" t="s">
        <v>63</v>
      </c>
      <c r="C21" s="132">
        <v>46208</v>
      </c>
      <c r="D21" s="456"/>
      <c r="E21" s="405"/>
      <c r="F21" s="456"/>
      <c r="G21" s="405"/>
      <c r="H21" s="133">
        <v>0</v>
      </c>
      <c r="K21" s="127" t="s">
        <v>137</v>
      </c>
      <c r="L21" s="128"/>
    </row>
    <row r="22" spans="1:12" ht="15" customHeight="1">
      <c r="A22" s="230" t="s">
        <v>134</v>
      </c>
      <c r="B22" s="185" t="s">
        <v>64</v>
      </c>
      <c r="C22" s="125">
        <v>46209</v>
      </c>
      <c r="D22" s="455" t="s">
        <v>297</v>
      </c>
      <c r="E22" s="405"/>
      <c r="F22" s="455" t="s">
        <v>142</v>
      </c>
      <c r="G22" s="405"/>
      <c r="H22" s="126">
        <v>8.57</v>
      </c>
      <c r="K22" s="129" t="s">
        <v>140</v>
      </c>
      <c r="L22" s="130">
        <f>40000*16.8%+40000</f>
        <v>46720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K23" s="127" t="s">
        <v>109</v>
      </c>
      <c r="L23" s="128"/>
    </row>
    <row r="24" spans="1:12" ht="15" customHeight="1">
      <c r="A24" s="230" t="s">
        <v>134</v>
      </c>
      <c r="B24" s="185" t="s">
        <v>68</v>
      </c>
      <c r="C24" s="125">
        <v>46211</v>
      </c>
      <c r="D24" s="455" t="s">
        <v>298</v>
      </c>
      <c r="E24" s="405"/>
      <c r="F24" s="455" t="s">
        <v>136</v>
      </c>
      <c r="G24" s="405"/>
      <c r="H24" s="126">
        <v>8.5500000000000007</v>
      </c>
      <c r="K24" s="129" t="s">
        <v>140</v>
      </c>
      <c r="L24" s="130">
        <f>110000*16.8%+110000</f>
        <v>128480</v>
      </c>
    </row>
    <row r="25" spans="1:12" ht="15" customHeight="1">
      <c r="A25" s="230" t="s">
        <v>134</v>
      </c>
      <c r="B25" s="185" t="s">
        <v>60</v>
      </c>
      <c r="C25" s="125">
        <v>46212</v>
      </c>
      <c r="D25" s="455" t="s">
        <v>424</v>
      </c>
      <c r="E25" s="405"/>
      <c r="F25" s="455" t="s">
        <v>166</v>
      </c>
      <c r="G25" s="405"/>
      <c r="H25" s="126">
        <v>8.48</v>
      </c>
      <c r="K25" s="135" t="s">
        <v>111</v>
      </c>
      <c r="L25" s="91"/>
    </row>
    <row r="26" spans="1:12" ht="15" customHeight="1">
      <c r="A26" s="221" t="s">
        <v>406</v>
      </c>
      <c r="B26" s="222" t="s">
        <v>61</v>
      </c>
      <c r="C26" s="137">
        <v>46213</v>
      </c>
      <c r="D26" s="457"/>
      <c r="E26" s="405"/>
      <c r="F26" s="457"/>
      <c r="G26" s="405"/>
      <c r="H26" s="138">
        <v>0</v>
      </c>
      <c r="K26" s="129" t="s">
        <v>149</v>
      </c>
      <c r="L26" s="130">
        <f>12500*16.8%+12500</f>
        <v>14600</v>
      </c>
    </row>
    <row r="27" spans="1:12" ht="15" customHeight="1">
      <c r="A27" s="190" t="s">
        <v>406</v>
      </c>
      <c r="B27" s="191" t="s">
        <v>62</v>
      </c>
      <c r="C27" s="132">
        <v>46214</v>
      </c>
      <c r="D27" s="456"/>
      <c r="E27" s="405"/>
      <c r="F27" s="456"/>
      <c r="G27" s="405"/>
      <c r="H27" s="133">
        <v>0</v>
      </c>
      <c r="J27" s="91"/>
      <c r="K27" s="129" t="s">
        <v>152</v>
      </c>
      <c r="L27" s="130">
        <f>20000*16.8%+20000</f>
        <v>23360</v>
      </c>
    </row>
    <row r="28" spans="1:12" ht="15" customHeight="1">
      <c r="A28" s="190" t="s">
        <v>406</v>
      </c>
      <c r="B28" s="191" t="s">
        <v>63</v>
      </c>
      <c r="C28" s="132">
        <v>46215</v>
      </c>
      <c r="D28" s="456"/>
      <c r="E28" s="405"/>
      <c r="F28" s="456"/>
      <c r="G28" s="405"/>
      <c r="H28" s="133">
        <v>0</v>
      </c>
      <c r="J28" s="91"/>
      <c r="K28" s="129" t="s">
        <v>153</v>
      </c>
      <c r="L28" s="130">
        <f>27500*16.8%+27500</f>
        <v>32120</v>
      </c>
    </row>
    <row r="29" spans="1:12" ht="15" customHeight="1">
      <c r="A29" s="184" t="s">
        <v>59</v>
      </c>
      <c r="B29" s="185" t="s">
        <v>64</v>
      </c>
      <c r="C29" s="125">
        <v>46216</v>
      </c>
      <c r="D29" s="458"/>
      <c r="E29" s="405"/>
      <c r="F29" s="458"/>
      <c r="G29" s="405"/>
      <c r="H29" s="126">
        <v>8</v>
      </c>
      <c r="K29" s="129" t="s">
        <v>154</v>
      </c>
      <c r="L29" s="130">
        <f>35000*16.8%+35000</f>
        <v>40880</v>
      </c>
    </row>
    <row r="30" spans="1:12" ht="15" customHeight="1">
      <c r="A30" s="184" t="s">
        <v>59</v>
      </c>
      <c r="B30" s="185" t="s">
        <v>66</v>
      </c>
      <c r="C30" s="125">
        <v>46217</v>
      </c>
      <c r="D30" s="458"/>
      <c r="E30" s="405"/>
      <c r="F30" s="458"/>
      <c r="G30" s="405"/>
      <c r="H30" s="126">
        <v>8</v>
      </c>
      <c r="K30" s="129" t="s">
        <v>155</v>
      </c>
      <c r="L30" s="130">
        <f>42500*16.8%+42500</f>
        <v>49640</v>
      </c>
    </row>
    <row r="31" spans="1:12" ht="15" customHeight="1">
      <c r="A31" s="184" t="s">
        <v>59</v>
      </c>
      <c r="B31" s="185" t="s">
        <v>68</v>
      </c>
      <c r="C31" s="125">
        <v>46218</v>
      </c>
      <c r="D31" s="458"/>
      <c r="E31" s="405"/>
      <c r="F31" s="458"/>
      <c r="G31" s="405"/>
      <c r="H31" s="126">
        <v>8</v>
      </c>
      <c r="K31" s="129" t="s">
        <v>156</v>
      </c>
      <c r="L31" s="130">
        <f>63750*16.8%+63750</f>
        <v>74460</v>
      </c>
    </row>
    <row r="32" spans="1:12" ht="15" customHeight="1">
      <c r="A32" s="184" t="s">
        <v>59</v>
      </c>
      <c r="B32" s="185" t="s">
        <v>60</v>
      </c>
      <c r="C32" s="125">
        <v>46219</v>
      </c>
      <c r="D32" s="458"/>
      <c r="E32" s="405"/>
      <c r="F32" s="458"/>
      <c r="G32" s="405"/>
      <c r="H32" s="126">
        <v>8</v>
      </c>
      <c r="K32" s="129" t="s">
        <v>157</v>
      </c>
      <c r="L32" s="130">
        <f>127500*16.8%+127500</f>
        <v>148920</v>
      </c>
    </row>
    <row r="33" spans="1:12" ht="15" customHeight="1">
      <c r="A33" s="184" t="s">
        <v>59</v>
      </c>
      <c r="B33" s="185" t="s">
        <v>61</v>
      </c>
      <c r="C33" s="125">
        <v>46220</v>
      </c>
      <c r="D33" s="458"/>
      <c r="E33" s="405"/>
      <c r="F33" s="458"/>
      <c r="G33" s="405"/>
      <c r="H33" s="126">
        <v>8</v>
      </c>
      <c r="K33" s="129" t="s">
        <v>158</v>
      </c>
      <c r="L33" s="130">
        <f>200000*16.8%+200000</f>
        <v>233600</v>
      </c>
    </row>
    <row r="34" spans="1:12" ht="15" customHeight="1">
      <c r="A34" s="190" t="s">
        <v>59</v>
      </c>
      <c r="B34" s="191" t="s">
        <v>62</v>
      </c>
      <c r="C34" s="132">
        <v>46221</v>
      </c>
      <c r="D34" s="456"/>
      <c r="E34" s="405"/>
      <c r="F34" s="456"/>
      <c r="G34" s="405"/>
      <c r="H34" s="133">
        <v>8</v>
      </c>
      <c r="K34" s="135" t="s">
        <v>372</v>
      </c>
      <c r="L34" s="91"/>
    </row>
    <row r="35" spans="1:12" ht="15" customHeight="1">
      <c r="A35" s="190" t="s">
        <v>59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8</v>
      </c>
      <c r="K35" s="129" t="s">
        <v>263</v>
      </c>
      <c r="L35" s="130">
        <f>9465*16.8%+9465</f>
        <v>11055.12</v>
      </c>
    </row>
    <row r="36" spans="1:12" ht="15" customHeight="1">
      <c r="A36" s="180" t="s">
        <v>134</v>
      </c>
      <c r="B36" s="51" t="s">
        <v>64</v>
      </c>
      <c r="C36" s="52">
        <v>46223</v>
      </c>
      <c r="D36" s="495" t="s">
        <v>146</v>
      </c>
      <c r="E36" s="405"/>
      <c r="F36" s="495" t="s">
        <v>427</v>
      </c>
      <c r="G36" s="405"/>
      <c r="H36" s="181">
        <v>8.82</v>
      </c>
      <c r="I36" s="339" t="s">
        <v>36</v>
      </c>
    </row>
    <row r="37" spans="1:12" ht="15" customHeight="1">
      <c r="A37" s="230" t="s">
        <v>134</v>
      </c>
      <c r="B37" s="185" t="s">
        <v>66</v>
      </c>
      <c r="C37" s="125">
        <v>46224</v>
      </c>
      <c r="D37" s="455" t="s">
        <v>266</v>
      </c>
      <c r="E37" s="405"/>
      <c r="F37" s="455" t="s">
        <v>247</v>
      </c>
      <c r="G37" s="405"/>
      <c r="H37" s="126">
        <v>8.75</v>
      </c>
    </row>
    <row r="38" spans="1:12" ht="15" customHeight="1">
      <c r="A38" s="134" t="s">
        <v>134</v>
      </c>
      <c r="B38" s="185" t="s">
        <v>68</v>
      </c>
      <c r="C38" s="125">
        <v>46225</v>
      </c>
      <c r="D38" s="455" t="s">
        <v>462</v>
      </c>
      <c r="E38" s="405"/>
      <c r="F38" s="455" t="s">
        <v>247</v>
      </c>
      <c r="G38" s="405"/>
      <c r="H38" s="126">
        <v>8.5299999999999994</v>
      </c>
    </row>
    <row r="39" spans="1:12" ht="15" customHeight="1">
      <c r="A39" s="134" t="s">
        <v>134</v>
      </c>
      <c r="B39" s="185" t="s">
        <v>60</v>
      </c>
      <c r="C39" s="125">
        <v>46226</v>
      </c>
      <c r="D39" s="455" t="s">
        <v>600</v>
      </c>
      <c r="E39" s="405"/>
      <c r="F39" s="455" t="s">
        <v>142</v>
      </c>
      <c r="G39" s="405"/>
      <c r="H39" s="126">
        <v>8.6</v>
      </c>
    </row>
    <row r="40" spans="1:12" ht="15" customHeight="1">
      <c r="A40" s="134" t="s">
        <v>134</v>
      </c>
      <c r="B40" s="185" t="s">
        <v>61</v>
      </c>
      <c r="C40" s="125">
        <v>46227</v>
      </c>
      <c r="D40" s="455" t="s">
        <v>169</v>
      </c>
      <c r="E40" s="405"/>
      <c r="F40" s="455" t="s">
        <v>411</v>
      </c>
      <c r="G40" s="405"/>
      <c r="H40" s="126">
        <v>8.73</v>
      </c>
    </row>
    <row r="41" spans="1:12" ht="15" customHeight="1">
      <c r="A41" s="134" t="s">
        <v>332</v>
      </c>
      <c r="B41" s="191" t="s">
        <v>62</v>
      </c>
      <c r="C41" s="132">
        <v>46228</v>
      </c>
      <c r="D41" s="536" t="s">
        <v>601</v>
      </c>
      <c r="E41" s="405"/>
      <c r="F41" s="536" t="s">
        <v>602</v>
      </c>
      <c r="G41" s="405"/>
      <c r="H41" s="133">
        <v>9.35</v>
      </c>
    </row>
    <row r="42" spans="1:12" ht="15" customHeight="1">
      <c r="A42" s="134" t="s">
        <v>332</v>
      </c>
      <c r="B42" s="191" t="s">
        <v>63</v>
      </c>
      <c r="C42" s="132">
        <v>46229</v>
      </c>
      <c r="D42" s="536" t="s">
        <v>199</v>
      </c>
      <c r="E42" s="405"/>
      <c r="F42" s="536" t="s">
        <v>603</v>
      </c>
      <c r="G42" s="405"/>
      <c r="H42" s="133">
        <v>10.87</v>
      </c>
    </row>
    <row r="43" spans="1:12" ht="15" customHeight="1">
      <c r="A43" s="134" t="s">
        <v>332</v>
      </c>
      <c r="B43" s="185" t="s">
        <v>64</v>
      </c>
      <c r="C43" s="125">
        <v>46230</v>
      </c>
      <c r="D43" s="455" t="s">
        <v>199</v>
      </c>
      <c r="E43" s="405"/>
      <c r="F43" s="455" t="s">
        <v>267</v>
      </c>
      <c r="G43" s="405"/>
      <c r="H43" s="126">
        <v>9.9700000000000006</v>
      </c>
    </row>
    <row r="44" spans="1:12" ht="15" customHeight="1">
      <c r="A44" s="134" t="s">
        <v>332</v>
      </c>
      <c r="B44" s="185" t="s">
        <v>66</v>
      </c>
      <c r="C44" s="125">
        <v>46231</v>
      </c>
      <c r="D44" s="455" t="s">
        <v>604</v>
      </c>
      <c r="E44" s="405"/>
      <c r="F44" s="455" t="s">
        <v>166</v>
      </c>
      <c r="G44" s="405"/>
      <c r="H44" s="126">
        <v>9.52</v>
      </c>
    </row>
    <row r="45" spans="1:12" ht="15" customHeight="1">
      <c r="A45" s="134" t="s">
        <v>332</v>
      </c>
      <c r="B45" s="185" t="s">
        <v>68</v>
      </c>
      <c r="C45" s="125">
        <v>46232</v>
      </c>
      <c r="D45" s="455" t="s">
        <v>605</v>
      </c>
      <c r="E45" s="405"/>
      <c r="F45" s="455" t="s">
        <v>606</v>
      </c>
      <c r="G45" s="405"/>
      <c r="H45" s="126">
        <v>12.98</v>
      </c>
      <c r="I45" s="339" t="s">
        <v>607</v>
      </c>
    </row>
    <row r="46" spans="1:12" ht="15" customHeight="1">
      <c r="A46" s="261" t="s">
        <v>134</v>
      </c>
      <c r="B46" s="51" t="s">
        <v>60</v>
      </c>
      <c r="C46" s="52">
        <v>46233</v>
      </c>
      <c r="D46" s="495" t="s">
        <v>384</v>
      </c>
      <c r="E46" s="405"/>
      <c r="F46" s="495" t="s">
        <v>608</v>
      </c>
      <c r="G46" s="405"/>
      <c r="H46" s="181">
        <v>14.42</v>
      </c>
      <c r="I46" s="348" t="s">
        <v>609</v>
      </c>
    </row>
    <row r="47" spans="1:12" ht="15" customHeight="1">
      <c r="A47" s="293" t="s">
        <v>406</v>
      </c>
      <c r="B47" s="283" t="s">
        <v>61</v>
      </c>
      <c r="C47" s="284">
        <v>46234</v>
      </c>
      <c r="D47" s="560"/>
      <c r="E47" s="467"/>
      <c r="F47" s="560"/>
      <c r="G47" s="467"/>
      <c r="H47" s="285">
        <v>0</v>
      </c>
    </row>
    <row r="48" spans="1:12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221.33999999999997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04">
        <v>46227</v>
      </c>
      <c r="B52" s="499" t="s">
        <v>228</v>
      </c>
      <c r="C52" s="405"/>
      <c r="D52" s="205">
        <v>300000</v>
      </c>
      <c r="E52" s="349"/>
      <c r="F52" s="589"/>
      <c r="G52" s="437"/>
      <c r="H52" s="350"/>
    </row>
    <row r="53" spans="1:8" ht="14.25" customHeight="1">
      <c r="A53" s="335"/>
      <c r="B53" s="533"/>
      <c r="C53" s="467"/>
      <c r="D53" s="341"/>
      <c r="E53" s="206"/>
      <c r="F53" s="501"/>
      <c r="G53" s="467"/>
      <c r="H53" s="207"/>
    </row>
    <row r="54" spans="1:8" ht="14.25" customHeight="1">
      <c r="A54" s="514" t="s">
        <v>81</v>
      </c>
      <c r="B54" s="469"/>
      <c r="C54" s="515"/>
      <c r="D54" s="208">
        <f>SUM(D52:D53)</f>
        <v>300000</v>
      </c>
      <c r="E54" s="507" t="s">
        <v>229</v>
      </c>
      <c r="F54" s="469"/>
      <c r="G54" s="470"/>
      <c r="H54" s="156"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6">
    <mergeCell ref="D43:E43"/>
    <mergeCell ref="D46:E46"/>
    <mergeCell ref="D44:E44"/>
    <mergeCell ref="D45:E45"/>
    <mergeCell ref="A70:C70"/>
    <mergeCell ref="A71:C71"/>
    <mergeCell ref="A63:C63"/>
    <mergeCell ref="A64:C64"/>
    <mergeCell ref="A65:C65"/>
    <mergeCell ref="A66:C66"/>
    <mergeCell ref="A68:C68"/>
    <mergeCell ref="A57:C57"/>
    <mergeCell ref="A58:C58"/>
    <mergeCell ref="A59:C59"/>
    <mergeCell ref="A60:C60"/>
    <mergeCell ref="A61:C61"/>
    <mergeCell ref="A62:C62"/>
    <mergeCell ref="A69:C69"/>
    <mergeCell ref="D36:E36"/>
    <mergeCell ref="D37:E37"/>
    <mergeCell ref="D40:E40"/>
    <mergeCell ref="D42:E42"/>
    <mergeCell ref="D41:E41"/>
    <mergeCell ref="D26:E26"/>
    <mergeCell ref="D27:E27"/>
    <mergeCell ref="D28:E28"/>
    <mergeCell ref="D32:E32"/>
    <mergeCell ref="D33:E33"/>
    <mergeCell ref="D34:E34"/>
    <mergeCell ref="D29:E29"/>
    <mergeCell ref="F53:G53"/>
    <mergeCell ref="E54:G54"/>
    <mergeCell ref="E55:G55"/>
    <mergeCell ref="A67:C67"/>
    <mergeCell ref="B52:C52"/>
    <mergeCell ref="A50:D50"/>
    <mergeCell ref="B51:C51"/>
    <mergeCell ref="D38:E38"/>
    <mergeCell ref="D39:E39"/>
    <mergeCell ref="F44:G44"/>
    <mergeCell ref="F45:G45"/>
    <mergeCell ref="F52:G52"/>
    <mergeCell ref="F48:G48"/>
    <mergeCell ref="E50:H50"/>
    <mergeCell ref="F51:G51"/>
    <mergeCell ref="F47:G47"/>
    <mergeCell ref="F43:G43"/>
    <mergeCell ref="F46:G46"/>
    <mergeCell ref="F38:G38"/>
    <mergeCell ref="F39:G39"/>
    <mergeCell ref="B53:C53"/>
    <mergeCell ref="A54:C54"/>
    <mergeCell ref="A56:D56"/>
    <mergeCell ref="D47:E47"/>
    <mergeCell ref="F27:G27"/>
    <mergeCell ref="F28:G28"/>
    <mergeCell ref="F32:G32"/>
    <mergeCell ref="F33:G33"/>
    <mergeCell ref="F29:G29"/>
    <mergeCell ref="F30:G30"/>
    <mergeCell ref="F31:G31"/>
    <mergeCell ref="D35:E35"/>
    <mergeCell ref="D31:E31"/>
    <mergeCell ref="F34:G34"/>
    <mergeCell ref="F35:G35"/>
    <mergeCell ref="D30:E30"/>
    <mergeCell ref="F36:G36"/>
    <mergeCell ref="F37:G37"/>
    <mergeCell ref="F40:G40"/>
    <mergeCell ref="F42:G42"/>
    <mergeCell ref="F41:G41"/>
    <mergeCell ref="D17:E17"/>
    <mergeCell ref="F17:G17"/>
    <mergeCell ref="D18:E18"/>
    <mergeCell ref="F18:G18"/>
    <mergeCell ref="D19:E19"/>
    <mergeCell ref="F19:G19"/>
    <mergeCell ref="D23:E23"/>
    <mergeCell ref="F23:G23"/>
    <mergeCell ref="D24:E24"/>
    <mergeCell ref="F24:G24"/>
    <mergeCell ref="D25:E25"/>
    <mergeCell ref="F25:G25"/>
    <mergeCell ref="D20:E20"/>
    <mergeCell ref="F20:G20"/>
    <mergeCell ref="D21:E21"/>
    <mergeCell ref="F21:G21"/>
    <mergeCell ref="D22:E22"/>
    <mergeCell ref="F22:G22"/>
    <mergeCell ref="F26:G26"/>
    <mergeCell ref="B14:C14"/>
    <mergeCell ref="D14:E14"/>
    <mergeCell ref="F14:H14"/>
    <mergeCell ref="A15:F15"/>
    <mergeCell ref="G15:H15"/>
    <mergeCell ref="D16:E16"/>
    <mergeCell ref="F16:G16"/>
    <mergeCell ref="E11:F11"/>
    <mergeCell ref="G11:H11"/>
    <mergeCell ref="C11:D11"/>
    <mergeCell ref="C12:D12"/>
    <mergeCell ref="E12:F12"/>
    <mergeCell ref="G12:H12"/>
    <mergeCell ref="B13:C13"/>
    <mergeCell ref="D13:E13"/>
    <mergeCell ref="F13:H13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1:H4"/>
    <mergeCell ref="A5:E5"/>
    <mergeCell ref="F5:G5"/>
    <mergeCell ref="I5:J5"/>
    <mergeCell ref="K5:L5"/>
    <mergeCell ref="B6:C6"/>
    <mergeCell ref="F6:G6"/>
    <mergeCell ref="C9:D9"/>
    <mergeCell ref="E9:F9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271"/>
  <sheetViews>
    <sheetView workbookViewId="0">
      <selection activeCell="G13" sqref="G13:H13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5.8867187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588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288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+A8+D8+E8+G10</f>
        <v>596000</v>
      </c>
      <c r="I5" s="431" t="s">
        <v>86</v>
      </c>
      <c r="J5" s="430"/>
      <c r="K5" s="429" t="str">
        <f>+B6</f>
        <v>NICOLAS BIBILONI</v>
      </c>
      <c r="L5" s="430"/>
    </row>
    <row r="6" spans="1:12" ht="24.75" customHeight="1">
      <c r="A6" s="251" t="s">
        <v>179</v>
      </c>
      <c r="B6" s="546" t="s">
        <v>610</v>
      </c>
      <c r="C6" s="435"/>
      <c r="D6" s="252" t="s">
        <v>181</v>
      </c>
      <c r="E6" s="310">
        <v>0</v>
      </c>
      <c r="F6" s="544" t="s">
        <v>89</v>
      </c>
      <c r="G6" s="450"/>
      <c r="H6" s="254">
        <v>3</v>
      </c>
      <c r="I6" s="99" t="s">
        <v>45</v>
      </c>
      <c r="J6" s="100">
        <v>576000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351" t="s">
        <v>111</v>
      </c>
      <c r="D7" s="352">
        <v>2</v>
      </c>
      <c r="E7" s="591" t="s">
        <v>185</v>
      </c>
      <c r="F7" s="437"/>
      <c r="G7" s="592" t="s">
        <v>96</v>
      </c>
      <c r="H7" s="448"/>
      <c r="I7" s="99" t="s">
        <v>98</v>
      </c>
      <c r="J7" s="100"/>
      <c r="K7" t="s">
        <v>99</v>
      </c>
      <c r="L7" s="105">
        <f>+A8</f>
        <v>576000</v>
      </c>
    </row>
    <row r="8" spans="1:12" ht="24.75" customHeight="1">
      <c r="A8" s="491">
        <v>576000</v>
      </c>
      <c r="B8" s="405"/>
      <c r="C8" s="215">
        <v>45170</v>
      </c>
      <c r="D8" s="130">
        <f>+L19</f>
        <v>20000</v>
      </c>
      <c r="E8" s="422">
        <v>0</v>
      </c>
      <c r="F8" s="405"/>
      <c r="G8" s="422">
        <f>+D54+H54</f>
        <v>0</v>
      </c>
      <c r="H8" s="406"/>
      <c r="I8" s="99" t="s">
        <v>100</v>
      </c>
      <c r="J8" s="100"/>
      <c r="K8" s="91" t="s">
        <v>107</v>
      </c>
      <c r="L8" s="105">
        <f>+D8</f>
        <v>20000</v>
      </c>
    </row>
    <row r="9" spans="1:12" ht="24.75" customHeight="1">
      <c r="A9" s="169" t="s">
        <v>186</v>
      </c>
      <c r="B9" s="170" t="s">
        <v>187</v>
      </c>
      <c r="C9" s="421" t="s">
        <v>188</v>
      </c>
      <c r="D9" s="405"/>
      <c r="E9" s="421" t="s">
        <v>189</v>
      </c>
      <c r="F9" s="405"/>
      <c r="G9" s="421" t="s">
        <v>190</v>
      </c>
      <c r="H9" s="406"/>
      <c r="I9" s="99" t="s">
        <v>104</v>
      </c>
      <c r="J9" s="100"/>
      <c r="K9" s="91" t="s">
        <v>115</v>
      </c>
      <c r="L9" s="105">
        <f>+E8</f>
        <v>0</v>
      </c>
    </row>
    <row r="10" spans="1:12" ht="24.75" customHeight="1">
      <c r="A10" s="171">
        <v>120</v>
      </c>
      <c r="B10" s="172">
        <f>+H46</f>
        <v>61</v>
      </c>
      <c r="C10" s="498">
        <f>+B10-A10</f>
        <v>-59</v>
      </c>
      <c r="D10" s="405"/>
      <c r="E10" s="422">
        <v>3000</v>
      </c>
      <c r="F10" s="405"/>
      <c r="G10" s="422">
        <v>0</v>
      </c>
      <c r="H10" s="406"/>
      <c r="I10" s="99" t="s">
        <v>106</v>
      </c>
      <c r="J10" s="100"/>
      <c r="K10" t="s">
        <v>191</v>
      </c>
      <c r="L10" s="105">
        <f>+G10</f>
        <v>0</v>
      </c>
    </row>
    <row r="11" spans="1:12" ht="24.75" customHeight="1">
      <c r="A11" s="169" t="s">
        <v>117</v>
      </c>
      <c r="B11" s="421" t="s">
        <v>118</v>
      </c>
      <c r="C11" s="405"/>
      <c r="D11" s="421" t="s">
        <v>119</v>
      </c>
      <c r="E11" s="405"/>
      <c r="F11" s="421" t="s">
        <v>116</v>
      </c>
      <c r="G11" s="404"/>
      <c r="H11" s="406"/>
      <c r="I11" s="99" t="s">
        <v>113</v>
      </c>
      <c r="J11" s="100"/>
      <c r="K11" s="112" t="s">
        <v>122</v>
      </c>
      <c r="L11" s="113">
        <f>SUM(L7:L10)</f>
        <v>596000</v>
      </c>
    </row>
    <row r="12" spans="1:12" ht="24.75" customHeight="1">
      <c r="A12" s="346" t="s">
        <v>290</v>
      </c>
      <c r="B12" s="528">
        <v>46082</v>
      </c>
      <c r="C12" s="467"/>
      <c r="D12" s="482" t="s">
        <v>121</v>
      </c>
      <c r="E12" s="467"/>
      <c r="F12" s="503" t="s">
        <v>611</v>
      </c>
      <c r="G12" s="504"/>
      <c r="H12" s="505"/>
      <c r="I12" s="99" t="s">
        <v>81</v>
      </c>
      <c r="J12" s="100">
        <f>SUM(J6:J11)</f>
        <v>576000</v>
      </c>
      <c r="K12" t="s">
        <v>126</v>
      </c>
      <c r="L12" s="105">
        <f>+G8</f>
        <v>0</v>
      </c>
    </row>
    <row r="13" spans="1:12" ht="24.75" customHeight="1">
      <c r="A13" s="494" t="s">
        <v>120</v>
      </c>
      <c r="B13" s="411"/>
      <c r="C13" s="411"/>
      <c r="D13" s="411"/>
      <c r="E13" s="411"/>
      <c r="F13" s="480"/>
      <c r="G13" s="485">
        <v>312800</v>
      </c>
      <c r="H13" s="412"/>
      <c r="I13" s="99" t="s">
        <v>121</v>
      </c>
      <c r="J13" s="100">
        <f>+J12/6</f>
        <v>96000</v>
      </c>
      <c r="K13" s="119" t="s">
        <v>133</v>
      </c>
      <c r="L13" s="120">
        <v>308000</v>
      </c>
    </row>
    <row r="14" spans="1:12" ht="24.75" customHeight="1">
      <c r="A14" s="173" t="s">
        <v>127</v>
      </c>
      <c r="B14" s="174" t="s">
        <v>128</v>
      </c>
      <c r="C14" s="174" t="s">
        <v>129</v>
      </c>
      <c r="D14" s="508" t="s">
        <v>130</v>
      </c>
      <c r="E14" s="509"/>
      <c r="F14" s="508" t="s">
        <v>131</v>
      </c>
      <c r="G14" s="509"/>
      <c r="H14" s="175" t="s">
        <v>132</v>
      </c>
      <c r="I14" s="99" t="s">
        <v>86</v>
      </c>
      <c r="J14" s="115">
        <f>+J13/2</f>
        <v>48000</v>
      </c>
    </row>
    <row r="15" spans="1:12" ht="15" customHeight="1">
      <c r="A15" s="353"/>
      <c r="B15" s="177" t="s">
        <v>58</v>
      </c>
      <c r="C15" s="178">
        <v>46204</v>
      </c>
      <c r="D15" s="593"/>
      <c r="E15" s="437"/>
      <c r="F15" s="593"/>
      <c r="G15" s="437"/>
      <c r="H15" s="179">
        <v>0</v>
      </c>
      <c r="I15" s="220"/>
      <c r="K15" s="127" t="s">
        <v>109</v>
      </c>
      <c r="L15" s="128"/>
    </row>
    <row r="16" spans="1:12" ht="15" customHeight="1">
      <c r="A16" s="354"/>
      <c r="B16" s="51" t="s">
        <v>60</v>
      </c>
      <c r="C16" s="52">
        <v>46205</v>
      </c>
      <c r="D16" s="495" t="s">
        <v>145</v>
      </c>
      <c r="E16" s="405"/>
      <c r="F16" s="495" t="s">
        <v>559</v>
      </c>
      <c r="G16" s="405"/>
      <c r="H16" s="181">
        <v>4</v>
      </c>
      <c r="I16" s="91"/>
      <c r="K16" s="129" t="s">
        <v>140</v>
      </c>
      <c r="L16" s="130">
        <v>35000</v>
      </c>
    </row>
    <row r="17" spans="1:12" ht="15" customHeight="1">
      <c r="A17" s="354"/>
      <c r="B17" s="51" t="s">
        <v>61</v>
      </c>
      <c r="C17" s="52">
        <v>46206</v>
      </c>
      <c r="D17" s="495" t="s">
        <v>145</v>
      </c>
      <c r="E17" s="405"/>
      <c r="F17" s="495" t="s">
        <v>559</v>
      </c>
      <c r="G17" s="405"/>
      <c r="H17" s="181">
        <v>4</v>
      </c>
      <c r="I17" s="91"/>
      <c r="K17" s="135" t="s">
        <v>111</v>
      </c>
      <c r="L17" s="91"/>
    </row>
    <row r="18" spans="1:12" ht="15" customHeight="1">
      <c r="A18" s="355"/>
      <c r="B18" s="65" t="s">
        <v>62</v>
      </c>
      <c r="C18" s="66">
        <v>46207</v>
      </c>
      <c r="D18" s="497"/>
      <c r="E18" s="405"/>
      <c r="F18" s="497"/>
      <c r="G18" s="405"/>
      <c r="H18" s="183">
        <v>0</v>
      </c>
      <c r="I18" s="91"/>
      <c r="K18" s="129" t="s">
        <v>149</v>
      </c>
      <c r="L18" s="130">
        <v>12500</v>
      </c>
    </row>
    <row r="19" spans="1:12" ht="15" customHeight="1">
      <c r="A19" s="355"/>
      <c r="B19" s="65" t="s">
        <v>63</v>
      </c>
      <c r="C19" s="66">
        <v>46208</v>
      </c>
      <c r="D19" s="497"/>
      <c r="E19" s="405"/>
      <c r="F19" s="497"/>
      <c r="G19" s="405"/>
      <c r="H19" s="183">
        <v>0</v>
      </c>
      <c r="I19" s="91"/>
      <c r="K19" s="129" t="s">
        <v>152</v>
      </c>
      <c r="L19" s="130">
        <v>20000</v>
      </c>
    </row>
    <row r="20" spans="1:12" ht="15" customHeight="1">
      <c r="A20" s="354"/>
      <c r="B20" s="51" t="s">
        <v>64</v>
      </c>
      <c r="C20" s="52">
        <v>46209</v>
      </c>
      <c r="D20" s="495" t="s">
        <v>145</v>
      </c>
      <c r="E20" s="405"/>
      <c r="F20" s="495" t="s">
        <v>559</v>
      </c>
      <c r="G20" s="405"/>
      <c r="H20" s="181">
        <v>4</v>
      </c>
      <c r="I20" s="91"/>
      <c r="K20" s="129" t="s">
        <v>153</v>
      </c>
      <c r="L20" s="130">
        <v>27500</v>
      </c>
    </row>
    <row r="21" spans="1:12" ht="15" customHeight="1">
      <c r="A21" s="354"/>
      <c r="B21" s="51" t="s">
        <v>66</v>
      </c>
      <c r="C21" s="52">
        <v>46210</v>
      </c>
      <c r="D21" s="590"/>
      <c r="E21" s="405"/>
      <c r="F21" s="590"/>
      <c r="G21" s="405"/>
      <c r="H21" s="181">
        <v>0</v>
      </c>
      <c r="I21" s="91"/>
      <c r="K21" s="129" t="s">
        <v>154</v>
      </c>
      <c r="L21" s="130">
        <v>35000</v>
      </c>
    </row>
    <row r="22" spans="1:12" ht="15" customHeight="1">
      <c r="A22" s="354"/>
      <c r="B22" s="51" t="s">
        <v>68</v>
      </c>
      <c r="C22" s="52">
        <v>46211</v>
      </c>
      <c r="D22" s="590"/>
      <c r="E22" s="405"/>
      <c r="F22" s="590"/>
      <c r="G22" s="405"/>
      <c r="H22" s="181">
        <v>0</v>
      </c>
      <c r="I22" s="91"/>
      <c r="K22" s="129" t="s">
        <v>155</v>
      </c>
      <c r="L22" s="130">
        <v>42500</v>
      </c>
    </row>
    <row r="23" spans="1:12" ht="15" customHeight="1">
      <c r="A23" s="354"/>
      <c r="B23" s="51" t="s">
        <v>60</v>
      </c>
      <c r="C23" s="52">
        <v>46212</v>
      </c>
      <c r="D23" s="495" t="s">
        <v>145</v>
      </c>
      <c r="E23" s="405"/>
      <c r="F23" s="495" t="s">
        <v>559</v>
      </c>
      <c r="G23" s="405"/>
      <c r="H23" s="181">
        <v>4</v>
      </c>
      <c r="I23" s="220"/>
      <c r="K23" s="129" t="s">
        <v>156</v>
      </c>
      <c r="L23" s="130">
        <v>63750</v>
      </c>
    </row>
    <row r="24" spans="1:12" ht="15" customHeight="1">
      <c r="A24" s="354"/>
      <c r="B24" s="51" t="s">
        <v>61</v>
      </c>
      <c r="C24" s="52">
        <v>46213</v>
      </c>
      <c r="D24" s="495" t="s">
        <v>145</v>
      </c>
      <c r="E24" s="405"/>
      <c r="F24" s="495" t="s">
        <v>559</v>
      </c>
      <c r="G24" s="405"/>
      <c r="H24" s="181">
        <v>4</v>
      </c>
      <c r="I24" s="91"/>
      <c r="K24" s="129" t="s">
        <v>157</v>
      </c>
      <c r="L24" s="130">
        <v>127500</v>
      </c>
    </row>
    <row r="25" spans="1:12" ht="15" customHeight="1">
      <c r="A25" s="355"/>
      <c r="B25" s="65" t="s">
        <v>62</v>
      </c>
      <c r="C25" s="66">
        <v>46214</v>
      </c>
      <c r="D25" s="497"/>
      <c r="E25" s="405"/>
      <c r="F25" s="497"/>
      <c r="G25" s="405"/>
      <c r="H25" s="183">
        <v>0</v>
      </c>
      <c r="I25" s="91"/>
      <c r="K25" s="129" t="s">
        <v>158</v>
      </c>
      <c r="L25" s="130">
        <v>200000</v>
      </c>
    </row>
    <row r="26" spans="1:12" ht="15" customHeight="1">
      <c r="A26" s="355"/>
      <c r="B26" s="65" t="s">
        <v>63</v>
      </c>
      <c r="C26" s="66">
        <v>46215</v>
      </c>
      <c r="D26" s="497"/>
      <c r="E26" s="405"/>
      <c r="F26" s="497"/>
      <c r="G26" s="405"/>
      <c r="H26" s="183">
        <v>0</v>
      </c>
      <c r="I26" s="91"/>
    </row>
    <row r="27" spans="1:12" ht="15" customHeight="1">
      <c r="A27" s="354"/>
      <c r="B27" s="51" t="s">
        <v>64</v>
      </c>
      <c r="C27" s="52">
        <v>46216</v>
      </c>
      <c r="D27" s="495" t="s">
        <v>145</v>
      </c>
      <c r="E27" s="405"/>
      <c r="F27" s="495" t="s">
        <v>559</v>
      </c>
      <c r="G27" s="405"/>
      <c r="H27" s="181">
        <v>4</v>
      </c>
      <c r="I27" s="91"/>
      <c r="J27" s="91"/>
    </row>
    <row r="28" spans="1:12" ht="15" customHeight="1">
      <c r="A28" s="354"/>
      <c r="B28" s="51" t="s">
        <v>66</v>
      </c>
      <c r="C28" s="52">
        <v>46217</v>
      </c>
      <c r="D28" s="495" t="s">
        <v>145</v>
      </c>
      <c r="E28" s="405"/>
      <c r="F28" s="495" t="s">
        <v>559</v>
      </c>
      <c r="G28" s="405"/>
      <c r="H28" s="181">
        <v>4</v>
      </c>
      <c r="I28" s="91"/>
      <c r="J28" s="91"/>
    </row>
    <row r="29" spans="1:12" ht="15" customHeight="1">
      <c r="A29" s="354"/>
      <c r="B29" s="51" t="s">
        <v>68</v>
      </c>
      <c r="C29" s="52">
        <v>46218</v>
      </c>
      <c r="D29" s="590"/>
      <c r="E29" s="405"/>
      <c r="F29" s="590"/>
      <c r="G29" s="405"/>
      <c r="H29" s="181">
        <v>0</v>
      </c>
      <c r="I29" s="91"/>
    </row>
    <row r="30" spans="1:12" ht="15" customHeight="1">
      <c r="A30" s="354"/>
      <c r="B30" s="51" t="s">
        <v>60</v>
      </c>
      <c r="C30" s="52">
        <v>46219</v>
      </c>
      <c r="D30" s="495" t="s">
        <v>145</v>
      </c>
      <c r="E30" s="405"/>
      <c r="F30" s="495" t="s">
        <v>559</v>
      </c>
      <c r="G30" s="405"/>
      <c r="H30" s="181">
        <v>4</v>
      </c>
      <c r="I30" s="91"/>
    </row>
    <row r="31" spans="1:12" ht="15" customHeight="1">
      <c r="A31" s="354"/>
      <c r="B31" s="51" t="s">
        <v>61</v>
      </c>
      <c r="C31" s="52">
        <v>46220</v>
      </c>
      <c r="D31" s="495" t="s">
        <v>145</v>
      </c>
      <c r="E31" s="405"/>
      <c r="F31" s="495" t="s">
        <v>559</v>
      </c>
      <c r="G31" s="405"/>
      <c r="H31" s="181">
        <v>4</v>
      </c>
      <c r="I31" s="91"/>
    </row>
    <row r="32" spans="1:12" ht="15" customHeight="1">
      <c r="A32" s="355"/>
      <c r="B32" s="65" t="s">
        <v>62</v>
      </c>
      <c r="C32" s="66">
        <v>46221</v>
      </c>
      <c r="D32" s="497"/>
      <c r="E32" s="405"/>
      <c r="F32" s="497"/>
      <c r="G32" s="405"/>
      <c r="H32" s="183">
        <v>0</v>
      </c>
      <c r="I32" s="91"/>
    </row>
    <row r="33" spans="1:9" ht="15" customHeight="1">
      <c r="A33" s="355"/>
      <c r="B33" s="65" t="s">
        <v>63</v>
      </c>
      <c r="C33" s="66">
        <v>46222</v>
      </c>
      <c r="D33" s="497"/>
      <c r="E33" s="405"/>
      <c r="F33" s="497"/>
      <c r="G33" s="405"/>
      <c r="H33" s="183">
        <v>0</v>
      </c>
      <c r="I33" s="91"/>
    </row>
    <row r="34" spans="1:9" ht="15" customHeight="1">
      <c r="A34" s="354"/>
      <c r="B34" s="51" t="s">
        <v>64</v>
      </c>
      <c r="C34" s="52">
        <v>46223</v>
      </c>
      <c r="D34" s="495" t="s">
        <v>145</v>
      </c>
      <c r="E34" s="405"/>
      <c r="F34" s="495" t="s">
        <v>559</v>
      </c>
      <c r="G34" s="405"/>
      <c r="H34" s="181">
        <v>4</v>
      </c>
      <c r="I34" s="91"/>
    </row>
    <row r="35" spans="1:9" ht="15" customHeight="1">
      <c r="A35" s="354"/>
      <c r="B35" s="51" t="s">
        <v>66</v>
      </c>
      <c r="C35" s="52">
        <v>46224</v>
      </c>
      <c r="D35" s="590"/>
      <c r="E35" s="405"/>
      <c r="F35" s="590"/>
      <c r="G35" s="405"/>
      <c r="H35" s="181">
        <v>0</v>
      </c>
      <c r="I35" s="91"/>
    </row>
    <row r="36" spans="1:9" ht="15" customHeight="1">
      <c r="A36" s="354"/>
      <c r="B36" s="51" t="s">
        <v>68</v>
      </c>
      <c r="C36" s="52">
        <v>46225</v>
      </c>
      <c r="D36" s="590"/>
      <c r="E36" s="405"/>
      <c r="F36" s="590"/>
      <c r="G36" s="405"/>
      <c r="H36" s="181">
        <v>0</v>
      </c>
      <c r="I36" s="91"/>
    </row>
    <row r="37" spans="1:9" ht="15" customHeight="1">
      <c r="A37" s="354"/>
      <c r="B37" s="51" t="s">
        <v>60</v>
      </c>
      <c r="C37" s="52">
        <v>46226</v>
      </c>
      <c r="D37" s="590"/>
      <c r="E37" s="405"/>
      <c r="F37" s="590"/>
      <c r="G37" s="405"/>
      <c r="H37" s="181">
        <v>0</v>
      </c>
      <c r="I37" s="91"/>
    </row>
    <row r="38" spans="1:9" ht="15" customHeight="1">
      <c r="A38" s="354"/>
      <c r="B38" s="51" t="s">
        <v>61</v>
      </c>
      <c r="C38" s="52">
        <v>46227</v>
      </c>
      <c r="D38" s="495" t="s">
        <v>145</v>
      </c>
      <c r="E38" s="405"/>
      <c r="F38" s="495" t="s">
        <v>559</v>
      </c>
      <c r="G38" s="405"/>
      <c r="H38" s="181">
        <v>4</v>
      </c>
      <c r="I38" s="91"/>
    </row>
    <row r="39" spans="1:9" ht="15" customHeight="1">
      <c r="A39" s="355"/>
      <c r="B39" s="65" t="s">
        <v>62</v>
      </c>
      <c r="C39" s="66">
        <v>46228</v>
      </c>
      <c r="D39" s="497"/>
      <c r="E39" s="405"/>
      <c r="F39" s="497"/>
      <c r="G39" s="405"/>
      <c r="H39" s="183">
        <v>0</v>
      </c>
      <c r="I39" s="91"/>
    </row>
    <row r="40" spans="1:9" ht="15" customHeight="1">
      <c r="A40" s="355"/>
      <c r="B40" s="65" t="s">
        <v>63</v>
      </c>
      <c r="C40" s="66">
        <v>46229</v>
      </c>
      <c r="D40" s="497"/>
      <c r="E40" s="405"/>
      <c r="F40" s="497"/>
      <c r="G40" s="405"/>
      <c r="H40" s="183">
        <v>0</v>
      </c>
      <c r="I40" s="91"/>
    </row>
    <row r="41" spans="1:9" ht="15" customHeight="1">
      <c r="A41" s="354"/>
      <c r="B41" s="51" t="s">
        <v>64</v>
      </c>
      <c r="C41" s="52">
        <v>46230</v>
      </c>
      <c r="D41" s="495" t="s">
        <v>145</v>
      </c>
      <c r="E41" s="405"/>
      <c r="F41" s="495" t="s">
        <v>559</v>
      </c>
      <c r="G41" s="405"/>
      <c r="H41" s="181">
        <v>4</v>
      </c>
      <c r="I41" s="91"/>
    </row>
    <row r="42" spans="1:9" ht="15" customHeight="1">
      <c r="A42" s="354"/>
      <c r="B42" s="51" t="s">
        <v>66</v>
      </c>
      <c r="C42" s="52">
        <v>46231</v>
      </c>
      <c r="D42" s="590"/>
      <c r="E42" s="405"/>
      <c r="F42" s="590"/>
      <c r="G42" s="405"/>
      <c r="H42" s="181">
        <v>0</v>
      </c>
      <c r="I42" s="91"/>
    </row>
    <row r="43" spans="1:9" ht="15" customHeight="1">
      <c r="A43" s="354"/>
      <c r="B43" s="51" t="s">
        <v>68</v>
      </c>
      <c r="C43" s="52">
        <v>46232</v>
      </c>
      <c r="D43" s="495" t="s">
        <v>412</v>
      </c>
      <c r="E43" s="405"/>
      <c r="F43" s="495" t="s">
        <v>559</v>
      </c>
      <c r="G43" s="405"/>
      <c r="H43" s="181">
        <v>5</v>
      </c>
      <c r="I43" s="91"/>
    </row>
    <row r="44" spans="1:9" ht="15" customHeight="1">
      <c r="A44" s="354"/>
      <c r="B44" s="51" t="s">
        <v>60</v>
      </c>
      <c r="C44" s="52">
        <v>46233</v>
      </c>
      <c r="D44" s="495" t="s">
        <v>145</v>
      </c>
      <c r="E44" s="405"/>
      <c r="F44" s="495" t="s">
        <v>559</v>
      </c>
      <c r="G44" s="405"/>
      <c r="H44" s="181">
        <v>4</v>
      </c>
      <c r="I44" s="91"/>
    </row>
    <row r="45" spans="1:9" ht="15" customHeight="1">
      <c r="A45" s="356"/>
      <c r="B45" s="193" t="s">
        <v>61</v>
      </c>
      <c r="C45" s="194">
        <v>46234</v>
      </c>
      <c r="D45" s="502" t="s">
        <v>145</v>
      </c>
      <c r="E45" s="467"/>
      <c r="F45" s="502" t="s">
        <v>559</v>
      </c>
      <c r="G45" s="467"/>
      <c r="H45" s="195">
        <v>4</v>
      </c>
      <c r="I45" s="91"/>
    </row>
    <row r="46" spans="1:9" ht="15" customHeight="1">
      <c r="A46" s="196"/>
      <c r="B46" s="91"/>
      <c r="C46" s="91"/>
      <c r="D46" s="91"/>
      <c r="E46" s="91"/>
      <c r="F46" s="506" t="s">
        <v>41</v>
      </c>
      <c r="G46" s="412"/>
      <c r="H46" s="146">
        <f>SUM(H15:H45)</f>
        <v>61</v>
      </c>
      <c r="I46" s="91"/>
    </row>
    <row r="47" spans="1:9" ht="15" customHeight="1">
      <c r="A47" s="91"/>
      <c r="B47" s="91"/>
      <c r="C47" s="91"/>
      <c r="D47" s="91"/>
      <c r="E47" s="91"/>
      <c r="F47" s="197"/>
      <c r="G47" s="144"/>
      <c r="H47" s="198"/>
      <c r="I47" s="91"/>
    </row>
    <row r="48" spans="1:9" ht="14.25" customHeight="1">
      <c r="A48" s="477" t="s">
        <v>226</v>
      </c>
      <c r="B48" s="411"/>
      <c r="C48" s="411"/>
      <c r="D48" s="412"/>
      <c r="E48" s="477" t="s">
        <v>173</v>
      </c>
      <c r="F48" s="411"/>
      <c r="G48" s="411"/>
      <c r="H48" s="412"/>
    </row>
    <row r="49" spans="1:8" ht="15" customHeight="1">
      <c r="A49" s="199" t="s">
        <v>5</v>
      </c>
      <c r="B49" s="524" t="s">
        <v>174</v>
      </c>
      <c r="C49" s="518"/>
      <c r="D49" s="199" t="s">
        <v>175</v>
      </c>
      <c r="E49" s="200" t="s">
        <v>5</v>
      </c>
      <c r="F49" s="522" t="s">
        <v>174</v>
      </c>
      <c r="G49" s="518"/>
      <c r="H49" s="201" t="s">
        <v>176</v>
      </c>
    </row>
    <row r="50" spans="1:8" ht="15" customHeight="1">
      <c r="A50" s="234"/>
      <c r="B50" s="531"/>
      <c r="C50" s="437"/>
      <c r="D50" s="235"/>
      <c r="E50" s="349"/>
      <c r="F50" s="589"/>
      <c r="G50" s="437"/>
      <c r="H50" s="350"/>
    </row>
    <row r="51" spans="1:8" ht="15" customHeight="1">
      <c r="A51" s="268"/>
      <c r="B51" s="473"/>
      <c r="C51" s="405"/>
      <c r="D51" s="307"/>
      <c r="E51" s="204"/>
      <c r="F51" s="499"/>
      <c r="G51" s="405"/>
      <c r="H51" s="205"/>
    </row>
    <row r="52" spans="1:8" ht="15" customHeight="1">
      <c r="A52" s="357"/>
      <c r="B52" s="594"/>
      <c r="C52" s="405"/>
      <c r="D52" s="358"/>
      <c r="E52" s="204"/>
      <c r="F52" s="499"/>
      <c r="G52" s="405"/>
      <c r="H52" s="205"/>
    </row>
    <row r="53" spans="1:8" ht="14.25" customHeight="1">
      <c r="A53" s="335"/>
      <c r="B53" s="533"/>
      <c r="C53" s="467"/>
      <c r="D53" s="341"/>
      <c r="E53" s="206"/>
      <c r="F53" s="501"/>
      <c r="G53" s="467"/>
      <c r="H53" s="207"/>
    </row>
    <row r="54" spans="1:8" ht="14.25" customHeight="1">
      <c r="A54" s="514" t="s">
        <v>81</v>
      </c>
      <c r="B54" s="469"/>
      <c r="C54" s="515"/>
      <c r="D54" s="208">
        <f>SUM(D50:D53)</f>
        <v>0</v>
      </c>
      <c r="E54" s="507" t="s">
        <v>229</v>
      </c>
      <c r="F54" s="469"/>
      <c r="G54" s="470"/>
      <c r="H54" s="156">
        <f>+H51</f>
        <v>0</v>
      </c>
    </row>
    <row r="55" spans="1:8" ht="14.25" customHeight="1">
      <c r="D55" s="91"/>
      <c r="E55" s="472" t="s">
        <v>178</v>
      </c>
      <c r="F55" s="411"/>
      <c r="G55" s="412"/>
      <c r="H55" s="209">
        <f>+H52+H53</f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3">
    <mergeCell ref="D45:E45"/>
    <mergeCell ref="D39:E39"/>
    <mergeCell ref="D40:E40"/>
    <mergeCell ref="A69:C69"/>
    <mergeCell ref="A48:D48"/>
    <mergeCell ref="B49:C49"/>
    <mergeCell ref="B50:C50"/>
    <mergeCell ref="A54:C54"/>
    <mergeCell ref="A56:D56"/>
    <mergeCell ref="D44:E44"/>
    <mergeCell ref="D43:E43"/>
    <mergeCell ref="A57:C57"/>
    <mergeCell ref="A58:C58"/>
    <mergeCell ref="B51:C51"/>
    <mergeCell ref="B52:C52"/>
    <mergeCell ref="B53:C53"/>
    <mergeCell ref="E55:G55"/>
    <mergeCell ref="F44:G44"/>
    <mergeCell ref="A71:C71"/>
    <mergeCell ref="A65:C65"/>
    <mergeCell ref="A66:C66"/>
    <mergeCell ref="A67:C67"/>
    <mergeCell ref="A68:C68"/>
    <mergeCell ref="A70:C70"/>
    <mergeCell ref="A59:C59"/>
    <mergeCell ref="A60:C60"/>
    <mergeCell ref="A61:C61"/>
    <mergeCell ref="A62:C62"/>
    <mergeCell ref="A63:C63"/>
    <mergeCell ref="A64:C64"/>
    <mergeCell ref="I5:J5"/>
    <mergeCell ref="K5:L5"/>
    <mergeCell ref="B6:C6"/>
    <mergeCell ref="A7:B7"/>
    <mergeCell ref="G7:H7"/>
    <mergeCell ref="A13:F13"/>
    <mergeCell ref="G13:H13"/>
    <mergeCell ref="D27:E27"/>
    <mergeCell ref="D28:E28"/>
    <mergeCell ref="D24:E24"/>
    <mergeCell ref="D25:E25"/>
    <mergeCell ref="D26:E26"/>
    <mergeCell ref="F27:G27"/>
    <mergeCell ref="F28:G28"/>
    <mergeCell ref="F26:G26"/>
    <mergeCell ref="D19:E19"/>
    <mergeCell ref="D20:E20"/>
    <mergeCell ref="D15:E15"/>
    <mergeCell ref="D14:E14"/>
    <mergeCell ref="D21:E21"/>
    <mergeCell ref="D22:E22"/>
    <mergeCell ref="D23:E23"/>
    <mergeCell ref="D18:E18"/>
    <mergeCell ref="F15:G15"/>
    <mergeCell ref="D37:E37"/>
    <mergeCell ref="D38:E38"/>
    <mergeCell ref="D41:E41"/>
    <mergeCell ref="D42:E42"/>
    <mergeCell ref="F41:G41"/>
    <mergeCell ref="F40:G40"/>
    <mergeCell ref="F6:G6"/>
    <mergeCell ref="A1:H4"/>
    <mergeCell ref="A5:E5"/>
    <mergeCell ref="F5:G5"/>
    <mergeCell ref="D29:E29"/>
    <mergeCell ref="F29:G29"/>
    <mergeCell ref="D16:E16"/>
    <mergeCell ref="F16:G16"/>
    <mergeCell ref="D17:E17"/>
    <mergeCell ref="D33:E33"/>
    <mergeCell ref="D34:E34"/>
    <mergeCell ref="D30:E30"/>
    <mergeCell ref="D31:E31"/>
    <mergeCell ref="D32:E32"/>
    <mergeCell ref="F35:G35"/>
    <mergeCell ref="F51:G51"/>
    <mergeCell ref="F52:G52"/>
    <mergeCell ref="F53:G53"/>
    <mergeCell ref="E48:H48"/>
    <mergeCell ref="F49:G49"/>
    <mergeCell ref="F50:G50"/>
    <mergeCell ref="E54:G54"/>
    <mergeCell ref="F24:G24"/>
    <mergeCell ref="F25:G25"/>
    <mergeCell ref="F33:G33"/>
    <mergeCell ref="F34:G34"/>
    <mergeCell ref="F30:G30"/>
    <mergeCell ref="F31:G31"/>
    <mergeCell ref="F32:G32"/>
    <mergeCell ref="F38:G38"/>
    <mergeCell ref="F39:G39"/>
    <mergeCell ref="F45:G45"/>
    <mergeCell ref="F36:G36"/>
    <mergeCell ref="F43:G43"/>
    <mergeCell ref="F37:G37"/>
    <mergeCell ref="F42:G42"/>
    <mergeCell ref="F46:G46"/>
    <mergeCell ref="D35:E35"/>
    <mergeCell ref="D36:E36"/>
    <mergeCell ref="F14:G14"/>
    <mergeCell ref="F17:G17"/>
    <mergeCell ref="F21:G21"/>
    <mergeCell ref="F22:G22"/>
    <mergeCell ref="F23:G23"/>
    <mergeCell ref="F18:G18"/>
    <mergeCell ref="F19:G19"/>
    <mergeCell ref="F20:G20"/>
    <mergeCell ref="E7:F7"/>
    <mergeCell ref="E8:F8"/>
    <mergeCell ref="E10:F10"/>
    <mergeCell ref="G10:H10"/>
    <mergeCell ref="B11:C11"/>
    <mergeCell ref="D11:E11"/>
    <mergeCell ref="B12:C12"/>
    <mergeCell ref="C10:D10"/>
    <mergeCell ref="C9:D9"/>
    <mergeCell ref="A8:B8"/>
    <mergeCell ref="G8:H8"/>
    <mergeCell ref="E9:F9"/>
    <mergeCell ref="G9:H9"/>
    <mergeCell ref="F11:H11"/>
    <mergeCell ref="F12:H12"/>
    <mergeCell ref="D12:E12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271"/>
  <sheetViews>
    <sheetView workbookViewId="0">
      <selection activeCell="C10" sqref="C10:D10"/>
    </sheetView>
  </sheetViews>
  <sheetFormatPr baseColWidth="10" defaultColWidth="14.44140625" defaultRowHeight="15" customHeight="1"/>
  <cols>
    <col min="1" max="1" width="16.44140625" customWidth="1"/>
    <col min="2" max="2" width="16.6640625" customWidth="1"/>
    <col min="3" max="3" width="13.6640625" customWidth="1"/>
    <col min="4" max="4" width="15.44140625" customWidth="1"/>
    <col min="5" max="6" width="13.6640625" customWidth="1"/>
    <col min="7" max="8" width="16.6640625" customWidth="1"/>
    <col min="9" max="9" width="22.5546875" customWidth="1"/>
    <col min="10" max="10" width="18.6640625" customWidth="1"/>
    <col min="11" max="11" width="22.5546875" customWidth="1"/>
    <col min="12" max="12" width="17" customWidth="1"/>
  </cols>
  <sheetData>
    <row r="1" spans="1:12" ht="14.25" customHeight="1">
      <c r="A1" s="484"/>
      <c r="B1" s="395"/>
      <c r="C1" s="395"/>
      <c r="D1" s="395"/>
      <c r="E1" s="395"/>
      <c r="F1" s="395"/>
      <c r="G1" s="395"/>
      <c r="H1" s="396"/>
    </row>
    <row r="2" spans="1:12" ht="14.25" customHeight="1">
      <c r="A2" s="440"/>
      <c r="B2" s="441"/>
      <c r="C2" s="441"/>
      <c r="D2" s="441"/>
      <c r="E2" s="441"/>
      <c r="F2" s="441"/>
      <c r="G2" s="441"/>
      <c r="H2" s="442"/>
      <c r="I2" s="92" t="s">
        <v>82</v>
      </c>
    </row>
    <row r="3" spans="1:12" ht="14.25" customHeight="1">
      <c r="A3" s="440"/>
      <c r="B3" s="441"/>
      <c r="C3" s="441"/>
      <c r="D3" s="441"/>
      <c r="E3" s="441"/>
      <c r="F3" s="441"/>
      <c r="G3" s="441"/>
      <c r="H3" s="442"/>
      <c r="I3" s="93" t="s">
        <v>83</v>
      </c>
    </row>
    <row r="4" spans="1:12" ht="12.75" customHeight="1">
      <c r="A4" s="443"/>
      <c r="B4" s="401"/>
      <c r="C4" s="401"/>
      <c r="D4" s="401"/>
      <c r="E4" s="401"/>
      <c r="F4" s="401"/>
      <c r="G4" s="401"/>
      <c r="H4" s="444"/>
    </row>
    <row r="5" spans="1:12" ht="24.75" customHeight="1">
      <c r="A5" s="486" t="str">
        <f>+MAYRA!A5</f>
        <v>SUELDO JULIO 2026</v>
      </c>
      <c r="B5" s="447"/>
      <c r="C5" s="447"/>
      <c r="D5" s="447"/>
      <c r="E5" s="437"/>
      <c r="F5" s="487" t="s">
        <v>85</v>
      </c>
      <c r="G5" s="584"/>
      <c r="H5" s="327">
        <f>+A8+C8+F8+B10+C10+G12</f>
        <v>937467.47</v>
      </c>
      <c r="I5" s="431" t="s">
        <v>86</v>
      </c>
      <c r="J5" s="430"/>
      <c r="K5" s="429" t="str">
        <f>+B6</f>
        <v>SANTIAGO BIBILONI</v>
      </c>
      <c r="L5" s="430"/>
    </row>
    <row r="6" spans="1:12" ht="24.75" customHeight="1">
      <c r="A6" s="251" t="s">
        <v>179</v>
      </c>
      <c r="B6" s="526" t="s">
        <v>612</v>
      </c>
      <c r="C6" s="480"/>
      <c r="D6" s="252" t="s">
        <v>181</v>
      </c>
      <c r="E6" s="310">
        <v>0</v>
      </c>
      <c r="F6" s="544" t="s">
        <v>89</v>
      </c>
      <c r="G6" s="450"/>
      <c r="H6" s="254">
        <v>4</v>
      </c>
      <c r="I6" s="99" t="s">
        <v>45</v>
      </c>
      <c r="J6" s="100">
        <v>644050</v>
      </c>
      <c r="K6" s="101" t="str">
        <f>+MAYRA!L6</f>
        <v>Mes: JULIO 2026</v>
      </c>
      <c r="L6" s="165"/>
    </row>
    <row r="7" spans="1:12" ht="24.75" customHeight="1">
      <c r="A7" s="545" t="s">
        <v>94</v>
      </c>
      <c r="B7" s="437"/>
      <c r="C7" s="538" t="s">
        <v>182</v>
      </c>
      <c r="D7" s="447"/>
      <c r="E7" s="437"/>
      <c r="F7" s="538" t="s">
        <v>109</v>
      </c>
      <c r="G7" s="447"/>
      <c r="H7" s="448"/>
      <c r="I7" s="99" t="s">
        <v>98</v>
      </c>
      <c r="J7" s="100"/>
      <c r="K7" t="s">
        <v>99</v>
      </c>
      <c r="L7" s="105">
        <f>+A8</f>
        <v>644050</v>
      </c>
    </row>
    <row r="8" spans="1:12" ht="24.75" customHeight="1">
      <c r="A8" s="491">
        <f>550000*17.1%+550000</f>
        <v>644050</v>
      </c>
      <c r="B8" s="405"/>
      <c r="C8" s="422">
        <f>+L18</f>
        <v>29275</v>
      </c>
      <c r="D8" s="404"/>
      <c r="E8" s="405"/>
      <c r="F8" s="422">
        <f>+L20</f>
        <v>52695</v>
      </c>
      <c r="G8" s="404"/>
      <c r="H8" s="406"/>
      <c r="I8" s="99" t="s">
        <v>100</v>
      </c>
      <c r="J8" s="100"/>
      <c r="K8" t="s">
        <v>184</v>
      </c>
      <c r="L8" s="105">
        <f>+C8</f>
        <v>29275</v>
      </c>
    </row>
    <row r="9" spans="1:12" ht="24.75" customHeight="1">
      <c r="A9" s="166" t="s">
        <v>111</v>
      </c>
      <c r="B9" s="167">
        <v>0</v>
      </c>
      <c r="C9" s="453" t="s">
        <v>185</v>
      </c>
      <c r="D9" s="405"/>
      <c r="E9" s="493" t="s">
        <v>96</v>
      </c>
      <c r="F9" s="405"/>
      <c r="G9" s="421" t="s">
        <v>117</v>
      </c>
      <c r="H9" s="406"/>
      <c r="I9" s="99" t="s">
        <v>104</v>
      </c>
      <c r="J9" s="100"/>
      <c r="K9" t="s">
        <v>105</v>
      </c>
      <c r="L9" s="105">
        <f>+F8</f>
        <v>52695</v>
      </c>
    </row>
    <row r="10" spans="1:12" ht="24.75" customHeight="1">
      <c r="A10" s="168">
        <v>45962</v>
      </c>
      <c r="B10" s="130">
        <v>0</v>
      </c>
      <c r="C10" s="422">
        <v>0</v>
      </c>
      <c r="D10" s="405"/>
      <c r="E10" s="422">
        <f>+D54+H54</f>
        <v>100000</v>
      </c>
      <c r="F10" s="405"/>
      <c r="G10" s="583" t="s">
        <v>290</v>
      </c>
      <c r="H10" s="406"/>
      <c r="I10" s="99" t="s">
        <v>106</v>
      </c>
      <c r="J10" s="100"/>
      <c r="K10" s="91" t="s">
        <v>107</v>
      </c>
      <c r="L10" s="105">
        <f>+B10</f>
        <v>0</v>
      </c>
    </row>
    <row r="11" spans="1:12" ht="24.75" customHeight="1">
      <c r="A11" s="169" t="s">
        <v>186</v>
      </c>
      <c r="B11" s="170" t="s">
        <v>187</v>
      </c>
      <c r="C11" s="421" t="s">
        <v>188</v>
      </c>
      <c r="D11" s="405"/>
      <c r="E11" s="421" t="s">
        <v>189</v>
      </c>
      <c r="F11" s="405"/>
      <c r="G11" s="421" t="s">
        <v>190</v>
      </c>
      <c r="H11" s="406"/>
      <c r="I11" s="99" t="s">
        <v>113</v>
      </c>
      <c r="J11" s="100"/>
      <c r="K11" s="91" t="s">
        <v>115</v>
      </c>
      <c r="L11" s="105">
        <f>+C10</f>
        <v>0</v>
      </c>
    </row>
    <row r="12" spans="1:12" ht="24.75" customHeight="1">
      <c r="A12" s="171">
        <v>120</v>
      </c>
      <c r="B12" s="172">
        <f>+H48</f>
        <v>180.19</v>
      </c>
      <c r="C12" s="498">
        <f>+B12-A12</f>
        <v>60.19</v>
      </c>
      <c r="D12" s="405"/>
      <c r="E12" s="422">
        <f>3000*17.1%+3000</f>
        <v>3513</v>
      </c>
      <c r="F12" s="405"/>
      <c r="G12" s="422">
        <f>+C12*E12</f>
        <v>211447.47</v>
      </c>
      <c r="H12" s="406"/>
      <c r="I12" s="99" t="s">
        <v>81</v>
      </c>
      <c r="J12" s="100">
        <f>SUM(J6:J11)</f>
        <v>644050</v>
      </c>
      <c r="K12" t="s">
        <v>191</v>
      </c>
      <c r="L12" s="105">
        <f>+G12</f>
        <v>211447.47</v>
      </c>
    </row>
    <row r="13" spans="1:12" ht="24.75" customHeight="1">
      <c r="A13" s="490" t="s">
        <v>118</v>
      </c>
      <c r="B13" s="405"/>
      <c r="C13" s="421" t="s">
        <v>119</v>
      </c>
      <c r="D13" s="405"/>
      <c r="E13" s="421" t="s">
        <v>116</v>
      </c>
      <c r="F13" s="404"/>
      <c r="G13" s="404"/>
      <c r="H13" s="406"/>
      <c r="I13" s="99" t="s">
        <v>121</v>
      </c>
      <c r="J13" s="100">
        <f>+J12/6</f>
        <v>107341.66666666667</v>
      </c>
      <c r="K13" s="112" t="s">
        <v>122</v>
      </c>
      <c r="L13" s="113">
        <f>SUM(L7:L12)</f>
        <v>937467.47</v>
      </c>
    </row>
    <row r="14" spans="1:12" ht="24.75" customHeight="1">
      <c r="A14" s="528">
        <v>46143</v>
      </c>
      <c r="B14" s="467"/>
      <c r="C14" s="482" t="s">
        <v>125</v>
      </c>
      <c r="D14" s="467"/>
      <c r="E14" s="554" t="s">
        <v>192</v>
      </c>
      <c r="F14" s="555"/>
      <c r="G14" s="555"/>
      <c r="H14" s="556"/>
      <c r="I14" s="99" t="s">
        <v>86</v>
      </c>
      <c r="J14" s="115">
        <f>+J13/2</f>
        <v>53670.833333333336</v>
      </c>
      <c r="K14" t="s">
        <v>126</v>
      </c>
      <c r="L14" s="105">
        <f>+E10</f>
        <v>100000</v>
      </c>
    </row>
    <row r="15" spans="1:12" ht="24.75" customHeight="1">
      <c r="A15" s="494" t="s">
        <v>120</v>
      </c>
      <c r="B15" s="411"/>
      <c r="C15" s="411"/>
      <c r="D15" s="411"/>
      <c r="E15" s="411"/>
      <c r="F15" s="480"/>
      <c r="G15" s="485">
        <f>+H5-E10</f>
        <v>837467.47</v>
      </c>
      <c r="H15" s="412"/>
      <c r="I15" s="91"/>
      <c r="K15" s="119" t="s">
        <v>133</v>
      </c>
      <c r="L15" s="120">
        <f>+L13-L14</f>
        <v>837467.47</v>
      </c>
    </row>
    <row r="16" spans="1:12" ht="24.75" customHeight="1">
      <c r="A16" s="173" t="s">
        <v>127</v>
      </c>
      <c r="B16" s="174" t="s">
        <v>128</v>
      </c>
      <c r="C16" s="174" t="s">
        <v>129</v>
      </c>
      <c r="D16" s="595" t="s">
        <v>130</v>
      </c>
      <c r="E16" s="480"/>
      <c r="F16" s="595" t="s">
        <v>131</v>
      </c>
      <c r="G16" s="480"/>
      <c r="H16" s="175" t="s">
        <v>132</v>
      </c>
      <c r="I16" s="91"/>
    </row>
    <row r="17" spans="1:12" ht="15" customHeight="1">
      <c r="A17" s="359" t="s">
        <v>67</v>
      </c>
      <c r="B17" s="360" t="s">
        <v>58</v>
      </c>
      <c r="C17" s="122">
        <v>46204</v>
      </c>
      <c r="D17" s="460"/>
      <c r="E17" s="437"/>
      <c r="F17" s="460"/>
      <c r="G17" s="437"/>
      <c r="H17" s="123">
        <v>0</v>
      </c>
      <c r="K17" s="127" t="s">
        <v>196</v>
      </c>
      <c r="L17" s="128"/>
    </row>
    <row r="18" spans="1:12" ht="15" customHeight="1">
      <c r="A18" s="180" t="s">
        <v>134</v>
      </c>
      <c r="B18" s="51" t="s">
        <v>60</v>
      </c>
      <c r="C18" s="52">
        <v>46205</v>
      </c>
      <c r="D18" s="495" t="s">
        <v>194</v>
      </c>
      <c r="E18" s="405"/>
      <c r="F18" s="495" t="s">
        <v>225</v>
      </c>
      <c r="G18" s="405"/>
      <c r="H18" s="181">
        <v>9.7200000000000006</v>
      </c>
      <c r="K18" s="129" t="s">
        <v>140</v>
      </c>
      <c r="L18" s="130">
        <f>25000*17.1%+25000</f>
        <v>29275</v>
      </c>
    </row>
    <row r="19" spans="1:12" ht="15" customHeight="1">
      <c r="A19" s="180" t="s">
        <v>134</v>
      </c>
      <c r="B19" s="51" t="s">
        <v>61</v>
      </c>
      <c r="C19" s="52">
        <v>46206</v>
      </c>
      <c r="D19" s="495" t="s">
        <v>385</v>
      </c>
      <c r="E19" s="405"/>
      <c r="F19" s="495" t="s">
        <v>549</v>
      </c>
      <c r="G19" s="405"/>
      <c r="H19" s="181">
        <v>8.8000000000000007</v>
      </c>
      <c r="K19" s="127" t="s">
        <v>109</v>
      </c>
      <c r="L19" s="128"/>
    </row>
    <row r="20" spans="1:12" ht="15" customHeight="1">
      <c r="A20" s="182" t="s">
        <v>67</v>
      </c>
      <c r="B20" s="65" t="s">
        <v>62</v>
      </c>
      <c r="C20" s="66">
        <v>46207</v>
      </c>
      <c r="D20" s="497"/>
      <c r="E20" s="405"/>
      <c r="F20" s="497"/>
      <c r="G20" s="405"/>
      <c r="H20" s="183">
        <v>0</v>
      </c>
      <c r="K20" s="129" t="s">
        <v>140</v>
      </c>
      <c r="L20" s="130">
        <f>45000*17.1%+45000</f>
        <v>52695</v>
      </c>
    </row>
    <row r="21" spans="1:12" ht="15" customHeight="1">
      <c r="A21" s="182" t="s">
        <v>67</v>
      </c>
      <c r="B21" s="65" t="s">
        <v>63</v>
      </c>
      <c r="C21" s="66">
        <v>46208</v>
      </c>
      <c r="D21" s="497"/>
      <c r="E21" s="405"/>
      <c r="F21" s="497"/>
      <c r="G21" s="405"/>
      <c r="H21" s="183">
        <v>0</v>
      </c>
      <c r="K21" s="135" t="s">
        <v>111</v>
      </c>
      <c r="L21" s="91"/>
    </row>
    <row r="22" spans="1:12" ht="15" customHeight="1">
      <c r="A22" s="180" t="s">
        <v>134</v>
      </c>
      <c r="B22" s="51" t="s">
        <v>64</v>
      </c>
      <c r="C22" s="52">
        <v>46209</v>
      </c>
      <c r="D22" s="495" t="s">
        <v>199</v>
      </c>
      <c r="E22" s="405"/>
      <c r="F22" s="495" t="s">
        <v>200</v>
      </c>
      <c r="G22" s="405"/>
      <c r="H22" s="181">
        <v>9.4499999999999993</v>
      </c>
      <c r="K22" s="129" t="s">
        <v>149</v>
      </c>
      <c r="L22" s="130">
        <f>12500*17.1%+12500</f>
        <v>14637.5</v>
      </c>
    </row>
    <row r="23" spans="1:12" ht="15" customHeight="1">
      <c r="A23" s="221" t="s">
        <v>67</v>
      </c>
      <c r="B23" s="222" t="s">
        <v>66</v>
      </c>
      <c r="C23" s="137">
        <v>46210</v>
      </c>
      <c r="D23" s="457"/>
      <c r="E23" s="405"/>
      <c r="F23" s="457"/>
      <c r="G23" s="405"/>
      <c r="H23" s="138">
        <v>0</v>
      </c>
      <c r="K23" s="129" t="s">
        <v>152</v>
      </c>
      <c r="L23" s="130">
        <f>20000*17.1%+20000</f>
        <v>23420</v>
      </c>
    </row>
    <row r="24" spans="1:12" ht="15" customHeight="1">
      <c r="A24" s="180" t="s">
        <v>134</v>
      </c>
      <c r="B24" s="51" t="s">
        <v>68</v>
      </c>
      <c r="C24" s="52">
        <v>46211</v>
      </c>
      <c r="D24" s="495" t="s">
        <v>201</v>
      </c>
      <c r="E24" s="405"/>
      <c r="F24" s="495" t="s">
        <v>202</v>
      </c>
      <c r="G24" s="405"/>
      <c r="H24" s="181">
        <v>9.27</v>
      </c>
      <c r="K24" s="129" t="s">
        <v>153</v>
      </c>
      <c r="L24" s="130">
        <f>27500*17.1%+27500</f>
        <v>32202.5</v>
      </c>
    </row>
    <row r="25" spans="1:12" ht="15" customHeight="1">
      <c r="A25" s="180" t="s">
        <v>134</v>
      </c>
      <c r="B25" s="51" t="s">
        <v>60</v>
      </c>
      <c r="C25" s="52">
        <v>46212</v>
      </c>
      <c r="D25" s="495" t="s">
        <v>199</v>
      </c>
      <c r="E25" s="405"/>
      <c r="F25" s="495" t="s">
        <v>203</v>
      </c>
      <c r="G25" s="405"/>
      <c r="H25" s="181">
        <v>9.67</v>
      </c>
      <c r="K25" s="129" t="s">
        <v>154</v>
      </c>
      <c r="L25" s="130">
        <f>35000*17.1%+35000</f>
        <v>40985</v>
      </c>
    </row>
    <row r="26" spans="1:12" ht="15" customHeight="1">
      <c r="A26" s="180" t="s">
        <v>134</v>
      </c>
      <c r="B26" s="51" t="s">
        <v>61</v>
      </c>
      <c r="C26" s="52">
        <v>46213</v>
      </c>
      <c r="D26" s="495" t="s">
        <v>204</v>
      </c>
      <c r="E26" s="405"/>
      <c r="F26" s="495" t="s">
        <v>613</v>
      </c>
      <c r="G26" s="405"/>
      <c r="H26" s="181">
        <v>10.27</v>
      </c>
      <c r="K26" s="129" t="s">
        <v>155</v>
      </c>
      <c r="L26" s="130">
        <f>42500*17.1%+42500</f>
        <v>49767.5</v>
      </c>
    </row>
    <row r="27" spans="1:12" ht="15" customHeight="1">
      <c r="A27" s="182" t="s">
        <v>67</v>
      </c>
      <c r="B27" s="65" t="s">
        <v>62</v>
      </c>
      <c r="C27" s="66">
        <v>46214</v>
      </c>
      <c r="D27" s="497"/>
      <c r="E27" s="405"/>
      <c r="F27" s="497"/>
      <c r="G27" s="405"/>
      <c r="H27" s="183">
        <v>0</v>
      </c>
      <c r="J27" s="91"/>
      <c r="K27" s="129" t="s">
        <v>156</v>
      </c>
      <c r="L27" s="130">
        <f>63750*17.1%+63750</f>
        <v>74651.25</v>
      </c>
    </row>
    <row r="28" spans="1:12" ht="15" customHeight="1">
      <c r="A28" s="182" t="s">
        <v>67</v>
      </c>
      <c r="B28" s="65" t="s">
        <v>63</v>
      </c>
      <c r="C28" s="66">
        <v>46215</v>
      </c>
      <c r="D28" s="497"/>
      <c r="E28" s="405"/>
      <c r="F28" s="497"/>
      <c r="G28" s="405"/>
      <c r="H28" s="183">
        <v>0</v>
      </c>
      <c r="J28" s="91"/>
      <c r="K28" s="129" t="s">
        <v>157</v>
      </c>
      <c r="L28" s="130">
        <f>127500*17.1%+127500</f>
        <v>149302.5</v>
      </c>
    </row>
    <row r="29" spans="1:12" ht="15" customHeight="1">
      <c r="A29" s="184" t="s">
        <v>59</v>
      </c>
      <c r="B29" s="185" t="s">
        <v>64</v>
      </c>
      <c r="C29" s="125">
        <v>46216</v>
      </c>
      <c r="D29" s="458"/>
      <c r="E29" s="405"/>
      <c r="F29" s="458"/>
      <c r="G29" s="405"/>
      <c r="H29" s="126">
        <v>8</v>
      </c>
      <c r="K29" s="129" t="s">
        <v>158</v>
      </c>
      <c r="L29" s="130">
        <f>200000*17.1%+200000</f>
        <v>234200</v>
      </c>
    </row>
    <row r="30" spans="1:12" ht="15" customHeight="1">
      <c r="A30" s="184" t="s">
        <v>59</v>
      </c>
      <c r="B30" s="185" t="s">
        <v>66</v>
      </c>
      <c r="C30" s="125">
        <v>46217</v>
      </c>
      <c r="D30" s="458"/>
      <c r="E30" s="405"/>
      <c r="F30" s="458"/>
      <c r="G30" s="405"/>
      <c r="H30" s="126">
        <v>8</v>
      </c>
    </row>
    <row r="31" spans="1:12" ht="15" customHeight="1">
      <c r="A31" s="184" t="s">
        <v>59</v>
      </c>
      <c r="B31" s="185" t="s">
        <v>68</v>
      </c>
      <c r="C31" s="125">
        <v>46218</v>
      </c>
      <c r="D31" s="458"/>
      <c r="E31" s="405"/>
      <c r="F31" s="458"/>
      <c r="G31" s="405"/>
      <c r="H31" s="126">
        <v>8</v>
      </c>
    </row>
    <row r="32" spans="1:12" ht="15" customHeight="1">
      <c r="A32" s="186" t="s">
        <v>206</v>
      </c>
      <c r="B32" s="187" t="s">
        <v>60</v>
      </c>
      <c r="C32" s="188">
        <v>46219</v>
      </c>
      <c r="D32" s="496" t="s">
        <v>145</v>
      </c>
      <c r="E32" s="405"/>
      <c r="F32" s="496" t="s">
        <v>207</v>
      </c>
      <c r="G32" s="405"/>
      <c r="H32" s="189">
        <v>8</v>
      </c>
    </row>
    <row r="33" spans="1:9" ht="15" customHeight="1">
      <c r="A33" s="184" t="s">
        <v>59</v>
      </c>
      <c r="B33" s="185" t="s">
        <v>61</v>
      </c>
      <c r="C33" s="125">
        <v>46220</v>
      </c>
      <c r="D33" s="458"/>
      <c r="E33" s="405"/>
      <c r="F33" s="458"/>
      <c r="G33" s="405"/>
      <c r="H33" s="126">
        <v>8</v>
      </c>
    </row>
    <row r="34" spans="1:9" ht="15" customHeight="1">
      <c r="A34" s="190" t="s">
        <v>59</v>
      </c>
      <c r="B34" s="191" t="s">
        <v>62</v>
      </c>
      <c r="C34" s="132">
        <v>46221</v>
      </c>
      <c r="D34" s="456"/>
      <c r="E34" s="405"/>
      <c r="F34" s="456"/>
      <c r="G34" s="405"/>
      <c r="H34" s="133">
        <v>8</v>
      </c>
    </row>
    <row r="35" spans="1:9" ht="15" customHeight="1">
      <c r="A35" s="190" t="s">
        <v>59</v>
      </c>
      <c r="B35" s="191" t="s">
        <v>63</v>
      </c>
      <c r="C35" s="132">
        <v>46222</v>
      </c>
      <c r="D35" s="456"/>
      <c r="E35" s="405"/>
      <c r="F35" s="456"/>
      <c r="G35" s="405"/>
      <c r="H35" s="133">
        <v>8</v>
      </c>
    </row>
    <row r="36" spans="1:9" ht="15" customHeight="1">
      <c r="A36" s="180" t="s">
        <v>134</v>
      </c>
      <c r="B36" s="51" t="s">
        <v>64</v>
      </c>
      <c r="C36" s="52">
        <v>46223</v>
      </c>
      <c r="D36" s="495" t="s">
        <v>208</v>
      </c>
      <c r="E36" s="405"/>
      <c r="F36" s="495" t="s">
        <v>209</v>
      </c>
      <c r="G36" s="405"/>
      <c r="H36" s="181">
        <v>9.1199999999999992</v>
      </c>
    </row>
    <row r="37" spans="1:9" ht="15" customHeight="1">
      <c r="A37" s="180" t="s">
        <v>134</v>
      </c>
      <c r="B37" s="51" t="s">
        <v>66</v>
      </c>
      <c r="C37" s="52">
        <v>46224</v>
      </c>
      <c r="D37" s="495" t="s">
        <v>308</v>
      </c>
      <c r="E37" s="405"/>
      <c r="F37" s="495" t="s">
        <v>211</v>
      </c>
      <c r="G37" s="405"/>
      <c r="H37" s="181">
        <v>9.35</v>
      </c>
      <c r="I37" s="139" t="s">
        <v>614</v>
      </c>
    </row>
    <row r="38" spans="1:9" ht="15" customHeight="1">
      <c r="A38" s="180" t="s">
        <v>134</v>
      </c>
      <c r="B38" s="51" t="s">
        <v>68</v>
      </c>
      <c r="C38" s="52">
        <v>46225</v>
      </c>
      <c r="D38" s="495" t="s">
        <v>213</v>
      </c>
      <c r="E38" s="405"/>
      <c r="F38" s="495" t="s">
        <v>214</v>
      </c>
      <c r="G38" s="405"/>
      <c r="H38" s="181">
        <v>9.3699999999999992</v>
      </c>
    </row>
    <row r="39" spans="1:9" ht="15" customHeight="1">
      <c r="A39" s="221" t="s">
        <v>67</v>
      </c>
      <c r="B39" s="222" t="s">
        <v>60</v>
      </c>
      <c r="C39" s="137">
        <v>46226</v>
      </c>
      <c r="D39" s="457"/>
      <c r="E39" s="405"/>
      <c r="F39" s="457"/>
      <c r="G39" s="405"/>
      <c r="H39" s="138">
        <v>0</v>
      </c>
    </row>
    <row r="40" spans="1:9" ht="15" customHeight="1">
      <c r="A40" s="221" t="s">
        <v>67</v>
      </c>
      <c r="B40" s="222" t="s">
        <v>61</v>
      </c>
      <c r="C40" s="137">
        <v>46227</v>
      </c>
      <c r="D40" s="457"/>
      <c r="E40" s="405"/>
      <c r="F40" s="457"/>
      <c r="G40" s="405"/>
      <c r="H40" s="138">
        <v>0</v>
      </c>
    </row>
    <row r="41" spans="1:9" ht="15" customHeight="1">
      <c r="A41" s="182" t="s">
        <v>67</v>
      </c>
      <c r="B41" s="65" t="s">
        <v>62</v>
      </c>
      <c r="C41" s="66">
        <v>46228</v>
      </c>
      <c r="D41" s="497"/>
      <c r="E41" s="405"/>
      <c r="F41" s="497"/>
      <c r="G41" s="405"/>
      <c r="H41" s="183">
        <v>0</v>
      </c>
    </row>
    <row r="42" spans="1:9" ht="15" customHeight="1">
      <c r="A42" s="182" t="s">
        <v>67</v>
      </c>
      <c r="B42" s="65" t="s">
        <v>63</v>
      </c>
      <c r="C42" s="66">
        <v>46229</v>
      </c>
      <c r="D42" s="497"/>
      <c r="E42" s="405"/>
      <c r="F42" s="497"/>
      <c r="G42" s="405"/>
      <c r="H42" s="183">
        <v>0</v>
      </c>
    </row>
    <row r="43" spans="1:9" ht="15" customHeight="1">
      <c r="A43" s="180" t="s">
        <v>134</v>
      </c>
      <c r="B43" s="51" t="s">
        <v>64</v>
      </c>
      <c r="C43" s="52">
        <v>46230</v>
      </c>
      <c r="D43" s="495" t="s">
        <v>210</v>
      </c>
      <c r="E43" s="405"/>
      <c r="F43" s="495" t="s">
        <v>218</v>
      </c>
      <c r="G43" s="405"/>
      <c r="H43" s="181">
        <v>9.1999999999999993</v>
      </c>
    </row>
    <row r="44" spans="1:9" ht="15" customHeight="1">
      <c r="A44" s="221" t="s">
        <v>67</v>
      </c>
      <c r="B44" s="222" t="s">
        <v>66</v>
      </c>
      <c r="C44" s="137">
        <v>46231</v>
      </c>
      <c r="D44" s="457"/>
      <c r="E44" s="405"/>
      <c r="F44" s="457"/>
      <c r="G44" s="405"/>
      <c r="H44" s="138">
        <v>0</v>
      </c>
    </row>
    <row r="45" spans="1:9" ht="15" customHeight="1">
      <c r="A45" s="180" t="s">
        <v>134</v>
      </c>
      <c r="B45" s="51" t="s">
        <v>68</v>
      </c>
      <c r="C45" s="52">
        <v>46232</v>
      </c>
      <c r="D45" s="495" t="s">
        <v>221</v>
      </c>
      <c r="E45" s="405"/>
      <c r="F45" s="495" t="s">
        <v>222</v>
      </c>
      <c r="G45" s="405"/>
      <c r="H45" s="181">
        <v>10.7</v>
      </c>
    </row>
    <row r="46" spans="1:9" ht="15" customHeight="1">
      <c r="A46" s="180" t="s">
        <v>134</v>
      </c>
      <c r="B46" s="51" t="s">
        <v>60</v>
      </c>
      <c r="C46" s="52">
        <v>46233</v>
      </c>
      <c r="D46" s="495" t="s">
        <v>199</v>
      </c>
      <c r="E46" s="405"/>
      <c r="F46" s="495" t="s">
        <v>223</v>
      </c>
      <c r="G46" s="405"/>
      <c r="H46" s="181">
        <v>9.9</v>
      </c>
    </row>
    <row r="47" spans="1:9" ht="15" customHeight="1">
      <c r="A47" s="192" t="s">
        <v>134</v>
      </c>
      <c r="B47" s="193" t="s">
        <v>61</v>
      </c>
      <c r="C47" s="194">
        <v>46234</v>
      </c>
      <c r="D47" s="502" t="s">
        <v>201</v>
      </c>
      <c r="E47" s="467"/>
      <c r="F47" s="502" t="s">
        <v>225</v>
      </c>
      <c r="G47" s="467"/>
      <c r="H47" s="195">
        <v>9.3699999999999992</v>
      </c>
    </row>
    <row r="48" spans="1:9" ht="14.25" customHeight="1">
      <c r="A48" s="196"/>
      <c r="B48" s="91"/>
      <c r="C48" s="91"/>
      <c r="D48" s="91"/>
      <c r="E48" s="91"/>
      <c r="F48" s="506" t="s">
        <v>41</v>
      </c>
      <c r="G48" s="412"/>
      <c r="H48" s="146">
        <f>SUM(H17:H47)</f>
        <v>180.19</v>
      </c>
    </row>
    <row r="49" spans="1:8" ht="15" customHeight="1">
      <c r="A49" s="91"/>
      <c r="B49" s="91"/>
      <c r="C49" s="91"/>
      <c r="D49" s="91"/>
      <c r="E49" s="91"/>
      <c r="F49" s="197"/>
      <c r="G49" s="144"/>
      <c r="H49" s="198"/>
    </row>
    <row r="50" spans="1:8" ht="15" customHeight="1">
      <c r="A50" s="477" t="s">
        <v>226</v>
      </c>
      <c r="B50" s="411"/>
      <c r="C50" s="411"/>
      <c r="D50" s="412"/>
      <c r="E50" s="523" t="s">
        <v>173</v>
      </c>
      <c r="F50" s="411"/>
      <c r="G50" s="411"/>
      <c r="H50" s="412"/>
    </row>
    <row r="51" spans="1:8" ht="15" customHeight="1">
      <c r="A51" s="199" t="s">
        <v>5</v>
      </c>
      <c r="B51" s="524" t="s">
        <v>174</v>
      </c>
      <c r="C51" s="518"/>
      <c r="D51" s="199" t="s">
        <v>175</v>
      </c>
      <c r="E51" s="200" t="s">
        <v>5</v>
      </c>
      <c r="F51" s="522" t="s">
        <v>174</v>
      </c>
      <c r="G51" s="518"/>
      <c r="H51" s="201" t="s">
        <v>176</v>
      </c>
    </row>
    <row r="52" spans="1:8" ht="15" customHeight="1">
      <c r="A52" s="234">
        <v>46227</v>
      </c>
      <c r="B52" s="531" t="s">
        <v>228</v>
      </c>
      <c r="C52" s="437"/>
      <c r="D52" s="235">
        <v>100000</v>
      </c>
      <c r="E52" s="349"/>
      <c r="F52" s="589"/>
      <c r="G52" s="437"/>
      <c r="H52" s="350"/>
    </row>
    <row r="53" spans="1:8" ht="14.25" customHeight="1">
      <c r="A53" s="335"/>
      <c r="B53" s="533"/>
      <c r="C53" s="467"/>
      <c r="D53" s="341"/>
      <c r="E53" s="206"/>
      <c r="F53" s="501"/>
      <c r="G53" s="467"/>
      <c r="H53" s="207"/>
    </row>
    <row r="54" spans="1:8" ht="14.25" customHeight="1">
      <c r="A54" s="514" t="s">
        <v>81</v>
      </c>
      <c r="B54" s="469"/>
      <c r="C54" s="515"/>
      <c r="D54" s="208">
        <f>SUM(D52:D53)</f>
        <v>100000</v>
      </c>
      <c r="E54" s="507" t="s">
        <v>229</v>
      </c>
      <c r="F54" s="469"/>
      <c r="G54" s="470"/>
      <c r="H54" s="156">
        <v>0</v>
      </c>
    </row>
    <row r="55" spans="1:8" ht="14.25" customHeight="1">
      <c r="D55" s="91"/>
      <c r="E55" s="472" t="s">
        <v>178</v>
      </c>
      <c r="F55" s="411"/>
      <c r="G55" s="412"/>
      <c r="H55" s="209">
        <v>0</v>
      </c>
    </row>
    <row r="56" spans="1:8" ht="14.25" customHeight="1">
      <c r="A56" s="516" t="s">
        <v>230</v>
      </c>
      <c r="B56" s="517"/>
      <c r="C56" s="517"/>
      <c r="D56" s="518"/>
    </row>
    <row r="57" spans="1:8" ht="14.25" customHeight="1">
      <c r="A57" s="519" t="s">
        <v>231</v>
      </c>
      <c r="B57" s="447"/>
      <c r="C57" s="437"/>
      <c r="D57" s="210" t="s">
        <v>232</v>
      </c>
    </row>
    <row r="58" spans="1:8" ht="14.25" customHeight="1">
      <c r="A58" s="512" t="s">
        <v>233</v>
      </c>
      <c r="B58" s="404"/>
      <c r="C58" s="405"/>
      <c r="D58" s="211">
        <v>-396.88</v>
      </c>
    </row>
    <row r="59" spans="1:8" ht="14.25" customHeight="1">
      <c r="A59" s="512" t="s">
        <v>234</v>
      </c>
      <c r="B59" s="404"/>
      <c r="C59" s="405"/>
      <c r="D59" s="211">
        <v>0</v>
      </c>
    </row>
    <row r="60" spans="1:8" ht="14.25" customHeight="1">
      <c r="A60" s="512" t="s">
        <v>235</v>
      </c>
      <c r="B60" s="404"/>
      <c r="C60" s="405"/>
      <c r="D60" s="211">
        <v>0</v>
      </c>
    </row>
    <row r="61" spans="1:8" ht="14.25" customHeight="1">
      <c r="A61" s="512" t="s">
        <v>236</v>
      </c>
      <c r="B61" s="404"/>
      <c r="C61" s="405"/>
      <c r="D61" s="211">
        <v>0</v>
      </c>
    </row>
    <row r="62" spans="1:8" ht="14.25" customHeight="1">
      <c r="A62" s="512" t="s">
        <v>237</v>
      </c>
      <c r="B62" s="404"/>
      <c r="C62" s="405"/>
      <c r="D62" s="211"/>
    </row>
    <row r="63" spans="1:8" ht="14.25" customHeight="1">
      <c r="A63" s="512" t="s">
        <v>238</v>
      </c>
      <c r="B63" s="404"/>
      <c r="C63" s="405"/>
      <c r="D63" s="211"/>
    </row>
    <row r="64" spans="1:8" ht="14.25" customHeight="1">
      <c r="A64" s="512" t="s">
        <v>239</v>
      </c>
      <c r="B64" s="404"/>
      <c r="C64" s="405"/>
      <c r="D64" s="211"/>
    </row>
    <row r="65" spans="1:4" ht="14.25" customHeight="1">
      <c r="A65" s="512" t="s">
        <v>45</v>
      </c>
      <c r="B65" s="404"/>
      <c r="C65" s="405"/>
      <c r="D65" s="211"/>
    </row>
    <row r="66" spans="1:4" ht="14.25" customHeight="1">
      <c r="A66" s="512" t="s">
        <v>98</v>
      </c>
      <c r="B66" s="404"/>
      <c r="C66" s="405"/>
      <c r="D66" s="211"/>
    </row>
    <row r="67" spans="1:4" ht="14.25" customHeight="1">
      <c r="A67" s="512" t="s">
        <v>100</v>
      </c>
      <c r="B67" s="404"/>
      <c r="C67" s="405"/>
      <c r="D67" s="211"/>
    </row>
    <row r="68" spans="1:4" ht="14.25" customHeight="1">
      <c r="A68" s="512" t="s">
        <v>104</v>
      </c>
      <c r="B68" s="404"/>
      <c r="C68" s="405"/>
      <c r="D68" s="211"/>
    </row>
    <row r="69" spans="1:4" ht="14.25" customHeight="1">
      <c r="A69" s="512" t="s">
        <v>106</v>
      </c>
      <c r="B69" s="404"/>
      <c r="C69" s="405"/>
      <c r="D69" s="211"/>
    </row>
    <row r="70" spans="1:4" ht="14.25" customHeight="1">
      <c r="A70" s="513" t="s">
        <v>113</v>
      </c>
      <c r="B70" s="504"/>
      <c r="C70" s="467"/>
      <c r="D70" s="212"/>
    </row>
    <row r="71" spans="1:4" ht="14.25" customHeight="1">
      <c r="A71" s="511" t="s">
        <v>81</v>
      </c>
      <c r="B71" s="411"/>
      <c r="C71" s="480"/>
      <c r="D71" s="213">
        <f>SUM(D58:D70)</f>
        <v>-396.88</v>
      </c>
    </row>
    <row r="72" spans="1:4" ht="14.25" customHeight="1"/>
    <row r="73" spans="1:4" ht="14.25" customHeight="1"/>
    <row r="74" spans="1:4" ht="14.25" customHeight="1"/>
    <row r="75" spans="1:4" ht="14.25" customHeight="1"/>
    <row r="76" spans="1:4" ht="14.25" customHeight="1"/>
    <row r="77" spans="1:4" ht="14.25" customHeight="1"/>
    <row r="78" spans="1:4" ht="14.25" customHeight="1"/>
    <row r="79" spans="1:4" ht="14.25" customHeight="1"/>
    <row r="80" spans="1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</sheetData>
  <mergeCells count="125">
    <mergeCell ref="F33:G33"/>
    <mergeCell ref="D47:E47"/>
    <mergeCell ref="F43:G43"/>
    <mergeCell ref="F44:G44"/>
    <mergeCell ref="F45:G45"/>
    <mergeCell ref="F53:G53"/>
    <mergeCell ref="F46:G46"/>
    <mergeCell ref="F47:G47"/>
    <mergeCell ref="F48:G48"/>
    <mergeCell ref="E50:H50"/>
    <mergeCell ref="F51:G51"/>
    <mergeCell ref="F52:G52"/>
    <mergeCell ref="D43:E43"/>
    <mergeCell ref="D41:E41"/>
    <mergeCell ref="A50:D50"/>
    <mergeCell ref="B51:C51"/>
    <mergeCell ref="B52:C52"/>
    <mergeCell ref="A56:D56"/>
    <mergeCell ref="E54:G54"/>
    <mergeCell ref="E55:G55"/>
    <mergeCell ref="D44:E44"/>
    <mergeCell ref="D45:E45"/>
    <mergeCell ref="D46:E46"/>
    <mergeCell ref="A61:C61"/>
    <mergeCell ref="A62:C62"/>
    <mergeCell ref="A63:C63"/>
    <mergeCell ref="A64:C64"/>
    <mergeCell ref="B53:C53"/>
    <mergeCell ref="A54:C54"/>
    <mergeCell ref="A71:C71"/>
    <mergeCell ref="A65:C65"/>
    <mergeCell ref="A66:C66"/>
    <mergeCell ref="A67:C67"/>
    <mergeCell ref="A68:C68"/>
    <mergeCell ref="A58:C58"/>
    <mergeCell ref="A69:C69"/>
    <mergeCell ref="A70:C70"/>
    <mergeCell ref="A59:C59"/>
    <mergeCell ref="A60:C60"/>
    <mergeCell ref="A57:C57"/>
    <mergeCell ref="A1:H4"/>
    <mergeCell ref="A5:E5"/>
    <mergeCell ref="I5:J5"/>
    <mergeCell ref="K5:L5"/>
    <mergeCell ref="B6:C6"/>
    <mergeCell ref="F41:G41"/>
    <mergeCell ref="F40:G40"/>
    <mergeCell ref="D34:E34"/>
    <mergeCell ref="F34:G34"/>
    <mergeCell ref="D29:E29"/>
    <mergeCell ref="F29:G29"/>
    <mergeCell ref="D30:E30"/>
    <mergeCell ref="F30:G30"/>
    <mergeCell ref="D31:E31"/>
    <mergeCell ref="F31:G31"/>
    <mergeCell ref="D35:E35"/>
    <mergeCell ref="F35:G35"/>
    <mergeCell ref="D36:E36"/>
    <mergeCell ref="F36:G36"/>
    <mergeCell ref="D37:E37"/>
    <mergeCell ref="F37:G37"/>
    <mergeCell ref="D27:E27"/>
    <mergeCell ref="F27:G27"/>
    <mergeCell ref="D28:E28"/>
    <mergeCell ref="D26:E26"/>
    <mergeCell ref="F26:G26"/>
    <mergeCell ref="E14:H14"/>
    <mergeCell ref="C12:D12"/>
    <mergeCell ref="E12:F12"/>
    <mergeCell ref="G12:H12"/>
    <mergeCell ref="E13:H13"/>
    <mergeCell ref="D42:E42"/>
    <mergeCell ref="D38:E38"/>
    <mergeCell ref="D39:E39"/>
    <mergeCell ref="D40:E40"/>
    <mergeCell ref="F38:G38"/>
    <mergeCell ref="F39:G39"/>
    <mergeCell ref="F42:G42"/>
    <mergeCell ref="F28:G28"/>
    <mergeCell ref="D23:E23"/>
    <mergeCell ref="F23:G23"/>
    <mergeCell ref="D24:E24"/>
    <mergeCell ref="F24:G24"/>
    <mergeCell ref="D25:E25"/>
    <mergeCell ref="F25:G25"/>
    <mergeCell ref="D32:E32"/>
    <mergeCell ref="F32:G32"/>
    <mergeCell ref="D33:E33"/>
    <mergeCell ref="D16:E16"/>
    <mergeCell ref="F16:G16"/>
    <mergeCell ref="D20:E20"/>
    <mergeCell ref="F20:G20"/>
    <mergeCell ref="D21:E21"/>
    <mergeCell ref="F21:G21"/>
    <mergeCell ref="D22:E22"/>
    <mergeCell ref="F22:G22"/>
    <mergeCell ref="D17:E17"/>
    <mergeCell ref="F17:G17"/>
    <mergeCell ref="D18:E18"/>
    <mergeCell ref="F18:G18"/>
    <mergeCell ref="D19:E19"/>
    <mergeCell ref="F19:G19"/>
    <mergeCell ref="C11:D11"/>
    <mergeCell ref="E11:F11"/>
    <mergeCell ref="G11:H11"/>
    <mergeCell ref="A7:B7"/>
    <mergeCell ref="A8:B8"/>
    <mergeCell ref="C7:E7"/>
    <mergeCell ref="C8:E8"/>
    <mergeCell ref="A15:F15"/>
    <mergeCell ref="G15:H15"/>
    <mergeCell ref="A13:B13"/>
    <mergeCell ref="A14:B14"/>
    <mergeCell ref="C13:D13"/>
    <mergeCell ref="C14:D14"/>
    <mergeCell ref="F5:G5"/>
    <mergeCell ref="F6:G6"/>
    <mergeCell ref="F7:H7"/>
    <mergeCell ref="F8:H8"/>
    <mergeCell ref="C9:D9"/>
    <mergeCell ref="E9:F9"/>
    <mergeCell ref="G9:H9"/>
    <mergeCell ref="C10:D10"/>
    <mergeCell ref="E10:F10"/>
    <mergeCell ref="G10:H10"/>
  </mergeCells>
  <printOptions horizontalCentered="1"/>
  <pageMargins left="0.31496062992125984" right="0.11811023622047245" top="0.35433070866141736" bottom="0.15748031496062992" header="0" footer="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0"/>
  <sheetViews>
    <sheetView tabSelected="1" workbookViewId="0">
      <selection activeCell="E24" sqref="E24"/>
    </sheetView>
  </sheetViews>
  <sheetFormatPr baseColWidth="10" defaultColWidth="14.44140625" defaultRowHeight="15" customHeight="1"/>
  <cols>
    <col min="1" max="1" width="20.6640625" customWidth="1"/>
    <col min="2" max="2" width="23.6640625" customWidth="1"/>
    <col min="3" max="3" width="24.33203125" customWidth="1"/>
    <col min="4" max="4" width="3" customWidth="1"/>
    <col min="5" max="5" width="22.109375" customWidth="1"/>
    <col min="6" max="7" width="21.33203125" customWidth="1"/>
    <col min="8" max="11" width="10.6640625" customWidth="1"/>
  </cols>
  <sheetData>
    <row r="1" spans="1:7" ht="14.25" customHeight="1">
      <c r="A1" s="596" t="s">
        <v>615</v>
      </c>
      <c r="B1" s="597"/>
      <c r="C1" s="430"/>
      <c r="D1" s="197"/>
      <c r="E1" s="91"/>
      <c r="F1" s="91"/>
      <c r="G1" s="91"/>
    </row>
    <row r="2" spans="1:7" ht="14.25" customHeight="1">
      <c r="A2" s="361" t="s">
        <v>616</v>
      </c>
      <c r="B2" s="361" t="s">
        <v>617</v>
      </c>
      <c r="C2" s="361" t="s">
        <v>618</v>
      </c>
      <c r="D2" s="197"/>
      <c r="E2" s="362" t="s">
        <v>619</v>
      </c>
      <c r="F2" s="362" t="s">
        <v>620</v>
      </c>
      <c r="G2" s="362" t="s">
        <v>621</v>
      </c>
    </row>
    <row r="3" spans="1:7" ht="14.25" customHeight="1">
      <c r="A3" s="363" t="s">
        <v>622</v>
      </c>
      <c r="B3" s="363">
        <f>+ANDRE!H5</f>
        <v>2104264.9828579999</v>
      </c>
      <c r="C3" s="364">
        <f>+ANDRE!G15</f>
        <v>1304264.9828579999</v>
      </c>
      <c r="D3" s="365"/>
      <c r="E3" s="366"/>
      <c r="F3" s="367">
        <f>+C3</f>
        <v>1304264.9828579999</v>
      </c>
      <c r="G3" s="368"/>
    </row>
    <row r="4" spans="1:7" ht="14.25" customHeight="1">
      <c r="A4" s="363" t="s">
        <v>623</v>
      </c>
      <c r="B4" s="363">
        <f>+LORE!H5</f>
        <v>1456957.0852079999</v>
      </c>
      <c r="C4" s="364">
        <f>+LORE!G15</f>
        <v>1156957.0852079999</v>
      </c>
      <c r="D4" s="365"/>
      <c r="E4" s="369"/>
      <c r="F4" s="370">
        <f t="shared" ref="F4:F5" si="0">+C4</f>
        <v>1156957.0852079999</v>
      </c>
      <c r="G4" s="371"/>
    </row>
    <row r="5" spans="1:7" ht="14.25" customHeight="1">
      <c r="A5" s="363" t="s">
        <v>16</v>
      </c>
      <c r="B5" s="363">
        <f>+JAZ!H5</f>
        <v>1536653.8510120001</v>
      </c>
      <c r="C5" s="364">
        <f>+JAZ!G15</f>
        <v>829317.35101200012</v>
      </c>
      <c r="D5" s="365"/>
      <c r="E5" s="369"/>
      <c r="F5" s="372">
        <f t="shared" si="0"/>
        <v>829317.35101200012</v>
      </c>
      <c r="G5" s="371"/>
    </row>
    <row r="6" spans="1:7" ht="14.25" customHeight="1">
      <c r="A6" s="363" t="s">
        <v>17</v>
      </c>
      <c r="B6" s="363">
        <f>+FLOR!H5</f>
        <v>1080000</v>
      </c>
      <c r="C6" s="364">
        <f>+FLOR!G17</f>
        <v>780000</v>
      </c>
      <c r="D6" s="365"/>
      <c r="E6" s="369">
        <v>780000</v>
      </c>
      <c r="F6" s="373"/>
      <c r="G6" s="371"/>
    </row>
    <row r="7" spans="1:7" ht="14.25" customHeight="1">
      <c r="A7" s="363" t="s">
        <v>9</v>
      </c>
      <c r="B7" s="363">
        <f>+FURIA!H5</f>
        <v>2391133.5748127997</v>
      </c>
      <c r="C7" s="364">
        <f>+FURIA!G15</f>
        <v>1591133.5748127997</v>
      </c>
      <c r="D7" s="365"/>
      <c r="E7" s="369">
        <v>1591200</v>
      </c>
      <c r="F7" s="373"/>
      <c r="G7" s="371"/>
    </row>
    <row r="8" spans="1:7" ht="14.25" customHeight="1">
      <c r="A8" s="363" t="s">
        <v>15</v>
      </c>
      <c r="B8" s="363">
        <f>+MARIO!H5</f>
        <v>2639630.3000000003</v>
      </c>
      <c r="C8" s="364">
        <f>+MARIO!G17</f>
        <v>2389630.3000000003</v>
      </c>
      <c r="D8" s="365"/>
      <c r="E8" s="369"/>
      <c r="F8" s="370">
        <f>+C8</f>
        <v>2389630.3000000003</v>
      </c>
      <c r="G8" s="371"/>
    </row>
    <row r="9" spans="1:7" ht="14.25" customHeight="1">
      <c r="A9" s="363" t="s">
        <v>624</v>
      </c>
      <c r="B9" s="363">
        <f>+FAUSTO!H5</f>
        <v>1685923.2053886</v>
      </c>
      <c r="C9" s="364">
        <f>+FAUSTO!G17</f>
        <v>1480473.2053886</v>
      </c>
      <c r="D9" s="365"/>
      <c r="E9" s="369">
        <v>1480500</v>
      </c>
      <c r="F9" s="370"/>
      <c r="G9" s="371"/>
    </row>
    <row r="10" spans="1:7" ht="14.25" customHeight="1">
      <c r="A10" s="363" t="s">
        <v>11</v>
      </c>
      <c r="B10" s="363">
        <f>+MILTON!H5</f>
        <v>1684333.0632688005</v>
      </c>
      <c r="C10" s="364">
        <f>+MILTON!G17</f>
        <v>1584333.0632688005</v>
      </c>
      <c r="D10" s="365"/>
      <c r="E10" s="369"/>
      <c r="F10" s="373">
        <f>+C10</f>
        <v>1584333.0632688005</v>
      </c>
      <c r="G10" s="371"/>
    </row>
    <row r="11" spans="1:7" ht="14.25" customHeight="1">
      <c r="A11" s="363" t="s">
        <v>12</v>
      </c>
      <c r="B11" s="363">
        <f>+CHARA!H5</f>
        <v>1630567.93157</v>
      </c>
      <c r="C11" s="364">
        <f>+CHARA!G17</f>
        <v>1630567.93157</v>
      </c>
      <c r="D11" s="365"/>
      <c r="E11" s="369">
        <v>1630600</v>
      </c>
      <c r="F11" s="373"/>
      <c r="G11" s="371"/>
    </row>
    <row r="12" spans="1:7" ht="14.25" customHeight="1">
      <c r="A12" s="363" t="s">
        <v>625</v>
      </c>
      <c r="B12" s="363">
        <f>+TONI!H5</f>
        <v>1943826.1799603</v>
      </c>
      <c r="C12" s="364">
        <f>+TONI!G15</f>
        <v>1943826.1799603</v>
      </c>
      <c r="D12" s="365"/>
      <c r="E12" s="369">
        <v>1943900</v>
      </c>
      <c r="F12" s="373"/>
      <c r="G12" s="371"/>
    </row>
    <row r="13" spans="1:7" ht="14.25" customHeight="1">
      <c r="A13" s="363" t="s">
        <v>626</v>
      </c>
      <c r="B13" s="363">
        <f>+DAVID!H5</f>
        <v>2298936.3658000003</v>
      </c>
      <c r="C13" s="364">
        <f>+DAVID!G15</f>
        <v>1648936.3658000003</v>
      </c>
      <c r="D13" s="365"/>
      <c r="E13" s="369">
        <v>1649000</v>
      </c>
      <c r="F13" s="373"/>
      <c r="G13" s="371"/>
    </row>
    <row r="14" spans="1:7" ht="14.25" customHeight="1">
      <c r="A14" s="374" t="s">
        <v>627</v>
      </c>
      <c r="B14" s="374">
        <f>+CARLOS!H5</f>
        <v>2039290.84</v>
      </c>
      <c r="C14" s="375">
        <f>+CARLOS!G15</f>
        <v>1739290.84</v>
      </c>
      <c r="D14" s="365"/>
      <c r="E14" s="369">
        <v>1739300</v>
      </c>
      <c r="F14" s="373"/>
      <c r="G14" s="371"/>
    </row>
    <row r="15" spans="1:7" ht="14.25" customHeight="1">
      <c r="A15" s="363" t="s">
        <v>628</v>
      </c>
      <c r="B15" s="363">
        <f>+POLA!H5</f>
        <v>1674811.3416495998</v>
      </c>
      <c r="C15" s="364">
        <f>+POLA!G15</f>
        <v>1474811.3416495998</v>
      </c>
      <c r="D15" s="365"/>
      <c r="E15" s="369">
        <v>1474900</v>
      </c>
      <c r="F15" s="373"/>
      <c r="G15" s="371"/>
    </row>
    <row r="16" spans="1:7" ht="14.25" customHeight="1">
      <c r="A16" s="376" t="s">
        <v>629</v>
      </c>
      <c r="B16" s="376">
        <f>+LUIS!H5</f>
        <v>2259750</v>
      </c>
      <c r="C16" s="377">
        <f>+LUIS!G15</f>
        <v>1694450</v>
      </c>
      <c r="D16" s="365"/>
      <c r="E16" s="369">
        <v>578900</v>
      </c>
      <c r="F16" s="373">
        <v>1115575.03</v>
      </c>
      <c r="G16" s="371"/>
    </row>
    <row r="17" spans="1:7" ht="14.25" customHeight="1">
      <c r="A17" s="363" t="s">
        <v>630</v>
      </c>
      <c r="B17" s="363">
        <f>+GERARDO!H5</f>
        <v>1570226.6382325001</v>
      </c>
      <c r="C17" s="364">
        <f>+GERARDO!G15</f>
        <v>1170226.6382325001</v>
      </c>
      <c r="D17" s="365"/>
      <c r="E17" s="369">
        <v>1170300</v>
      </c>
      <c r="F17" s="373"/>
      <c r="G17" s="371"/>
    </row>
    <row r="18" spans="1:7" ht="14.25" customHeight="1">
      <c r="A18" s="363" t="s">
        <v>631</v>
      </c>
      <c r="B18" s="363">
        <f>+LEANDRO!H5</f>
        <v>1297083.4201799999</v>
      </c>
      <c r="C18" s="364">
        <f>+LEANDRO!G15</f>
        <v>187083.4201799999</v>
      </c>
      <c r="D18" s="365"/>
      <c r="E18" s="369">
        <v>187100</v>
      </c>
      <c r="F18" s="373"/>
      <c r="G18" s="371"/>
    </row>
    <row r="19" spans="1:7" ht="14.25" customHeight="1">
      <c r="A19" s="363" t="s">
        <v>632</v>
      </c>
      <c r="B19" s="363">
        <f>+PABLO!H5</f>
        <v>1424860</v>
      </c>
      <c r="C19" s="364">
        <f>+PABLO!G15</f>
        <v>1224860</v>
      </c>
      <c r="D19" s="365"/>
      <c r="E19" s="369">
        <v>1224900</v>
      </c>
      <c r="F19" s="373"/>
      <c r="G19" s="371"/>
    </row>
    <row r="20" spans="1:7" ht="14.25" customHeight="1">
      <c r="A20" s="363" t="s">
        <v>13</v>
      </c>
      <c r="B20" s="363">
        <f>+CHOLI!H5</f>
        <v>1762530.2</v>
      </c>
      <c r="C20" s="364">
        <f>+CHOLI!G17</f>
        <v>1362530.2</v>
      </c>
      <c r="D20" s="365"/>
      <c r="E20" s="369">
        <v>247000</v>
      </c>
      <c r="F20" s="373">
        <v>1115575.03</v>
      </c>
      <c r="G20" s="371"/>
    </row>
    <row r="21" spans="1:7" ht="14.25" customHeight="1">
      <c r="A21" s="363" t="s">
        <v>14</v>
      </c>
      <c r="B21" s="363">
        <f>+PEPO!H5</f>
        <v>1812638.3386999997</v>
      </c>
      <c r="C21" s="364">
        <f>+PEPO!G17</f>
        <v>1512638.3386999997</v>
      </c>
      <c r="D21" s="365"/>
      <c r="E21" s="369">
        <v>397100</v>
      </c>
      <c r="F21" s="373">
        <v>1115575.03</v>
      </c>
      <c r="G21" s="371"/>
    </row>
    <row r="22" spans="1:7" ht="14.25" customHeight="1">
      <c r="A22" s="363" t="s">
        <v>633</v>
      </c>
      <c r="B22" s="363">
        <f>+GONZA!H5</f>
        <v>1230629.58825</v>
      </c>
      <c r="C22" s="364">
        <f>+GONZA!G15</f>
        <v>930629.58825000003</v>
      </c>
      <c r="D22" s="365"/>
      <c r="E22" s="369">
        <v>930700</v>
      </c>
      <c r="F22" s="373"/>
      <c r="G22" s="371"/>
    </row>
    <row r="23" spans="1:7" ht="14.25" customHeight="1">
      <c r="A23" s="363" t="s">
        <v>634</v>
      </c>
      <c r="B23" s="363">
        <f>+NICO!H5</f>
        <v>596000</v>
      </c>
      <c r="C23" s="364">
        <f>+NICO!G13</f>
        <v>312800</v>
      </c>
      <c r="D23" s="378"/>
      <c r="E23" s="369">
        <v>312800</v>
      </c>
      <c r="F23" s="373"/>
      <c r="G23" s="371"/>
    </row>
    <row r="24" spans="1:7" ht="14.25" customHeight="1">
      <c r="A24" s="363" t="s">
        <v>635</v>
      </c>
      <c r="B24" s="363">
        <f>+SANTI!H5</f>
        <v>937467.47</v>
      </c>
      <c r="C24" s="364">
        <f>+SANTI!G15</f>
        <v>837467.47</v>
      </c>
      <c r="D24" s="378"/>
      <c r="E24" s="379">
        <v>837500</v>
      </c>
      <c r="F24" s="379"/>
      <c r="G24" s="380"/>
    </row>
    <row r="25" spans="1:7" ht="14.25" customHeight="1">
      <c r="A25" s="381" t="s">
        <v>636</v>
      </c>
      <c r="B25" s="382">
        <f>SUM(B3:B23)</f>
        <v>36120046.906890601</v>
      </c>
      <c r="C25" s="383">
        <f>SUM(C3:C24)</f>
        <v>28786227.8768906</v>
      </c>
      <c r="D25" s="91"/>
      <c r="E25" s="91"/>
      <c r="F25" s="91"/>
      <c r="G25" s="91"/>
    </row>
    <row r="26" spans="1:7" ht="14.25" customHeight="1">
      <c r="A26" s="91"/>
      <c r="B26" s="91"/>
      <c r="C26" s="91"/>
      <c r="D26" s="91"/>
      <c r="E26" s="105"/>
      <c r="F26" s="91"/>
      <c r="G26" s="91"/>
    </row>
    <row r="27" spans="1:7" ht="14.25" customHeight="1">
      <c r="A27" s="91"/>
      <c r="B27" s="91"/>
      <c r="C27" s="91"/>
      <c r="D27" s="197"/>
      <c r="E27" s="91"/>
      <c r="F27" s="105"/>
      <c r="G27" s="105"/>
    </row>
    <row r="28" spans="1:7" ht="14.25" customHeight="1">
      <c r="A28" s="596" t="s">
        <v>637</v>
      </c>
      <c r="B28" s="597"/>
      <c r="C28" s="430"/>
      <c r="D28" s="197"/>
      <c r="E28" s="91"/>
      <c r="F28" s="91"/>
      <c r="G28" s="91"/>
    </row>
    <row r="29" spans="1:7" ht="14.25" customHeight="1">
      <c r="A29" s="361" t="s">
        <v>616</v>
      </c>
      <c r="B29" s="361" t="s">
        <v>617</v>
      </c>
      <c r="C29" s="361" t="s">
        <v>618</v>
      </c>
      <c r="D29" s="105"/>
      <c r="E29" s="384" t="s">
        <v>619</v>
      </c>
      <c r="F29" s="385" t="s">
        <v>620</v>
      </c>
      <c r="G29" s="386" t="s">
        <v>621</v>
      </c>
    </row>
    <row r="30" spans="1:7" ht="14.25" customHeight="1">
      <c r="A30" s="363" t="s">
        <v>638</v>
      </c>
      <c r="B30" s="363">
        <v>2000000</v>
      </c>
      <c r="C30" s="387">
        <v>2000000</v>
      </c>
      <c r="D30" s="105"/>
      <c r="E30" s="388"/>
      <c r="F30" s="389"/>
      <c r="G30" s="390"/>
    </row>
    <row r="31" spans="1:7" ht="14.25" customHeight="1">
      <c r="A31" s="363" t="s">
        <v>639</v>
      </c>
      <c r="B31" s="363">
        <v>2000000</v>
      </c>
      <c r="C31" s="387">
        <v>2000000</v>
      </c>
      <c r="D31" s="365"/>
      <c r="E31" s="391"/>
      <c r="F31" s="389"/>
      <c r="G31" s="371"/>
    </row>
    <row r="32" spans="1:7" ht="14.25" customHeight="1">
      <c r="A32" s="374" t="s">
        <v>640</v>
      </c>
      <c r="B32" s="374">
        <f>+MAYRA!$I$5</f>
        <v>2979079.8684100001</v>
      </c>
      <c r="C32" s="375">
        <f>+MAYRA!$H$10</f>
        <v>2112919.5005444</v>
      </c>
      <c r="D32" s="378"/>
      <c r="E32" s="392"/>
      <c r="F32" s="393">
        <f>+C32</f>
        <v>2112919.5005444</v>
      </c>
      <c r="G32" s="380"/>
    </row>
    <row r="33" spans="1:7" ht="14.25" customHeight="1">
      <c r="A33" s="381" t="s">
        <v>636</v>
      </c>
      <c r="B33" s="382">
        <f t="shared" ref="B33:C33" si="1">SUM(B30:B32)</f>
        <v>6979079.8684100006</v>
      </c>
      <c r="C33" s="383">
        <f t="shared" si="1"/>
        <v>6112919.5005444</v>
      </c>
      <c r="D33" s="91"/>
      <c r="E33" s="105"/>
      <c r="F33" s="91"/>
      <c r="G33" s="91"/>
    </row>
    <row r="34" spans="1:7" ht="14.25" customHeight="1">
      <c r="A34" s="91"/>
      <c r="B34" s="91"/>
      <c r="C34" s="91"/>
      <c r="D34" s="378"/>
      <c r="E34" s="105"/>
      <c r="F34" s="91"/>
      <c r="G34" s="91"/>
    </row>
    <row r="35" spans="1:7" ht="14.25" customHeight="1">
      <c r="A35" s="91"/>
      <c r="B35" s="120">
        <f t="shared" ref="B35:C35" si="2">+B33+B25</f>
        <v>43099126.7753006</v>
      </c>
      <c r="C35" s="120">
        <f t="shared" si="2"/>
        <v>34899147.377434999</v>
      </c>
      <c r="D35" s="91"/>
      <c r="E35" s="113">
        <f t="shared" ref="E35:G35" si="3">SUM(E3:E34)</f>
        <v>18175700</v>
      </c>
      <c r="F35" s="113">
        <f t="shared" si="3"/>
        <v>12724147.372891199</v>
      </c>
      <c r="G35" s="113">
        <f t="shared" si="3"/>
        <v>0</v>
      </c>
    </row>
    <row r="36" spans="1:7" ht="14.25" customHeight="1"/>
    <row r="37" spans="1:7" ht="14.25" customHeight="1"/>
    <row r="38" spans="1:7" ht="14.25" customHeight="1"/>
    <row r="39" spans="1:7" ht="14.25" customHeight="1"/>
    <row r="40" spans="1:7" ht="14.25" customHeight="1"/>
    <row r="41" spans="1:7" ht="14.25" customHeight="1"/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">
    <mergeCell ref="A1:C1"/>
    <mergeCell ref="A28:C28"/>
  </mergeCells>
  <pageMargins left="0.23622047244094491" right="0.23622047244094491" top="0.15748031496062992" bottom="0.15748031496062992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EVENTOS</vt:lpstr>
      <vt:lpstr>VIAJES LUIS</vt:lpstr>
      <vt:lpstr>MAYRA</vt:lpstr>
      <vt:lpstr>ANDRE</vt:lpstr>
      <vt:lpstr>LORE</vt:lpstr>
      <vt:lpstr>JAZ</vt:lpstr>
      <vt:lpstr>FLOR</vt:lpstr>
      <vt:lpstr>FURIA</vt:lpstr>
      <vt:lpstr>MARIO</vt:lpstr>
      <vt:lpstr>FAUSTO</vt:lpstr>
      <vt:lpstr>MILTON</vt:lpstr>
      <vt:lpstr>CHARA</vt:lpstr>
      <vt:lpstr>TONI</vt:lpstr>
      <vt:lpstr>DAVID</vt:lpstr>
      <vt:lpstr>CARLOS</vt:lpstr>
      <vt:lpstr>POLA</vt:lpstr>
      <vt:lpstr>LUIS</vt:lpstr>
      <vt:lpstr>GERARDO</vt:lpstr>
      <vt:lpstr>LEANDRO</vt:lpstr>
      <vt:lpstr>PABLO</vt:lpstr>
      <vt:lpstr>CHOLI</vt:lpstr>
      <vt:lpstr>PEPO</vt:lpstr>
      <vt:lpstr>GONZA</vt:lpstr>
      <vt:lpstr>NICO</vt:lpstr>
      <vt:lpstr>SANTI</vt:lpstr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2026-06-09T18:59:38Z</cp:lastPrinted>
  <dcterms:created xsi:type="dcterms:W3CDTF">2025-11-23T13:05:22Z</dcterms:created>
  <dcterms:modified xsi:type="dcterms:W3CDTF">2026-08-07T18:55:18Z</dcterms:modified>
</cp:coreProperties>
</file>