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BLUETEAM\"/>
    </mc:Choice>
  </mc:AlternateContent>
  <bookViews>
    <workbookView xWindow="0" yWindow="0" windowWidth="23040" windowHeight="9072" activeTab="3"/>
  </bookViews>
  <sheets>
    <sheet name="2024" sheetId="1" r:id="rId1"/>
    <sheet name="2025" sheetId="2" r:id="rId2"/>
    <sheet name="CONCILIACIÓN 2025" sheetId="3" r:id="rId3"/>
    <sheet name="2026" sheetId="4" r:id="rId4"/>
    <sheet name="CONCILIACIÓN 202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4" l="1"/>
  <c r="J14" i="4" s="1"/>
  <c r="I13" i="4"/>
  <c r="I14" i="4" s="1"/>
  <c r="C10" i="5" l="1"/>
  <c r="G13" i="4" l="1"/>
  <c r="G14" i="4" s="1"/>
  <c r="H13" i="4"/>
  <c r="H14" i="4" s="1"/>
  <c r="E13" i="4" l="1"/>
  <c r="E14" i="4" s="1"/>
  <c r="D13" i="4" l="1"/>
  <c r="D14" i="4" s="1"/>
  <c r="F13" i="4"/>
  <c r="F14" i="4" s="1"/>
  <c r="C13" i="4" l="1"/>
  <c r="C14" i="4" s="1"/>
  <c r="C16" i="5"/>
  <c r="C18" i="5" l="1"/>
  <c r="C14" i="3"/>
  <c r="C25" i="3"/>
  <c r="L22" i="2"/>
  <c r="M20" i="2"/>
  <c r="M22" i="2" s="1"/>
  <c r="N20" i="2"/>
  <c r="N22" i="2" s="1"/>
  <c r="K20" i="2"/>
  <c r="L20" i="2"/>
  <c r="C27" i="3" l="1"/>
  <c r="K22" i="2"/>
  <c r="H20" i="2" l="1"/>
  <c r="G20" i="2"/>
  <c r="F20" i="2"/>
  <c r="E20" i="2"/>
  <c r="D20" i="2"/>
  <c r="C20" i="2"/>
  <c r="J20" i="2"/>
  <c r="J22" i="2" s="1"/>
  <c r="I20" i="2" l="1"/>
  <c r="I22" i="2" s="1"/>
  <c r="H22" i="2" l="1"/>
  <c r="G22" i="2" l="1"/>
  <c r="F22" i="2" l="1"/>
  <c r="E22" i="2" l="1"/>
  <c r="D22" i="2" l="1"/>
  <c r="C22" i="2" l="1"/>
  <c r="E19" i="1" l="1"/>
  <c r="E20" i="1" s="1"/>
  <c r="D19" i="1" l="1"/>
  <c r="D20" i="1" s="1"/>
  <c r="F19" i="1"/>
  <c r="F20" i="1" s="1"/>
  <c r="G19" i="1"/>
  <c r="G20" i="1" s="1"/>
  <c r="C19" i="1"/>
  <c r="C20" i="1" s="1"/>
</calcChain>
</file>

<file path=xl/comments1.xml><?xml version="1.0" encoding="utf-8"?>
<comments xmlns="http://schemas.openxmlformats.org/spreadsheetml/2006/main">
  <authors>
    <author>LENOVO</author>
  </authors>
  <commentList>
    <comment ref="E6" authorId="0" shapeId="0">
      <text>
        <r>
          <rPr>
            <b/>
            <sz val="9"/>
            <color indexed="81"/>
            <rFont val="Tahoma"/>
            <charset val="1"/>
          </rPr>
          <t>Vto 23/3/2025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6" authorId="0" shapeId="0">
      <text>
        <r>
          <rPr>
            <b/>
            <sz val="9"/>
            <color indexed="81"/>
            <rFont val="Tahoma"/>
            <charset val="1"/>
          </rPr>
          <t>Vto. 23/4 tentativo</t>
        </r>
      </text>
    </comment>
    <comment ref="G6" authorId="0" shapeId="0">
      <text>
        <r>
          <rPr>
            <b/>
            <sz val="9"/>
            <color indexed="81"/>
            <rFont val="Tahoma"/>
            <charset val="1"/>
          </rPr>
          <t>Vto. 23/5 por $39.130,49 + Reajuste Vto. 23/4 de $787,78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Tentativo Vto. 23/6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Tentativo Vto. 23/7 - diferencia Junio $6,535,25 
Reajustar en Agosto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Monto $37.385,90 en la factura al 23/8 menos reajuste a favor Gabriel de $5.574,97 cobrados entre Junio y Julio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" authorId="0" shapeId="0">
      <text>
        <r>
          <rPr>
            <b/>
            <sz val="9"/>
            <color indexed="81"/>
            <rFont val="Tahoma"/>
            <family val="2"/>
          </rPr>
          <t>Al 23/9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6" authorId="0" shapeId="0">
      <text>
        <r>
          <rPr>
            <b/>
            <sz val="9"/>
            <color indexed="81"/>
            <rFont val="Tahoma"/>
            <family val="2"/>
          </rPr>
          <t>Al 23/10 en la factura está bonificado pero corresponde el cargo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" authorId="0" shapeId="0">
      <text>
        <r>
          <rPr>
            <b/>
            <sz val="9"/>
            <color indexed="81"/>
            <rFont val="Tahoma"/>
            <charset val="1"/>
          </rPr>
          <t>Al 23/11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6" authorId="0" shapeId="0">
      <text>
        <r>
          <rPr>
            <b/>
            <sz val="9"/>
            <color indexed="81"/>
            <rFont val="Tahoma"/>
            <charset val="1"/>
          </rPr>
          <t>Al 23/12</t>
        </r>
      </text>
    </comment>
  </commentList>
</comments>
</file>

<file path=xl/sharedStrings.xml><?xml version="1.0" encoding="utf-8"?>
<sst xmlns="http://schemas.openxmlformats.org/spreadsheetml/2006/main" count="201" uniqueCount="84">
  <si>
    <t>AGOSTO</t>
  </si>
  <si>
    <t>SEPTIEMBRE</t>
  </si>
  <si>
    <t>OCTUBRE</t>
  </si>
  <si>
    <t>NOVIEMBRE</t>
  </si>
  <si>
    <t>DICIEMBRE</t>
  </si>
  <si>
    <t>MESES</t>
  </si>
  <si>
    <t>DETALLE</t>
  </si>
  <si>
    <t>EMPRESA</t>
  </si>
  <si>
    <t>MOVISTAR</t>
  </si>
  <si>
    <t>Línea 1139296044 Gisela</t>
  </si>
  <si>
    <t>Línea 1123632000 Gabriel</t>
  </si>
  <si>
    <t>Línea 3516334986 Juli</t>
  </si>
  <si>
    <t>CARGAS SOCIALES</t>
  </si>
  <si>
    <t>TOTALES</t>
  </si>
  <si>
    <t>CONVERSIÓN A DOLARES (REF. USD $ VENTA ÁMBITO/CRONISTA)</t>
  </si>
  <si>
    <t>AUDIOVISUAL</t>
  </si>
  <si>
    <t>Sebastian Miranda</t>
  </si>
  <si>
    <t>TRANSFERENCIAS</t>
  </si>
  <si>
    <t>Gisela (Galicia)</t>
  </si>
  <si>
    <t>Gabriel (Santander)</t>
  </si>
  <si>
    <t xml:space="preserve">Gabriel (Galicia) </t>
  </si>
  <si>
    <t>SUELDOS</t>
  </si>
  <si>
    <t>Pia Arrigoni</t>
  </si>
  <si>
    <t>Sergio Torres</t>
  </si>
  <si>
    <t>Adriana Valdez</t>
  </si>
  <si>
    <t>F.931 Sergio Torrres (Enjoy)</t>
  </si>
  <si>
    <t>F.931 Adriana Valdez (Enjoy)</t>
  </si>
  <si>
    <t>F.931 Pia Arrigoni (Dos57)</t>
  </si>
  <si>
    <t>Paul Tozer</t>
  </si>
  <si>
    <t>Paul Guzman</t>
  </si>
  <si>
    <t>ENERO</t>
  </si>
  <si>
    <t>FEBRERO</t>
  </si>
  <si>
    <t>MARZO</t>
  </si>
  <si>
    <t>ABRIL</t>
  </si>
  <si>
    <t>MAYO</t>
  </si>
  <si>
    <t>JUNIO</t>
  </si>
  <si>
    <t>PAGOS EXTRAORDINARIOS</t>
  </si>
  <si>
    <t>Psicóloga Gisela</t>
  </si>
  <si>
    <t xml:space="preserve">GABRIEL BURSZTYN CONSUMOS - 2024 - </t>
  </si>
  <si>
    <t>COTIZACIÓN DÓLAR - 2024 -</t>
  </si>
  <si>
    <t>COTIZACIÓN DÓLAR - 2025 -</t>
  </si>
  <si>
    <t>Efectivo Gabriel</t>
  </si>
  <si>
    <t xml:space="preserve">GABRIEL BURSZTYN CONSUMOS - 2025 - </t>
  </si>
  <si>
    <t>Fecha</t>
  </si>
  <si>
    <t>Detalle</t>
  </si>
  <si>
    <t>CONCILIACION CUENTAS - MATIAS / GABRIEL</t>
  </si>
  <si>
    <t>A FAVOR DE MATIAS</t>
  </si>
  <si>
    <t>Total a Favor de MATIAS</t>
  </si>
  <si>
    <t>A FAVOR DE GABRIEL</t>
  </si>
  <si>
    <t>Total a Favor de GABRIEL</t>
  </si>
  <si>
    <t>Importe USD$</t>
  </si>
  <si>
    <t>XXXXX</t>
  </si>
  <si>
    <t>A pagar Marzo</t>
  </si>
  <si>
    <t>A pagar Abril</t>
  </si>
  <si>
    <t>A pagar Mayo</t>
  </si>
  <si>
    <t>A pagar Junio</t>
  </si>
  <si>
    <t>Envío a China</t>
  </si>
  <si>
    <t>Envío a EEUU</t>
  </si>
  <si>
    <t>Dolares no entregados por Matias</t>
  </si>
  <si>
    <t>Abril</t>
  </si>
  <si>
    <t>JULIO</t>
  </si>
  <si>
    <t>Transferencia Julieta Bursztyn</t>
  </si>
  <si>
    <t>Transferencia Gabriel Bursztyn</t>
  </si>
  <si>
    <t>A pagar Julio</t>
  </si>
  <si>
    <t>Junio</t>
  </si>
  <si>
    <t xml:space="preserve">Total Conciliacion - Gabriel debe a Matias - </t>
  </si>
  <si>
    <t>EXTRAORDINARIO VERO PSICOLOGA</t>
  </si>
  <si>
    <t>A pagar Agosto</t>
  </si>
  <si>
    <t>A pagar Septiembre</t>
  </si>
  <si>
    <t xml:space="preserve">OCTUBRE </t>
  </si>
  <si>
    <t xml:space="preserve">A pagar Octubre </t>
  </si>
  <si>
    <t>Entrega Gabriel</t>
  </si>
  <si>
    <t>Octubre</t>
  </si>
  <si>
    <t>A pagar Noviembre</t>
  </si>
  <si>
    <t>A pagar Diciembre</t>
  </si>
  <si>
    <t>Noviembre</t>
  </si>
  <si>
    <t>Entrega Gabriel Richeze</t>
  </si>
  <si>
    <t>Entrega Gabriel Punta del Este</t>
  </si>
  <si>
    <t>Entrega Gabriel Suiza</t>
  </si>
  <si>
    <t xml:space="preserve">GABRIEL BURSZTYN CONSUMOS - 2026 - </t>
  </si>
  <si>
    <t>Granja de Zenon</t>
  </si>
  <si>
    <t>A pagar Enero</t>
  </si>
  <si>
    <t>COTIZACIÓN DÓLAR - 2026 -</t>
  </si>
  <si>
    <t>A pagar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</si>
</sst>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Alignment="1"/>
    <xf numFmtId="0" fontId="0" fillId="0" borderId="19" xfId="0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/>
    <xf numFmtId="164" fontId="0" fillId="0" borderId="0" xfId="0" applyNumberFormat="1" applyFont="1"/>
    <xf numFmtId="164" fontId="0" fillId="0" borderId="0" xfId="1" applyNumberFormat="1" applyFont="1"/>
    <xf numFmtId="164" fontId="0" fillId="0" borderId="0" xfId="0" applyNumberFormat="1"/>
    <xf numFmtId="164" fontId="7" fillId="6" borderId="0" xfId="0" applyNumberFormat="1" applyFont="1" applyFill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164" fontId="0" fillId="0" borderId="27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6" xfId="0" applyNumberFormat="1" applyFill="1" applyBorder="1" applyAlignment="1">
      <alignment horizontal="center" vertical="center"/>
    </xf>
    <xf numFmtId="164" fontId="0" fillId="0" borderId="3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4" fillId="6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4" fillId="5" borderId="0" xfId="0" applyFont="1" applyFill="1" applyAlignment="1">
      <alignment horizont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0" fillId="2" borderId="3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"/>
  <sheetViews>
    <sheetView topLeftCell="A16" workbookViewId="0">
      <selection sqref="A1:G1"/>
    </sheetView>
  </sheetViews>
  <sheetFormatPr baseColWidth="10" defaultRowHeight="14.4" x14ac:dyDescent="0.3"/>
  <cols>
    <col min="1" max="1" width="25.77734375" style="1" customWidth="1"/>
    <col min="2" max="2" width="30.77734375" style="2" customWidth="1"/>
    <col min="3" max="3" width="12.77734375" style="2" bestFit="1" customWidth="1"/>
    <col min="4" max="7" width="14.33203125" style="2" bestFit="1" customWidth="1"/>
  </cols>
  <sheetData>
    <row r="1" spans="1:13" ht="34.950000000000003" customHeight="1" thickBot="1" x14ac:dyDescent="0.35">
      <c r="A1" s="60" t="s">
        <v>38</v>
      </c>
      <c r="B1" s="60"/>
      <c r="C1" s="60"/>
      <c r="D1" s="60"/>
      <c r="E1" s="60"/>
      <c r="F1" s="60"/>
      <c r="G1" s="60"/>
    </row>
    <row r="2" spans="1:13" ht="25.05" customHeight="1" thickBot="1" x14ac:dyDescent="0.35">
      <c r="A2" s="61" t="s">
        <v>7</v>
      </c>
      <c r="B2" s="61" t="s">
        <v>6</v>
      </c>
      <c r="C2" s="61" t="s">
        <v>5</v>
      </c>
      <c r="D2" s="61"/>
      <c r="E2" s="61"/>
      <c r="F2" s="61"/>
      <c r="G2" s="61"/>
      <c r="I2" s="62" t="s">
        <v>39</v>
      </c>
      <c r="J2" s="63"/>
      <c r="K2" s="63"/>
      <c r="L2" s="63"/>
      <c r="M2" s="64"/>
    </row>
    <row r="3" spans="1:13" ht="25.05" customHeight="1" thickBot="1" x14ac:dyDescent="0.35">
      <c r="A3" s="61"/>
      <c r="B3" s="61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I3" s="8" t="s">
        <v>0</v>
      </c>
      <c r="J3" s="8" t="s">
        <v>1</v>
      </c>
      <c r="K3" s="8" t="s">
        <v>2</v>
      </c>
      <c r="L3" s="8" t="s">
        <v>3</v>
      </c>
      <c r="M3" s="8" t="s">
        <v>4</v>
      </c>
    </row>
    <row r="4" spans="1:13" ht="25.05" customHeight="1" thickBot="1" x14ac:dyDescent="0.35">
      <c r="A4" s="70" t="s">
        <v>8</v>
      </c>
      <c r="B4" s="9" t="s">
        <v>9</v>
      </c>
      <c r="C4" s="10">
        <v>31725.96</v>
      </c>
      <c r="D4" s="10">
        <v>31725.96</v>
      </c>
      <c r="E4" s="10">
        <v>19192.5</v>
      </c>
      <c r="F4" s="10">
        <v>16923.39</v>
      </c>
      <c r="G4" s="11">
        <v>18602.919999999998</v>
      </c>
      <c r="I4" s="7">
        <v>1300</v>
      </c>
      <c r="J4" s="7">
        <v>1240</v>
      </c>
      <c r="K4" s="7">
        <v>1140</v>
      </c>
      <c r="L4" s="7">
        <v>1110</v>
      </c>
      <c r="M4" s="7">
        <v>1100</v>
      </c>
    </row>
    <row r="5" spans="1:13" ht="25.05" customHeight="1" x14ac:dyDescent="0.3">
      <c r="A5" s="71"/>
      <c r="B5" s="3" t="s">
        <v>10</v>
      </c>
      <c r="C5" s="12">
        <v>31725.96</v>
      </c>
      <c r="D5" s="12">
        <v>31725.96</v>
      </c>
      <c r="E5" s="12">
        <v>18065.59</v>
      </c>
      <c r="F5" s="12">
        <v>14261.18</v>
      </c>
      <c r="G5" s="13">
        <v>17211.05</v>
      </c>
      <c r="I5" s="16"/>
      <c r="J5" s="16"/>
      <c r="K5" s="16"/>
      <c r="L5" s="16"/>
    </row>
    <row r="6" spans="1:13" ht="25.05" customHeight="1" thickBot="1" x14ac:dyDescent="0.35">
      <c r="A6" s="72"/>
      <c r="B6" s="4" t="s">
        <v>11</v>
      </c>
      <c r="C6" s="14">
        <v>31725.96</v>
      </c>
      <c r="D6" s="14">
        <v>31725.96</v>
      </c>
      <c r="E6" s="14">
        <v>17925.84</v>
      </c>
      <c r="F6" s="14">
        <v>14261.18</v>
      </c>
      <c r="G6" s="15">
        <v>18602.919999999998</v>
      </c>
    </row>
    <row r="7" spans="1:13" ht="25.05" customHeight="1" x14ac:dyDescent="0.3">
      <c r="A7" s="65" t="s">
        <v>12</v>
      </c>
      <c r="B7" s="9" t="s">
        <v>27</v>
      </c>
      <c r="C7" s="10">
        <v>133125.49</v>
      </c>
      <c r="D7" s="10">
        <v>133125.49</v>
      </c>
      <c r="E7" s="10">
        <v>133125.49</v>
      </c>
      <c r="F7" s="10">
        <v>133125.49</v>
      </c>
      <c r="G7" s="11">
        <v>133125.49</v>
      </c>
    </row>
    <row r="8" spans="1:13" ht="25.05" customHeight="1" x14ac:dyDescent="0.3">
      <c r="A8" s="66"/>
      <c r="B8" s="3" t="s">
        <v>25</v>
      </c>
      <c r="C8" s="12">
        <v>257372.49</v>
      </c>
      <c r="D8" s="12">
        <v>257372.49</v>
      </c>
      <c r="E8" s="12">
        <v>257372.49</v>
      </c>
      <c r="F8" s="12">
        <v>257372.49</v>
      </c>
      <c r="G8" s="13">
        <v>257372.49</v>
      </c>
    </row>
    <row r="9" spans="1:13" ht="25.05" customHeight="1" thickBot="1" x14ac:dyDescent="0.35">
      <c r="A9" s="67"/>
      <c r="B9" s="4" t="s">
        <v>26</v>
      </c>
      <c r="C9" s="14">
        <v>180113.44</v>
      </c>
      <c r="D9" s="14">
        <v>180113.44</v>
      </c>
      <c r="E9" s="14">
        <v>180113.44</v>
      </c>
      <c r="F9" s="14">
        <v>180113.44</v>
      </c>
      <c r="G9" s="15">
        <v>180113.44</v>
      </c>
    </row>
    <row r="10" spans="1:13" ht="25.05" customHeight="1" x14ac:dyDescent="0.3">
      <c r="A10" s="65" t="s">
        <v>17</v>
      </c>
      <c r="B10" s="9" t="s">
        <v>18</v>
      </c>
      <c r="C10" s="10">
        <v>0</v>
      </c>
      <c r="D10" s="10">
        <v>510000</v>
      </c>
      <c r="E10" s="10">
        <v>0</v>
      </c>
      <c r="F10" s="10">
        <v>0</v>
      </c>
      <c r="G10" s="11">
        <v>0</v>
      </c>
    </row>
    <row r="11" spans="1:13" ht="25.05" customHeight="1" x14ac:dyDescent="0.3">
      <c r="A11" s="66"/>
      <c r="B11" s="3" t="s">
        <v>19</v>
      </c>
      <c r="C11" s="12">
        <v>0</v>
      </c>
      <c r="D11" s="12">
        <v>400000</v>
      </c>
      <c r="E11" s="12">
        <v>0</v>
      </c>
      <c r="F11" s="12">
        <v>0</v>
      </c>
      <c r="G11" s="13">
        <v>0</v>
      </c>
    </row>
    <row r="12" spans="1:13" ht="25.05" customHeight="1" x14ac:dyDescent="0.3">
      <c r="A12" s="66"/>
      <c r="B12" s="3" t="s">
        <v>20</v>
      </c>
      <c r="C12" s="12">
        <v>0</v>
      </c>
      <c r="D12" s="12">
        <v>100000</v>
      </c>
      <c r="E12" s="12">
        <v>0</v>
      </c>
      <c r="F12" s="12">
        <v>0</v>
      </c>
      <c r="G12" s="13">
        <v>0</v>
      </c>
    </row>
    <row r="13" spans="1:13" ht="25.05" customHeight="1" x14ac:dyDescent="0.3">
      <c r="A13" s="66"/>
      <c r="B13" s="3" t="s">
        <v>28</v>
      </c>
      <c r="C13" s="12">
        <v>0</v>
      </c>
      <c r="D13" s="12">
        <v>0</v>
      </c>
      <c r="E13" s="12">
        <v>1500000</v>
      </c>
      <c r="F13" s="12">
        <v>0</v>
      </c>
      <c r="G13" s="13">
        <v>0</v>
      </c>
    </row>
    <row r="14" spans="1:13" ht="25.05" customHeight="1" thickBot="1" x14ac:dyDescent="0.35">
      <c r="A14" s="67"/>
      <c r="B14" s="20" t="s">
        <v>29</v>
      </c>
      <c r="C14" s="21">
        <v>0</v>
      </c>
      <c r="D14" s="21">
        <v>0</v>
      </c>
      <c r="E14" s="21">
        <v>0</v>
      </c>
      <c r="F14" s="21">
        <v>200000</v>
      </c>
      <c r="G14" s="22">
        <v>0</v>
      </c>
    </row>
    <row r="15" spans="1:13" ht="25.05" customHeight="1" x14ac:dyDescent="0.3">
      <c r="A15" s="65" t="s">
        <v>21</v>
      </c>
      <c r="B15" s="9" t="s">
        <v>22</v>
      </c>
      <c r="C15" s="10">
        <v>0</v>
      </c>
      <c r="D15" s="10">
        <v>301204.84999999998</v>
      </c>
      <c r="E15" s="10">
        <v>301204.84999999998</v>
      </c>
      <c r="F15" s="10">
        <v>301204.84999999998</v>
      </c>
      <c r="G15" s="11">
        <v>301204.84999999998</v>
      </c>
    </row>
    <row r="16" spans="1:13" ht="25.05" customHeight="1" x14ac:dyDescent="0.3">
      <c r="A16" s="66"/>
      <c r="B16" s="3" t="s">
        <v>23</v>
      </c>
      <c r="C16" s="12">
        <v>0</v>
      </c>
      <c r="D16" s="12">
        <v>602409.69999999995</v>
      </c>
      <c r="E16" s="12">
        <v>602409.69999999995</v>
      </c>
      <c r="F16" s="12">
        <v>602409.69999999995</v>
      </c>
      <c r="G16" s="13">
        <v>602409.69999999995</v>
      </c>
    </row>
    <row r="17" spans="1:7" ht="25.05" customHeight="1" thickBot="1" x14ac:dyDescent="0.35">
      <c r="A17" s="67"/>
      <c r="B17" s="4" t="s">
        <v>24</v>
      </c>
      <c r="C17" s="14">
        <v>0</v>
      </c>
      <c r="D17" s="14">
        <v>421686.8</v>
      </c>
      <c r="E17" s="14">
        <v>421686.8</v>
      </c>
      <c r="F17" s="14">
        <v>421686.8</v>
      </c>
      <c r="G17" s="15">
        <v>421686.8</v>
      </c>
    </row>
    <row r="18" spans="1:7" ht="25.05" customHeight="1" thickBot="1" x14ac:dyDescent="0.35">
      <c r="A18" s="23" t="s">
        <v>15</v>
      </c>
      <c r="B18" s="17" t="s">
        <v>16</v>
      </c>
      <c r="C18" s="18">
        <v>300000</v>
      </c>
      <c r="D18" s="18">
        <v>300000</v>
      </c>
      <c r="E18" s="18">
        <v>300000</v>
      </c>
      <c r="F18" s="18">
        <v>0</v>
      </c>
      <c r="G18" s="19">
        <v>0</v>
      </c>
    </row>
    <row r="19" spans="1:7" ht="25.05" customHeight="1" thickBot="1" x14ac:dyDescent="0.35">
      <c r="A19" s="73" t="s">
        <v>13</v>
      </c>
      <c r="B19" s="73"/>
      <c r="C19" s="6">
        <f>SUM(C4:C18)</f>
        <v>965789.3</v>
      </c>
      <c r="D19" s="6">
        <f>SUM(D4:D18)</f>
        <v>3301090.6499999994</v>
      </c>
      <c r="E19" s="6">
        <f>SUM(E4:E18)</f>
        <v>3751096.7</v>
      </c>
      <c r="F19" s="6">
        <f>SUM(F4:F18)</f>
        <v>2141358.52</v>
      </c>
      <c r="G19" s="6">
        <f>SUM(G4:G18)</f>
        <v>1950329.66</v>
      </c>
    </row>
    <row r="20" spans="1:7" ht="43.8" customHeight="1" thickBot="1" x14ac:dyDescent="0.35">
      <c r="A20" s="68" t="s">
        <v>14</v>
      </c>
      <c r="B20" s="69"/>
      <c r="C20" s="6">
        <f>+C19/I4</f>
        <v>742.91484615384616</v>
      </c>
      <c r="D20" s="6">
        <f>+D19/J4</f>
        <v>2662.1698790322575</v>
      </c>
      <c r="E20" s="6">
        <f>+E19/K4</f>
        <v>3290.4357017543862</v>
      </c>
      <c r="F20" s="6">
        <f>+F19/L4</f>
        <v>1929.1518198198198</v>
      </c>
      <c r="G20" s="6">
        <f>+G19/M4</f>
        <v>1773.0269636363635</v>
      </c>
    </row>
    <row r="21" spans="1:7" ht="25.05" customHeight="1" x14ac:dyDescent="0.3">
      <c r="A21" s="2"/>
    </row>
    <row r="22" spans="1:7" ht="25.05" customHeight="1" x14ac:dyDescent="0.3">
      <c r="A22" s="2"/>
    </row>
    <row r="23" spans="1:7" ht="25.05" customHeight="1" x14ac:dyDescent="0.3">
      <c r="A23" s="2"/>
    </row>
    <row r="24" spans="1:7" ht="25.05" customHeight="1" x14ac:dyDescent="0.3">
      <c r="A24" s="2"/>
    </row>
    <row r="25" spans="1:7" ht="25.05" customHeight="1" x14ac:dyDescent="0.3">
      <c r="A25" s="2"/>
    </row>
    <row r="26" spans="1:7" ht="25.05" customHeight="1" x14ac:dyDescent="0.3">
      <c r="A26" s="2"/>
    </row>
    <row r="27" spans="1:7" ht="25.05" customHeight="1" x14ac:dyDescent="0.3">
      <c r="A27" s="2"/>
    </row>
    <row r="28" spans="1:7" ht="25.05" customHeight="1" x14ac:dyDescent="0.3">
      <c r="A28" s="2"/>
    </row>
  </sheetData>
  <mergeCells count="11">
    <mergeCell ref="A7:A9"/>
    <mergeCell ref="A15:A17"/>
    <mergeCell ref="A20:B20"/>
    <mergeCell ref="A4:A6"/>
    <mergeCell ref="A19:B19"/>
    <mergeCell ref="A10:A14"/>
    <mergeCell ref="A1:G1"/>
    <mergeCell ref="C2:G2"/>
    <mergeCell ref="A2:A3"/>
    <mergeCell ref="B2:B3"/>
    <mergeCell ref="I2:M2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27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H12" sqref="H12"/>
    </sheetView>
  </sheetViews>
  <sheetFormatPr baseColWidth="10" defaultRowHeight="14.4" x14ac:dyDescent="0.3"/>
  <cols>
    <col min="1" max="1" width="25.77734375" style="1" customWidth="1"/>
    <col min="2" max="2" width="30.77734375" style="2" customWidth="1"/>
    <col min="3" max="6" width="14.33203125" style="2" bestFit="1" customWidth="1"/>
    <col min="7" max="7" width="14.33203125" style="2" customWidth="1"/>
    <col min="8" max="8" width="14.33203125" style="2" bestFit="1" customWidth="1"/>
    <col min="9" max="12" width="15.33203125" style="2" bestFit="1" customWidth="1"/>
    <col min="13" max="13" width="15.33203125" style="2" customWidth="1"/>
    <col min="14" max="14" width="15.33203125" style="2" bestFit="1" customWidth="1"/>
  </cols>
  <sheetData>
    <row r="1" spans="1:27" ht="34.950000000000003" customHeight="1" thickBot="1" x14ac:dyDescent="0.35">
      <c r="A1" s="60" t="s">
        <v>42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27" ht="25.05" customHeight="1" thickBot="1" x14ac:dyDescent="0.35">
      <c r="A2" s="61" t="s">
        <v>7</v>
      </c>
      <c r="B2" s="61" t="s">
        <v>6</v>
      </c>
      <c r="C2" s="61" t="s">
        <v>5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P2" s="61" t="s">
        <v>40</v>
      </c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1:27" ht="25.05" customHeight="1" thickBot="1" x14ac:dyDescent="0.35">
      <c r="A3" s="61"/>
      <c r="B3" s="61"/>
      <c r="C3" s="41" t="s">
        <v>30</v>
      </c>
      <c r="D3" s="41" t="s">
        <v>31</v>
      </c>
      <c r="E3" s="41" t="s">
        <v>32</v>
      </c>
      <c r="F3" s="41" t="s">
        <v>33</v>
      </c>
      <c r="G3" s="41" t="s">
        <v>34</v>
      </c>
      <c r="H3" s="41" t="s">
        <v>35</v>
      </c>
      <c r="I3" s="41" t="s">
        <v>60</v>
      </c>
      <c r="J3" s="41" t="s">
        <v>0</v>
      </c>
      <c r="K3" s="41" t="s">
        <v>1</v>
      </c>
      <c r="L3" s="41" t="s">
        <v>2</v>
      </c>
      <c r="M3" s="41" t="s">
        <v>3</v>
      </c>
      <c r="N3" s="41" t="s">
        <v>4</v>
      </c>
      <c r="P3" s="41" t="s">
        <v>30</v>
      </c>
      <c r="Q3" s="41" t="s">
        <v>31</v>
      </c>
      <c r="R3" s="41" t="s">
        <v>32</v>
      </c>
      <c r="S3" s="41" t="s">
        <v>33</v>
      </c>
      <c r="T3" s="41" t="s">
        <v>34</v>
      </c>
      <c r="U3" s="41" t="s">
        <v>35</v>
      </c>
      <c r="V3" s="41" t="s">
        <v>60</v>
      </c>
      <c r="W3" s="41" t="s">
        <v>0</v>
      </c>
      <c r="X3" s="41" t="s">
        <v>1</v>
      </c>
      <c r="Y3" s="41" t="s">
        <v>2</v>
      </c>
      <c r="Z3" s="41" t="s">
        <v>3</v>
      </c>
      <c r="AA3" s="41" t="s">
        <v>4</v>
      </c>
    </row>
    <row r="4" spans="1:27" ht="25.05" customHeight="1" thickBot="1" x14ac:dyDescent="0.35">
      <c r="A4" s="70" t="s">
        <v>8</v>
      </c>
      <c r="B4" s="9" t="s">
        <v>9</v>
      </c>
      <c r="C4" s="10">
        <v>13021.26</v>
      </c>
      <c r="D4" s="10">
        <v>0</v>
      </c>
      <c r="E4" s="10">
        <v>0</v>
      </c>
      <c r="F4" s="10">
        <v>0</v>
      </c>
      <c r="G4" s="10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P4" s="7">
        <v>1150</v>
      </c>
      <c r="Q4" s="7">
        <v>1150</v>
      </c>
      <c r="R4" s="7">
        <v>1180</v>
      </c>
      <c r="S4" s="7">
        <v>1250</v>
      </c>
      <c r="T4" s="7">
        <v>1170</v>
      </c>
      <c r="U4" s="7">
        <v>1150</v>
      </c>
      <c r="V4" s="7">
        <v>1210</v>
      </c>
      <c r="W4" s="7">
        <v>1290</v>
      </c>
      <c r="X4" s="7">
        <v>1380</v>
      </c>
      <c r="Y4" s="7">
        <v>1400</v>
      </c>
      <c r="Z4" s="7">
        <v>1380</v>
      </c>
      <c r="AA4" s="7">
        <v>1380</v>
      </c>
    </row>
    <row r="5" spans="1:27" ht="25.05" customHeight="1" x14ac:dyDescent="0.3">
      <c r="A5" s="71"/>
      <c r="B5" s="3" t="s">
        <v>10</v>
      </c>
      <c r="C5" s="12">
        <v>13021.25</v>
      </c>
      <c r="D5" s="12">
        <v>0</v>
      </c>
      <c r="E5" s="12">
        <v>0</v>
      </c>
      <c r="F5" s="12">
        <v>0</v>
      </c>
      <c r="G5" s="12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P5" s="16"/>
      <c r="Q5" s="16"/>
      <c r="R5" s="16"/>
      <c r="S5" s="16"/>
      <c r="T5" s="16"/>
    </row>
    <row r="6" spans="1:27" ht="25.05" customHeight="1" thickBot="1" x14ac:dyDescent="0.35">
      <c r="A6" s="72"/>
      <c r="B6" s="4" t="s">
        <v>11</v>
      </c>
      <c r="C6" s="14">
        <v>20112.09</v>
      </c>
      <c r="D6" s="14">
        <v>22723.279999999999</v>
      </c>
      <c r="E6" s="14">
        <v>28493.13</v>
      </c>
      <c r="F6" s="14">
        <v>28493.13</v>
      </c>
      <c r="G6" s="14">
        <v>39918.269999999997</v>
      </c>
      <c r="H6" s="15">
        <v>39918.269999999997</v>
      </c>
      <c r="I6" s="15">
        <v>33383.019999999997</v>
      </c>
      <c r="J6" s="15">
        <v>31810.93</v>
      </c>
      <c r="K6" s="15">
        <v>51048.639999999999</v>
      </c>
      <c r="L6" s="15">
        <v>30000</v>
      </c>
      <c r="M6" s="15">
        <v>55991.15</v>
      </c>
      <c r="N6" s="15">
        <v>29918.83</v>
      </c>
    </row>
    <row r="7" spans="1:27" ht="25.05" customHeight="1" x14ac:dyDescent="0.3">
      <c r="A7" s="70" t="s">
        <v>12</v>
      </c>
      <c r="B7" s="9" t="s">
        <v>27</v>
      </c>
      <c r="C7" s="10">
        <v>133125.49</v>
      </c>
      <c r="D7" s="10">
        <v>133125.49</v>
      </c>
      <c r="E7" s="10">
        <v>133125.49</v>
      </c>
      <c r="F7" s="10">
        <v>133125.49</v>
      </c>
      <c r="G7" s="10">
        <v>133125.49</v>
      </c>
      <c r="H7" s="11">
        <v>133125.49</v>
      </c>
      <c r="I7" s="11">
        <v>133125.49</v>
      </c>
      <c r="J7" s="11">
        <v>133125.49</v>
      </c>
      <c r="K7" s="11">
        <v>133125.49</v>
      </c>
      <c r="L7" s="11">
        <v>133125.49</v>
      </c>
      <c r="M7" s="11">
        <v>133125.49</v>
      </c>
      <c r="N7" s="11">
        <v>133125.49</v>
      </c>
    </row>
    <row r="8" spans="1:27" ht="25.05" customHeight="1" x14ac:dyDescent="0.3">
      <c r="A8" s="71"/>
      <c r="B8" s="3" t="s">
        <v>25</v>
      </c>
      <c r="C8" s="12">
        <v>257372.49</v>
      </c>
      <c r="D8" s="12">
        <v>257372.49</v>
      </c>
      <c r="E8" s="12">
        <v>257372.49</v>
      </c>
      <c r="F8" s="12">
        <v>257372.49</v>
      </c>
      <c r="G8" s="12">
        <v>257372.49</v>
      </c>
      <c r="H8" s="13">
        <v>257372.49</v>
      </c>
      <c r="I8" s="13">
        <v>257372.49</v>
      </c>
      <c r="J8" s="13">
        <v>257372.49</v>
      </c>
      <c r="K8" s="13">
        <v>257372.49</v>
      </c>
      <c r="L8" s="13">
        <v>257372.49</v>
      </c>
      <c r="M8" s="42">
        <v>737812</v>
      </c>
      <c r="N8" s="42">
        <v>737812</v>
      </c>
    </row>
    <row r="9" spans="1:27" ht="25.05" customHeight="1" thickBot="1" x14ac:dyDescent="0.35">
      <c r="A9" s="72"/>
      <c r="B9" s="4" t="s">
        <v>26</v>
      </c>
      <c r="C9" s="14">
        <v>180113.44</v>
      </c>
      <c r="D9" s="14">
        <v>180113.44</v>
      </c>
      <c r="E9" s="14">
        <v>180113.44</v>
      </c>
      <c r="F9" s="14">
        <v>180113.44</v>
      </c>
      <c r="G9" s="14">
        <v>180113.44</v>
      </c>
      <c r="H9" s="15">
        <v>180113.44</v>
      </c>
      <c r="I9" s="15">
        <v>180113.44</v>
      </c>
      <c r="J9" s="15">
        <v>180113.44</v>
      </c>
      <c r="K9" s="15">
        <v>180113.44</v>
      </c>
      <c r="L9" s="15">
        <v>0</v>
      </c>
      <c r="M9" s="15">
        <v>0</v>
      </c>
      <c r="N9" s="15">
        <v>0</v>
      </c>
    </row>
    <row r="10" spans="1:27" ht="25.05" customHeight="1" x14ac:dyDescent="0.3">
      <c r="A10" s="70" t="s">
        <v>17</v>
      </c>
      <c r="B10" s="9" t="s">
        <v>18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1">
        <v>0</v>
      </c>
      <c r="I10" s="11">
        <v>2850000</v>
      </c>
      <c r="J10" s="11">
        <v>1360000</v>
      </c>
      <c r="K10" s="11">
        <v>1100000</v>
      </c>
      <c r="L10" s="11">
        <v>1621000</v>
      </c>
      <c r="M10" s="11">
        <v>1000000</v>
      </c>
      <c r="N10" s="11">
        <v>0</v>
      </c>
    </row>
    <row r="11" spans="1:27" ht="25.05" customHeight="1" x14ac:dyDescent="0.3">
      <c r="A11" s="71"/>
      <c r="B11" s="3" t="s">
        <v>19</v>
      </c>
      <c r="C11" s="12">
        <v>200000</v>
      </c>
      <c r="D11" s="12">
        <v>0</v>
      </c>
      <c r="E11" s="12">
        <v>3000000</v>
      </c>
      <c r="F11" s="12">
        <v>1500000</v>
      </c>
      <c r="G11" s="12">
        <v>0</v>
      </c>
      <c r="H11" s="13">
        <v>0</v>
      </c>
      <c r="I11" s="13">
        <v>3400000</v>
      </c>
      <c r="J11" s="13">
        <v>600000</v>
      </c>
      <c r="K11" s="13">
        <v>600000</v>
      </c>
      <c r="L11" s="13">
        <v>833000</v>
      </c>
      <c r="M11" s="13">
        <v>3500000</v>
      </c>
      <c r="N11" s="13">
        <v>0</v>
      </c>
    </row>
    <row r="12" spans="1:27" ht="25.05" customHeight="1" thickBot="1" x14ac:dyDescent="0.35">
      <c r="A12" s="72"/>
      <c r="B12" s="4" t="s">
        <v>20</v>
      </c>
      <c r="C12" s="14">
        <v>0</v>
      </c>
      <c r="D12" s="14">
        <v>1000000</v>
      </c>
      <c r="E12" s="14">
        <v>1000000</v>
      </c>
      <c r="F12" s="14">
        <v>1500000</v>
      </c>
      <c r="G12" s="14">
        <v>400000</v>
      </c>
      <c r="H12" s="15">
        <v>0</v>
      </c>
      <c r="I12" s="15">
        <v>560000</v>
      </c>
      <c r="J12" s="15">
        <v>350000</v>
      </c>
      <c r="K12" s="15">
        <v>200000</v>
      </c>
      <c r="L12" s="15">
        <v>870000</v>
      </c>
      <c r="M12" s="15">
        <v>1000000</v>
      </c>
      <c r="N12" s="15">
        <v>0</v>
      </c>
    </row>
    <row r="13" spans="1:27" ht="25.05" customHeight="1" x14ac:dyDescent="0.3">
      <c r="A13" s="70" t="s">
        <v>21</v>
      </c>
      <c r="B13" s="9" t="s">
        <v>22</v>
      </c>
      <c r="C13" s="10">
        <v>301204.84999999998</v>
      </c>
      <c r="D13" s="10">
        <v>301204.84999999998</v>
      </c>
      <c r="E13" s="10">
        <v>301204.84999999998</v>
      </c>
      <c r="F13" s="10">
        <v>301204.84999999998</v>
      </c>
      <c r="G13" s="10">
        <v>301204.84999999998</v>
      </c>
      <c r="H13" s="11">
        <v>301204.84999999998</v>
      </c>
      <c r="I13" s="11">
        <v>301204.84999999998</v>
      </c>
      <c r="J13" s="11">
        <v>301204.84999999998</v>
      </c>
      <c r="K13" s="11">
        <v>301204.84999999998</v>
      </c>
      <c r="L13" s="11">
        <v>301204.84999999998</v>
      </c>
      <c r="M13" s="11">
        <v>301204.84999999998</v>
      </c>
      <c r="N13" s="11">
        <v>301204.84999999998</v>
      </c>
    </row>
    <row r="14" spans="1:27" ht="25.05" customHeight="1" x14ac:dyDescent="0.3">
      <c r="A14" s="71"/>
      <c r="B14" s="3" t="s">
        <v>23</v>
      </c>
      <c r="C14" s="12">
        <v>602409.69999999995</v>
      </c>
      <c r="D14" s="12">
        <v>602409.69999999995</v>
      </c>
      <c r="E14" s="12">
        <v>602409.69999999995</v>
      </c>
      <c r="F14" s="12">
        <v>602409.69999999995</v>
      </c>
      <c r="G14" s="12">
        <v>602409.69999999995</v>
      </c>
      <c r="H14" s="13">
        <v>602409.69999999995</v>
      </c>
      <c r="I14" s="13">
        <v>602409.69999999995</v>
      </c>
      <c r="J14" s="13">
        <v>602409.69999999995</v>
      </c>
      <c r="K14" s="13">
        <v>602409.69999999995</v>
      </c>
      <c r="L14" s="13">
        <v>602409.69999999995</v>
      </c>
      <c r="M14" s="42">
        <v>1500000</v>
      </c>
      <c r="N14" s="42">
        <v>1500000</v>
      </c>
    </row>
    <row r="15" spans="1:27" ht="25.05" customHeight="1" thickBot="1" x14ac:dyDescent="0.35">
      <c r="A15" s="72"/>
      <c r="B15" s="4" t="s">
        <v>24</v>
      </c>
      <c r="C15" s="14">
        <v>421686.8</v>
      </c>
      <c r="D15" s="14">
        <v>421686.8</v>
      </c>
      <c r="E15" s="14">
        <v>421686.8</v>
      </c>
      <c r="F15" s="14">
        <v>421686.8</v>
      </c>
      <c r="G15" s="14">
        <v>421686.8</v>
      </c>
      <c r="H15" s="15">
        <v>421686.8</v>
      </c>
      <c r="I15" s="15">
        <v>421686.8</v>
      </c>
      <c r="J15" s="15">
        <v>421686.8</v>
      </c>
      <c r="K15" s="15">
        <v>421686.8</v>
      </c>
      <c r="L15" s="15">
        <v>0</v>
      </c>
      <c r="M15" s="15">
        <v>0</v>
      </c>
      <c r="N15" s="15">
        <v>0</v>
      </c>
    </row>
    <row r="16" spans="1:27" ht="25.05" customHeight="1" x14ac:dyDescent="0.3">
      <c r="A16" s="70" t="s">
        <v>36</v>
      </c>
      <c r="B16" s="9" t="s">
        <v>37</v>
      </c>
      <c r="C16" s="10">
        <v>450000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</row>
    <row r="17" spans="1:14" ht="25.05" customHeight="1" x14ac:dyDescent="0.3">
      <c r="A17" s="71"/>
      <c r="B17" s="3" t="s">
        <v>41</v>
      </c>
      <c r="C17" s="12">
        <v>0</v>
      </c>
      <c r="D17" s="12">
        <v>500000</v>
      </c>
      <c r="E17" s="12">
        <v>0</v>
      </c>
      <c r="F17" s="12">
        <v>0</v>
      </c>
      <c r="G17" s="12">
        <v>0</v>
      </c>
      <c r="H17" s="12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</row>
    <row r="18" spans="1:14" ht="25.05" customHeight="1" x14ac:dyDescent="0.3">
      <c r="A18" s="74"/>
      <c r="B18" s="38" t="s">
        <v>61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40">
        <v>1700000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</row>
    <row r="19" spans="1:14" ht="25.05" customHeight="1" thickBot="1" x14ac:dyDescent="0.35">
      <c r="A19" s="72"/>
      <c r="B19" s="4" t="s">
        <v>62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5">
        <v>2500000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</row>
    <row r="20" spans="1:14" ht="25.05" customHeight="1" thickBot="1" x14ac:dyDescent="0.35">
      <c r="A20" s="73" t="s">
        <v>13</v>
      </c>
      <c r="B20" s="73"/>
      <c r="C20" s="6">
        <f t="shared" ref="C20:K20" si="0">SUM(C4:C19)</f>
        <v>2592067.37</v>
      </c>
      <c r="D20" s="6">
        <f t="shared" si="0"/>
        <v>3418636.05</v>
      </c>
      <c r="E20" s="6">
        <f t="shared" si="0"/>
        <v>5924405.8999999994</v>
      </c>
      <c r="F20" s="6">
        <f t="shared" si="0"/>
        <v>4924405.8999999994</v>
      </c>
      <c r="G20" s="6">
        <f t="shared" si="0"/>
        <v>2335831.04</v>
      </c>
      <c r="H20" s="6">
        <f t="shared" si="0"/>
        <v>1935831.0399999998</v>
      </c>
      <c r="I20" s="6">
        <f t="shared" si="0"/>
        <v>12939295.789999999</v>
      </c>
      <c r="J20" s="6">
        <f t="shared" si="0"/>
        <v>4237723.7</v>
      </c>
      <c r="K20" s="6">
        <f t="shared" si="0"/>
        <v>3846961.41</v>
      </c>
      <c r="L20" s="6">
        <f t="shared" ref="L20:N20" si="1">SUM(L4:L19)</f>
        <v>4648112.53</v>
      </c>
      <c r="M20" s="6">
        <f t="shared" si="1"/>
        <v>8228133.4900000002</v>
      </c>
      <c r="N20" s="6">
        <f t="shared" si="1"/>
        <v>2702061.17</v>
      </c>
    </row>
    <row r="21" spans="1:14" ht="25.05" customHeight="1" thickBot="1" x14ac:dyDescent="0.35">
      <c r="A21" s="73" t="s">
        <v>66</v>
      </c>
      <c r="B21" s="73"/>
      <c r="C21" s="73"/>
      <c r="D21" s="73"/>
      <c r="E21" s="73"/>
      <c r="F21" s="73"/>
      <c r="G21" s="73"/>
      <c r="H21" s="73"/>
      <c r="I21" s="73"/>
      <c r="J21" s="6">
        <v>1000</v>
      </c>
      <c r="K21" s="6">
        <v>0</v>
      </c>
      <c r="L21" s="6">
        <v>0</v>
      </c>
      <c r="M21" s="6">
        <v>0</v>
      </c>
      <c r="N21" s="6">
        <v>0</v>
      </c>
    </row>
    <row r="22" spans="1:14" ht="43.8" customHeight="1" thickBot="1" x14ac:dyDescent="0.35">
      <c r="A22" s="68" t="s">
        <v>14</v>
      </c>
      <c r="B22" s="69"/>
      <c r="C22" s="6">
        <f t="shared" ref="C22:I22" si="2">+C20/P4</f>
        <v>2253.9716260869568</v>
      </c>
      <c r="D22" s="6">
        <f t="shared" si="2"/>
        <v>2972.7269999999999</v>
      </c>
      <c r="E22" s="6">
        <f t="shared" si="2"/>
        <v>5020.6829661016945</v>
      </c>
      <c r="F22" s="6">
        <f t="shared" si="2"/>
        <v>3939.5247199999994</v>
      </c>
      <c r="G22" s="6">
        <f t="shared" si="2"/>
        <v>1996.4367863247865</v>
      </c>
      <c r="H22" s="6">
        <f t="shared" si="2"/>
        <v>1683.3313391304346</v>
      </c>
      <c r="I22" s="6">
        <f t="shared" si="2"/>
        <v>10693.63288429752</v>
      </c>
      <c r="J22" s="6">
        <f>+J20/V4</f>
        <v>3502.2509917355374</v>
      </c>
      <c r="K22" s="6">
        <f>+K20/X4</f>
        <v>2787.653195652174</v>
      </c>
      <c r="L22" s="6">
        <f>+L20/Y4</f>
        <v>3320.0803785714288</v>
      </c>
      <c r="M22" s="6">
        <f>+M20/Z4</f>
        <v>5962.4155724637685</v>
      </c>
      <c r="N22" s="6">
        <f>+N20/AA4</f>
        <v>1958.01534057971</v>
      </c>
    </row>
    <row r="23" spans="1:14" ht="25.05" customHeight="1" x14ac:dyDescent="0.3">
      <c r="A23" s="2"/>
    </row>
    <row r="24" spans="1:14" ht="25.05" customHeight="1" x14ac:dyDescent="0.3">
      <c r="A24" s="2"/>
    </row>
    <row r="25" spans="1:14" ht="25.05" customHeight="1" x14ac:dyDescent="0.3">
      <c r="A25" s="2"/>
    </row>
    <row r="26" spans="1:14" ht="25.05" customHeight="1" x14ac:dyDescent="0.3">
      <c r="A26" s="2"/>
    </row>
    <row r="27" spans="1:14" ht="25.05" customHeight="1" x14ac:dyDescent="0.3">
      <c r="A27" s="2"/>
    </row>
  </sheetData>
  <mergeCells count="13">
    <mergeCell ref="P2:AA2"/>
    <mergeCell ref="A1:N1"/>
    <mergeCell ref="C2:N2"/>
    <mergeCell ref="A22:B22"/>
    <mergeCell ref="A7:A9"/>
    <mergeCell ref="A10:A12"/>
    <mergeCell ref="A13:A15"/>
    <mergeCell ref="A20:B20"/>
    <mergeCell ref="A16:A19"/>
    <mergeCell ref="A21:I21"/>
    <mergeCell ref="A2:A3"/>
    <mergeCell ref="B2:B3"/>
    <mergeCell ref="A4:A6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36" fitToHeight="0" orientation="landscape" r:id="rId1"/>
  <ignoredErrors>
    <ignoredError sqref="J2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workbookViewId="0">
      <selection activeCell="B21" sqref="B21"/>
    </sheetView>
  </sheetViews>
  <sheetFormatPr baseColWidth="10" defaultRowHeight="14.4" x14ac:dyDescent="0.3"/>
  <cols>
    <col min="1" max="1" width="20.77734375" style="2" customWidth="1"/>
    <col min="2" max="2" width="40.77734375" customWidth="1"/>
    <col min="3" max="3" width="40.77734375" style="32" customWidth="1"/>
  </cols>
  <sheetData>
    <row r="1" spans="1:3" x14ac:dyDescent="0.3">
      <c r="A1" s="76" t="s">
        <v>45</v>
      </c>
      <c r="B1" s="76"/>
      <c r="C1" s="76"/>
    </row>
    <row r="2" spans="1:3" x14ac:dyDescent="0.3">
      <c r="A2" s="77" t="s">
        <v>46</v>
      </c>
      <c r="B2" s="77"/>
      <c r="C2" s="77"/>
    </row>
    <row r="3" spans="1:3" x14ac:dyDescent="0.3">
      <c r="A3" s="26" t="s">
        <v>43</v>
      </c>
      <c r="B3" s="24" t="s">
        <v>44</v>
      </c>
      <c r="C3" s="28" t="s">
        <v>50</v>
      </c>
    </row>
    <row r="4" spans="1:3" x14ac:dyDescent="0.3">
      <c r="A4" s="27" t="s">
        <v>32</v>
      </c>
      <c r="B4" s="34" t="s">
        <v>52</v>
      </c>
      <c r="C4" s="29">
        <v>2993.41</v>
      </c>
    </row>
    <row r="5" spans="1:3" x14ac:dyDescent="0.3">
      <c r="A5" s="27" t="s">
        <v>33</v>
      </c>
      <c r="B5" s="34" t="s">
        <v>53</v>
      </c>
      <c r="C5" s="29">
        <v>4239.5</v>
      </c>
    </row>
    <row r="6" spans="1:3" x14ac:dyDescent="0.3">
      <c r="A6" s="27" t="s">
        <v>34</v>
      </c>
      <c r="B6" s="34" t="s">
        <v>54</v>
      </c>
      <c r="C6" s="29">
        <v>1996.44</v>
      </c>
    </row>
    <row r="7" spans="1:3" x14ac:dyDescent="0.3">
      <c r="A7" s="27" t="s">
        <v>35</v>
      </c>
      <c r="B7" s="34" t="s">
        <v>55</v>
      </c>
      <c r="C7" s="30">
        <v>1683.33</v>
      </c>
    </row>
    <row r="8" spans="1:3" x14ac:dyDescent="0.3">
      <c r="A8" s="27" t="s">
        <v>60</v>
      </c>
      <c r="B8" s="34" t="s">
        <v>63</v>
      </c>
      <c r="C8" s="30">
        <v>10693.63</v>
      </c>
    </row>
    <row r="9" spans="1:3" x14ac:dyDescent="0.3">
      <c r="A9" s="27" t="s">
        <v>0</v>
      </c>
      <c r="B9" s="34" t="s">
        <v>67</v>
      </c>
      <c r="C9" s="30">
        <v>4285.0600000000004</v>
      </c>
    </row>
    <row r="10" spans="1:3" x14ac:dyDescent="0.3">
      <c r="A10" s="27" t="s">
        <v>1</v>
      </c>
      <c r="B10" s="34" t="s">
        <v>68</v>
      </c>
      <c r="C10" s="30">
        <v>2787.65</v>
      </c>
    </row>
    <row r="11" spans="1:3" x14ac:dyDescent="0.3">
      <c r="A11" s="27" t="s">
        <v>69</v>
      </c>
      <c r="B11" s="34" t="s">
        <v>70</v>
      </c>
      <c r="C11" s="30">
        <v>3320.08</v>
      </c>
    </row>
    <row r="12" spans="1:3" x14ac:dyDescent="0.3">
      <c r="A12" s="27" t="s">
        <v>3</v>
      </c>
      <c r="B12" s="34" t="s">
        <v>73</v>
      </c>
      <c r="C12" s="30">
        <v>5962.42</v>
      </c>
    </row>
    <row r="13" spans="1:3" x14ac:dyDescent="0.3">
      <c r="A13" s="27" t="s">
        <v>4</v>
      </c>
      <c r="B13" s="34" t="s">
        <v>74</v>
      </c>
      <c r="C13" s="30">
        <v>1958.02</v>
      </c>
    </row>
    <row r="14" spans="1:3" x14ac:dyDescent="0.3">
      <c r="A14" s="78" t="s">
        <v>47</v>
      </c>
      <c r="B14" s="78"/>
      <c r="C14" s="32">
        <f>SUM(C4:C13)</f>
        <v>39919.539999999994</v>
      </c>
    </row>
    <row r="15" spans="1:3" x14ac:dyDescent="0.3">
      <c r="A15" s="79" t="s">
        <v>48</v>
      </c>
      <c r="B15" s="79"/>
      <c r="C15" s="79"/>
    </row>
    <row r="16" spans="1:3" x14ac:dyDescent="0.3">
      <c r="A16" s="26" t="s">
        <v>43</v>
      </c>
      <c r="B16" s="24" t="s">
        <v>44</v>
      </c>
      <c r="C16" s="28" t="s">
        <v>50</v>
      </c>
    </row>
    <row r="17" spans="1:3" x14ac:dyDescent="0.3">
      <c r="A17" s="34" t="s">
        <v>51</v>
      </c>
      <c r="B17" s="35" t="s">
        <v>56</v>
      </c>
      <c r="C17" s="36">
        <v>10000</v>
      </c>
    </row>
    <row r="18" spans="1:3" x14ac:dyDescent="0.3">
      <c r="A18" s="37" t="s">
        <v>51</v>
      </c>
      <c r="B18" s="34" t="s">
        <v>57</v>
      </c>
      <c r="C18" s="31">
        <v>800</v>
      </c>
    </row>
    <row r="19" spans="1:3" x14ac:dyDescent="0.3">
      <c r="A19" s="2" t="s">
        <v>59</v>
      </c>
      <c r="B19" s="2" t="s">
        <v>58</v>
      </c>
      <c r="C19" s="32">
        <v>300</v>
      </c>
    </row>
    <row r="20" spans="1:3" x14ac:dyDescent="0.3">
      <c r="A20" s="2" t="s">
        <v>64</v>
      </c>
      <c r="B20" s="2" t="s">
        <v>71</v>
      </c>
      <c r="C20" s="32">
        <v>2551.62</v>
      </c>
    </row>
    <row r="21" spans="1:3" x14ac:dyDescent="0.3">
      <c r="A21" s="2" t="s">
        <v>72</v>
      </c>
      <c r="B21" s="2" t="s">
        <v>71</v>
      </c>
      <c r="C21" s="32">
        <v>2500</v>
      </c>
    </row>
    <row r="22" spans="1:3" x14ac:dyDescent="0.3">
      <c r="A22" s="43" t="s">
        <v>75</v>
      </c>
      <c r="B22" s="2" t="s">
        <v>76</v>
      </c>
      <c r="C22" s="32">
        <v>3000</v>
      </c>
    </row>
    <row r="23" spans="1:3" x14ac:dyDescent="0.3">
      <c r="A23" s="2" t="s">
        <v>75</v>
      </c>
      <c r="B23" s="2" t="s">
        <v>77</v>
      </c>
      <c r="C23" s="32">
        <v>4095</v>
      </c>
    </row>
    <row r="24" spans="1:3" x14ac:dyDescent="0.3">
      <c r="A24" s="2" t="s">
        <v>75</v>
      </c>
      <c r="B24" s="2" t="s">
        <v>78</v>
      </c>
      <c r="C24" s="32">
        <v>2500</v>
      </c>
    </row>
    <row r="25" spans="1:3" x14ac:dyDescent="0.3">
      <c r="A25" s="78" t="s">
        <v>49</v>
      </c>
      <c r="B25" s="78"/>
      <c r="C25" s="32">
        <f>SUM(C17:C24)</f>
        <v>25746.62</v>
      </c>
    </row>
    <row r="26" spans="1:3" x14ac:dyDescent="0.3">
      <c r="A26" s="26"/>
      <c r="B26" s="25"/>
    </row>
    <row r="27" spans="1:3" x14ac:dyDescent="0.3">
      <c r="A27" s="75" t="s">
        <v>65</v>
      </c>
      <c r="B27" s="75"/>
      <c r="C27" s="33">
        <f>+C25-C14</f>
        <v>-14172.919999999995</v>
      </c>
    </row>
  </sheetData>
  <mergeCells count="6">
    <mergeCell ref="A27:B27"/>
    <mergeCell ref="A1:C1"/>
    <mergeCell ref="A2:C2"/>
    <mergeCell ref="A14:B14"/>
    <mergeCell ref="A15:C15"/>
    <mergeCell ref="A25:B25"/>
  </mergeCells>
  <pageMargins left="0.7" right="0.7" top="0.75" bottom="0.75" header="0.3" footer="0.3"/>
  <pageSetup scale="8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2" sqref="J12"/>
    </sheetView>
  </sheetViews>
  <sheetFormatPr baseColWidth="10" defaultRowHeight="14.4" x14ac:dyDescent="0.3"/>
  <cols>
    <col min="1" max="1" width="25.77734375" style="1" customWidth="1"/>
    <col min="2" max="2" width="30.77734375" style="2" customWidth="1"/>
    <col min="3" max="3" width="14.33203125" style="2" bestFit="1" customWidth="1"/>
    <col min="4" max="4" width="15.33203125" style="2" bestFit="1" customWidth="1"/>
    <col min="5" max="6" width="14.33203125" style="2" bestFit="1" customWidth="1"/>
    <col min="7" max="10" width="14.33203125" style="2" customWidth="1"/>
    <col min="12" max="17" width="15.77734375" customWidth="1"/>
  </cols>
  <sheetData>
    <row r="1" spans="1:17" ht="34.950000000000003" customHeight="1" thickBot="1" x14ac:dyDescent="0.35">
      <c r="A1" s="84" t="s">
        <v>79</v>
      </c>
      <c r="B1" s="85"/>
      <c r="C1" s="85"/>
      <c r="D1" s="85"/>
      <c r="E1" s="85"/>
      <c r="F1" s="85"/>
      <c r="G1" s="55"/>
      <c r="H1" s="55"/>
      <c r="I1" s="56"/>
      <c r="J1" s="56"/>
    </row>
    <row r="2" spans="1:17" ht="25.05" customHeight="1" thickBot="1" x14ac:dyDescent="0.35">
      <c r="A2" s="61" t="s">
        <v>7</v>
      </c>
      <c r="B2" s="61" t="s">
        <v>6</v>
      </c>
      <c r="C2" s="88" t="s">
        <v>5</v>
      </c>
      <c r="D2" s="89"/>
      <c r="E2" s="89"/>
      <c r="F2" s="89"/>
      <c r="G2" s="89"/>
      <c r="H2" s="89"/>
      <c r="I2" s="89"/>
      <c r="J2" s="89"/>
      <c r="L2" s="86" t="s">
        <v>82</v>
      </c>
      <c r="M2" s="87"/>
      <c r="N2" s="87"/>
      <c r="O2" s="87"/>
      <c r="P2" s="87"/>
      <c r="Q2" s="87"/>
    </row>
    <row r="3" spans="1:17" ht="25.05" customHeight="1" thickBot="1" x14ac:dyDescent="0.35">
      <c r="A3" s="61"/>
      <c r="B3" s="61"/>
      <c r="C3" s="53" t="s">
        <v>30</v>
      </c>
      <c r="D3" s="53" t="s">
        <v>31</v>
      </c>
      <c r="E3" s="53" t="s">
        <v>32</v>
      </c>
      <c r="F3" s="53" t="s">
        <v>33</v>
      </c>
      <c r="G3" s="53" t="s">
        <v>34</v>
      </c>
      <c r="H3" s="53" t="s">
        <v>35</v>
      </c>
      <c r="I3" s="54" t="s">
        <v>60</v>
      </c>
      <c r="J3" s="54" t="s">
        <v>0</v>
      </c>
      <c r="L3" s="44" t="s">
        <v>30</v>
      </c>
      <c r="M3" s="46" t="s">
        <v>31</v>
      </c>
      <c r="N3" s="52" t="s">
        <v>32</v>
      </c>
      <c r="O3" s="46" t="s">
        <v>33</v>
      </c>
      <c r="P3" s="53" t="s">
        <v>34</v>
      </c>
      <c r="Q3" s="53" t="s">
        <v>35</v>
      </c>
    </row>
    <row r="4" spans="1:17" ht="25.05" customHeight="1" thickBot="1" x14ac:dyDescent="0.35">
      <c r="A4" s="47" t="s">
        <v>8</v>
      </c>
      <c r="B4" s="48" t="s">
        <v>11</v>
      </c>
      <c r="C4" s="49">
        <v>47884.93</v>
      </c>
      <c r="D4" s="49">
        <v>66167.520000000004</v>
      </c>
      <c r="E4" s="49">
        <v>34472.6</v>
      </c>
      <c r="F4" s="49">
        <v>37964.839999999997</v>
      </c>
      <c r="G4" s="49">
        <v>39293.11</v>
      </c>
      <c r="H4" s="57">
        <v>40012.699999999997</v>
      </c>
      <c r="I4" s="49">
        <v>0</v>
      </c>
      <c r="J4" s="57">
        <v>0</v>
      </c>
      <c r="L4" s="7">
        <v>1450</v>
      </c>
      <c r="M4" s="7">
        <v>1380</v>
      </c>
      <c r="N4" s="7">
        <v>1380</v>
      </c>
      <c r="O4" s="7">
        <v>1350</v>
      </c>
      <c r="P4" s="7">
        <v>1380</v>
      </c>
      <c r="Q4" s="7">
        <v>1400</v>
      </c>
    </row>
    <row r="5" spans="1:17" ht="25.05" customHeight="1" x14ac:dyDescent="0.3">
      <c r="A5" s="70" t="s">
        <v>12</v>
      </c>
      <c r="B5" s="9" t="s">
        <v>27</v>
      </c>
      <c r="C5" s="10">
        <v>133125.49</v>
      </c>
      <c r="D5" s="10">
        <v>133125.49</v>
      </c>
      <c r="E5" s="10">
        <v>133125.49</v>
      </c>
      <c r="F5" s="10">
        <v>133125.49</v>
      </c>
      <c r="G5" s="10">
        <v>149450</v>
      </c>
      <c r="H5" s="11">
        <v>149450</v>
      </c>
      <c r="I5" s="10">
        <v>149450</v>
      </c>
      <c r="J5" s="11">
        <v>149450</v>
      </c>
      <c r="L5" s="16"/>
    </row>
    <row r="6" spans="1:17" ht="25.05" customHeight="1" thickBot="1" x14ac:dyDescent="0.35">
      <c r="A6" s="72"/>
      <c r="B6" s="4" t="s">
        <v>25</v>
      </c>
      <c r="C6" s="50">
        <v>737812</v>
      </c>
      <c r="D6" s="50">
        <v>737812</v>
      </c>
      <c r="E6" s="50">
        <v>737812</v>
      </c>
      <c r="F6" s="50">
        <v>737812</v>
      </c>
      <c r="G6" s="50">
        <v>737812</v>
      </c>
      <c r="H6" s="58">
        <v>737812</v>
      </c>
      <c r="I6" s="50">
        <v>0</v>
      </c>
      <c r="J6" s="58">
        <v>0</v>
      </c>
    </row>
    <row r="7" spans="1:17" ht="25.05" customHeight="1" x14ac:dyDescent="0.3">
      <c r="A7" s="70" t="s">
        <v>17</v>
      </c>
      <c r="B7" s="9" t="s">
        <v>18</v>
      </c>
      <c r="C7" s="10">
        <v>1500000</v>
      </c>
      <c r="D7" s="10">
        <v>0</v>
      </c>
      <c r="E7" s="10">
        <v>0</v>
      </c>
      <c r="F7" s="10">
        <v>0</v>
      </c>
      <c r="G7" s="10">
        <v>0</v>
      </c>
      <c r="H7" s="11">
        <v>0</v>
      </c>
      <c r="I7" s="10">
        <v>0</v>
      </c>
      <c r="J7" s="11">
        <v>0</v>
      </c>
    </row>
    <row r="8" spans="1:17" ht="25.05" customHeight="1" x14ac:dyDescent="0.3">
      <c r="A8" s="71"/>
      <c r="B8" s="3" t="s">
        <v>19</v>
      </c>
      <c r="C8" s="12">
        <v>3000000</v>
      </c>
      <c r="D8" s="12">
        <v>0</v>
      </c>
      <c r="E8" s="12">
        <v>0</v>
      </c>
      <c r="F8" s="12">
        <v>0</v>
      </c>
      <c r="G8" s="12">
        <v>0</v>
      </c>
      <c r="H8" s="13">
        <v>0</v>
      </c>
      <c r="I8" s="12">
        <v>0</v>
      </c>
      <c r="J8" s="13">
        <v>0</v>
      </c>
    </row>
    <row r="9" spans="1:17" ht="25.05" customHeight="1" thickBot="1" x14ac:dyDescent="0.35">
      <c r="A9" s="72"/>
      <c r="B9" s="4" t="s">
        <v>20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5">
        <v>0</v>
      </c>
      <c r="I9" s="14">
        <v>0</v>
      </c>
      <c r="J9" s="15">
        <v>0</v>
      </c>
    </row>
    <row r="10" spans="1:17" ht="25.05" customHeight="1" x14ac:dyDescent="0.3">
      <c r="A10" s="70" t="s">
        <v>21</v>
      </c>
      <c r="B10" s="9" t="s">
        <v>22</v>
      </c>
      <c r="C10" s="10">
        <v>301204.84999999998</v>
      </c>
      <c r="D10" s="10">
        <v>301204.84999999998</v>
      </c>
      <c r="E10" s="10">
        <v>301204.84999999998</v>
      </c>
      <c r="F10" s="10">
        <v>301204.84999999998</v>
      </c>
      <c r="G10" s="10">
        <v>301204.84999999998</v>
      </c>
      <c r="H10" s="11">
        <v>301204.84999999998</v>
      </c>
      <c r="I10" s="10">
        <v>301204.84999999998</v>
      </c>
      <c r="J10" s="11">
        <v>301204.84999999998</v>
      </c>
    </row>
    <row r="11" spans="1:17" ht="25.05" customHeight="1" thickBot="1" x14ac:dyDescent="0.35">
      <c r="A11" s="72"/>
      <c r="B11" s="4" t="s">
        <v>23</v>
      </c>
      <c r="C11" s="50">
        <v>1500000</v>
      </c>
      <c r="D11" s="50">
        <v>1500000</v>
      </c>
      <c r="E11" s="50">
        <v>1500000</v>
      </c>
      <c r="F11" s="50">
        <v>1500000</v>
      </c>
      <c r="G11" s="50">
        <v>1500000</v>
      </c>
      <c r="H11" s="58">
        <v>1500000</v>
      </c>
      <c r="I11" s="50">
        <v>0</v>
      </c>
      <c r="J11" s="58">
        <v>0</v>
      </c>
    </row>
    <row r="12" spans="1:17" ht="25.05" customHeight="1" thickBot="1" x14ac:dyDescent="0.35">
      <c r="A12" s="47" t="s">
        <v>36</v>
      </c>
      <c r="B12" s="48" t="s">
        <v>80</v>
      </c>
      <c r="C12" s="51">
        <v>588120</v>
      </c>
      <c r="D12" s="51">
        <v>0</v>
      </c>
      <c r="E12" s="51">
        <v>0</v>
      </c>
      <c r="F12" s="51">
        <v>0</v>
      </c>
      <c r="G12" s="51">
        <v>0</v>
      </c>
      <c r="H12" s="59">
        <v>0</v>
      </c>
      <c r="I12" s="51">
        <v>0</v>
      </c>
      <c r="J12" s="59">
        <v>0</v>
      </c>
    </row>
    <row r="13" spans="1:17" ht="25.05" customHeight="1" thickBot="1" x14ac:dyDescent="0.35">
      <c r="A13" s="82" t="s">
        <v>13</v>
      </c>
      <c r="B13" s="83"/>
      <c r="C13" s="49">
        <f>SUM(C4:C12)</f>
        <v>7808147.2699999996</v>
      </c>
      <c r="D13" s="49">
        <f t="shared" ref="D13:H13" si="0">SUM(D4:D12)</f>
        <v>2738309.86</v>
      </c>
      <c r="E13" s="49">
        <f t="shared" ref="E13" si="1">SUM(E4:E12)</f>
        <v>2706614.94</v>
      </c>
      <c r="F13" s="49">
        <f t="shared" si="0"/>
        <v>2710107.1799999997</v>
      </c>
      <c r="G13" s="49">
        <f t="shared" si="0"/>
        <v>2727759.96</v>
      </c>
      <c r="H13" s="57">
        <f t="shared" si="0"/>
        <v>2728479.55</v>
      </c>
      <c r="I13" s="49">
        <f t="shared" ref="I13:J13" si="2">SUM(I4:I12)</f>
        <v>450654.85</v>
      </c>
      <c r="J13" s="57">
        <f t="shared" si="2"/>
        <v>450654.85</v>
      </c>
    </row>
    <row r="14" spans="1:17" ht="25.05" customHeight="1" thickBot="1" x14ac:dyDescent="0.35">
      <c r="A14" s="80" t="s">
        <v>14</v>
      </c>
      <c r="B14" s="81"/>
      <c r="C14" s="49">
        <f>+C13/L4</f>
        <v>5384.9291517241372</v>
      </c>
      <c r="D14" s="49">
        <f>+D13/M4</f>
        <v>1984.2825072463768</v>
      </c>
      <c r="E14" s="49">
        <f>+E13/N4</f>
        <v>1961.3151739130435</v>
      </c>
      <c r="F14" s="49">
        <f>+F13/O4</f>
        <v>2007.4867999999997</v>
      </c>
      <c r="G14" s="49">
        <f>+G13/P4</f>
        <v>1976.637652173913</v>
      </c>
      <c r="H14" s="57">
        <f>+H13/Q4</f>
        <v>1948.9139642857142</v>
      </c>
      <c r="I14" s="49" t="e">
        <f>+I13/R4</f>
        <v>#DIV/0!</v>
      </c>
      <c r="J14" s="57" t="e">
        <f>+J13/S4</f>
        <v>#DIV/0!</v>
      </c>
    </row>
    <row r="15" spans="1:17" ht="25.05" customHeight="1" x14ac:dyDescent="0.3">
      <c r="A15" s="2"/>
    </row>
    <row r="16" spans="1:17" ht="43.8" customHeight="1" x14ac:dyDescent="0.3">
      <c r="A16" s="2"/>
    </row>
    <row r="17" spans="1:1" ht="25.05" customHeight="1" x14ac:dyDescent="0.3">
      <c r="A17" s="2"/>
    </row>
    <row r="18" spans="1:1" ht="25.05" customHeight="1" x14ac:dyDescent="0.3">
      <c r="A18" s="2"/>
    </row>
    <row r="19" spans="1:1" ht="25.05" customHeight="1" x14ac:dyDescent="0.3">
      <c r="A19" s="2"/>
    </row>
    <row r="20" spans="1:1" ht="25.05" customHeight="1" x14ac:dyDescent="0.3"/>
    <row r="21" spans="1:1" ht="25.05" customHeight="1" x14ac:dyDescent="0.3"/>
  </sheetData>
  <mergeCells count="10">
    <mergeCell ref="A2:A3"/>
    <mergeCell ref="B2:B3"/>
    <mergeCell ref="A1:F1"/>
    <mergeCell ref="L2:Q2"/>
    <mergeCell ref="C2:J2"/>
    <mergeCell ref="A14:B14"/>
    <mergeCell ref="A13:B13"/>
    <mergeCell ref="A5:A6"/>
    <mergeCell ref="A7:A9"/>
    <mergeCell ref="A10:A1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8"/>
  <sheetViews>
    <sheetView workbookViewId="0">
      <selection sqref="A1:C18"/>
    </sheetView>
  </sheetViews>
  <sheetFormatPr baseColWidth="10" defaultRowHeight="14.4" x14ac:dyDescent="0.3"/>
  <cols>
    <col min="1" max="1" width="20.77734375" style="2" customWidth="1"/>
    <col min="2" max="2" width="40.77734375" customWidth="1"/>
    <col min="3" max="3" width="40.77734375" style="32" customWidth="1"/>
  </cols>
  <sheetData>
    <row r="1" spans="1:3" x14ac:dyDescent="0.3">
      <c r="A1" s="76" t="s">
        <v>45</v>
      </c>
      <c r="B1" s="76"/>
      <c r="C1" s="76"/>
    </row>
    <row r="2" spans="1:3" x14ac:dyDescent="0.3">
      <c r="A2" s="77" t="s">
        <v>46</v>
      </c>
      <c r="B2" s="77"/>
      <c r="C2" s="77"/>
    </row>
    <row r="3" spans="1:3" x14ac:dyDescent="0.3">
      <c r="A3" s="26" t="s">
        <v>43</v>
      </c>
      <c r="B3" s="24" t="s">
        <v>44</v>
      </c>
      <c r="C3" s="28" t="s">
        <v>50</v>
      </c>
    </row>
    <row r="4" spans="1:3" x14ac:dyDescent="0.3">
      <c r="A4" s="27" t="s">
        <v>30</v>
      </c>
      <c r="B4" s="34" t="s">
        <v>81</v>
      </c>
      <c r="C4" s="29">
        <v>5384.93</v>
      </c>
    </row>
    <row r="5" spans="1:3" x14ac:dyDescent="0.3">
      <c r="A5" s="27" t="s">
        <v>31</v>
      </c>
      <c r="B5" s="34" t="s">
        <v>83</v>
      </c>
      <c r="C5" s="30">
        <v>1984.28</v>
      </c>
    </row>
    <row r="6" spans="1:3" x14ac:dyDescent="0.3">
      <c r="A6" s="27" t="s">
        <v>32</v>
      </c>
      <c r="B6" s="34" t="s">
        <v>52</v>
      </c>
      <c r="C6" s="30">
        <v>1961.32</v>
      </c>
    </row>
    <row r="7" spans="1:3" x14ac:dyDescent="0.3">
      <c r="A7" s="27" t="s">
        <v>33</v>
      </c>
      <c r="B7" s="34" t="s">
        <v>53</v>
      </c>
      <c r="C7" s="30">
        <v>2007.49</v>
      </c>
    </row>
    <row r="8" spans="1:3" x14ac:dyDescent="0.3">
      <c r="A8" s="27" t="s">
        <v>34</v>
      </c>
      <c r="B8" s="34" t="s">
        <v>54</v>
      </c>
      <c r="C8" s="30">
        <v>1976.64</v>
      </c>
    </row>
    <row r="9" spans="1:3" x14ac:dyDescent="0.3">
      <c r="A9" s="27" t="s">
        <v>35</v>
      </c>
      <c r="B9" s="34" t="s">
        <v>55</v>
      </c>
      <c r="C9" s="30">
        <v>1948.91</v>
      </c>
    </row>
    <row r="10" spans="1:3" x14ac:dyDescent="0.3">
      <c r="A10" s="78" t="s">
        <v>47</v>
      </c>
      <c r="B10" s="78"/>
      <c r="C10" s="32">
        <f>SUM(C4:C9)</f>
        <v>15263.57</v>
      </c>
    </row>
    <row r="11" spans="1:3" x14ac:dyDescent="0.3">
      <c r="A11" s="79" t="s">
        <v>48</v>
      </c>
      <c r="B11" s="79"/>
      <c r="C11" s="79"/>
    </row>
    <row r="12" spans="1:3" x14ac:dyDescent="0.3">
      <c r="A12" s="26" t="s">
        <v>43</v>
      </c>
      <c r="B12" s="24" t="s">
        <v>44</v>
      </c>
      <c r="C12" s="28" t="s">
        <v>50</v>
      </c>
    </row>
    <row r="13" spans="1:3" x14ac:dyDescent="0.3">
      <c r="A13" s="43" t="s">
        <v>33</v>
      </c>
      <c r="B13" s="2" t="s">
        <v>71</v>
      </c>
      <c r="C13" s="32">
        <v>2500</v>
      </c>
    </row>
    <row r="14" spans="1:3" x14ac:dyDescent="0.3">
      <c r="A14" s="2" t="s">
        <v>35</v>
      </c>
      <c r="B14" s="2" t="s">
        <v>71</v>
      </c>
      <c r="C14" s="32">
        <v>4000</v>
      </c>
    </row>
    <row r="15" spans="1:3" x14ac:dyDescent="0.3">
      <c r="B15" s="2"/>
    </row>
    <row r="16" spans="1:3" x14ac:dyDescent="0.3">
      <c r="A16" s="78" t="s">
        <v>49</v>
      </c>
      <c r="B16" s="78"/>
      <c r="C16" s="32">
        <f>SUM(C13:C15)</f>
        <v>6500</v>
      </c>
    </row>
    <row r="17" spans="1:3" x14ac:dyDescent="0.3">
      <c r="A17" s="26"/>
      <c r="B17" s="45"/>
    </row>
    <row r="18" spans="1:3" x14ac:dyDescent="0.3">
      <c r="A18" s="75" t="s">
        <v>65</v>
      </c>
      <c r="B18" s="75"/>
      <c r="C18" s="33">
        <f>+C16-C10</f>
        <v>-8763.57</v>
      </c>
    </row>
  </sheetData>
  <mergeCells count="6">
    <mergeCell ref="A18:B18"/>
    <mergeCell ref="A1:C1"/>
    <mergeCell ref="A2:C2"/>
    <mergeCell ref="A10:B10"/>
    <mergeCell ref="A11:C11"/>
    <mergeCell ref="A16:B16"/>
  </mergeCells>
  <pageMargins left="0.7" right="0.7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2024</vt:lpstr>
      <vt:lpstr>2025</vt:lpstr>
      <vt:lpstr>CONCILIACIÓN 2025</vt:lpstr>
      <vt:lpstr>2026</vt:lpstr>
      <vt:lpstr>CONCILIACIÓN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2026-06-16T20:44:10Z</cp:lastPrinted>
  <dcterms:created xsi:type="dcterms:W3CDTF">2024-08-01T18:09:23Z</dcterms:created>
  <dcterms:modified xsi:type="dcterms:W3CDTF">2026-08-06T15:51:10Z</dcterms:modified>
</cp:coreProperties>
</file>