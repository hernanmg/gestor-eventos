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192" tabRatio="864" firstSheet="15" activeTab="22"/>
  </bookViews>
  <sheets>
    <sheet name="Alquiler 1 - Diciembre 01-12" sheetId="2" r:id="rId1"/>
    <sheet name="Alquiler 1 Bis- Diciembre 03-12" sheetId="8" r:id="rId2"/>
    <sheet name="Alquiler 2 - Diciembre 07-12" sheetId="1" r:id="rId3"/>
    <sheet name="Alquiler 3 - Enero 13-01" sheetId="4" r:id="rId4"/>
    <sheet name="Alquiler 4 - Febrero 05-02" sheetId="6" r:id="rId5"/>
    <sheet name="Alquiler 5 - Marzo 09-03" sheetId="7" r:id="rId6"/>
    <sheet name="Vistas con Matias y W" sheetId="9" r:id="rId7"/>
    <sheet name="Diciembre 22-12" sheetId="10" r:id="rId8"/>
    <sheet name="Marzo 14-03" sheetId="11" r:id="rId9"/>
    <sheet name="Marzo 15-03" sheetId="12" r:id="rId10"/>
    <sheet name="Mayo 06-05" sheetId="13" r:id="rId11"/>
    <sheet name="xx" sheetId="3" state="hidden" r:id="rId12"/>
    <sheet name="Mayo 07-05" sheetId="14" r:id="rId13"/>
    <sheet name="General Mayo 2022" sheetId="15" r:id="rId14"/>
    <sheet name="Madre Agosto 2022" sheetId="18" r:id="rId15"/>
    <sheet name="General Agosto 2022 ALQUILABLE" sheetId="20" r:id="rId16"/>
    <sheet name="General Agosto 2022 COMPRA" sheetId="21" r:id="rId17"/>
    <sheet name="Conteo" sheetId="19" state="hidden" r:id="rId18"/>
    <sheet name="AIRASCA" sheetId="22" r:id="rId19"/>
    <sheet name="Abril-Sept Alq - Final" sheetId="23" r:id="rId20"/>
    <sheet name="COMPRA OCT 2022" sheetId="24" r:id="rId21"/>
    <sheet name="AIRASCA 2023-FEB" sheetId="26" r:id="rId22"/>
    <sheet name="AIRASCA 2023-2024" sheetId="41" r:id="rId23"/>
    <sheet name="ALQUILER ENERO 2023 BB" sheetId="25" r:id="rId24"/>
    <sheet name="INV ENERO 2023 BB " sheetId="27" r:id="rId25"/>
    <sheet name="INV OCTUBRE 2023" sheetId="36" r:id="rId26"/>
    <sheet name="INV OCTUBRE 2023 (2)" sheetId="39" r:id="rId27"/>
    <sheet name="ALQUILER OCTUBRE 2023 " sheetId="37" r:id="rId28"/>
    <sheet name="ALQUILER OCTUBRE 2023  (2)" sheetId="38" r:id="rId29"/>
    <sheet name="INV MARZO 2023 BB" sheetId="28" r:id="rId30"/>
    <sheet name="MAT ENVIADO MARZO 2023 BB" sheetId="32" r:id="rId31"/>
    <sheet name="CONCILIACION BB" sheetId="34" r:id="rId32"/>
    <sheet name="ALQUILER MARZO D57-AGESTA 2023" sheetId="31" r:id="rId33"/>
    <sheet name="Cuenta Cte - Agesta" sheetId="30" r:id="rId34"/>
    <sheet name="ALQUILER GENARO AGO-MARZO" sheetId="35" r:id="rId35"/>
    <sheet name="CUADRO STOCK VALLAS" sheetId="29" state="hidden" r:id="rId3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7" i="41" l="1"/>
  <c r="C158" i="41" s="1"/>
  <c r="C160" i="41" s="1"/>
  <c r="C162" i="41" s="1"/>
  <c r="C149" i="41"/>
  <c r="C150" i="41" s="1"/>
  <c r="C152" i="41" s="1"/>
  <c r="C154" i="41" s="1"/>
  <c r="G42" i="41" l="1"/>
  <c r="C51" i="41" s="1"/>
  <c r="C52" i="41" s="1"/>
  <c r="C54" i="41" s="1"/>
  <c r="C56" i="41" s="1"/>
  <c r="C48" i="41"/>
  <c r="G12" i="41"/>
  <c r="G7" i="41"/>
  <c r="G17" i="41"/>
  <c r="G19" i="4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" i="41"/>
  <c r="C88" i="41" l="1"/>
  <c r="C57" i="41"/>
  <c r="D57" i="41" s="1"/>
  <c r="I6" i="34"/>
  <c r="I17" i="34"/>
  <c r="F22" i="38"/>
  <c r="H22" i="38" s="1"/>
  <c r="I22" i="38" s="1"/>
  <c r="F21" i="38"/>
  <c r="H21" i="38" s="1"/>
  <c r="I21" i="38" s="1"/>
  <c r="F20" i="38"/>
  <c r="H20" i="38" s="1"/>
  <c r="I20" i="38" s="1"/>
  <c r="F19" i="38"/>
  <c r="H19" i="38" s="1"/>
  <c r="I19" i="38" s="1"/>
  <c r="F18" i="38"/>
  <c r="H18" i="38" s="1"/>
  <c r="I18" i="38" s="1"/>
  <c r="F17" i="38"/>
  <c r="H17" i="38" s="1"/>
  <c r="I17" i="38" s="1"/>
  <c r="H16" i="38"/>
  <c r="I16" i="38" s="1"/>
  <c r="F16" i="38"/>
  <c r="F15" i="38"/>
  <c r="H15" i="38" s="1"/>
  <c r="I15" i="38" s="1"/>
  <c r="F14" i="38"/>
  <c r="H14" i="38" s="1"/>
  <c r="I14" i="38" s="1"/>
  <c r="F13" i="38"/>
  <c r="H13" i="38" s="1"/>
  <c r="I13" i="38" s="1"/>
  <c r="F12" i="38"/>
  <c r="H12" i="38" s="1"/>
  <c r="I12" i="38" s="1"/>
  <c r="F11" i="38"/>
  <c r="H11" i="38" s="1"/>
  <c r="I11" i="38" s="1"/>
  <c r="F10" i="38"/>
  <c r="H10" i="38" s="1"/>
  <c r="I10" i="38" s="1"/>
  <c r="F9" i="38"/>
  <c r="H9" i="38" s="1"/>
  <c r="I9" i="38" s="1"/>
  <c r="F8" i="38"/>
  <c r="H8" i="38" s="1"/>
  <c r="I8" i="38" s="1"/>
  <c r="F7" i="38"/>
  <c r="H7" i="38" s="1"/>
  <c r="I7" i="38" s="1"/>
  <c r="F6" i="38"/>
  <c r="H6" i="38" s="1"/>
  <c r="I6" i="38" s="1"/>
  <c r="F5" i="38"/>
  <c r="H5" i="38" s="1"/>
  <c r="I5" i="38" s="1"/>
  <c r="C89" i="41" l="1"/>
  <c r="C91" i="41" s="1"/>
  <c r="C93" i="41" s="1"/>
  <c r="C58" i="41"/>
  <c r="D58" i="41" s="1"/>
  <c r="C59" i="41" s="1"/>
  <c r="D59" i="41" s="1"/>
  <c r="I23" i="38"/>
  <c r="C125" i="41" l="1"/>
  <c r="C94" i="41"/>
  <c r="D94" i="41" s="1"/>
  <c r="C60" i="41"/>
  <c r="D60" i="41" s="1"/>
  <c r="G23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5" i="37"/>
  <c r="D6" i="37"/>
  <c r="D5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C126" i="41" l="1"/>
  <c r="C128" i="41" s="1"/>
  <c r="C130" i="41" s="1"/>
  <c r="C95" i="41"/>
  <c r="D95" i="41" s="1"/>
  <c r="C61" i="41"/>
  <c r="D61" i="41" s="1"/>
  <c r="D121" i="41" s="1"/>
  <c r="H7" i="25"/>
  <c r="C133" i="41" l="1"/>
  <c r="I13" i="35"/>
  <c r="I16" i="35"/>
  <c r="I18" i="35" s="1"/>
  <c r="I14" i="35"/>
  <c r="I15" i="35"/>
  <c r="I17" i="35" s="1"/>
  <c r="I19" i="35" s="1"/>
  <c r="I12" i="35"/>
  <c r="C134" i="41" l="1"/>
  <c r="C136" i="41" s="1"/>
  <c r="C138" i="41" s="1"/>
  <c r="I20" i="35"/>
  <c r="C141" i="41" l="1"/>
  <c r="C142" i="41" s="1"/>
  <c r="C144" i="41" s="1"/>
  <c r="C146" i="41" s="1"/>
  <c r="E39" i="30"/>
  <c r="E40" i="30" s="1"/>
  <c r="E36" i="30"/>
  <c r="D36" i="30"/>
  <c r="C36" i="30"/>
  <c r="I10" i="35"/>
  <c r="I5" i="35"/>
  <c r="I6" i="35"/>
  <c r="I7" i="35"/>
  <c r="I8" i="35"/>
  <c r="I9" i="35"/>
  <c r="I4" i="35"/>
  <c r="H9" i="35"/>
  <c r="H4" i="35"/>
  <c r="D9" i="35"/>
  <c r="H8" i="35"/>
  <c r="D8" i="35"/>
  <c r="H7" i="35"/>
  <c r="D7" i="35"/>
  <c r="H6" i="35"/>
  <c r="D6" i="35"/>
  <c r="H5" i="35"/>
  <c r="D5" i="35"/>
  <c r="D4" i="35"/>
  <c r="L6" i="34" l="1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31" i="34"/>
  <c r="L32" i="34"/>
  <c r="L33" i="34"/>
  <c r="L35" i="34"/>
  <c r="L36" i="34"/>
  <c r="L37" i="34"/>
  <c r="L38" i="34"/>
  <c r="L39" i="34"/>
  <c r="L40" i="34"/>
  <c r="L5" i="34"/>
  <c r="I30" i="34" l="1"/>
  <c r="I32" i="34" l="1"/>
  <c r="I39" i="34"/>
  <c r="I37" i="34"/>
  <c r="I7" i="34"/>
  <c r="I8" i="34"/>
  <c r="I9" i="34"/>
  <c r="I10" i="34"/>
  <c r="I11" i="34"/>
  <c r="I12" i="34"/>
  <c r="I13" i="34"/>
  <c r="I14" i="34"/>
  <c r="I15" i="34"/>
  <c r="I16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1" i="34"/>
  <c r="I33" i="34"/>
  <c r="I34" i="34"/>
  <c r="I35" i="34"/>
  <c r="I36" i="34"/>
  <c r="I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1" i="34"/>
  <c r="D33" i="34"/>
  <c r="D5" i="34"/>
  <c r="G11" i="28" l="1"/>
  <c r="E11" i="28"/>
  <c r="E10" i="28"/>
  <c r="I43" i="32" l="1"/>
  <c r="I47" i="32"/>
  <c r="I49" i="32"/>
  <c r="I51" i="32"/>
  <c r="I53" i="32"/>
  <c r="I55" i="32"/>
  <c r="I57" i="32"/>
  <c r="I59" i="32"/>
  <c r="I61" i="32"/>
  <c r="I63" i="32"/>
  <c r="I64" i="32"/>
  <c r="I65" i="32"/>
  <c r="I66" i="32"/>
  <c r="I42" i="32"/>
  <c r="G66" i="32"/>
  <c r="G65" i="32"/>
  <c r="E63" i="32"/>
  <c r="E62" i="32"/>
  <c r="G62" i="32" s="1"/>
  <c r="I62" i="32" s="1"/>
  <c r="E61" i="32"/>
  <c r="G61" i="32" s="1"/>
  <c r="E60" i="32"/>
  <c r="G60" i="32" s="1"/>
  <c r="I60" i="32" s="1"/>
  <c r="E59" i="32"/>
  <c r="G59" i="32" s="1"/>
  <c r="E58" i="32"/>
  <c r="G58" i="32" s="1"/>
  <c r="I58" i="32" s="1"/>
  <c r="E57" i="32"/>
  <c r="G57" i="32" s="1"/>
  <c r="E56" i="32"/>
  <c r="G56" i="32" s="1"/>
  <c r="I56" i="32" s="1"/>
  <c r="E55" i="32"/>
  <c r="G55" i="32" s="1"/>
  <c r="E54" i="32"/>
  <c r="G54" i="32" s="1"/>
  <c r="I54" i="32" s="1"/>
  <c r="E53" i="32"/>
  <c r="G53" i="32" s="1"/>
  <c r="E52" i="32"/>
  <c r="G52" i="32" s="1"/>
  <c r="I52" i="32" s="1"/>
  <c r="E51" i="32"/>
  <c r="G51" i="32" s="1"/>
  <c r="E50" i="32"/>
  <c r="G50" i="32" s="1"/>
  <c r="I50" i="32" s="1"/>
  <c r="E49" i="32"/>
  <c r="G49" i="32" s="1"/>
  <c r="E48" i="32"/>
  <c r="G48" i="32" s="1"/>
  <c r="I48" i="32" s="1"/>
  <c r="E47" i="32"/>
  <c r="G47" i="32" s="1"/>
  <c r="E46" i="32"/>
  <c r="G46" i="32" s="1"/>
  <c r="I46" i="32" s="1"/>
  <c r="E45" i="32"/>
  <c r="G45" i="32" s="1"/>
  <c r="I45" i="32" s="1"/>
  <c r="E44" i="32"/>
  <c r="G44" i="32" s="1"/>
  <c r="I44" i="32" s="1"/>
  <c r="E43" i="32"/>
  <c r="G43" i="32" s="1"/>
  <c r="E42" i="32"/>
  <c r="G42" i="32" s="1"/>
  <c r="G4" i="28"/>
  <c r="G5" i="28"/>
  <c r="G6" i="28"/>
  <c r="G7" i="28"/>
  <c r="G8" i="28"/>
  <c r="G9" i="28"/>
  <c r="G10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6" i="30" l="1"/>
  <c r="E7" i="30" s="1"/>
  <c r="E8" i="30" s="1"/>
  <c r="E9" i="30" s="1"/>
  <c r="E10" i="30" s="1"/>
  <c r="E11" i="30" s="1"/>
  <c r="E12" i="30" s="1"/>
  <c r="E13" i="30" s="1"/>
  <c r="E14" i="30" s="1"/>
  <c r="E15" i="30" s="1"/>
  <c r="E16" i="30" s="1"/>
  <c r="I5" i="31" l="1"/>
  <c r="I6" i="31"/>
  <c r="I7" i="31"/>
  <c r="I10" i="31"/>
  <c r="I4" i="31"/>
  <c r="H5" i="31"/>
  <c r="H6" i="31"/>
  <c r="H7" i="31"/>
  <c r="H8" i="31"/>
  <c r="I8" i="31" s="1"/>
  <c r="H9" i="31"/>
  <c r="I9" i="31" s="1"/>
  <c r="H10" i="31"/>
  <c r="H11" i="31"/>
  <c r="H12" i="31"/>
  <c r="H4" i="31"/>
  <c r="I12" i="31"/>
  <c r="D12" i="31"/>
  <c r="I11" i="31"/>
  <c r="D11" i="31"/>
  <c r="D10" i="31"/>
  <c r="D9" i="31"/>
  <c r="D8" i="31"/>
  <c r="D7" i="31"/>
  <c r="D6" i="31"/>
  <c r="D5" i="31"/>
  <c r="D4" i="31"/>
  <c r="D17" i="30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I13" i="31" l="1"/>
  <c r="D32" i="30" s="1"/>
  <c r="E8" i="29"/>
  <c r="F5" i="29"/>
  <c r="F6" i="29"/>
  <c r="F7" i="29"/>
  <c r="F4" i="29"/>
  <c r="E32" i="30" l="1"/>
  <c r="E33" i="30" s="1"/>
  <c r="E34" i="30" s="1"/>
  <c r="F8" i="29"/>
  <c r="D8" i="29"/>
  <c r="C8" i="29"/>
  <c r="B8" i="29"/>
  <c r="E35" i="30" l="1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9" i="28"/>
  <c r="E8" i="28"/>
  <c r="E7" i="28"/>
  <c r="E6" i="28"/>
  <c r="E5" i="28"/>
  <c r="E4" i="28"/>
  <c r="I31" i="25" l="1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4" i="25"/>
  <c r="H5" i="25"/>
  <c r="H6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4" i="25"/>
  <c r="I113" i="26" l="1"/>
  <c r="I114" i="26"/>
  <c r="I117" i="26"/>
  <c r="I118" i="26"/>
  <c r="I121" i="26"/>
  <c r="I122" i="26"/>
  <c r="I125" i="26"/>
  <c r="I126" i="26"/>
  <c r="I129" i="26"/>
  <c r="I130" i="26"/>
  <c r="I133" i="26"/>
  <c r="I134" i="26"/>
  <c r="I137" i="26"/>
  <c r="I138" i="26"/>
  <c r="I141" i="26"/>
  <c r="I142" i="26"/>
  <c r="I145" i="26"/>
  <c r="I146" i="26"/>
  <c r="H111" i="26"/>
  <c r="H148" i="26" s="1"/>
  <c r="H112" i="26"/>
  <c r="I112" i="26" s="1"/>
  <c r="H113" i="26"/>
  <c r="H114" i="26"/>
  <c r="H115" i="26"/>
  <c r="I115" i="26" s="1"/>
  <c r="H116" i="26"/>
  <c r="I116" i="26" s="1"/>
  <c r="H117" i="26"/>
  <c r="H118" i="26"/>
  <c r="H119" i="26"/>
  <c r="I119" i="26" s="1"/>
  <c r="H120" i="26"/>
  <c r="I120" i="26" s="1"/>
  <c r="H121" i="26"/>
  <c r="H122" i="26"/>
  <c r="H123" i="26"/>
  <c r="I123" i="26" s="1"/>
  <c r="H124" i="26"/>
  <c r="I124" i="26" s="1"/>
  <c r="H125" i="26"/>
  <c r="H126" i="26"/>
  <c r="H127" i="26"/>
  <c r="I127" i="26" s="1"/>
  <c r="H128" i="26"/>
  <c r="I128" i="26" s="1"/>
  <c r="H129" i="26"/>
  <c r="H130" i="26"/>
  <c r="H131" i="26"/>
  <c r="I131" i="26" s="1"/>
  <c r="H132" i="26"/>
  <c r="I132" i="26" s="1"/>
  <c r="H133" i="26"/>
  <c r="H134" i="26"/>
  <c r="H135" i="26"/>
  <c r="I135" i="26" s="1"/>
  <c r="H136" i="26"/>
  <c r="I136" i="26" s="1"/>
  <c r="H137" i="26"/>
  <c r="H138" i="26"/>
  <c r="H139" i="26"/>
  <c r="I139" i="26" s="1"/>
  <c r="H140" i="26"/>
  <c r="I140" i="26" s="1"/>
  <c r="H141" i="26"/>
  <c r="H142" i="26"/>
  <c r="H143" i="26"/>
  <c r="I143" i="26" s="1"/>
  <c r="H144" i="26"/>
  <c r="I144" i="26" s="1"/>
  <c r="H145" i="26"/>
  <c r="H146" i="26"/>
  <c r="H147" i="26"/>
  <c r="I147" i="26" s="1"/>
  <c r="D148" i="26"/>
  <c r="D147" i="26"/>
  <c r="D146" i="26"/>
  <c r="D145" i="26"/>
  <c r="D144" i="26"/>
  <c r="D143" i="26"/>
  <c r="D142" i="26"/>
  <c r="D141" i="26"/>
  <c r="D140" i="26"/>
  <c r="D139" i="26"/>
  <c r="D138" i="26"/>
  <c r="D137" i="26"/>
  <c r="D136" i="26"/>
  <c r="D135" i="26"/>
  <c r="D134" i="26"/>
  <c r="D133" i="26"/>
  <c r="D132" i="26"/>
  <c r="D131" i="26"/>
  <c r="D130" i="26"/>
  <c r="D129" i="26"/>
  <c r="D128" i="26"/>
  <c r="D127" i="26"/>
  <c r="D126" i="26"/>
  <c r="D125" i="26"/>
  <c r="D124" i="26"/>
  <c r="D123" i="26"/>
  <c r="D122" i="26"/>
  <c r="D121" i="26"/>
  <c r="D120" i="26"/>
  <c r="D119" i="26"/>
  <c r="D118" i="26"/>
  <c r="D117" i="26"/>
  <c r="D116" i="26"/>
  <c r="D115" i="26"/>
  <c r="D114" i="26"/>
  <c r="D113" i="26"/>
  <c r="D112" i="26"/>
  <c r="D111" i="26"/>
  <c r="H105" i="26"/>
  <c r="I105" i="26" s="1"/>
  <c r="D105" i="26"/>
  <c r="D104" i="26"/>
  <c r="H104" i="26"/>
  <c r="I104" i="26" s="1"/>
  <c r="H103" i="26"/>
  <c r="I103" i="26" s="1"/>
  <c r="D103" i="26"/>
  <c r="H102" i="26"/>
  <c r="I102" i="26" s="1"/>
  <c r="D102" i="26"/>
  <c r="H101" i="26"/>
  <c r="I101" i="26" s="1"/>
  <c r="D101" i="26"/>
  <c r="H100" i="26"/>
  <c r="I100" i="26" s="1"/>
  <c r="H99" i="26"/>
  <c r="I99" i="26" s="1"/>
  <c r="H98" i="26"/>
  <c r="I98" i="26" s="1"/>
  <c r="D98" i="26"/>
  <c r="H97" i="26"/>
  <c r="I97" i="26" s="1"/>
  <c r="D97" i="26"/>
  <c r="H96" i="26"/>
  <c r="I96" i="26" s="1"/>
  <c r="D96" i="26"/>
  <c r="H95" i="26"/>
  <c r="I95" i="26" s="1"/>
  <c r="D95" i="26"/>
  <c r="H94" i="26"/>
  <c r="I94" i="26" s="1"/>
  <c r="D94" i="26"/>
  <c r="H93" i="26"/>
  <c r="I93" i="26" s="1"/>
  <c r="D93" i="26"/>
  <c r="H92" i="26"/>
  <c r="I92" i="26" s="1"/>
  <c r="D92" i="26"/>
  <c r="H91" i="26"/>
  <c r="I91" i="26" s="1"/>
  <c r="D91" i="26"/>
  <c r="H90" i="26"/>
  <c r="I90" i="26" s="1"/>
  <c r="D90" i="26"/>
  <c r="H89" i="26"/>
  <c r="I89" i="26" s="1"/>
  <c r="D89" i="26"/>
  <c r="H88" i="26"/>
  <c r="I88" i="26" s="1"/>
  <c r="D88" i="26"/>
  <c r="H87" i="26"/>
  <c r="I87" i="26" s="1"/>
  <c r="D87" i="26"/>
  <c r="H86" i="26"/>
  <c r="I86" i="26" s="1"/>
  <c r="D86" i="26"/>
  <c r="H85" i="26"/>
  <c r="I85" i="26" s="1"/>
  <c r="D85" i="26"/>
  <c r="H84" i="26"/>
  <c r="I84" i="26" s="1"/>
  <c r="D84" i="26"/>
  <c r="H83" i="26"/>
  <c r="I83" i="26" s="1"/>
  <c r="D83" i="26"/>
  <c r="H82" i="26"/>
  <c r="I82" i="26" s="1"/>
  <c r="D82" i="26"/>
  <c r="H81" i="26"/>
  <c r="I81" i="26" s="1"/>
  <c r="D81" i="26"/>
  <c r="H80" i="26"/>
  <c r="I80" i="26" s="1"/>
  <c r="D80" i="26"/>
  <c r="D79" i="26"/>
  <c r="C79" i="26"/>
  <c r="H79" i="26" s="1"/>
  <c r="I79" i="26" s="1"/>
  <c r="H78" i="26"/>
  <c r="I78" i="26" s="1"/>
  <c r="D78" i="26"/>
  <c r="C78" i="26"/>
  <c r="H77" i="26"/>
  <c r="I77" i="26" s="1"/>
  <c r="D77" i="26"/>
  <c r="H76" i="26"/>
  <c r="I76" i="26" s="1"/>
  <c r="D76" i="26"/>
  <c r="H75" i="26"/>
  <c r="I75" i="26" s="1"/>
  <c r="D75" i="26"/>
  <c r="H74" i="26"/>
  <c r="I74" i="26" s="1"/>
  <c r="D74" i="26"/>
  <c r="H73" i="26"/>
  <c r="I73" i="26" s="1"/>
  <c r="D73" i="26"/>
  <c r="H72" i="26"/>
  <c r="I72" i="26" s="1"/>
  <c r="D72" i="26"/>
  <c r="I71" i="26"/>
  <c r="H71" i="26"/>
  <c r="D71" i="26"/>
  <c r="H70" i="26"/>
  <c r="I70" i="26" s="1"/>
  <c r="D70" i="26"/>
  <c r="H69" i="26"/>
  <c r="I69" i="26" s="1"/>
  <c r="D69" i="26"/>
  <c r="H68" i="26"/>
  <c r="I68" i="26" s="1"/>
  <c r="D68" i="26"/>
  <c r="H67" i="26"/>
  <c r="I67" i="26" s="1"/>
  <c r="D67" i="26"/>
  <c r="H66" i="26"/>
  <c r="I66" i="26" s="1"/>
  <c r="D66" i="26"/>
  <c r="H65" i="26"/>
  <c r="I65" i="26" s="1"/>
  <c r="G65" i="26"/>
  <c r="D65" i="26"/>
  <c r="G64" i="26"/>
  <c r="H64" i="26" s="1"/>
  <c r="I64" i="26" s="1"/>
  <c r="D64" i="26"/>
  <c r="H63" i="26"/>
  <c r="I63" i="26" s="1"/>
  <c r="D63" i="26"/>
  <c r="H62" i="26"/>
  <c r="I62" i="26" s="1"/>
  <c r="D62" i="26"/>
  <c r="H61" i="26"/>
  <c r="I61" i="26" s="1"/>
  <c r="D61" i="26"/>
  <c r="H60" i="26"/>
  <c r="I60" i="26" s="1"/>
  <c r="D60" i="26"/>
  <c r="H59" i="26"/>
  <c r="I59" i="26" s="1"/>
  <c r="D59" i="26"/>
  <c r="H58" i="26"/>
  <c r="I58" i="26" s="1"/>
  <c r="D58" i="26"/>
  <c r="G57" i="26"/>
  <c r="H57" i="26" s="1"/>
  <c r="I57" i="26" s="1"/>
  <c r="D57" i="26"/>
  <c r="H56" i="26"/>
  <c r="I56" i="26" s="1"/>
  <c r="D56" i="26"/>
  <c r="H55" i="26"/>
  <c r="I55" i="26" s="1"/>
  <c r="D55" i="26"/>
  <c r="H54" i="26"/>
  <c r="I54" i="26" s="1"/>
  <c r="D54" i="26"/>
  <c r="H53" i="26"/>
  <c r="I53" i="26" s="1"/>
  <c r="H52" i="26"/>
  <c r="I52" i="26" s="1"/>
  <c r="H51" i="26"/>
  <c r="I51" i="26" s="1"/>
  <c r="D51" i="26"/>
  <c r="H50" i="26"/>
  <c r="I50" i="26" s="1"/>
  <c r="D50" i="26"/>
  <c r="H49" i="26"/>
  <c r="I49" i="26" s="1"/>
  <c r="D49" i="26"/>
  <c r="H48" i="26"/>
  <c r="I48" i="26" s="1"/>
  <c r="D48" i="26"/>
  <c r="H47" i="26"/>
  <c r="I47" i="26" s="1"/>
  <c r="D47" i="26"/>
  <c r="H46" i="26"/>
  <c r="I46" i="26" s="1"/>
  <c r="D46" i="26"/>
  <c r="H45" i="26"/>
  <c r="I45" i="26" s="1"/>
  <c r="D45" i="26"/>
  <c r="H44" i="26"/>
  <c r="I44" i="26" s="1"/>
  <c r="D44" i="26"/>
  <c r="H43" i="26"/>
  <c r="I43" i="26" s="1"/>
  <c r="D43" i="26"/>
  <c r="I42" i="26"/>
  <c r="H42" i="26"/>
  <c r="D42" i="26"/>
  <c r="H41" i="26"/>
  <c r="I41" i="26" s="1"/>
  <c r="D41" i="26"/>
  <c r="H40" i="26"/>
  <c r="I40" i="26" s="1"/>
  <c r="D40" i="26"/>
  <c r="H39" i="26"/>
  <c r="I39" i="26" s="1"/>
  <c r="D39" i="26"/>
  <c r="H38" i="26"/>
  <c r="I38" i="26" s="1"/>
  <c r="D38" i="26"/>
  <c r="H37" i="26"/>
  <c r="I37" i="26" s="1"/>
  <c r="D37" i="26"/>
  <c r="H36" i="26"/>
  <c r="I36" i="26" s="1"/>
  <c r="D36" i="26"/>
  <c r="H35" i="26"/>
  <c r="I35" i="26" s="1"/>
  <c r="D35" i="26"/>
  <c r="H34" i="26"/>
  <c r="I34" i="26" s="1"/>
  <c r="D34" i="26"/>
  <c r="H33" i="26"/>
  <c r="I33" i="26" s="1"/>
  <c r="D33" i="26"/>
  <c r="H32" i="26"/>
  <c r="I32" i="26" s="1"/>
  <c r="D32" i="26"/>
  <c r="H31" i="26"/>
  <c r="I31" i="26" s="1"/>
  <c r="D31" i="26"/>
  <c r="H30" i="26"/>
  <c r="I30" i="26" s="1"/>
  <c r="D30" i="26"/>
  <c r="H29" i="26"/>
  <c r="I29" i="26" s="1"/>
  <c r="D29" i="26"/>
  <c r="H28" i="26"/>
  <c r="I28" i="26" s="1"/>
  <c r="D28" i="26"/>
  <c r="H27" i="26"/>
  <c r="I27" i="26" s="1"/>
  <c r="H26" i="26"/>
  <c r="I26" i="26" s="1"/>
  <c r="D26" i="26"/>
  <c r="H25" i="26"/>
  <c r="I25" i="26" s="1"/>
  <c r="D25" i="26"/>
  <c r="H24" i="26"/>
  <c r="I24" i="26" s="1"/>
  <c r="D24" i="26"/>
  <c r="H23" i="26"/>
  <c r="I23" i="26" s="1"/>
  <c r="D23" i="26"/>
  <c r="H22" i="26"/>
  <c r="I22" i="26" s="1"/>
  <c r="D22" i="26"/>
  <c r="H21" i="26"/>
  <c r="I21" i="26" s="1"/>
  <c r="D21" i="26"/>
  <c r="H20" i="26"/>
  <c r="I20" i="26" s="1"/>
  <c r="D20" i="26"/>
  <c r="H19" i="26"/>
  <c r="I19" i="26" s="1"/>
  <c r="D19" i="26"/>
  <c r="H18" i="26"/>
  <c r="I18" i="26" s="1"/>
  <c r="D18" i="26"/>
  <c r="H17" i="26"/>
  <c r="I17" i="26" s="1"/>
  <c r="D17" i="26"/>
  <c r="H16" i="26"/>
  <c r="I16" i="26" s="1"/>
  <c r="D16" i="26"/>
  <c r="H15" i="26"/>
  <c r="I15" i="26" s="1"/>
  <c r="D15" i="26"/>
  <c r="H14" i="26"/>
  <c r="I14" i="26" s="1"/>
  <c r="D14" i="26"/>
  <c r="H13" i="26"/>
  <c r="I13" i="26" s="1"/>
  <c r="D13" i="26"/>
  <c r="H12" i="26"/>
  <c r="I12" i="26" s="1"/>
  <c r="D12" i="26"/>
  <c r="H11" i="26"/>
  <c r="I11" i="26" s="1"/>
  <c r="D11" i="26"/>
  <c r="H10" i="26"/>
  <c r="I10" i="26" s="1"/>
  <c r="D10" i="26"/>
  <c r="H9" i="26"/>
  <c r="I9" i="26" s="1"/>
  <c r="D9" i="26"/>
  <c r="H8" i="26"/>
  <c r="I8" i="26" s="1"/>
  <c r="D8" i="26"/>
  <c r="H7" i="26"/>
  <c r="I7" i="26" s="1"/>
  <c r="D7" i="26"/>
  <c r="H6" i="26"/>
  <c r="I6" i="26" s="1"/>
  <c r="D6" i="26"/>
  <c r="H5" i="26"/>
  <c r="I5" i="26" s="1"/>
  <c r="D5" i="26"/>
  <c r="H4" i="26"/>
  <c r="I4" i="26" s="1"/>
  <c r="D4" i="26"/>
  <c r="I111" i="26" l="1"/>
  <c r="I148" i="26" s="1"/>
  <c r="I106" i="26"/>
  <c r="D28" i="25"/>
  <c r="D29" i="25"/>
  <c r="D30" i="25"/>
  <c r="D6" i="25"/>
  <c r="D7" i="25"/>
  <c r="D17" i="25"/>
  <c r="D18" i="25"/>
  <c r="D21" i="25"/>
  <c r="D23" i="25"/>
  <c r="D24" i="25"/>
  <c r="D13" i="25"/>
  <c r="D14" i="25"/>
  <c r="D15" i="25"/>
  <c r="D12" i="25"/>
  <c r="I150" i="26" l="1"/>
  <c r="D20" i="25"/>
  <c r="D19" i="25"/>
  <c r="D26" i="25"/>
  <c r="D27" i="25"/>
  <c r="D25" i="25"/>
  <c r="D16" i="25"/>
  <c r="D11" i="25"/>
  <c r="D10" i="25"/>
  <c r="D22" i="25"/>
  <c r="D9" i="25"/>
  <c r="D8" i="25"/>
  <c r="D5" i="25"/>
  <c r="D4" i="25"/>
  <c r="I106" i="24" l="1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H112" i="24"/>
  <c r="I112" i="24" s="1"/>
  <c r="H113" i="24"/>
  <c r="I113" i="24" s="1"/>
  <c r="H114" i="24"/>
  <c r="I114" i="24" s="1"/>
  <c r="H115" i="24"/>
  <c r="I115" i="24" s="1"/>
  <c r="H116" i="24"/>
  <c r="I116" i="24" s="1"/>
  <c r="H117" i="24"/>
  <c r="I117" i="24" s="1"/>
  <c r="H118" i="24"/>
  <c r="I118" i="24" s="1"/>
  <c r="H119" i="24"/>
  <c r="I119" i="24" s="1"/>
  <c r="H120" i="24"/>
  <c r="I120" i="24" s="1"/>
  <c r="H121" i="24"/>
  <c r="I121" i="24" s="1"/>
  <c r="H122" i="24"/>
  <c r="I122" i="24" s="1"/>
  <c r="H123" i="24"/>
  <c r="I123" i="24" s="1"/>
  <c r="H124" i="24"/>
  <c r="I124" i="24" s="1"/>
  <c r="H125" i="24"/>
  <c r="I125" i="24" s="1"/>
  <c r="H126" i="24"/>
  <c r="I126" i="24" s="1"/>
  <c r="H127" i="24"/>
  <c r="I127" i="24" s="1"/>
  <c r="H128" i="24"/>
  <c r="I128" i="24" s="1"/>
  <c r="H129" i="24"/>
  <c r="I129" i="24" s="1"/>
  <c r="H130" i="24"/>
  <c r="I130" i="24" s="1"/>
  <c r="H131" i="24"/>
  <c r="I131" i="24" s="1"/>
  <c r="H132" i="24"/>
  <c r="I132" i="24" s="1"/>
  <c r="H133" i="24"/>
  <c r="I133" i="24" s="1"/>
  <c r="H134" i="24"/>
  <c r="I134" i="24" s="1"/>
  <c r="H135" i="24"/>
  <c r="I135" i="24" s="1"/>
  <c r="H136" i="24"/>
  <c r="I136" i="24" s="1"/>
  <c r="H137" i="24"/>
  <c r="I137" i="24" s="1"/>
  <c r="H138" i="24"/>
  <c r="I138" i="24" s="1"/>
  <c r="H139" i="24"/>
  <c r="I139" i="24" s="1"/>
  <c r="H140" i="24"/>
  <c r="I140" i="24" s="1"/>
  <c r="H141" i="24"/>
  <c r="I141" i="24" s="1"/>
  <c r="H142" i="24"/>
  <c r="I142" i="24" s="1"/>
  <c r="H143" i="24"/>
  <c r="I143" i="24" s="1"/>
  <c r="H144" i="24"/>
  <c r="I144" i="24" s="1"/>
  <c r="H145" i="24"/>
  <c r="I145" i="24" s="1"/>
  <c r="H146" i="24"/>
  <c r="I146" i="24" s="1"/>
  <c r="H111" i="24"/>
  <c r="H110" i="24"/>
  <c r="D147" i="24"/>
  <c r="D146" i="24"/>
  <c r="D145" i="24"/>
  <c r="D144" i="24"/>
  <c r="D143" i="24"/>
  <c r="D142" i="24"/>
  <c r="D141" i="24"/>
  <c r="D140" i="24"/>
  <c r="D139" i="24"/>
  <c r="D138" i="24"/>
  <c r="D137" i="24"/>
  <c r="D136" i="24"/>
  <c r="D135" i="24"/>
  <c r="D134" i="24"/>
  <c r="D133" i="24"/>
  <c r="D132" i="24"/>
  <c r="D131" i="24"/>
  <c r="D130" i="24"/>
  <c r="D129" i="24"/>
  <c r="D128" i="24"/>
  <c r="D127" i="24"/>
  <c r="D126" i="24"/>
  <c r="D125" i="24"/>
  <c r="D124" i="24"/>
  <c r="D123" i="24"/>
  <c r="D122" i="24"/>
  <c r="D121" i="24"/>
  <c r="D120" i="24"/>
  <c r="D119" i="24"/>
  <c r="D118" i="24"/>
  <c r="D117" i="24"/>
  <c r="D116" i="24"/>
  <c r="D115" i="24"/>
  <c r="D114" i="24"/>
  <c r="D113" i="24"/>
  <c r="D112" i="24"/>
  <c r="D111" i="24"/>
  <c r="D110" i="24"/>
  <c r="H105" i="24"/>
  <c r="D105" i="24"/>
  <c r="D104" i="24"/>
  <c r="C104" i="24"/>
  <c r="H104" i="24" s="1"/>
  <c r="H103" i="24"/>
  <c r="D103" i="24"/>
  <c r="H102" i="24"/>
  <c r="D102" i="24"/>
  <c r="H101" i="24"/>
  <c r="D101" i="24"/>
  <c r="H100" i="24"/>
  <c r="H99" i="24"/>
  <c r="H98" i="24"/>
  <c r="D98" i="24"/>
  <c r="H97" i="24"/>
  <c r="D97" i="24"/>
  <c r="H96" i="24"/>
  <c r="D96" i="24"/>
  <c r="H95" i="24"/>
  <c r="D95" i="24"/>
  <c r="G94" i="24"/>
  <c r="H94" i="24" s="1"/>
  <c r="D94" i="24"/>
  <c r="H93" i="24"/>
  <c r="D93" i="24"/>
  <c r="H92" i="24"/>
  <c r="D92" i="24"/>
  <c r="H91" i="24"/>
  <c r="D91" i="24"/>
  <c r="H90" i="24"/>
  <c r="D90" i="24"/>
  <c r="H89" i="24"/>
  <c r="D89" i="24"/>
  <c r="H88" i="24"/>
  <c r="D88" i="24"/>
  <c r="H87" i="24"/>
  <c r="D87" i="24"/>
  <c r="H86" i="24"/>
  <c r="D86" i="24"/>
  <c r="H85" i="24"/>
  <c r="D85" i="24"/>
  <c r="H84" i="24"/>
  <c r="D84" i="24"/>
  <c r="H83" i="24"/>
  <c r="D83" i="24"/>
  <c r="H82" i="24"/>
  <c r="D82" i="24"/>
  <c r="G81" i="24"/>
  <c r="H81" i="24" s="1"/>
  <c r="D81" i="24"/>
  <c r="H80" i="24"/>
  <c r="D80" i="24"/>
  <c r="D79" i="24"/>
  <c r="C79" i="24"/>
  <c r="H79" i="24" s="1"/>
  <c r="H78" i="24"/>
  <c r="D78" i="24"/>
  <c r="C78" i="24"/>
  <c r="H77" i="24"/>
  <c r="D77" i="24"/>
  <c r="H76" i="24"/>
  <c r="D76" i="24"/>
  <c r="H75" i="24"/>
  <c r="D75" i="24"/>
  <c r="H74" i="24"/>
  <c r="D74" i="24"/>
  <c r="H73" i="24"/>
  <c r="D73" i="24"/>
  <c r="H72" i="24"/>
  <c r="D72" i="24"/>
  <c r="H71" i="24"/>
  <c r="D71" i="24"/>
  <c r="H70" i="24"/>
  <c r="D70" i="24"/>
  <c r="H69" i="24"/>
  <c r="G69" i="24"/>
  <c r="D69" i="24"/>
  <c r="H68" i="24"/>
  <c r="D68" i="24"/>
  <c r="G67" i="24"/>
  <c r="H67" i="24" s="1"/>
  <c r="D67" i="24"/>
  <c r="G66" i="24"/>
  <c r="H66" i="24" s="1"/>
  <c r="D66" i="24"/>
  <c r="G65" i="24"/>
  <c r="H65" i="24" s="1"/>
  <c r="D65" i="24"/>
  <c r="G64" i="24"/>
  <c r="H64" i="24" s="1"/>
  <c r="D64" i="24"/>
  <c r="H63" i="24"/>
  <c r="D63" i="24"/>
  <c r="H62" i="24"/>
  <c r="D62" i="24"/>
  <c r="H61" i="24"/>
  <c r="D61" i="24"/>
  <c r="H60" i="24"/>
  <c r="D60" i="24"/>
  <c r="H59" i="24"/>
  <c r="D59" i="24"/>
  <c r="H58" i="24"/>
  <c r="D58" i="24"/>
  <c r="G57" i="24"/>
  <c r="H57" i="24" s="1"/>
  <c r="D57" i="24"/>
  <c r="H56" i="24"/>
  <c r="D56" i="24"/>
  <c r="H55" i="24"/>
  <c r="D55" i="24"/>
  <c r="H54" i="24"/>
  <c r="D54" i="24"/>
  <c r="H53" i="24"/>
  <c r="H52" i="24"/>
  <c r="H51" i="24"/>
  <c r="D51" i="24"/>
  <c r="H50" i="24"/>
  <c r="D50" i="24"/>
  <c r="H49" i="24"/>
  <c r="D49" i="24"/>
  <c r="H48" i="24"/>
  <c r="D48" i="24"/>
  <c r="H47" i="24"/>
  <c r="D47" i="24"/>
  <c r="H46" i="24"/>
  <c r="D46" i="24"/>
  <c r="H45" i="24"/>
  <c r="D45" i="24"/>
  <c r="H44" i="24"/>
  <c r="D44" i="24"/>
  <c r="H43" i="24"/>
  <c r="D43" i="24"/>
  <c r="H42" i="24"/>
  <c r="D42" i="24"/>
  <c r="H41" i="24"/>
  <c r="D41" i="24"/>
  <c r="H40" i="24"/>
  <c r="D40" i="24"/>
  <c r="H39" i="24"/>
  <c r="D39" i="24"/>
  <c r="H38" i="24"/>
  <c r="D38" i="24"/>
  <c r="H37" i="24"/>
  <c r="D37" i="24"/>
  <c r="H36" i="24"/>
  <c r="D36" i="24"/>
  <c r="H35" i="24"/>
  <c r="D35" i="24"/>
  <c r="H34" i="24"/>
  <c r="D34" i="24"/>
  <c r="H33" i="24"/>
  <c r="D33" i="24"/>
  <c r="H32" i="24"/>
  <c r="D32" i="24"/>
  <c r="H31" i="24"/>
  <c r="D31" i="24"/>
  <c r="H30" i="24"/>
  <c r="D30" i="24"/>
  <c r="H29" i="24"/>
  <c r="D29" i="24"/>
  <c r="H28" i="24"/>
  <c r="D28" i="24"/>
  <c r="H27" i="24"/>
  <c r="H26" i="24"/>
  <c r="D26" i="24"/>
  <c r="H25" i="24"/>
  <c r="D25" i="24"/>
  <c r="H24" i="24"/>
  <c r="D24" i="24"/>
  <c r="H23" i="24"/>
  <c r="D23" i="24"/>
  <c r="H22" i="24"/>
  <c r="D22" i="24"/>
  <c r="H21" i="24"/>
  <c r="D21" i="24"/>
  <c r="H20" i="24"/>
  <c r="D20" i="24"/>
  <c r="H19" i="24"/>
  <c r="D19" i="24"/>
  <c r="H18" i="24"/>
  <c r="D18" i="24"/>
  <c r="H17" i="24"/>
  <c r="D17" i="24"/>
  <c r="H16" i="24"/>
  <c r="D16" i="24"/>
  <c r="H15" i="24"/>
  <c r="D15" i="24"/>
  <c r="H14" i="24"/>
  <c r="D14" i="24"/>
  <c r="H13" i="24"/>
  <c r="D13" i="24"/>
  <c r="H12" i="24"/>
  <c r="D12" i="24"/>
  <c r="H11" i="24"/>
  <c r="D11" i="24"/>
  <c r="H10" i="24"/>
  <c r="D10" i="24"/>
  <c r="H9" i="24"/>
  <c r="D9" i="24"/>
  <c r="H8" i="24"/>
  <c r="D8" i="24"/>
  <c r="H7" i="24"/>
  <c r="D7" i="24"/>
  <c r="H6" i="24"/>
  <c r="D6" i="24"/>
  <c r="H5" i="24"/>
  <c r="D5" i="24"/>
  <c r="H4" i="24"/>
  <c r="D4" i="24"/>
  <c r="I4" i="23"/>
  <c r="I106" i="23" s="1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09" i="23"/>
  <c r="I110" i="24" l="1"/>
  <c r="I111" i="24"/>
  <c r="I147" i="24" s="1"/>
  <c r="I149" i="24" l="1"/>
  <c r="H4" i="23" l="1"/>
  <c r="I145" i="23"/>
  <c r="I111" i="23"/>
  <c r="I113" i="23"/>
  <c r="I114" i="23"/>
  <c r="I115" i="23"/>
  <c r="I116" i="23"/>
  <c r="I117" i="23"/>
  <c r="I119" i="23"/>
  <c r="I123" i="23"/>
  <c r="I125" i="23"/>
  <c r="I127" i="23"/>
  <c r="I128" i="23"/>
  <c r="I130" i="23"/>
  <c r="I131" i="23"/>
  <c r="I132" i="23"/>
  <c r="I134" i="23"/>
  <c r="I135" i="23"/>
  <c r="I136" i="23"/>
  <c r="I139" i="23"/>
  <c r="I140" i="23"/>
  <c r="I142" i="23"/>
  <c r="I143" i="23"/>
  <c r="I144" i="23"/>
  <c r="I110" i="23"/>
  <c r="I112" i="23"/>
  <c r="I118" i="23"/>
  <c r="I120" i="23"/>
  <c r="I121" i="23"/>
  <c r="I122" i="23"/>
  <c r="I124" i="23"/>
  <c r="I126" i="23"/>
  <c r="I129" i="23"/>
  <c r="I133" i="23"/>
  <c r="I137" i="23"/>
  <c r="I138" i="23"/>
  <c r="I141" i="23"/>
  <c r="I109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H105" i="23"/>
  <c r="I105" i="23" s="1"/>
  <c r="D105" i="23"/>
  <c r="D104" i="23"/>
  <c r="C104" i="23"/>
  <c r="H104" i="23" s="1"/>
  <c r="I104" i="23" s="1"/>
  <c r="H103" i="23"/>
  <c r="I103" i="23" s="1"/>
  <c r="D103" i="23"/>
  <c r="H102" i="23"/>
  <c r="I102" i="23" s="1"/>
  <c r="D102" i="23"/>
  <c r="H101" i="23"/>
  <c r="I101" i="23" s="1"/>
  <c r="D101" i="23"/>
  <c r="H100" i="23"/>
  <c r="I100" i="23" s="1"/>
  <c r="H99" i="23"/>
  <c r="I99" i="23" s="1"/>
  <c r="H98" i="23"/>
  <c r="I98" i="23" s="1"/>
  <c r="D98" i="23"/>
  <c r="H97" i="23"/>
  <c r="I97" i="23" s="1"/>
  <c r="D97" i="23"/>
  <c r="H96" i="23"/>
  <c r="I96" i="23" s="1"/>
  <c r="D96" i="23"/>
  <c r="H95" i="23"/>
  <c r="I95" i="23" s="1"/>
  <c r="D95" i="23"/>
  <c r="G94" i="23"/>
  <c r="H94" i="23" s="1"/>
  <c r="I94" i="23" s="1"/>
  <c r="D94" i="23"/>
  <c r="H93" i="23"/>
  <c r="I93" i="23" s="1"/>
  <c r="D93" i="23"/>
  <c r="H92" i="23"/>
  <c r="I92" i="23" s="1"/>
  <c r="D92" i="23"/>
  <c r="H91" i="23"/>
  <c r="I91" i="23" s="1"/>
  <c r="D91" i="23"/>
  <c r="H90" i="23"/>
  <c r="I90" i="23" s="1"/>
  <c r="D90" i="23"/>
  <c r="H89" i="23"/>
  <c r="I89" i="23" s="1"/>
  <c r="D89" i="23"/>
  <c r="H88" i="23"/>
  <c r="I88" i="23" s="1"/>
  <c r="D88" i="23"/>
  <c r="H87" i="23"/>
  <c r="I87" i="23" s="1"/>
  <c r="D87" i="23"/>
  <c r="H86" i="23"/>
  <c r="I86" i="23" s="1"/>
  <c r="D86" i="23"/>
  <c r="H85" i="23"/>
  <c r="I85" i="23" s="1"/>
  <c r="D85" i="23"/>
  <c r="H84" i="23"/>
  <c r="I84" i="23" s="1"/>
  <c r="D84" i="23"/>
  <c r="H83" i="23"/>
  <c r="I83" i="23" s="1"/>
  <c r="D83" i="23"/>
  <c r="H82" i="23"/>
  <c r="I82" i="23" s="1"/>
  <c r="D82" i="23"/>
  <c r="G81" i="23"/>
  <c r="H81" i="23" s="1"/>
  <c r="I81" i="23" s="1"/>
  <c r="D81" i="23"/>
  <c r="H80" i="23"/>
  <c r="I80" i="23" s="1"/>
  <c r="D80" i="23"/>
  <c r="D79" i="23"/>
  <c r="C79" i="23"/>
  <c r="H79" i="23" s="1"/>
  <c r="I79" i="23" s="1"/>
  <c r="D78" i="23"/>
  <c r="C78" i="23"/>
  <c r="H78" i="23" s="1"/>
  <c r="I78" i="23" s="1"/>
  <c r="H77" i="23"/>
  <c r="I77" i="23" s="1"/>
  <c r="D77" i="23"/>
  <c r="H76" i="23"/>
  <c r="I76" i="23" s="1"/>
  <c r="D76" i="23"/>
  <c r="H75" i="23"/>
  <c r="I75" i="23" s="1"/>
  <c r="D75" i="23"/>
  <c r="H74" i="23"/>
  <c r="I74" i="23" s="1"/>
  <c r="D74" i="23"/>
  <c r="H73" i="23"/>
  <c r="I73" i="23" s="1"/>
  <c r="D73" i="23"/>
  <c r="H72" i="23"/>
  <c r="I72" i="23" s="1"/>
  <c r="D72" i="23"/>
  <c r="H71" i="23"/>
  <c r="I71" i="23" s="1"/>
  <c r="D71" i="23"/>
  <c r="H70" i="23"/>
  <c r="I70" i="23" s="1"/>
  <c r="D70" i="23"/>
  <c r="G69" i="23"/>
  <c r="H69" i="23" s="1"/>
  <c r="I69" i="23" s="1"/>
  <c r="D69" i="23"/>
  <c r="H68" i="23"/>
  <c r="I68" i="23" s="1"/>
  <c r="D68" i="23"/>
  <c r="G67" i="23"/>
  <c r="H67" i="23" s="1"/>
  <c r="I67" i="23" s="1"/>
  <c r="D67" i="23"/>
  <c r="G66" i="23"/>
  <c r="H66" i="23" s="1"/>
  <c r="I66" i="23" s="1"/>
  <c r="D66" i="23"/>
  <c r="G65" i="23"/>
  <c r="H65" i="23" s="1"/>
  <c r="I65" i="23" s="1"/>
  <c r="D65" i="23"/>
  <c r="G64" i="23"/>
  <c r="H64" i="23" s="1"/>
  <c r="I64" i="23" s="1"/>
  <c r="D64" i="23"/>
  <c r="H63" i="23"/>
  <c r="I63" i="23" s="1"/>
  <c r="D63" i="23"/>
  <c r="H62" i="23"/>
  <c r="I62" i="23" s="1"/>
  <c r="D62" i="23"/>
  <c r="H61" i="23"/>
  <c r="I61" i="23" s="1"/>
  <c r="D61" i="23"/>
  <c r="H60" i="23"/>
  <c r="I60" i="23" s="1"/>
  <c r="D60" i="23"/>
  <c r="H59" i="23"/>
  <c r="I59" i="23" s="1"/>
  <c r="D59" i="23"/>
  <c r="H58" i="23"/>
  <c r="I58" i="23" s="1"/>
  <c r="D58" i="23"/>
  <c r="G57" i="23"/>
  <c r="H57" i="23" s="1"/>
  <c r="I57" i="23" s="1"/>
  <c r="D57" i="23"/>
  <c r="H56" i="23"/>
  <c r="I56" i="23" s="1"/>
  <c r="D56" i="23"/>
  <c r="H55" i="23"/>
  <c r="I55" i="23" s="1"/>
  <c r="D55" i="23"/>
  <c r="H54" i="23"/>
  <c r="I54" i="23" s="1"/>
  <c r="D54" i="23"/>
  <c r="H53" i="23"/>
  <c r="I53" i="23" s="1"/>
  <c r="H52" i="23"/>
  <c r="I52" i="23" s="1"/>
  <c r="H51" i="23"/>
  <c r="I51" i="23" s="1"/>
  <c r="D51" i="23"/>
  <c r="H50" i="23"/>
  <c r="I50" i="23" s="1"/>
  <c r="D50" i="23"/>
  <c r="H49" i="23"/>
  <c r="I49" i="23" s="1"/>
  <c r="D49" i="23"/>
  <c r="H48" i="23"/>
  <c r="I48" i="23" s="1"/>
  <c r="D48" i="23"/>
  <c r="H47" i="23"/>
  <c r="I47" i="23" s="1"/>
  <c r="D47" i="23"/>
  <c r="H46" i="23"/>
  <c r="I46" i="23" s="1"/>
  <c r="D46" i="23"/>
  <c r="H45" i="23"/>
  <c r="I45" i="23" s="1"/>
  <c r="D45" i="23"/>
  <c r="H44" i="23"/>
  <c r="I44" i="23" s="1"/>
  <c r="D44" i="23"/>
  <c r="H43" i="23"/>
  <c r="I43" i="23" s="1"/>
  <c r="D43" i="23"/>
  <c r="H42" i="23"/>
  <c r="I42" i="23" s="1"/>
  <c r="D42" i="23"/>
  <c r="H41" i="23"/>
  <c r="I41" i="23" s="1"/>
  <c r="D41" i="23"/>
  <c r="H40" i="23"/>
  <c r="I40" i="23" s="1"/>
  <c r="D40" i="23"/>
  <c r="H39" i="23"/>
  <c r="I39" i="23" s="1"/>
  <c r="D39" i="23"/>
  <c r="H38" i="23"/>
  <c r="I38" i="23" s="1"/>
  <c r="D38" i="23"/>
  <c r="H37" i="23"/>
  <c r="I37" i="23" s="1"/>
  <c r="D37" i="23"/>
  <c r="H36" i="23"/>
  <c r="I36" i="23" s="1"/>
  <c r="D36" i="23"/>
  <c r="H35" i="23"/>
  <c r="I35" i="23" s="1"/>
  <c r="D35" i="23"/>
  <c r="H34" i="23"/>
  <c r="I34" i="23" s="1"/>
  <c r="D34" i="23"/>
  <c r="H33" i="23"/>
  <c r="I33" i="23" s="1"/>
  <c r="D33" i="23"/>
  <c r="H32" i="23"/>
  <c r="I32" i="23" s="1"/>
  <c r="D32" i="23"/>
  <c r="H31" i="23"/>
  <c r="I31" i="23" s="1"/>
  <c r="D31" i="23"/>
  <c r="H30" i="23"/>
  <c r="I30" i="23" s="1"/>
  <c r="D30" i="23"/>
  <c r="H29" i="23"/>
  <c r="I29" i="23" s="1"/>
  <c r="D29" i="23"/>
  <c r="H28" i="23"/>
  <c r="I28" i="23" s="1"/>
  <c r="D28" i="23"/>
  <c r="H27" i="23"/>
  <c r="I27" i="23" s="1"/>
  <c r="H26" i="23"/>
  <c r="I26" i="23" s="1"/>
  <c r="D26" i="23"/>
  <c r="H25" i="23"/>
  <c r="I25" i="23" s="1"/>
  <c r="D25" i="23"/>
  <c r="H24" i="23"/>
  <c r="I24" i="23" s="1"/>
  <c r="D24" i="23"/>
  <c r="H23" i="23"/>
  <c r="I23" i="23" s="1"/>
  <c r="D23" i="23"/>
  <c r="H22" i="23"/>
  <c r="I22" i="23" s="1"/>
  <c r="F22" i="23"/>
  <c r="D22" i="23"/>
  <c r="H21" i="23"/>
  <c r="I21" i="23" s="1"/>
  <c r="D21" i="23"/>
  <c r="H20" i="23"/>
  <c r="I20" i="23" s="1"/>
  <c r="D20" i="23"/>
  <c r="H19" i="23"/>
  <c r="I19" i="23" s="1"/>
  <c r="D19" i="23"/>
  <c r="H18" i="23"/>
  <c r="I18" i="23" s="1"/>
  <c r="D18" i="23"/>
  <c r="H17" i="23"/>
  <c r="I17" i="23" s="1"/>
  <c r="D17" i="23"/>
  <c r="H16" i="23"/>
  <c r="I16" i="23" s="1"/>
  <c r="D16" i="23"/>
  <c r="H15" i="23"/>
  <c r="I15" i="23" s="1"/>
  <c r="D15" i="23"/>
  <c r="H14" i="23"/>
  <c r="I14" i="23" s="1"/>
  <c r="D14" i="23"/>
  <c r="H13" i="23"/>
  <c r="I13" i="23" s="1"/>
  <c r="D13" i="23"/>
  <c r="H12" i="23"/>
  <c r="I12" i="23" s="1"/>
  <c r="D12" i="23"/>
  <c r="H11" i="23"/>
  <c r="I11" i="23" s="1"/>
  <c r="D11" i="23"/>
  <c r="H10" i="23"/>
  <c r="I10" i="23" s="1"/>
  <c r="D10" i="23"/>
  <c r="H9" i="23"/>
  <c r="I9" i="23" s="1"/>
  <c r="D9" i="23"/>
  <c r="H8" i="23"/>
  <c r="I8" i="23" s="1"/>
  <c r="D8" i="23"/>
  <c r="H7" i="23"/>
  <c r="I7" i="23" s="1"/>
  <c r="D7" i="23"/>
  <c r="H6" i="23"/>
  <c r="I6" i="23" s="1"/>
  <c r="D6" i="23"/>
  <c r="H5" i="23"/>
  <c r="I5" i="23" s="1"/>
  <c r="D5" i="23"/>
  <c r="D4" i="23"/>
  <c r="I6" i="22"/>
  <c r="I5" i="22"/>
  <c r="D108" i="22"/>
  <c r="H109" i="22"/>
  <c r="I109" i="22" s="1"/>
  <c r="C105" i="22"/>
  <c r="H106" i="22"/>
  <c r="I106" i="22" s="1"/>
  <c r="D106" i="22"/>
  <c r="C106" i="21"/>
  <c r="C38" i="20"/>
  <c r="C106" i="18"/>
  <c r="H105" i="22"/>
  <c r="I105" i="22" s="1"/>
  <c r="H145" i="22"/>
  <c r="I145" i="22" s="1"/>
  <c r="D145" i="22"/>
  <c r="H144" i="22"/>
  <c r="I144" i="22" s="1"/>
  <c r="D144" i="22"/>
  <c r="H143" i="22"/>
  <c r="I143" i="22" s="1"/>
  <c r="D143" i="22"/>
  <c r="H142" i="22"/>
  <c r="I142" i="22" s="1"/>
  <c r="D142" i="22"/>
  <c r="H141" i="22"/>
  <c r="I141" i="22" s="1"/>
  <c r="D141" i="22"/>
  <c r="H140" i="22"/>
  <c r="I140" i="22" s="1"/>
  <c r="D140" i="22"/>
  <c r="H139" i="22"/>
  <c r="I139" i="22" s="1"/>
  <c r="D139" i="22"/>
  <c r="H138" i="22"/>
  <c r="I138" i="22" s="1"/>
  <c r="D138" i="22"/>
  <c r="H137" i="22"/>
  <c r="I137" i="22" s="1"/>
  <c r="D137" i="22"/>
  <c r="H136" i="22"/>
  <c r="I136" i="22" s="1"/>
  <c r="D136" i="22"/>
  <c r="H135" i="22"/>
  <c r="I135" i="22" s="1"/>
  <c r="D135" i="22"/>
  <c r="H134" i="22"/>
  <c r="I134" i="22" s="1"/>
  <c r="D134" i="22"/>
  <c r="H133" i="22"/>
  <c r="I133" i="22" s="1"/>
  <c r="D133" i="22"/>
  <c r="H132" i="22"/>
  <c r="I132" i="22" s="1"/>
  <c r="D132" i="22"/>
  <c r="H131" i="22"/>
  <c r="I131" i="22" s="1"/>
  <c r="D131" i="22"/>
  <c r="H130" i="22"/>
  <c r="I130" i="22" s="1"/>
  <c r="D130" i="22"/>
  <c r="H129" i="22"/>
  <c r="I129" i="22" s="1"/>
  <c r="D129" i="22"/>
  <c r="H128" i="22"/>
  <c r="I128" i="22" s="1"/>
  <c r="D128" i="22"/>
  <c r="H127" i="22"/>
  <c r="I127" i="22" s="1"/>
  <c r="D127" i="22"/>
  <c r="H126" i="22"/>
  <c r="I126" i="22" s="1"/>
  <c r="D126" i="22"/>
  <c r="H125" i="22"/>
  <c r="I125" i="22" s="1"/>
  <c r="D125" i="22"/>
  <c r="H124" i="22"/>
  <c r="I124" i="22" s="1"/>
  <c r="D124" i="22"/>
  <c r="H123" i="22"/>
  <c r="I123" i="22" s="1"/>
  <c r="D123" i="22"/>
  <c r="H122" i="22"/>
  <c r="I122" i="22" s="1"/>
  <c r="D122" i="22"/>
  <c r="H121" i="22"/>
  <c r="I121" i="22" s="1"/>
  <c r="D121" i="22"/>
  <c r="H120" i="22"/>
  <c r="I120" i="22" s="1"/>
  <c r="D120" i="22"/>
  <c r="H119" i="22"/>
  <c r="I119" i="22" s="1"/>
  <c r="D119" i="22"/>
  <c r="H118" i="22"/>
  <c r="I118" i="22" s="1"/>
  <c r="D118" i="22"/>
  <c r="H117" i="22"/>
  <c r="I117" i="22" s="1"/>
  <c r="D117" i="22"/>
  <c r="H116" i="22"/>
  <c r="I116" i="22" s="1"/>
  <c r="D116" i="22"/>
  <c r="H115" i="22"/>
  <c r="I115" i="22" s="1"/>
  <c r="D115" i="22"/>
  <c r="H114" i="22"/>
  <c r="I114" i="22" s="1"/>
  <c r="D114" i="22"/>
  <c r="H113" i="22"/>
  <c r="I113" i="22" s="1"/>
  <c r="D113" i="22"/>
  <c r="H112" i="22"/>
  <c r="I112" i="22" s="1"/>
  <c r="D112" i="22"/>
  <c r="H111" i="22"/>
  <c r="I111" i="22" s="1"/>
  <c r="D111" i="22"/>
  <c r="H110" i="22"/>
  <c r="I110" i="22" s="1"/>
  <c r="D110" i="22"/>
  <c r="D109" i="22"/>
  <c r="D107" i="22"/>
  <c r="D105" i="22"/>
  <c r="H104" i="22"/>
  <c r="I104" i="22" s="1"/>
  <c r="D104" i="22"/>
  <c r="H103" i="22"/>
  <c r="I103" i="22" s="1"/>
  <c r="D103" i="22"/>
  <c r="H102" i="22"/>
  <c r="I102" i="22" s="1"/>
  <c r="D102" i="22"/>
  <c r="H101" i="22"/>
  <c r="I101" i="22" s="1"/>
  <c r="H100" i="22"/>
  <c r="I100" i="22" s="1"/>
  <c r="H99" i="22"/>
  <c r="I99" i="22" s="1"/>
  <c r="D99" i="22"/>
  <c r="H98" i="22"/>
  <c r="I98" i="22" s="1"/>
  <c r="D98" i="22"/>
  <c r="H97" i="22"/>
  <c r="I97" i="22" s="1"/>
  <c r="D97" i="22"/>
  <c r="H96" i="22"/>
  <c r="I96" i="22" s="1"/>
  <c r="D96" i="22"/>
  <c r="G95" i="22"/>
  <c r="H95" i="22" s="1"/>
  <c r="I95" i="22" s="1"/>
  <c r="D95" i="22"/>
  <c r="H94" i="22"/>
  <c r="I94" i="22" s="1"/>
  <c r="D94" i="22"/>
  <c r="H93" i="22"/>
  <c r="I93" i="22" s="1"/>
  <c r="D93" i="22"/>
  <c r="H92" i="22"/>
  <c r="I92" i="22" s="1"/>
  <c r="D92" i="22"/>
  <c r="H91" i="22"/>
  <c r="I91" i="22" s="1"/>
  <c r="D91" i="22"/>
  <c r="H90" i="22"/>
  <c r="I90" i="22" s="1"/>
  <c r="D90" i="22"/>
  <c r="H89" i="22"/>
  <c r="I89" i="22" s="1"/>
  <c r="D89" i="22"/>
  <c r="H88" i="22"/>
  <c r="I88" i="22" s="1"/>
  <c r="D88" i="22"/>
  <c r="H87" i="22"/>
  <c r="I87" i="22" s="1"/>
  <c r="D87" i="22"/>
  <c r="H86" i="22"/>
  <c r="I86" i="22" s="1"/>
  <c r="D86" i="22"/>
  <c r="H85" i="22"/>
  <c r="I85" i="22" s="1"/>
  <c r="D85" i="22"/>
  <c r="H84" i="22"/>
  <c r="I84" i="22" s="1"/>
  <c r="D84" i="22"/>
  <c r="H83" i="22"/>
  <c r="I83" i="22" s="1"/>
  <c r="D83" i="22"/>
  <c r="G82" i="22"/>
  <c r="H82" i="22" s="1"/>
  <c r="I82" i="22" s="1"/>
  <c r="D82" i="22"/>
  <c r="H81" i="22"/>
  <c r="I81" i="22" s="1"/>
  <c r="D81" i="22"/>
  <c r="D80" i="22"/>
  <c r="C80" i="22"/>
  <c r="H80" i="22" s="1"/>
  <c r="I80" i="22" s="1"/>
  <c r="D79" i="22"/>
  <c r="C79" i="22"/>
  <c r="H79" i="22" s="1"/>
  <c r="I79" i="22" s="1"/>
  <c r="H78" i="22"/>
  <c r="I78" i="22" s="1"/>
  <c r="D78" i="22"/>
  <c r="H77" i="22"/>
  <c r="I77" i="22" s="1"/>
  <c r="D77" i="22"/>
  <c r="H76" i="22"/>
  <c r="I76" i="22" s="1"/>
  <c r="D76" i="22"/>
  <c r="H75" i="22"/>
  <c r="I75" i="22" s="1"/>
  <c r="D75" i="22"/>
  <c r="H74" i="22"/>
  <c r="I74" i="22" s="1"/>
  <c r="D74" i="22"/>
  <c r="H73" i="22"/>
  <c r="I73" i="22" s="1"/>
  <c r="D73" i="22"/>
  <c r="H72" i="22"/>
  <c r="I72" i="22" s="1"/>
  <c r="D72" i="22"/>
  <c r="H71" i="22"/>
  <c r="I71" i="22" s="1"/>
  <c r="D71" i="22"/>
  <c r="G70" i="22"/>
  <c r="H70" i="22" s="1"/>
  <c r="I70" i="22" s="1"/>
  <c r="D70" i="22"/>
  <c r="G69" i="22"/>
  <c r="H69" i="22" s="1"/>
  <c r="I69" i="22" s="1"/>
  <c r="D69" i="22"/>
  <c r="G68" i="22"/>
  <c r="H68" i="22" s="1"/>
  <c r="I68" i="22" s="1"/>
  <c r="D68" i="22"/>
  <c r="G67" i="22"/>
  <c r="H67" i="22" s="1"/>
  <c r="I67" i="22" s="1"/>
  <c r="D67" i="22"/>
  <c r="G66" i="22"/>
  <c r="H66" i="22" s="1"/>
  <c r="I66" i="22" s="1"/>
  <c r="D66" i="22"/>
  <c r="G65" i="22"/>
  <c r="H65" i="22" s="1"/>
  <c r="I65" i="22" s="1"/>
  <c r="D65" i="22"/>
  <c r="H64" i="22"/>
  <c r="I64" i="22" s="1"/>
  <c r="D64" i="22"/>
  <c r="H63" i="22"/>
  <c r="I63" i="22" s="1"/>
  <c r="D63" i="22"/>
  <c r="H62" i="22"/>
  <c r="I62" i="22" s="1"/>
  <c r="D62" i="22"/>
  <c r="H61" i="22"/>
  <c r="I61" i="22" s="1"/>
  <c r="D61" i="22"/>
  <c r="H60" i="22"/>
  <c r="I60" i="22" s="1"/>
  <c r="D60" i="22"/>
  <c r="H59" i="22"/>
  <c r="I59" i="22" s="1"/>
  <c r="D59" i="22"/>
  <c r="G58" i="22"/>
  <c r="H58" i="22" s="1"/>
  <c r="I58" i="22" s="1"/>
  <c r="D58" i="22"/>
  <c r="H57" i="22"/>
  <c r="I57" i="22" s="1"/>
  <c r="D57" i="22"/>
  <c r="H56" i="22"/>
  <c r="I56" i="22" s="1"/>
  <c r="D56" i="22"/>
  <c r="H55" i="22"/>
  <c r="I55" i="22" s="1"/>
  <c r="D55" i="22"/>
  <c r="G54" i="22"/>
  <c r="H54" i="22" s="1"/>
  <c r="I54" i="22" s="1"/>
  <c r="H53" i="22"/>
  <c r="I53" i="22" s="1"/>
  <c r="H52" i="22"/>
  <c r="I52" i="22" s="1"/>
  <c r="D52" i="22"/>
  <c r="H51" i="22"/>
  <c r="I51" i="22" s="1"/>
  <c r="D51" i="22"/>
  <c r="H50" i="22"/>
  <c r="I50" i="22" s="1"/>
  <c r="D50" i="22"/>
  <c r="H49" i="22"/>
  <c r="I49" i="22" s="1"/>
  <c r="D49" i="22"/>
  <c r="H48" i="22"/>
  <c r="I48" i="22" s="1"/>
  <c r="D48" i="22"/>
  <c r="H47" i="22"/>
  <c r="I47" i="22" s="1"/>
  <c r="D47" i="22"/>
  <c r="H46" i="22"/>
  <c r="I46" i="22" s="1"/>
  <c r="D46" i="22"/>
  <c r="H45" i="22"/>
  <c r="I45" i="22" s="1"/>
  <c r="D45" i="22"/>
  <c r="H44" i="22"/>
  <c r="I44" i="22" s="1"/>
  <c r="D44" i="22"/>
  <c r="H43" i="22"/>
  <c r="I43" i="22" s="1"/>
  <c r="D43" i="22"/>
  <c r="H42" i="22"/>
  <c r="I42" i="22" s="1"/>
  <c r="D42" i="22"/>
  <c r="H41" i="22"/>
  <c r="I41" i="22" s="1"/>
  <c r="D41" i="22"/>
  <c r="H40" i="22"/>
  <c r="I40" i="22" s="1"/>
  <c r="D40" i="22"/>
  <c r="H39" i="22"/>
  <c r="I39" i="22" s="1"/>
  <c r="D39" i="22"/>
  <c r="G38" i="22"/>
  <c r="H38" i="22" s="1"/>
  <c r="I38" i="22" s="1"/>
  <c r="D38" i="22"/>
  <c r="H37" i="22"/>
  <c r="I37" i="22" s="1"/>
  <c r="D37" i="22"/>
  <c r="H36" i="22"/>
  <c r="I36" i="22" s="1"/>
  <c r="D36" i="22"/>
  <c r="H35" i="22"/>
  <c r="I35" i="22" s="1"/>
  <c r="D35" i="22"/>
  <c r="H34" i="22"/>
  <c r="I34" i="22" s="1"/>
  <c r="D34" i="22"/>
  <c r="H33" i="22"/>
  <c r="I33" i="22" s="1"/>
  <c r="D33" i="22"/>
  <c r="H32" i="22"/>
  <c r="I32" i="22" s="1"/>
  <c r="D32" i="22"/>
  <c r="H31" i="22"/>
  <c r="I31" i="22" s="1"/>
  <c r="D31" i="22"/>
  <c r="H30" i="22"/>
  <c r="I30" i="22" s="1"/>
  <c r="D30" i="22"/>
  <c r="H29" i="22"/>
  <c r="I29" i="22" s="1"/>
  <c r="D29" i="22"/>
  <c r="H28" i="22"/>
  <c r="I28" i="22" s="1"/>
  <c r="H27" i="22"/>
  <c r="I27" i="22" s="1"/>
  <c r="D27" i="22"/>
  <c r="H26" i="22"/>
  <c r="I26" i="22" s="1"/>
  <c r="D26" i="22"/>
  <c r="H25" i="22"/>
  <c r="I25" i="22" s="1"/>
  <c r="D25" i="22"/>
  <c r="H24" i="22"/>
  <c r="I24" i="22" s="1"/>
  <c r="D24" i="22"/>
  <c r="G23" i="22"/>
  <c r="H23" i="22" s="1"/>
  <c r="I23" i="22" s="1"/>
  <c r="F23" i="22"/>
  <c r="D23" i="22"/>
  <c r="H22" i="22"/>
  <c r="I22" i="22" s="1"/>
  <c r="D22" i="22"/>
  <c r="H21" i="22"/>
  <c r="I21" i="22" s="1"/>
  <c r="D21" i="22"/>
  <c r="H20" i="22"/>
  <c r="I20" i="22" s="1"/>
  <c r="D20" i="22"/>
  <c r="H19" i="22"/>
  <c r="I19" i="22" s="1"/>
  <c r="D19" i="22"/>
  <c r="H18" i="22"/>
  <c r="I18" i="22" s="1"/>
  <c r="D18" i="22"/>
  <c r="H17" i="22"/>
  <c r="I17" i="22" s="1"/>
  <c r="D17" i="22"/>
  <c r="H16" i="22"/>
  <c r="I16" i="22" s="1"/>
  <c r="D16" i="22"/>
  <c r="H15" i="22"/>
  <c r="I15" i="22" s="1"/>
  <c r="D15" i="22"/>
  <c r="H14" i="22"/>
  <c r="I14" i="22" s="1"/>
  <c r="D14" i="22"/>
  <c r="H13" i="22"/>
  <c r="I13" i="22" s="1"/>
  <c r="D13" i="22"/>
  <c r="H12" i="22"/>
  <c r="I12" i="22" s="1"/>
  <c r="D12" i="22"/>
  <c r="H11" i="22"/>
  <c r="I11" i="22" s="1"/>
  <c r="D11" i="22"/>
  <c r="H10" i="22"/>
  <c r="I10" i="22" s="1"/>
  <c r="D10" i="22"/>
  <c r="H9" i="22"/>
  <c r="I9" i="22" s="1"/>
  <c r="D9" i="22"/>
  <c r="H8" i="22"/>
  <c r="I8" i="22" s="1"/>
  <c r="D8" i="22"/>
  <c r="H7" i="22"/>
  <c r="I7" i="22" s="1"/>
  <c r="D7" i="22"/>
  <c r="H6" i="22"/>
  <c r="D6" i="22"/>
  <c r="H5" i="22"/>
  <c r="D5" i="22"/>
  <c r="I77" i="20"/>
  <c r="H144" i="21"/>
  <c r="I144" i="21" s="1"/>
  <c r="D144" i="21"/>
  <c r="H143" i="21"/>
  <c r="I143" i="21" s="1"/>
  <c r="D143" i="21"/>
  <c r="H142" i="21"/>
  <c r="I142" i="21" s="1"/>
  <c r="D142" i="21"/>
  <c r="H141" i="21"/>
  <c r="I141" i="21" s="1"/>
  <c r="D141" i="21"/>
  <c r="H140" i="21"/>
  <c r="I140" i="21" s="1"/>
  <c r="D140" i="21"/>
  <c r="H139" i="21"/>
  <c r="I139" i="21" s="1"/>
  <c r="D139" i="21"/>
  <c r="H138" i="21"/>
  <c r="I138" i="21" s="1"/>
  <c r="D138" i="21"/>
  <c r="H137" i="21"/>
  <c r="I137" i="21" s="1"/>
  <c r="D137" i="21"/>
  <c r="H136" i="21"/>
  <c r="I136" i="21" s="1"/>
  <c r="D136" i="21"/>
  <c r="H135" i="21"/>
  <c r="I135" i="21" s="1"/>
  <c r="D135" i="21"/>
  <c r="I134" i="21"/>
  <c r="H134" i="21"/>
  <c r="D134" i="21"/>
  <c r="H133" i="21"/>
  <c r="I133" i="21" s="1"/>
  <c r="D133" i="21"/>
  <c r="H132" i="21"/>
  <c r="I132" i="21" s="1"/>
  <c r="D132" i="21"/>
  <c r="H131" i="21"/>
  <c r="I131" i="21" s="1"/>
  <c r="D131" i="21"/>
  <c r="H130" i="21"/>
  <c r="I130" i="21" s="1"/>
  <c r="D130" i="21"/>
  <c r="H129" i="21"/>
  <c r="I129" i="21" s="1"/>
  <c r="D129" i="21"/>
  <c r="I128" i="21"/>
  <c r="H128" i="21"/>
  <c r="D128" i="21"/>
  <c r="H127" i="21"/>
  <c r="I127" i="21" s="1"/>
  <c r="D127" i="21"/>
  <c r="H126" i="21"/>
  <c r="I126" i="21" s="1"/>
  <c r="D126" i="21"/>
  <c r="H125" i="21"/>
  <c r="I125" i="21" s="1"/>
  <c r="D125" i="21"/>
  <c r="H124" i="21"/>
  <c r="I124" i="21" s="1"/>
  <c r="D124" i="21"/>
  <c r="H123" i="21"/>
  <c r="I123" i="21" s="1"/>
  <c r="D123" i="21"/>
  <c r="H122" i="21"/>
  <c r="I122" i="21" s="1"/>
  <c r="D122" i="21"/>
  <c r="H121" i="21"/>
  <c r="I121" i="21" s="1"/>
  <c r="D121" i="21"/>
  <c r="H120" i="21"/>
  <c r="I120" i="21" s="1"/>
  <c r="D120" i="21"/>
  <c r="H119" i="21"/>
  <c r="I119" i="21" s="1"/>
  <c r="D119" i="21"/>
  <c r="H118" i="21"/>
  <c r="I118" i="21" s="1"/>
  <c r="D118" i="21"/>
  <c r="H117" i="21"/>
  <c r="I117" i="21" s="1"/>
  <c r="D117" i="21"/>
  <c r="H116" i="21"/>
  <c r="I116" i="21" s="1"/>
  <c r="D116" i="21"/>
  <c r="H115" i="21"/>
  <c r="I115" i="21" s="1"/>
  <c r="D115" i="21"/>
  <c r="H114" i="21"/>
  <c r="I114" i="21" s="1"/>
  <c r="D114" i="21"/>
  <c r="H113" i="21"/>
  <c r="I113" i="21" s="1"/>
  <c r="D113" i="21"/>
  <c r="H112" i="21"/>
  <c r="I112" i="21" s="1"/>
  <c r="D112" i="21"/>
  <c r="H111" i="21"/>
  <c r="I111" i="21" s="1"/>
  <c r="G111" i="21"/>
  <c r="D111" i="21"/>
  <c r="H110" i="21"/>
  <c r="I110" i="21" s="1"/>
  <c r="D110" i="21"/>
  <c r="H109" i="21"/>
  <c r="I109" i="21" s="1"/>
  <c r="D109" i="21"/>
  <c r="H108" i="21"/>
  <c r="I108" i="21" s="1"/>
  <c r="D108" i="21"/>
  <c r="D107" i="21"/>
  <c r="H106" i="21"/>
  <c r="I106" i="21" s="1"/>
  <c r="D106" i="21"/>
  <c r="H105" i="21"/>
  <c r="I105" i="21" s="1"/>
  <c r="D105" i="21"/>
  <c r="H104" i="21"/>
  <c r="I104" i="21" s="1"/>
  <c r="D104" i="21"/>
  <c r="I103" i="21"/>
  <c r="H103" i="21"/>
  <c r="D103" i="21"/>
  <c r="H102" i="21"/>
  <c r="I102" i="21" s="1"/>
  <c r="H101" i="21"/>
  <c r="I101" i="21" s="1"/>
  <c r="H100" i="21"/>
  <c r="I100" i="21" s="1"/>
  <c r="D100" i="21"/>
  <c r="D99" i="21"/>
  <c r="D98" i="21"/>
  <c r="D97" i="21"/>
  <c r="G96" i="21"/>
  <c r="H96" i="21" s="1"/>
  <c r="I96" i="21" s="1"/>
  <c r="D96" i="21"/>
  <c r="H95" i="21"/>
  <c r="I95" i="21" s="1"/>
  <c r="D95" i="21"/>
  <c r="H94" i="21"/>
  <c r="I94" i="21" s="1"/>
  <c r="D94" i="21"/>
  <c r="H93" i="21"/>
  <c r="I93" i="21" s="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C81" i="21"/>
  <c r="D80" i="21"/>
  <c r="C80" i="21"/>
  <c r="D79" i="21"/>
  <c r="D78" i="21"/>
  <c r="D77" i="21"/>
  <c r="D76" i="21"/>
  <c r="D75" i="21"/>
  <c r="D74" i="21"/>
  <c r="D73" i="21"/>
  <c r="D72" i="21"/>
  <c r="G71" i="21"/>
  <c r="H71" i="21" s="1"/>
  <c r="I71" i="21" s="1"/>
  <c r="D71" i="21"/>
  <c r="G70" i="21"/>
  <c r="H70" i="21" s="1"/>
  <c r="I70" i="21" s="1"/>
  <c r="D70" i="21"/>
  <c r="G69" i="21"/>
  <c r="H69" i="21" s="1"/>
  <c r="I69" i="21" s="1"/>
  <c r="D69" i="21"/>
  <c r="G68" i="21"/>
  <c r="H68" i="21" s="1"/>
  <c r="I68" i="21" s="1"/>
  <c r="D68" i="21"/>
  <c r="H67" i="21"/>
  <c r="I67" i="21" s="1"/>
  <c r="D67" i="21"/>
  <c r="G66" i="21"/>
  <c r="H66" i="21" s="1"/>
  <c r="I66" i="21" s="1"/>
  <c r="D66" i="21"/>
  <c r="H65" i="21"/>
  <c r="I65" i="21" s="1"/>
  <c r="G65" i="21"/>
  <c r="D65" i="21"/>
  <c r="D64" i="21"/>
  <c r="D63" i="21"/>
  <c r="D62" i="21"/>
  <c r="D61" i="21"/>
  <c r="H60" i="21"/>
  <c r="I60" i="21" s="1"/>
  <c r="D60" i="21"/>
  <c r="D59" i="21"/>
  <c r="D58" i="21"/>
  <c r="H57" i="21"/>
  <c r="I57" i="21" s="1"/>
  <c r="D57" i="21"/>
  <c r="D56" i="21"/>
  <c r="H55" i="21"/>
  <c r="I55" i="21" s="1"/>
  <c r="D55" i="21"/>
  <c r="H54" i="21"/>
  <c r="I54" i="21" s="1"/>
  <c r="G54" i="21"/>
  <c r="H53" i="21"/>
  <c r="I53" i="21" s="1"/>
  <c r="D52" i="21"/>
  <c r="D51" i="21"/>
  <c r="D50" i="21"/>
  <c r="D49" i="21"/>
  <c r="D48" i="21"/>
  <c r="D47" i="21"/>
  <c r="D46" i="21"/>
  <c r="D45" i="21"/>
  <c r="H44" i="21"/>
  <c r="I44" i="21" s="1"/>
  <c r="D44" i="21"/>
  <c r="H43" i="21"/>
  <c r="I43" i="21" s="1"/>
  <c r="D43" i="21"/>
  <c r="H42" i="21"/>
  <c r="I42" i="21" s="1"/>
  <c r="D42" i="21"/>
  <c r="D41" i="21"/>
  <c r="H40" i="21"/>
  <c r="I40" i="21" s="1"/>
  <c r="D40" i="21"/>
  <c r="D39" i="21"/>
  <c r="D38" i="21"/>
  <c r="D37" i="21"/>
  <c r="D36" i="21"/>
  <c r="H35" i="21"/>
  <c r="I35" i="21" s="1"/>
  <c r="D35" i="21"/>
  <c r="H34" i="21"/>
  <c r="I34" i="21" s="1"/>
  <c r="D34" i="21"/>
  <c r="H33" i="21"/>
  <c r="I33" i="21" s="1"/>
  <c r="D33" i="21"/>
  <c r="D32" i="21"/>
  <c r="D31" i="21"/>
  <c r="H30" i="21"/>
  <c r="I30" i="21" s="1"/>
  <c r="D30" i="21"/>
  <c r="D29" i="21"/>
  <c r="H27" i="21"/>
  <c r="I27" i="21" s="1"/>
  <c r="D27" i="21"/>
  <c r="H26" i="21"/>
  <c r="I26" i="21" s="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H6" i="21"/>
  <c r="I6" i="21" s="1"/>
  <c r="D6" i="21"/>
  <c r="D5" i="21"/>
  <c r="H76" i="20"/>
  <c r="I76" i="20" s="1"/>
  <c r="D76" i="20"/>
  <c r="H75" i="20"/>
  <c r="I75" i="20" s="1"/>
  <c r="D75" i="20"/>
  <c r="H74" i="20"/>
  <c r="I74" i="20" s="1"/>
  <c r="D74" i="20"/>
  <c r="H73" i="20"/>
  <c r="I73" i="20" s="1"/>
  <c r="D73" i="20"/>
  <c r="H72" i="20"/>
  <c r="I72" i="20" s="1"/>
  <c r="D72" i="20"/>
  <c r="H71" i="20"/>
  <c r="I71" i="20" s="1"/>
  <c r="D71" i="20"/>
  <c r="H70" i="20"/>
  <c r="I70" i="20" s="1"/>
  <c r="D70" i="20"/>
  <c r="H69" i="20"/>
  <c r="I69" i="20" s="1"/>
  <c r="D69" i="20"/>
  <c r="H68" i="20"/>
  <c r="I68" i="20" s="1"/>
  <c r="D68" i="20"/>
  <c r="H67" i="20"/>
  <c r="I67" i="20" s="1"/>
  <c r="D67" i="20"/>
  <c r="H66" i="20"/>
  <c r="I66" i="20" s="1"/>
  <c r="D66" i="20"/>
  <c r="H65" i="20"/>
  <c r="I65" i="20" s="1"/>
  <c r="D65" i="20"/>
  <c r="H64" i="20"/>
  <c r="I64" i="20" s="1"/>
  <c r="D64" i="20"/>
  <c r="H63" i="20"/>
  <c r="I63" i="20" s="1"/>
  <c r="D63" i="20"/>
  <c r="H62" i="20"/>
  <c r="I62" i="20" s="1"/>
  <c r="D62" i="20"/>
  <c r="H61" i="20"/>
  <c r="I61" i="20" s="1"/>
  <c r="D61" i="20"/>
  <c r="H60" i="20"/>
  <c r="I60" i="20" s="1"/>
  <c r="D60" i="20"/>
  <c r="H59" i="20"/>
  <c r="I59" i="20" s="1"/>
  <c r="D59" i="20"/>
  <c r="H58" i="20"/>
  <c r="I58" i="20" s="1"/>
  <c r="D58" i="20"/>
  <c r="H57" i="20"/>
  <c r="I57" i="20" s="1"/>
  <c r="D57" i="20"/>
  <c r="H56" i="20"/>
  <c r="I56" i="20" s="1"/>
  <c r="D56" i="20"/>
  <c r="H55" i="20"/>
  <c r="I55" i="20" s="1"/>
  <c r="D55" i="20"/>
  <c r="H54" i="20"/>
  <c r="I54" i="20" s="1"/>
  <c r="D54" i="20"/>
  <c r="H53" i="20"/>
  <c r="I53" i="20" s="1"/>
  <c r="D53" i="20"/>
  <c r="H52" i="20"/>
  <c r="I52" i="20" s="1"/>
  <c r="D52" i="20"/>
  <c r="H51" i="20"/>
  <c r="I51" i="20" s="1"/>
  <c r="D51" i="20"/>
  <c r="H50" i="20"/>
  <c r="I50" i="20" s="1"/>
  <c r="D50" i="20"/>
  <c r="H49" i="20"/>
  <c r="I49" i="20" s="1"/>
  <c r="D49" i="20"/>
  <c r="H48" i="20"/>
  <c r="I48" i="20" s="1"/>
  <c r="D48" i="20"/>
  <c r="H47" i="20"/>
  <c r="I47" i="20" s="1"/>
  <c r="D47" i="20"/>
  <c r="H46" i="20"/>
  <c r="I46" i="20" s="1"/>
  <c r="D46" i="20"/>
  <c r="H45" i="20"/>
  <c r="I45" i="20" s="1"/>
  <c r="D45" i="20"/>
  <c r="H44" i="20"/>
  <c r="I44" i="20" s="1"/>
  <c r="D44" i="20"/>
  <c r="G43" i="20"/>
  <c r="H43" i="20" s="1"/>
  <c r="I43" i="20" s="1"/>
  <c r="D43" i="20"/>
  <c r="H42" i="20"/>
  <c r="I42" i="20" s="1"/>
  <c r="D42" i="20"/>
  <c r="H41" i="20"/>
  <c r="I41" i="20" s="1"/>
  <c r="D41" i="20"/>
  <c r="H40" i="20"/>
  <c r="I40" i="20" s="1"/>
  <c r="D40" i="20"/>
  <c r="D39" i="20"/>
  <c r="H38" i="20"/>
  <c r="I38" i="20" s="1"/>
  <c r="D38" i="20"/>
  <c r="H37" i="20"/>
  <c r="I37" i="20" s="1"/>
  <c r="D37" i="20"/>
  <c r="H36" i="20"/>
  <c r="I36" i="20" s="1"/>
  <c r="D36" i="20"/>
  <c r="H35" i="20"/>
  <c r="I35" i="20" s="1"/>
  <c r="D35" i="20"/>
  <c r="H34" i="20"/>
  <c r="I34" i="20" s="1"/>
  <c r="H33" i="20"/>
  <c r="I33" i="20" s="1"/>
  <c r="H32" i="20"/>
  <c r="I32" i="20" s="1"/>
  <c r="D32" i="20"/>
  <c r="G31" i="20"/>
  <c r="H31" i="20" s="1"/>
  <c r="I31" i="20" s="1"/>
  <c r="D31" i="20"/>
  <c r="H30" i="20"/>
  <c r="I30" i="20" s="1"/>
  <c r="D30" i="20"/>
  <c r="H29" i="20"/>
  <c r="I29" i="20" s="1"/>
  <c r="D29" i="20"/>
  <c r="H28" i="20"/>
  <c r="I28" i="20" s="1"/>
  <c r="D28" i="20"/>
  <c r="G27" i="20"/>
  <c r="H27" i="20" s="1"/>
  <c r="I27" i="20" s="1"/>
  <c r="D27" i="20"/>
  <c r="G26" i="20"/>
  <c r="H26" i="20" s="1"/>
  <c r="I26" i="20" s="1"/>
  <c r="D26" i="20"/>
  <c r="G25" i="20"/>
  <c r="H25" i="20" s="1"/>
  <c r="I25" i="20" s="1"/>
  <c r="D25" i="20"/>
  <c r="G24" i="20"/>
  <c r="H24" i="20" s="1"/>
  <c r="I24" i="20" s="1"/>
  <c r="D24" i="20"/>
  <c r="H23" i="20"/>
  <c r="I23" i="20" s="1"/>
  <c r="D23" i="20"/>
  <c r="G22" i="20"/>
  <c r="H22" i="20" s="1"/>
  <c r="I22" i="20" s="1"/>
  <c r="D22" i="20"/>
  <c r="G21" i="20"/>
  <c r="H21" i="20" s="1"/>
  <c r="I21" i="20" s="1"/>
  <c r="D21" i="20"/>
  <c r="H20" i="20"/>
  <c r="I20" i="20" s="1"/>
  <c r="D20" i="20"/>
  <c r="H19" i="20"/>
  <c r="I19" i="20" s="1"/>
  <c r="D19" i="20"/>
  <c r="H18" i="20"/>
  <c r="I18" i="20" s="1"/>
  <c r="D18" i="20"/>
  <c r="G17" i="20"/>
  <c r="H17" i="20" s="1"/>
  <c r="I17" i="20" s="1"/>
  <c r="H16" i="20"/>
  <c r="I16" i="20" s="1"/>
  <c r="H15" i="20"/>
  <c r="I15" i="20" s="1"/>
  <c r="D15" i="20"/>
  <c r="H14" i="20"/>
  <c r="I14" i="20" s="1"/>
  <c r="D14" i="20"/>
  <c r="H13" i="20"/>
  <c r="I13" i="20" s="1"/>
  <c r="D13" i="20"/>
  <c r="H12" i="20"/>
  <c r="I12" i="20" s="1"/>
  <c r="D12" i="20"/>
  <c r="H11" i="20"/>
  <c r="I11" i="20" s="1"/>
  <c r="D11" i="20"/>
  <c r="H10" i="20"/>
  <c r="I10" i="20" s="1"/>
  <c r="D10" i="20"/>
  <c r="H9" i="20"/>
  <c r="I9" i="20" s="1"/>
  <c r="D9" i="20"/>
  <c r="H8" i="20"/>
  <c r="I8" i="20" s="1"/>
  <c r="D8" i="20"/>
  <c r="H7" i="20"/>
  <c r="I7" i="20" s="1"/>
  <c r="D7" i="20"/>
  <c r="H6" i="20"/>
  <c r="I6" i="20" s="1"/>
  <c r="D6" i="20"/>
  <c r="H5" i="20"/>
  <c r="I5" i="20" s="1"/>
  <c r="D5" i="20"/>
  <c r="I146" i="23" l="1"/>
  <c r="I145" i="21"/>
  <c r="I107" i="22"/>
  <c r="I146" i="22" s="1"/>
  <c r="I107" i="21"/>
  <c r="I39" i="20"/>
  <c r="H6" i="18" l="1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5" i="18"/>
  <c r="H56" i="18"/>
  <c r="H57" i="18"/>
  <c r="H59" i="18"/>
  <c r="H60" i="18"/>
  <c r="H61" i="18"/>
  <c r="H62" i="18"/>
  <c r="H63" i="18"/>
  <c r="H64" i="18"/>
  <c r="H67" i="18"/>
  <c r="H72" i="18"/>
  <c r="H73" i="18"/>
  <c r="H74" i="18"/>
  <c r="H75" i="18"/>
  <c r="H76" i="18"/>
  <c r="H77" i="18"/>
  <c r="H78" i="18"/>
  <c r="H79" i="18"/>
  <c r="H82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5" i="18"/>
  <c r="I109" i="18"/>
  <c r="H109" i="18"/>
  <c r="H110" i="18"/>
  <c r="I110" i="18" s="1"/>
  <c r="H111" i="18"/>
  <c r="I111" i="18" s="1"/>
  <c r="H112" i="18"/>
  <c r="I112" i="18" s="1"/>
  <c r="H113" i="18"/>
  <c r="I113" i="18" s="1"/>
  <c r="H114" i="18"/>
  <c r="I114" i="18" s="1"/>
  <c r="H115" i="18"/>
  <c r="I115" i="18" s="1"/>
  <c r="H116" i="18"/>
  <c r="I116" i="18" s="1"/>
  <c r="H117" i="18"/>
  <c r="I117" i="18" s="1"/>
  <c r="H118" i="18"/>
  <c r="I118" i="18" s="1"/>
  <c r="H119" i="18"/>
  <c r="I119" i="18" s="1"/>
  <c r="H120" i="18"/>
  <c r="I120" i="18" s="1"/>
  <c r="H121" i="18"/>
  <c r="I121" i="18" s="1"/>
  <c r="H122" i="18"/>
  <c r="I122" i="18" s="1"/>
  <c r="H123" i="18"/>
  <c r="I123" i="18" s="1"/>
  <c r="H124" i="18"/>
  <c r="I124" i="18" s="1"/>
  <c r="H125" i="18"/>
  <c r="I125" i="18" s="1"/>
  <c r="H126" i="18"/>
  <c r="I126" i="18" s="1"/>
  <c r="H127" i="18"/>
  <c r="I127" i="18" s="1"/>
  <c r="H128" i="18"/>
  <c r="I128" i="18" s="1"/>
  <c r="H129" i="18"/>
  <c r="I129" i="18" s="1"/>
  <c r="H130" i="18"/>
  <c r="I130" i="18" s="1"/>
  <c r="H131" i="18"/>
  <c r="I131" i="18" s="1"/>
  <c r="H132" i="18"/>
  <c r="I132" i="18" s="1"/>
  <c r="H133" i="18"/>
  <c r="I133" i="18" s="1"/>
  <c r="H134" i="18"/>
  <c r="I134" i="18" s="1"/>
  <c r="H135" i="18"/>
  <c r="I135" i="18" s="1"/>
  <c r="H136" i="18"/>
  <c r="I136" i="18" s="1"/>
  <c r="H137" i="18"/>
  <c r="I137" i="18" s="1"/>
  <c r="H138" i="18"/>
  <c r="I138" i="18" s="1"/>
  <c r="H139" i="18"/>
  <c r="I139" i="18" s="1"/>
  <c r="H140" i="18"/>
  <c r="I140" i="18" s="1"/>
  <c r="H141" i="18"/>
  <c r="I141" i="18" s="1"/>
  <c r="H142" i="18"/>
  <c r="I142" i="18" s="1"/>
  <c r="H143" i="18"/>
  <c r="I143" i="18" s="1"/>
  <c r="H144" i="18"/>
  <c r="I144" i="18" s="1"/>
  <c r="H108" i="18"/>
  <c r="I108" i="18" s="1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G96" i="18"/>
  <c r="G58" i="18"/>
  <c r="H58" i="18" s="1"/>
  <c r="G38" i="18"/>
  <c r="H38" i="18" s="1"/>
  <c r="G70" i="18"/>
  <c r="H70" i="18" s="1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G111" i="18"/>
  <c r="G83" i="18"/>
  <c r="H83" i="18" s="1"/>
  <c r="F7" i="2"/>
  <c r="G7" i="2"/>
  <c r="J7" i="2" s="1"/>
  <c r="G54" i="18"/>
  <c r="H54" i="18" s="1"/>
  <c r="G68" i="18"/>
  <c r="H68" i="18" s="1"/>
  <c r="G71" i="18"/>
  <c r="H71" i="18" s="1"/>
  <c r="G69" i="18"/>
  <c r="H69" i="18" s="1"/>
  <c r="G66" i="18"/>
  <c r="H66" i="18" s="1"/>
  <c r="G65" i="18"/>
  <c r="H65" i="18" s="1"/>
  <c r="G23" i="18"/>
  <c r="H23" i="18" s="1"/>
  <c r="F23" i="18"/>
  <c r="C81" i="18" l="1"/>
  <c r="H81" i="18" s="1"/>
  <c r="C80" i="18"/>
  <c r="H80" i="18" s="1"/>
  <c r="J6" i="12"/>
  <c r="J7" i="12"/>
  <c r="J8" i="12"/>
  <c r="J41" i="11"/>
  <c r="J42" i="11"/>
  <c r="G4" i="4"/>
  <c r="J4" i="4" s="1"/>
  <c r="J4" i="10"/>
  <c r="G6" i="10"/>
  <c r="H6" i="10" s="1"/>
  <c r="F5" i="10"/>
  <c r="G5" i="10" s="1"/>
  <c r="H5" i="10" s="1"/>
  <c r="F6" i="10"/>
  <c r="J38" i="11"/>
  <c r="G4" i="8"/>
  <c r="C61" i="15" l="1"/>
  <c r="C73" i="15"/>
  <c r="C154" i="15"/>
  <c r="C119" i="15"/>
  <c r="J78" i="14"/>
  <c r="J77" i="14"/>
  <c r="J76" i="14"/>
  <c r="J74" i="14"/>
  <c r="J73" i="14"/>
  <c r="J72" i="14"/>
  <c r="J70" i="14"/>
  <c r="J69" i="14"/>
  <c r="J68" i="14"/>
  <c r="J66" i="14"/>
  <c r="J65" i="14"/>
  <c r="J64" i="14"/>
  <c r="G27" i="13"/>
  <c r="H27" i="13" s="1"/>
  <c r="J12" i="13"/>
  <c r="J11" i="13"/>
  <c r="J10" i="13"/>
  <c r="J8" i="13"/>
  <c r="J5" i="13"/>
  <c r="J56" i="12"/>
  <c r="J53" i="12"/>
  <c r="J47" i="12"/>
  <c r="J33" i="12"/>
  <c r="J37" i="12"/>
  <c r="J39" i="12"/>
  <c r="J41" i="12"/>
  <c r="J31" i="12"/>
  <c r="J28" i="12"/>
  <c r="J24" i="12"/>
  <c r="J22" i="12"/>
  <c r="J21" i="12"/>
  <c r="J19" i="12"/>
  <c r="J14" i="12"/>
  <c r="J13" i="12"/>
  <c r="J12" i="12"/>
  <c r="J11" i="12"/>
  <c r="J9" i="12"/>
  <c r="J37" i="11"/>
  <c r="J36" i="11"/>
  <c r="J35" i="11"/>
  <c r="J33" i="11"/>
  <c r="J32" i="11"/>
  <c r="J31" i="11"/>
  <c r="J28" i="11"/>
  <c r="J24" i="11"/>
  <c r="J20" i="11"/>
  <c r="J17" i="11"/>
  <c r="J16" i="11"/>
  <c r="F4" i="10"/>
  <c r="G4" i="10" s="1"/>
  <c r="H4" i="10" s="1"/>
  <c r="J29" i="11" l="1"/>
  <c r="J75" i="14"/>
  <c r="J71" i="14"/>
  <c r="J63" i="14"/>
  <c r="J79" i="14"/>
  <c r="J67" i="14"/>
  <c r="J27" i="13"/>
  <c r="J51" i="13" s="1"/>
  <c r="J13" i="13"/>
  <c r="J24" i="13"/>
  <c r="J23" i="13"/>
  <c r="J22" i="13"/>
  <c r="J21" i="13"/>
  <c r="J20" i="13"/>
  <c r="J19" i="13"/>
  <c r="J18" i="13"/>
  <c r="J17" i="13"/>
  <c r="J16" i="13"/>
  <c r="J15" i="13"/>
  <c r="J14" i="13"/>
  <c r="J9" i="13"/>
  <c r="J6" i="13"/>
  <c r="J7" i="13"/>
  <c r="J58" i="12"/>
  <c r="J57" i="12"/>
  <c r="J44" i="12"/>
  <c r="J51" i="12"/>
  <c r="J55" i="12"/>
  <c r="J54" i="12"/>
  <c r="J52" i="12"/>
  <c r="J49" i="12"/>
  <c r="J46" i="12"/>
  <c r="J50" i="12"/>
  <c r="J48" i="12"/>
  <c r="J45" i="12"/>
  <c r="J43" i="12"/>
  <c r="J38" i="12"/>
  <c r="J35" i="12"/>
  <c r="J34" i="12"/>
  <c r="J40" i="12"/>
  <c r="J36" i="12"/>
  <c r="J32" i="12"/>
  <c r="J42" i="12"/>
  <c r="J15" i="12"/>
  <c r="J27" i="12"/>
  <c r="J29" i="12" s="1"/>
  <c r="J23" i="12"/>
  <c r="J16" i="12"/>
  <c r="J10" i="12"/>
  <c r="J20" i="12"/>
  <c r="J5" i="12"/>
  <c r="J10" i="11"/>
  <c r="J40" i="11"/>
  <c r="J39" i="11"/>
  <c r="J34" i="11"/>
  <c r="J30" i="11"/>
  <c r="J23" i="11"/>
  <c r="J25" i="11"/>
  <c r="J22" i="11"/>
  <c r="J21" i="11"/>
  <c r="J18" i="11"/>
  <c r="J11" i="11"/>
  <c r="J19" i="11"/>
  <c r="J13" i="11"/>
  <c r="J12" i="11"/>
  <c r="J9" i="11"/>
  <c r="J5" i="11"/>
  <c r="J8" i="11"/>
  <c r="J6" i="11"/>
  <c r="J7" i="11"/>
  <c r="H7" i="10"/>
  <c r="J7" i="10"/>
  <c r="F21" i="9"/>
  <c r="F20" i="9"/>
  <c r="F63" i="9"/>
  <c r="I63" i="9" s="1"/>
  <c r="E62" i="9"/>
  <c r="F62" i="9" s="1"/>
  <c r="I62" i="9" s="1"/>
  <c r="E61" i="9"/>
  <c r="F61" i="9" s="1"/>
  <c r="I61" i="9" s="1"/>
  <c r="E60" i="9"/>
  <c r="F60" i="9" s="1"/>
  <c r="I60" i="9" s="1"/>
  <c r="E54" i="9"/>
  <c r="F54" i="9" s="1"/>
  <c r="E53" i="9"/>
  <c r="F53" i="9" s="1"/>
  <c r="E52" i="9"/>
  <c r="F52" i="9" s="1"/>
  <c r="E51" i="9"/>
  <c r="F51" i="9" s="1"/>
  <c r="F45" i="9"/>
  <c r="I45" i="9" s="1"/>
  <c r="F44" i="9"/>
  <c r="I44" i="9" s="1"/>
  <c r="F43" i="9"/>
  <c r="G43" i="9" s="1"/>
  <c r="F42" i="9"/>
  <c r="I42" i="9" s="1"/>
  <c r="F41" i="9"/>
  <c r="I41" i="9" s="1"/>
  <c r="F40" i="9"/>
  <c r="I40" i="9" s="1"/>
  <c r="F34" i="9"/>
  <c r="G34" i="9" s="1"/>
  <c r="F33" i="9"/>
  <c r="G33" i="9" s="1"/>
  <c r="F32" i="9"/>
  <c r="I32" i="9" s="1"/>
  <c r="F31" i="9"/>
  <c r="G31" i="9" s="1"/>
  <c r="E30" i="9"/>
  <c r="F30" i="9" s="1"/>
  <c r="E29" i="9"/>
  <c r="F29" i="9" s="1"/>
  <c r="E28" i="9"/>
  <c r="F28" i="9" s="1"/>
  <c r="E27" i="9"/>
  <c r="F27" i="9" s="1"/>
  <c r="I14" i="9"/>
  <c r="E14" i="9"/>
  <c r="F14" i="9" s="1"/>
  <c r="G14" i="9" s="1"/>
  <c r="I13" i="9"/>
  <c r="F13" i="9"/>
  <c r="G13" i="9" s="1"/>
  <c r="I12" i="9"/>
  <c r="F12" i="9"/>
  <c r="G12" i="9" s="1"/>
  <c r="I11" i="9"/>
  <c r="E11" i="9"/>
  <c r="F11" i="9" s="1"/>
  <c r="G11" i="9" s="1"/>
  <c r="I10" i="9"/>
  <c r="E10" i="9"/>
  <c r="F10" i="9" s="1"/>
  <c r="G10" i="9" s="1"/>
  <c r="I9" i="9"/>
  <c r="F9" i="9"/>
  <c r="G9" i="9" s="1"/>
  <c r="I8" i="9"/>
  <c r="F8" i="9"/>
  <c r="G8" i="9" s="1"/>
  <c r="C8" i="9"/>
  <c r="I7" i="9"/>
  <c r="E7" i="9"/>
  <c r="F7" i="9" s="1"/>
  <c r="G7" i="9" s="1"/>
  <c r="I6" i="9"/>
  <c r="E6" i="9"/>
  <c r="F6" i="9" s="1"/>
  <c r="G6" i="9" s="1"/>
  <c r="I5" i="9"/>
  <c r="E5" i="9"/>
  <c r="F5" i="9" s="1"/>
  <c r="G5" i="9" s="1"/>
  <c r="I4" i="9"/>
  <c r="E4" i="9"/>
  <c r="F4" i="9" s="1"/>
  <c r="G4" i="9" s="1"/>
  <c r="I3" i="9"/>
  <c r="E3" i="9"/>
  <c r="F3" i="9" s="1"/>
  <c r="G3" i="9" s="1"/>
  <c r="G7" i="7"/>
  <c r="J7" i="7" s="1"/>
  <c r="G5" i="4"/>
  <c r="J5" i="4" s="1"/>
  <c r="G6" i="4"/>
  <c r="J6" i="4" s="1"/>
  <c r="G7" i="4"/>
  <c r="J7" i="4" s="1"/>
  <c r="G8" i="4"/>
  <c r="J8" i="4" s="1"/>
  <c r="J10" i="4" s="1"/>
  <c r="G9" i="4"/>
  <c r="J9" i="4" s="1"/>
  <c r="G5" i="8"/>
  <c r="G6" i="8"/>
  <c r="F5" i="7"/>
  <c r="G5" i="7" s="1"/>
  <c r="F6" i="7"/>
  <c r="G6" i="7" s="1"/>
  <c r="F5" i="6"/>
  <c r="G5" i="6" s="1"/>
  <c r="J5" i="6" s="1"/>
  <c r="F6" i="6"/>
  <c r="G6" i="6" s="1"/>
  <c r="J6" i="6" s="1"/>
  <c r="F4" i="7"/>
  <c r="F7" i="6"/>
  <c r="F4" i="6"/>
  <c r="H9" i="4"/>
  <c r="H8" i="4"/>
  <c r="H7" i="4"/>
  <c r="H6" i="4"/>
  <c r="H5" i="4"/>
  <c r="H4" i="4"/>
  <c r="G14" i="3"/>
  <c r="G13" i="3"/>
  <c r="F14" i="3"/>
  <c r="F13" i="3"/>
  <c r="F6" i="3"/>
  <c r="F7" i="3"/>
  <c r="F8" i="3"/>
  <c r="F9" i="3"/>
  <c r="F10" i="3"/>
  <c r="F12" i="3"/>
  <c r="F4" i="3"/>
  <c r="G9" i="3"/>
  <c r="G8" i="1"/>
  <c r="J8" i="1" s="1"/>
  <c r="G6" i="3"/>
  <c r="G7" i="3"/>
  <c r="G8" i="3"/>
  <c r="G10" i="3"/>
  <c r="G12" i="3"/>
  <c r="G4" i="3"/>
  <c r="D11" i="3"/>
  <c r="G11" i="3" s="1"/>
  <c r="D5" i="3"/>
  <c r="G5" i="3" s="1"/>
  <c r="G9" i="1"/>
  <c r="J9" i="1" s="1"/>
  <c r="G10" i="1"/>
  <c r="G11" i="1"/>
  <c r="H11" i="1" s="1"/>
  <c r="F5" i="1"/>
  <c r="G5" i="1" s="1"/>
  <c r="F6" i="1"/>
  <c r="G6" i="1" s="1"/>
  <c r="F7" i="1"/>
  <c r="G7" i="1" s="1"/>
  <c r="F4" i="1"/>
  <c r="G4" i="1" s="1"/>
  <c r="H6" i="6" l="1"/>
  <c r="H5" i="6"/>
  <c r="H7" i="7"/>
  <c r="H49" i="14"/>
  <c r="J80" i="14"/>
  <c r="J28" i="14"/>
  <c r="H80" i="14"/>
  <c r="J49" i="14"/>
  <c r="H28" i="14"/>
  <c r="H51" i="13"/>
  <c r="J25" i="13"/>
  <c r="H25" i="13"/>
  <c r="J59" i="12"/>
  <c r="H59" i="12"/>
  <c r="J17" i="12"/>
  <c r="J25" i="12"/>
  <c r="H17" i="12"/>
  <c r="H29" i="12"/>
  <c r="H25" i="12"/>
  <c r="J43" i="11"/>
  <c r="H43" i="11"/>
  <c r="H26" i="11"/>
  <c r="J26" i="11"/>
  <c r="H14" i="11"/>
  <c r="J14" i="11"/>
  <c r="H10" i="1"/>
  <c r="J10" i="1"/>
  <c r="H10" i="4"/>
  <c r="G4" i="6"/>
  <c r="G7" i="6"/>
  <c r="G4" i="7"/>
  <c r="J4" i="7" s="1"/>
  <c r="J6" i="7"/>
  <c r="H6" i="7"/>
  <c r="J5" i="7"/>
  <c r="H5" i="7"/>
  <c r="F22" i="9"/>
  <c r="I64" i="9"/>
  <c r="I34" i="9"/>
  <c r="I53" i="9"/>
  <c r="G53" i="9"/>
  <c r="I51" i="9"/>
  <c r="G51" i="9"/>
  <c r="I52" i="9"/>
  <c r="G52" i="9"/>
  <c r="I54" i="9"/>
  <c r="G54" i="9"/>
  <c r="I43" i="9"/>
  <c r="I46" i="9" s="1"/>
  <c r="G63" i="9"/>
  <c r="G60" i="9"/>
  <c r="G61" i="9"/>
  <c r="G62" i="9"/>
  <c r="G15" i="9"/>
  <c r="I15" i="9"/>
  <c r="G42" i="9"/>
  <c r="I31" i="9"/>
  <c r="G41" i="9"/>
  <c r="G45" i="9"/>
  <c r="G40" i="9"/>
  <c r="G44" i="9"/>
  <c r="I30" i="9"/>
  <c r="G30" i="9"/>
  <c r="I27" i="9"/>
  <c r="G27" i="9"/>
  <c r="I28" i="9"/>
  <c r="G28" i="9"/>
  <c r="I29" i="9"/>
  <c r="G29" i="9"/>
  <c r="G32" i="9"/>
  <c r="I33" i="9"/>
  <c r="F5" i="3"/>
  <c r="F15" i="3" s="1"/>
  <c r="F11" i="3"/>
  <c r="G15" i="3"/>
  <c r="H6" i="1"/>
  <c r="J6" i="1"/>
  <c r="J5" i="1"/>
  <c r="H5" i="1"/>
  <c r="J4" i="1"/>
  <c r="H4" i="1"/>
  <c r="J7" i="1"/>
  <c r="H7" i="1"/>
  <c r="H9" i="1"/>
  <c r="H8" i="1"/>
  <c r="J11" i="1"/>
  <c r="F15" i="2"/>
  <c r="G15" i="2" s="1"/>
  <c r="G14" i="2"/>
  <c r="G13" i="2"/>
  <c r="F12" i="2"/>
  <c r="G12" i="2" s="1"/>
  <c r="F11" i="2"/>
  <c r="G11" i="2" s="1"/>
  <c r="G10" i="2"/>
  <c r="G9" i="2"/>
  <c r="D9" i="2"/>
  <c r="F8" i="2"/>
  <c r="G8" i="2" s="1"/>
  <c r="F6" i="2"/>
  <c r="G6" i="2" s="1"/>
  <c r="F5" i="2"/>
  <c r="G5" i="2" s="1"/>
  <c r="F4" i="2"/>
  <c r="G4" i="2" s="1"/>
  <c r="H13" i="2" l="1"/>
  <c r="J13" i="2"/>
  <c r="H6" i="2"/>
  <c r="J6" i="2"/>
  <c r="H10" i="2"/>
  <c r="J10" i="2"/>
  <c r="H14" i="2"/>
  <c r="J14" i="2"/>
  <c r="H9" i="2"/>
  <c r="J9" i="2"/>
  <c r="H11" i="2"/>
  <c r="J11" i="2"/>
  <c r="H15" i="2"/>
  <c r="J15" i="2"/>
  <c r="H5" i="2"/>
  <c r="J5" i="2"/>
  <c r="H8" i="2"/>
  <c r="J8" i="2"/>
  <c r="H4" i="2"/>
  <c r="J4" i="2"/>
  <c r="J16" i="2" s="1"/>
  <c r="H12" i="2"/>
  <c r="J12" i="2"/>
  <c r="H7" i="2"/>
  <c r="H12" i="1"/>
  <c r="J8" i="7"/>
  <c r="H4" i="7"/>
  <c r="H8" i="7" s="1"/>
  <c r="J7" i="6"/>
  <c r="H7" i="6"/>
  <c r="J4" i="6"/>
  <c r="H4" i="6"/>
  <c r="G55" i="9"/>
  <c r="I55" i="9"/>
  <c r="I35" i="9"/>
  <c r="G64" i="9"/>
  <c r="G35" i="9"/>
  <c r="G46" i="9"/>
  <c r="H16" i="2"/>
  <c r="J12" i="1"/>
  <c r="I5" i="18"/>
  <c r="I33" i="18"/>
  <c r="I60" i="18"/>
  <c r="I103" i="18"/>
  <c r="I80" i="18"/>
  <c r="I98" i="18"/>
  <c r="I69" i="18"/>
  <c r="I85" i="18"/>
  <c r="I97" i="18"/>
  <c r="I46" i="18"/>
  <c r="I15" i="18"/>
  <c r="I23" i="18"/>
  <c r="I102" i="18"/>
  <c r="I35" i="18"/>
  <c r="I32" i="18"/>
  <c r="I38" i="18"/>
  <c r="I12" i="18"/>
  <c r="I84" i="18"/>
  <c r="I94" i="18"/>
  <c r="I42" i="18"/>
  <c r="I64" i="18"/>
  <c r="I96" i="18"/>
  <c r="I92" i="18"/>
  <c r="I77" i="18"/>
  <c r="I73" i="18"/>
  <c r="I17" i="18"/>
  <c r="I36" i="18"/>
  <c r="I20" i="18"/>
  <c r="I13" i="18"/>
  <c r="I58" i="18"/>
  <c r="I74" i="18"/>
  <c r="I90" i="18"/>
  <c r="I8" i="18"/>
  <c r="I67" i="18"/>
  <c r="I72" i="18"/>
  <c r="I81" i="18"/>
  <c r="I99" i="18"/>
  <c r="I71" i="18"/>
  <c r="I104" i="18"/>
  <c r="I6" i="18"/>
  <c r="I59" i="18"/>
  <c r="I105" i="18"/>
  <c r="I14" i="18"/>
  <c r="I16" i="18"/>
  <c r="I29" i="18"/>
  <c r="I82" i="18"/>
  <c r="I31" i="18"/>
  <c r="I101" i="18"/>
  <c r="I39" i="18"/>
  <c r="I44" i="18"/>
  <c r="I22" i="18"/>
  <c r="I9" i="18"/>
  <c r="I56" i="18"/>
  <c r="I25" i="18"/>
  <c r="I19" i="18"/>
  <c r="I65" i="18"/>
  <c r="I76" i="18"/>
  <c r="I45" i="18"/>
  <c r="I93" i="18"/>
  <c r="I95" i="18"/>
  <c r="I47" i="18"/>
  <c r="I48" i="18"/>
  <c r="I41" i="18"/>
  <c r="I62" i="18"/>
  <c r="I40" i="18"/>
  <c r="I37" i="18"/>
  <c r="I79" i="18"/>
  <c r="I91" i="18"/>
  <c r="I18" i="18"/>
  <c r="I54" i="18"/>
  <c r="I68" i="18"/>
  <c r="I89" i="18"/>
  <c r="I63" i="18"/>
  <c r="I61" i="18"/>
  <c r="I55" i="18"/>
  <c r="I51" i="18"/>
  <c r="I11" i="18"/>
  <c r="I49" i="18"/>
  <c r="I34" i="18"/>
  <c r="I70" i="18"/>
  <c r="I7" i="18"/>
  <c r="I10" i="18"/>
  <c r="I78" i="18"/>
  <c r="I100" i="18"/>
  <c r="I52" i="18"/>
  <c r="I87" i="18"/>
  <c r="I53" i="18"/>
  <c r="I75" i="18"/>
  <c r="I57" i="18"/>
  <c r="I88" i="18"/>
  <c r="I43" i="18"/>
  <c r="I24" i="18"/>
  <c r="I27" i="18"/>
  <c r="I50" i="18"/>
  <c r="I106" i="18"/>
  <c r="I66" i="18"/>
  <c r="I86" i="18"/>
  <c r="I26" i="18"/>
  <c r="I83" i="18"/>
  <c r="I28" i="18"/>
  <c r="I30" i="18"/>
  <c r="I21" i="18"/>
  <c r="H8" i="6" l="1"/>
  <c r="J8" i="6"/>
  <c r="I148" i="23" l="1"/>
</calcChain>
</file>

<file path=xl/sharedStrings.xml><?xml version="1.0" encoding="utf-8"?>
<sst xmlns="http://schemas.openxmlformats.org/spreadsheetml/2006/main" count="4822" uniqueCount="534">
  <si>
    <t>Descripcion</t>
  </si>
  <si>
    <t>Cantidad</t>
  </si>
  <si>
    <t>Cotizacion a la fecha S/Banco Nacion</t>
  </si>
  <si>
    <t>Valor de alquiler Layher 3,5%</t>
  </si>
  <si>
    <t>Oferente CBA</t>
  </si>
  <si>
    <t>Valor Alquiler CBA 3%</t>
  </si>
  <si>
    <t>Horizontal 2,57m</t>
  </si>
  <si>
    <t>Diagonal 2,57 x2,00m</t>
  </si>
  <si>
    <t xml:space="preserve">CUADRO COMPARATIVO ALQUILER DE LAYHER </t>
  </si>
  <si>
    <t>Viga Puente 2,57m</t>
  </si>
  <si>
    <t>Bases Regulables 0,60m</t>
  </si>
  <si>
    <t>Vertical 2,00m</t>
  </si>
  <si>
    <t>Ralladores</t>
  </si>
  <si>
    <t>Estringer</t>
  </si>
  <si>
    <t>Maderas Barra</t>
  </si>
  <si>
    <t>Fenolicos</t>
  </si>
  <si>
    <t>Escaleras 1m</t>
  </si>
  <si>
    <t>Torres 0,50m s/e</t>
  </si>
  <si>
    <t>Torres 0,50m c/e</t>
  </si>
  <si>
    <t>TOTALES</t>
  </si>
  <si>
    <t>-</t>
  </si>
  <si>
    <t>Precio en €</t>
  </si>
  <si>
    <t>Monto Unitario en $</t>
  </si>
  <si>
    <t>Monto Total en $</t>
  </si>
  <si>
    <t>Verticales 1,00m s/e</t>
  </si>
  <si>
    <t>Verticales 1,50m s/e</t>
  </si>
  <si>
    <t>Horizontales en planta</t>
  </si>
  <si>
    <t>Colas de chancho</t>
  </si>
  <si>
    <t>Lonas negras</t>
  </si>
  <si>
    <t>Estringer 2,57</t>
  </si>
  <si>
    <t>Collarines</t>
  </si>
  <si>
    <t>Torres 1m s/e</t>
  </si>
  <si>
    <t>Torres 2m c/e</t>
  </si>
  <si>
    <t>Horizontal en Planta</t>
  </si>
  <si>
    <t>Monto Total en  €</t>
  </si>
  <si>
    <t>CUADRO COMPARATIVO ALQUILER DE LAYHER 01/12/2021</t>
  </si>
  <si>
    <t>CUADRO COMPARATIVO ALQUILER DE LAYHER 07/12/2021</t>
  </si>
  <si>
    <t>CUADRO COMPARATIVO ALQUILER DE LAYHER 13/01/2022</t>
  </si>
  <si>
    <t>Ratchet 1 mts</t>
  </si>
  <si>
    <t>Ratchet Negros</t>
  </si>
  <si>
    <t>Ratchet Blancas</t>
  </si>
  <si>
    <t>Ruedas para Tarima</t>
  </si>
  <si>
    <t>Contrapesos</t>
  </si>
  <si>
    <t>Horizontal 0,73m</t>
  </si>
  <si>
    <t>Horizontal 1,09m</t>
  </si>
  <si>
    <t>Viga Puente 0,73m</t>
  </si>
  <si>
    <t>Viga Puente 1,09m</t>
  </si>
  <si>
    <t>Lonas Mic. 2,57x12m</t>
  </si>
  <si>
    <t>CUADRO COMPARATIVO ALQUILER DE LAYHER 09/03/2022</t>
  </si>
  <si>
    <t>CUADRO COMPARATIVO ALQUILER DE LAYHER 05/02/2022</t>
  </si>
  <si>
    <t>Estacas Palier Usados</t>
  </si>
  <si>
    <t xml:space="preserve">Escalera 2m Layher </t>
  </si>
  <si>
    <t xml:space="preserve">Escalera 1,5m Layher </t>
  </si>
  <si>
    <t>CUADRO COMPARATIVO ALQUILER DE LAYHER 03/12/2021</t>
  </si>
  <si>
    <t>Vallas Finas 2mts</t>
  </si>
  <si>
    <t>Vallas Gruesas 2,30mts</t>
  </si>
  <si>
    <t xml:space="preserve">Nota: </t>
  </si>
  <si>
    <t>Este remito esta pagado en el mes de Diciembre 2021 por un Importe de $204.000, quedando saldo a favor de $34.000.</t>
  </si>
  <si>
    <t>Este remito No esta pago.</t>
  </si>
  <si>
    <t>Este remito esta pagado en el mes de Diciembre 2021, por 3 meses de alquiler.</t>
  </si>
  <si>
    <t xml:space="preserve">Desviador Rampa </t>
  </si>
  <si>
    <t>CUADRO COMPARATIVO ALQUILER DE LAYHER 22/12/2021</t>
  </si>
  <si>
    <t>CUADRO COMPARATIVO ALQUILER DE LAYHER 14/03/2022</t>
  </si>
  <si>
    <t>Verticales 2,00m s/e</t>
  </si>
  <si>
    <t>Verticales 2,00m c/e</t>
  </si>
  <si>
    <t>Horizontal 0,73</t>
  </si>
  <si>
    <t>Horizontal 1,09</t>
  </si>
  <si>
    <t>Viga Puente 2,57</t>
  </si>
  <si>
    <t>Stringer 2,57</t>
  </si>
  <si>
    <t>Cunas</t>
  </si>
  <si>
    <t>VIAJE 1</t>
  </si>
  <si>
    <t>VIAJE 2</t>
  </si>
  <si>
    <t>Diagonal 2,57</t>
  </si>
  <si>
    <t>Celosias 2,57</t>
  </si>
  <si>
    <t>Free Standing</t>
  </si>
  <si>
    <t>Ratcher 1mts</t>
  </si>
  <si>
    <t>Ratcher 9mts</t>
  </si>
  <si>
    <t xml:space="preserve">Cunas </t>
  </si>
  <si>
    <t xml:space="preserve">Cunas Chicas </t>
  </si>
  <si>
    <t>Caño de techo 3mts</t>
  </si>
  <si>
    <t>TOTAL</t>
  </si>
  <si>
    <t>VIAJE 3</t>
  </si>
  <si>
    <t>Bases 0,60</t>
  </si>
  <si>
    <t>Collarin</t>
  </si>
  <si>
    <t>Vertical 2,00 c/e</t>
  </si>
  <si>
    <t>Vertical 2,00 s/e</t>
  </si>
  <si>
    <t xml:space="preserve">Horizontales 2,57 </t>
  </si>
  <si>
    <t>Fajas de 0,73</t>
  </si>
  <si>
    <t>Free Standing (sin piso)</t>
  </si>
  <si>
    <t>Tapa de Free Standing</t>
  </si>
  <si>
    <t>Cunas Negras</t>
  </si>
  <si>
    <t>CUADRO COMPARATIVO ALQUILER DE LAYHER 15/03/2022</t>
  </si>
  <si>
    <t>Celosias 7,71</t>
  </si>
  <si>
    <t>Tramos thomas 2,31</t>
  </si>
  <si>
    <t>Tramos thomas 2,31 (Roto)</t>
  </si>
  <si>
    <t>Cubo thomas 70x70</t>
  </si>
  <si>
    <t>Cubo thomas 30x30</t>
  </si>
  <si>
    <t>Desviador de techo</t>
  </si>
  <si>
    <t>Cubo thomas 70x30</t>
  </si>
  <si>
    <t>Tramos de aluminio 3,00</t>
  </si>
  <si>
    <t>Tramos de aluminio 2,00</t>
  </si>
  <si>
    <t>Horizontales 1,09</t>
  </si>
  <si>
    <t>Viga Puente 1,09</t>
  </si>
  <si>
    <t>Cuna amarillas</t>
  </si>
  <si>
    <t>VIAJE 4</t>
  </si>
  <si>
    <t>Verticales 1,00 c/e</t>
  </si>
  <si>
    <t>Verticales 1,00 s/e</t>
  </si>
  <si>
    <t>Horizontales 0,73</t>
  </si>
  <si>
    <t>Horizontales 1,00</t>
  </si>
  <si>
    <t>Horizontales 3,00</t>
  </si>
  <si>
    <t>Rayadores 2,57 x 0,32</t>
  </si>
  <si>
    <t>Rayadores 2,57 x 0,19</t>
  </si>
  <si>
    <t>IPN 14</t>
  </si>
  <si>
    <t>Mensulas 0,73</t>
  </si>
  <si>
    <t>Lonas negras 2,57 x 12</t>
  </si>
  <si>
    <t>Lonas Negra techo 12 x 8</t>
  </si>
  <si>
    <t>Caño para lona de techo x 6mts</t>
  </si>
  <si>
    <t>Caño para lona de techo x 3mts</t>
  </si>
  <si>
    <t xml:space="preserve">Bulones Chico para techo </t>
  </si>
  <si>
    <t xml:space="preserve">Bulones Grande para techo </t>
  </si>
  <si>
    <t>Ratcher 3mts</t>
  </si>
  <si>
    <t>Fiselina 50mts</t>
  </si>
  <si>
    <t xml:space="preserve">Cunas   </t>
  </si>
  <si>
    <t>Cunas Amarillas</t>
  </si>
  <si>
    <t>CUADRO COMPARATIVO ALQUILER DE LAYHER 06/05/2022</t>
  </si>
  <si>
    <t>Escalera 1,00 (Fabricada)</t>
  </si>
  <si>
    <t>Escalon 0,50 (Roto)(Fabricada)</t>
  </si>
  <si>
    <t>Escalon 0,50 (Fabricada)</t>
  </si>
  <si>
    <t>Stringer 1,09</t>
  </si>
  <si>
    <t>Stringer 0,73</t>
  </si>
  <si>
    <t>Fenolicos (Feos)</t>
  </si>
  <si>
    <t>Fenolicos (Edo. Regular)</t>
  </si>
  <si>
    <t>Recortes Fenolicos (Medio)</t>
  </si>
  <si>
    <t>Faja de 10</t>
  </si>
  <si>
    <t>Faja de 20</t>
  </si>
  <si>
    <t>Faja de 30</t>
  </si>
  <si>
    <t>Faja de 40</t>
  </si>
  <si>
    <t>Calzado de Seguridad</t>
  </si>
  <si>
    <t>Telon 2,57 x 10</t>
  </si>
  <si>
    <t>Arnes</t>
  </si>
  <si>
    <t>Fenolicos 2,20 x 1,60</t>
  </si>
  <si>
    <t>Chapas 2,40 x 0,30</t>
  </si>
  <si>
    <t>Peldaños 0,73 (Fabricada)</t>
  </si>
  <si>
    <t xml:space="preserve">Base 0,60 </t>
  </si>
  <si>
    <t>Verticales 1,50 s/e</t>
  </si>
  <si>
    <t>Escalera 2,00 (Fabricada)</t>
  </si>
  <si>
    <t>Stringer Dobles</t>
  </si>
  <si>
    <t>Faja de 0,73</t>
  </si>
  <si>
    <t>Aparejos 12mts</t>
  </si>
  <si>
    <t>Desviador rampa chico</t>
  </si>
  <si>
    <t>Lingas de tela 1,00m</t>
  </si>
  <si>
    <t>Lingas de tela 1,50m</t>
  </si>
  <si>
    <t>Lingas de tela 2,00m</t>
  </si>
  <si>
    <t>Jabalina para tierra</t>
  </si>
  <si>
    <t>Cascos comun</t>
  </si>
  <si>
    <t>Cascos alpinismo</t>
  </si>
  <si>
    <t>Estructura de madera p/baranda 3m</t>
  </si>
  <si>
    <t>Ruedas Grandes</t>
  </si>
  <si>
    <t>CUADRO COMPARATIVO ALQUILER DE LAYHER 07/05/2022</t>
  </si>
  <si>
    <t>Base 0,60</t>
  </si>
  <si>
    <t>Base 0,40 (Fabricada)</t>
  </si>
  <si>
    <t xml:space="preserve">Nudos Fijos </t>
  </si>
  <si>
    <t>Nudos Giratorios</t>
  </si>
  <si>
    <t>Roseta Movil</t>
  </si>
  <si>
    <t>Espiga</t>
  </si>
  <si>
    <t xml:space="preserve">Tapa de Free Standing </t>
  </si>
  <si>
    <t>Lona Azul 2,57 x 7</t>
  </si>
  <si>
    <t>Lona Azul 2,57 x 10</t>
  </si>
  <si>
    <t>Carpas 2,57 x 5,14</t>
  </si>
  <si>
    <t>Carpas 2,57 x 2,57</t>
  </si>
  <si>
    <t>Cable de acero 10mm x 3mts</t>
  </si>
  <si>
    <t>Cable de acero 10mm x 16mts</t>
  </si>
  <si>
    <t>Rueda de andamios</t>
  </si>
  <si>
    <t>Chapas 30/30</t>
  </si>
  <si>
    <t>Lingas de tela 1,00</t>
  </si>
  <si>
    <t>Soga de 20mts</t>
  </si>
  <si>
    <t>Nivel de mano</t>
  </si>
  <si>
    <t>Nudos para ciegos</t>
  </si>
  <si>
    <t>Ruedas odometro</t>
  </si>
  <si>
    <t>Soga gruesa 5mts</t>
  </si>
  <si>
    <t>Ruleta 50mts</t>
  </si>
  <si>
    <t>Circular de banco grande</t>
  </si>
  <si>
    <t>Lona de techo 12 x 8</t>
  </si>
  <si>
    <t>Lona gris 12 x 4</t>
  </si>
  <si>
    <t>Caja de remaches (a medias)</t>
  </si>
  <si>
    <t>Cuna Amarilla</t>
  </si>
  <si>
    <t>Caladora</t>
  </si>
  <si>
    <t xml:space="preserve">Circular de mano </t>
  </si>
  <si>
    <t xml:space="preserve">Bulones para Free Largos </t>
  </si>
  <si>
    <t>Bulones para Free Cortos</t>
  </si>
  <si>
    <t xml:space="preserve">Grilletes </t>
  </si>
  <si>
    <t>Maza chica</t>
  </si>
  <si>
    <t>Corta fierro</t>
  </si>
  <si>
    <t>Martillos comun</t>
  </si>
  <si>
    <t>Atornilladora 20w Hiunday</t>
  </si>
  <si>
    <t>Bateria p/ atornilladora 20w Hiunday</t>
  </si>
  <si>
    <t>Cargador p/ atornilladora 20w Hiunday</t>
  </si>
  <si>
    <t>Tramo Aluminio 30/30 x 3mts</t>
  </si>
  <si>
    <t>Alfombras 2 x 5 (regular)</t>
  </si>
  <si>
    <t>Estanteria de 1,50 x 1mt x 0,35</t>
  </si>
  <si>
    <t>Bidon de Agua 100lts</t>
  </si>
  <si>
    <t>Bidon de Agua 50lts</t>
  </si>
  <si>
    <t>Bidon de Agua 20lts</t>
  </si>
  <si>
    <t>Reflectores 2.000w</t>
  </si>
  <si>
    <t>Faja para Ratcher 1,50mts</t>
  </si>
  <si>
    <t>Tarima de madera 1x1m</t>
  </si>
  <si>
    <t xml:space="preserve">Discos circular </t>
  </si>
  <si>
    <t>Veneno para ratas 2kg</t>
  </si>
  <si>
    <t>Escalera 2mts (Fabricada)</t>
  </si>
  <si>
    <t>Rallador Chapa 3mts (Fabricada)</t>
  </si>
  <si>
    <t>Ambil de madera</t>
  </si>
  <si>
    <t>Rallador Chapa 3mts (Doblado)</t>
  </si>
  <si>
    <t>Rallador Chapa 2,57mts (Doblado)</t>
  </si>
  <si>
    <t>Diagonal planta (Doblado)</t>
  </si>
  <si>
    <t>Diagonal 2,57 y 1mts (Doblado)</t>
  </si>
  <si>
    <t>Horizontal 2,57 (Doblado)</t>
  </si>
  <si>
    <t>Viga Puente 2,57 (Doblado)</t>
  </si>
  <si>
    <t>Vertical de 2,00mts (Doblado)</t>
  </si>
  <si>
    <t>Vertical de 1,00mts (Doblado)</t>
  </si>
  <si>
    <t>Vertical de 0,50mts (Doblado)</t>
  </si>
  <si>
    <t>Viga Puente 1,57 (Doblado)</t>
  </si>
  <si>
    <t>Viga Puente 2,00 (Doblado)</t>
  </si>
  <si>
    <t>Horizontal 1,57 (Doblado)</t>
  </si>
  <si>
    <t>Horizontal 2,00 (Doblado)</t>
  </si>
  <si>
    <t>Diagonales 2,57 x 2</t>
  </si>
  <si>
    <t>Observaciones</t>
  </si>
  <si>
    <t>Cunas Chicas 0,73</t>
  </si>
  <si>
    <t>Horizontales 2,57</t>
  </si>
  <si>
    <t>Verticales 2,00 c/e</t>
  </si>
  <si>
    <t>Verticales 2,00 s/e</t>
  </si>
  <si>
    <t>Layher</t>
  </si>
  <si>
    <t>Cunas Amarilla</t>
  </si>
  <si>
    <t>Escalera 2m</t>
  </si>
  <si>
    <t>Vertical de 0,50 (Doblado)</t>
  </si>
  <si>
    <t>Viga Puente 0,73</t>
  </si>
  <si>
    <t>Verticales 0,50 c/e</t>
  </si>
  <si>
    <t>Verticales 0,50 s/e</t>
  </si>
  <si>
    <t>Vertical de 1,00 (Doblado)</t>
  </si>
  <si>
    <t>Vertical de 2,00 (Doblado)</t>
  </si>
  <si>
    <t>Torres 0,50m s/e (VERTICAL)</t>
  </si>
  <si>
    <t>Torres 0,50m c/e (VERTICAL)</t>
  </si>
  <si>
    <t>A Medias</t>
  </si>
  <si>
    <t>Caja de remaches</t>
  </si>
  <si>
    <t>Estado Regular</t>
  </si>
  <si>
    <t>Estanteria de 1,50 x 1 x 0,35mts</t>
  </si>
  <si>
    <t>Lona Azul 2,57 x 7mts</t>
  </si>
  <si>
    <t>Lona Azul 2,57 x 10mts</t>
  </si>
  <si>
    <t>Carpas 2,57 x 2,57mts</t>
  </si>
  <si>
    <t>Carpas 2,57 x 5,14mts</t>
  </si>
  <si>
    <t>Escalera 2,00m (Fabricada)</t>
  </si>
  <si>
    <t>Fabricada</t>
  </si>
  <si>
    <t>Maderas Barra / Fajas 0,73</t>
  </si>
  <si>
    <t xml:space="preserve">Fenolicos </t>
  </si>
  <si>
    <t>Estado Dañado</t>
  </si>
  <si>
    <t>Telon 2,57 x 10mts</t>
  </si>
  <si>
    <t>Chapas 2,40 x 0,30mts</t>
  </si>
  <si>
    <t>Diagonales 1,57 x 0,50mts</t>
  </si>
  <si>
    <t>Diagonales 2,57 x 1,00mt</t>
  </si>
  <si>
    <t>Diagonales 2,57 x 3,00mts</t>
  </si>
  <si>
    <t>Diagonales 1,57 x 1mt</t>
  </si>
  <si>
    <t>Diagonales 1,57 x 1,00mt</t>
  </si>
  <si>
    <t>Diagonal 0,73 x 2,00mts</t>
  </si>
  <si>
    <t>Diagonales 2,57 x 2,00mts</t>
  </si>
  <si>
    <t>Rayadores 3,00 x 0,32</t>
  </si>
  <si>
    <t>Tramos thomas 1,50</t>
  </si>
  <si>
    <t>Doblado</t>
  </si>
  <si>
    <t>Estado bueno</t>
  </si>
  <si>
    <t>CUADRO ALQUILER DE LAYHER ANUAL ABRIL 2022 / MARZO 2023</t>
  </si>
  <si>
    <t>STOCK TOTAL / INICIAL ENTREGADO POR LUIS</t>
  </si>
  <si>
    <t xml:space="preserve">Cuantificacion </t>
  </si>
  <si>
    <t>Fabricada / Rota</t>
  </si>
  <si>
    <t>Sin Piso</t>
  </si>
  <si>
    <t>Roto</t>
  </si>
  <si>
    <t>Estado Roto</t>
  </si>
  <si>
    <t>Lona de techo 12 x 8mts</t>
  </si>
  <si>
    <t>Alfombras 2 ancho x 5 de alto mts</t>
  </si>
  <si>
    <t>Lonas negras 2,57 x 12 mts</t>
  </si>
  <si>
    <t>Lonas Negra techo 12 x 8 mts</t>
  </si>
  <si>
    <t>Dólar Blue</t>
  </si>
  <si>
    <t>Dólar Oficial</t>
  </si>
  <si>
    <t>Estado</t>
  </si>
  <si>
    <t>No Cuantificable</t>
  </si>
  <si>
    <t>Cuantificable</t>
  </si>
  <si>
    <t>Recortes Fenolicos 1.090 x 1.090</t>
  </si>
  <si>
    <t>Vertical 1,50m</t>
  </si>
  <si>
    <t>Falta agregar</t>
  </si>
  <si>
    <t>Ratchet 1,00mt</t>
  </si>
  <si>
    <t>Ratchet 3,00mt</t>
  </si>
  <si>
    <t>STOCK TOTAL - CUANTIFICABLE AGOSTO 2022</t>
  </si>
  <si>
    <t>STOCK TOTAL - NO CUANTIFICABLE AGOSTO 2022</t>
  </si>
  <si>
    <t>Usado</t>
  </si>
  <si>
    <t>Nuevo</t>
  </si>
  <si>
    <t>4,5 x 3,0mts</t>
  </si>
  <si>
    <t>Chapas 2,40 x 0,30mts x 2mm</t>
  </si>
  <si>
    <t>Cubo thomas 40x40</t>
  </si>
  <si>
    <t>Cunas Grises</t>
  </si>
  <si>
    <t>No hay precio</t>
  </si>
  <si>
    <t>Rollo Nuevo</t>
  </si>
  <si>
    <t>Fabricada Nuevo</t>
  </si>
  <si>
    <t>Aprox Nuevo</t>
  </si>
  <si>
    <t>Columna1</t>
  </si>
  <si>
    <t>1,22 x 2,44</t>
  </si>
  <si>
    <t>Escalera 1,5m</t>
  </si>
  <si>
    <t>Tasa al 23/08:</t>
  </si>
  <si>
    <t>Columna2</t>
  </si>
  <si>
    <t>Columna3</t>
  </si>
  <si>
    <t>Columna4</t>
  </si>
  <si>
    <t>Columna5</t>
  </si>
  <si>
    <t>Columna6</t>
  </si>
  <si>
    <t>Nuevo Solo Material</t>
  </si>
  <si>
    <t>Ruedas Grandes para tarima</t>
  </si>
  <si>
    <t>Precio Unitario en Pesos /   €</t>
  </si>
  <si>
    <t>Precio Total en Pesos</t>
  </si>
  <si>
    <t>COMPRA</t>
  </si>
  <si>
    <t>ALQUILER</t>
  </si>
  <si>
    <t>BONIFICADO</t>
  </si>
  <si>
    <t>Tarima de Plasticas 1x1m</t>
  </si>
  <si>
    <t>A - ALQUILER</t>
  </si>
  <si>
    <t>** AGREGADAS 260 VALLAS</t>
  </si>
  <si>
    <t>Bonificado</t>
  </si>
  <si>
    <t xml:space="preserve">CUADRO COMPRA AIRASCA - OCTUBRE 2022 </t>
  </si>
  <si>
    <t>STOCK TOTAL - CUANTIFICABLE / OCTUBRE 2022</t>
  </si>
  <si>
    <t>STOCK TOTAL - NO CUANTIFICABLE  / OCTUBRE 2022</t>
  </si>
  <si>
    <t>Tasa a Octubre 2022:</t>
  </si>
  <si>
    <t>Valor Compra 50%</t>
  </si>
  <si>
    <t>STOCK TOTAL - LAYHER / OCTUBRE 2022</t>
  </si>
  <si>
    <t>Valor Compra 80%</t>
  </si>
  <si>
    <t xml:space="preserve">STOCK TOTAL - LAYHER - CUANTIFICABLE </t>
  </si>
  <si>
    <t>Pisos</t>
  </si>
  <si>
    <t>Freestanding</t>
  </si>
  <si>
    <t>Tasa al 04/01:</t>
  </si>
  <si>
    <t>Valor Alquiler 9%</t>
  </si>
  <si>
    <t>Horizontales 3,07</t>
  </si>
  <si>
    <t>Diagonales 0,73 x 2,00mts</t>
  </si>
  <si>
    <t>Diagonales 1,09 x 2,00mts</t>
  </si>
  <si>
    <t>Pallets</t>
  </si>
  <si>
    <t xml:space="preserve">Fenolico </t>
  </si>
  <si>
    <t xml:space="preserve">Ratchet con Faja </t>
  </si>
  <si>
    <t>Precio Unitario  €</t>
  </si>
  <si>
    <t>STOCK TOTAL - LAYHER</t>
  </si>
  <si>
    <t>Tasa a 24 Enero 2023:</t>
  </si>
  <si>
    <t>Euro Banco Nacion Venta</t>
  </si>
  <si>
    <t>Precio Unitario en €</t>
  </si>
  <si>
    <t>Precio Total en €</t>
  </si>
  <si>
    <t>Valor Compra € 80%</t>
  </si>
  <si>
    <t>CUADRO COMPRA AIRASCA</t>
  </si>
  <si>
    <t xml:space="preserve">STOCK TOTAL - NO CUANTIFICABLE </t>
  </si>
  <si>
    <t xml:space="preserve">CUADRO COMPRA AIRASCA </t>
  </si>
  <si>
    <t>STOCK TOTAL - CUANTIFICABLE</t>
  </si>
  <si>
    <t>Precio Unitario en Pesos</t>
  </si>
  <si>
    <t>CUADRO LAYHER BAHIA BLANCA - INVENTARIO - ENERO 2023</t>
  </si>
  <si>
    <t>Stock Inicial</t>
  </si>
  <si>
    <t>Ok</t>
  </si>
  <si>
    <t>Sobrante</t>
  </si>
  <si>
    <t>ok</t>
  </si>
  <si>
    <t>Faltante</t>
  </si>
  <si>
    <t>Ratchet con Faja</t>
  </si>
  <si>
    <t>Se la llevo el camionero</t>
  </si>
  <si>
    <t>Fenolico</t>
  </si>
  <si>
    <t>Material Enviado 15/03/2023</t>
  </si>
  <si>
    <t>Stock Inicial 12/01/2023</t>
  </si>
  <si>
    <t>Horizontal en planta</t>
  </si>
  <si>
    <t>Saldo en Cordoba</t>
  </si>
  <si>
    <t>Recibido Según Agesta</t>
  </si>
  <si>
    <t>Diferencia de Saldo y Recibido</t>
  </si>
  <si>
    <t>CUADRO LAYHER BAHIA BLANCA - MARZO 2023</t>
  </si>
  <si>
    <t>Lugar de Carga</t>
  </si>
  <si>
    <t>Rosario</t>
  </si>
  <si>
    <t>Polo</t>
  </si>
  <si>
    <t>CUADRO LAYHER CORDOBA - MARZO 2023</t>
  </si>
  <si>
    <t>Cantidad Solicitada por Agesta</t>
  </si>
  <si>
    <t>Horizontal 2,57</t>
  </si>
  <si>
    <t>Diagonal 2,57 x 2,00</t>
  </si>
  <si>
    <t>Celosias</t>
  </si>
  <si>
    <t xml:space="preserve">Base </t>
  </si>
  <si>
    <t xml:space="preserve">Collarin </t>
  </si>
  <si>
    <t>Lona 12mts con Ojales</t>
  </si>
  <si>
    <t>Vertical 2,00 C/E</t>
  </si>
  <si>
    <t xml:space="preserve">Viga Puente </t>
  </si>
  <si>
    <t>IPN izaje de Techo</t>
  </si>
  <si>
    <t>Vallas Pesadas</t>
  </si>
  <si>
    <t>Vallas Finas</t>
  </si>
  <si>
    <t>Vallas Grises</t>
  </si>
  <si>
    <t>Vallas Sin Patas</t>
  </si>
  <si>
    <t>Tipo de Vallas</t>
  </si>
  <si>
    <t>TOTALES POR CAMION</t>
  </si>
  <si>
    <t>Camion 1 - RENTAL POWER (28/03)</t>
  </si>
  <si>
    <t>Camion 2 - RENTAL POWER (29/03)</t>
  </si>
  <si>
    <t xml:space="preserve">TOTALES POR VALLAS </t>
  </si>
  <si>
    <t>CUADRO STOCK VALLAS - ARGENTINA/CURAZAO - MARZO 2023</t>
  </si>
  <si>
    <t>Camion 3 - PROFESIONALES  (29/03)</t>
  </si>
  <si>
    <t>Camion 4 - RENTAL POWER (04/04)</t>
  </si>
  <si>
    <t>FECHA</t>
  </si>
  <si>
    <t>SALDO</t>
  </si>
  <si>
    <t>OBSERVACIONES</t>
  </si>
  <si>
    <t xml:space="preserve">PLANILLA ESTADO DE CUENTA -  MATIAS AGESTA </t>
  </si>
  <si>
    <t>DETALLE</t>
  </si>
  <si>
    <t>DEBE</t>
  </si>
  <si>
    <t>HABER</t>
  </si>
  <si>
    <t>IMPORTE POR COMODATO</t>
  </si>
  <si>
    <t>(MAS) IVA Factura A 00002-00000257</t>
  </si>
  <si>
    <t>Entrega en efectivo</t>
  </si>
  <si>
    <t>Transferencia</t>
  </si>
  <si>
    <t>Pasajes Rosario - BB</t>
  </si>
  <si>
    <t>Flete Bahia Blanca (Mat. Marzo)</t>
  </si>
  <si>
    <t>Viaticos Personal Rosario - BB</t>
  </si>
  <si>
    <t>Flete Bahia Blanca (Freestanding)</t>
  </si>
  <si>
    <t>Personal Sabado (3 Pax - 13hrs)</t>
  </si>
  <si>
    <t>Personal Domingo (3 Pax - 10hrs)</t>
  </si>
  <si>
    <t>Personal Viernes (3 Pax - 10hrs)</t>
  </si>
  <si>
    <t>Personal Lunes (3 Pax - 11hrs)</t>
  </si>
  <si>
    <t>Personal Martes (3 Pax - 11,5hrs)</t>
  </si>
  <si>
    <t>Alquiler Freestanding (210mts)</t>
  </si>
  <si>
    <t>Alquiler Tapacables (70 Modulos)</t>
  </si>
  <si>
    <t xml:space="preserve">Alquiler de Mat LAYHER </t>
  </si>
  <si>
    <t>CUADRO ALQUILER  LAYHER BAHIA BLANCA - MARZO 2023</t>
  </si>
  <si>
    <t>Tasa al 01/04:</t>
  </si>
  <si>
    <t>Valor Alquiler 5%</t>
  </si>
  <si>
    <t xml:space="preserve">Lonas </t>
  </si>
  <si>
    <t>IPN</t>
  </si>
  <si>
    <t>A Favor de DOS57</t>
  </si>
  <si>
    <t>Pasajes BB - CORDOBA</t>
  </si>
  <si>
    <t>Personal Miercoles (3 Pax - 13hrs)</t>
  </si>
  <si>
    <t>Personal Domingo (3 Pax - 13hrs)</t>
  </si>
  <si>
    <t>Personal Sabado (3 Pax - 11hrs)</t>
  </si>
  <si>
    <t>Personal Martes (1 Pax - 10hrs)</t>
  </si>
  <si>
    <t>Personal Martes (1 Pax - Viaje)</t>
  </si>
  <si>
    <t>Personal Jueves (3 Pax - 12hrs)</t>
  </si>
  <si>
    <t>Personal Lunes (3 Pax - 14hrs)</t>
  </si>
  <si>
    <t xml:space="preserve">Stock Inventariado </t>
  </si>
  <si>
    <t>Stock Real</t>
  </si>
  <si>
    <t xml:space="preserve">Remito </t>
  </si>
  <si>
    <t>Alquiler Marzo Agesta</t>
  </si>
  <si>
    <t>Cajon</t>
  </si>
  <si>
    <t>Pallets/ cunas</t>
  </si>
  <si>
    <t>Diferencia</t>
  </si>
  <si>
    <t>REMITO REAL ENVIADO TOTAL + RECIBIDO BB - LAYHER</t>
  </si>
  <si>
    <t>Rejas de Freestanding</t>
  </si>
  <si>
    <t xml:space="preserve"> </t>
  </si>
  <si>
    <t xml:space="preserve">Diferencia </t>
  </si>
  <si>
    <t>Stock Enviado Según Agesta 30/12/22</t>
  </si>
  <si>
    <t>Stock Controlado en Cordoba 12/01/23</t>
  </si>
  <si>
    <t>Detalle</t>
  </si>
  <si>
    <t>Remito Material Enviado 15/03</t>
  </si>
  <si>
    <t xml:space="preserve">Stock Valido </t>
  </si>
  <si>
    <t>Remito Material Enviado 31/03</t>
  </si>
  <si>
    <t>Saldo a Abril 2023</t>
  </si>
  <si>
    <t>Pallets / Cunas Agesta</t>
  </si>
  <si>
    <t>Pallets / Cunas Dos57</t>
  </si>
  <si>
    <t>Ratchet con Faja Agesta</t>
  </si>
  <si>
    <t>Ratchet con Faja Dos57</t>
  </si>
  <si>
    <t>Material Arribar a Cordoba el 26/04/2023</t>
  </si>
  <si>
    <t>Bulones Largos</t>
  </si>
  <si>
    <t>Bulones Cortos</t>
  </si>
  <si>
    <t>1 Tapa de Free</t>
  </si>
  <si>
    <t>2 Esquineros de Free</t>
  </si>
  <si>
    <t>CUADRO DE CONCILIACION - LAYHER BAHIA BLANCA - ABRIL 2023</t>
  </si>
  <si>
    <t>Horizontales EN PLANTA</t>
  </si>
  <si>
    <t>Gastos Hospitalarios Pucheta</t>
  </si>
  <si>
    <t>Remito Material Enviado 24/04</t>
  </si>
  <si>
    <t>Saldo a Mayo 2023</t>
  </si>
  <si>
    <t>ver</t>
  </si>
  <si>
    <t>y 1 lona gris</t>
  </si>
  <si>
    <t>PLANILLA ALQUILER GENARO AGOSTO 2023/MARZO 2024</t>
  </si>
  <si>
    <t>Tasa al 05/07:</t>
  </si>
  <si>
    <t>Valor Alquiler 4%</t>
  </si>
  <si>
    <t>Adelanto Andamista</t>
  </si>
  <si>
    <t xml:space="preserve">Facturado </t>
  </si>
  <si>
    <t>**700.000 transf 04/05 + 1.236.000 tranf 23/05</t>
  </si>
  <si>
    <t>**700.000 transf + 900.000 deuda</t>
  </si>
  <si>
    <t>CANCELADO 100%</t>
  </si>
  <si>
    <t xml:space="preserve">Total Alquiler </t>
  </si>
  <si>
    <t>Horizontales en Planta</t>
  </si>
  <si>
    <t>CUADRO LAYHER BAHIA BLANCA - INVENTARIO - OCTUBRE 2023</t>
  </si>
  <si>
    <t>Material Requerido</t>
  </si>
  <si>
    <t>Tasa al 24/10:</t>
  </si>
  <si>
    <t xml:space="preserve">Horizontales en Planta </t>
  </si>
  <si>
    <t>CUADRO LAYHER BAHIA BLANCA - ALQUILER - OCTUBRE 2023</t>
  </si>
  <si>
    <t>Valor Alq de Referencia €</t>
  </si>
  <si>
    <t>Canje</t>
  </si>
  <si>
    <t>Material Contabilizado</t>
  </si>
  <si>
    <t>Material Según Mensaje</t>
  </si>
  <si>
    <t>3 rotas</t>
  </si>
  <si>
    <t>2 dobladas</t>
  </si>
  <si>
    <t>1 sin pin</t>
  </si>
  <si>
    <t>111 de 0,60 y 9 de 0,40</t>
  </si>
  <si>
    <t>12 de 1,09 + 52 de 0,73 suman 64</t>
  </si>
  <si>
    <t>Material debe Dos57</t>
  </si>
  <si>
    <t>Debe volver a BB</t>
  </si>
  <si>
    <t>Precio Uni Julio 2023 €</t>
  </si>
  <si>
    <t>Importe Total Layher Julio en EUROS</t>
  </si>
  <si>
    <t>1 al 10 de Agosto 2023</t>
  </si>
  <si>
    <t>1  al 10 de Noviembre 2023</t>
  </si>
  <si>
    <t>1 al 10 de Febrero 2024</t>
  </si>
  <si>
    <t>1 al 10 de Mayo 2024</t>
  </si>
  <si>
    <t>1 al 10 de Junio 2024</t>
  </si>
  <si>
    <t xml:space="preserve">ACUERDO AIRASCA </t>
  </si>
  <si>
    <t>CUOTA 1</t>
  </si>
  <si>
    <t xml:space="preserve">% según acuerdo </t>
  </si>
  <si>
    <t>Total en Pesos</t>
  </si>
  <si>
    <t>Importe Final</t>
  </si>
  <si>
    <t>Mensual 2% al 03/09</t>
  </si>
  <si>
    <t>Mensual 2% al 03/10</t>
  </si>
  <si>
    <t>Mensual 2% al 03/11</t>
  </si>
  <si>
    <t>Mensual 2% al 03/12</t>
  </si>
  <si>
    <t>Mensual 2% al 03/01</t>
  </si>
  <si>
    <t>Importe del USD BLUE 02/08</t>
  </si>
  <si>
    <t>Importe del USD según Banco Nacion 02/08</t>
  </si>
  <si>
    <t>CUOTA 2</t>
  </si>
  <si>
    <t>Importe Base en EUROS</t>
  </si>
  <si>
    <t>Importe del USD según Banco Nacion 02/11</t>
  </si>
  <si>
    <t>Importe del USD BLUE 03/11</t>
  </si>
  <si>
    <t>CUOTA 3</t>
  </si>
  <si>
    <t>Importe del USD según Banco Nacion 02/02</t>
  </si>
  <si>
    <t>Importe del USD BLUE 02/02</t>
  </si>
  <si>
    <t>CUOTA 4</t>
  </si>
  <si>
    <t>CUOTA 5</t>
  </si>
  <si>
    <t xml:space="preserve">NOTA: </t>
  </si>
  <si>
    <t>CUOTA 3 - 4 - 5 PRECIO DÓLAR ANCLADO</t>
  </si>
  <si>
    <t>STOCK TOTAL - LAYHER - AIRASCA</t>
  </si>
  <si>
    <t>TOTAL SALDO ACUMULADO CUOTA 1 Y CUOTA 2:</t>
  </si>
  <si>
    <t>AL 03/01 INCLUSIVE</t>
  </si>
  <si>
    <t>Importe del USD BLUE 01/05</t>
  </si>
  <si>
    <t>Importe del USD según Banco Nacion 01/05</t>
  </si>
  <si>
    <t>Importe del USD según Banco Nacion 1/6</t>
  </si>
  <si>
    <t>Importe del USD BLUE 1/6</t>
  </si>
  <si>
    <t>CUOTA 6</t>
  </si>
  <si>
    <t>1 al 10 de Julio 2024</t>
  </si>
  <si>
    <t>Importe del USD según Banco Nacion 1/7</t>
  </si>
  <si>
    <t>Importe del USD BLUE 1/7</t>
  </si>
  <si>
    <t>CUOTA 7</t>
  </si>
  <si>
    <t>1 al 10 de Agosto 2024</t>
  </si>
  <si>
    <t>Importe del USD según Banco Nacion 1/8</t>
  </si>
  <si>
    <t>Importe del USD BLUE 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</si>
</sst>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\ * #,##0.00_-;\-&quot;$&quot;\ * #,##0.00_-;_-&quot;$&quot;\ * &quot;-&quot;??_-;_-@_-"/>
    <numFmt numFmtId="164" formatCode="#,##0.00\ [$€-407]"/>
    <numFmt numFmtId="165" formatCode="_-* #,##0.00\ [$€-C0A]_-;\-* #,##0.00\ [$€-C0A]_-;_-* &quot;-&quot;??\ [$€-C0A]_-;_-@_-"/>
    <numFmt numFmtId="166" formatCode="dd/mm/yyyy"/>
    <numFmt numFmtId="167" formatCode="_-&quot;$&quot;\ * #,##0.00_-;\-&quot;$&quot;\ * #,##0.00_-;_-&quot;$&quot;\ * &quot;-&quot;??_-;_-@"/>
    <numFmt numFmtId="168" formatCode="mmmm\-yyyy"/>
    <numFmt numFmtId="169" formatCode="_-[$USD]\ * #,##0.00_-;\-[$USD]\ * #,##0.00_-;_-[$USD]\ * &quot;-&quot;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8.5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b/>
      <sz val="8.5"/>
      <color rgb="FFFF0000"/>
      <name val="Calibri"/>
      <family val="2"/>
      <scheme val="minor"/>
    </font>
    <font>
      <sz val="8.5"/>
      <color theme="1"/>
      <name val="Calibri"/>
      <scheme val="minor"/>
    </font>
    <font>
      <b/>
      <sz val="8"/>
      <color theme="1"/>
      <name val="Calibri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CD6ED"/>
        <bgColor indexed="64"/>
      </patternFill>
    </fill>
    <fill>
      <patternFill patternType="solid">
        <fgColor rgb="FF00AFE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DDEBF6"/>
        <bgColor indexed="64"/>
      </patternFill>
    </fill>
    <fill>
      <patternFill patternType="solid">
        <fgColor rgb="FF8EA8DB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theme="7" tint="0.59999389629810485"/>
        <bgColor rgb="FFD9E2F3"/>
      </patternFill>
    </fill>
    <fill>
      <patternFill patternType="solid">
        <fgColor rgb="FFFFFF00"/>
        <bgColor rgb="FFD9E2F3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1" xfId="1" applyFont="1" applyBorder="1"/>
    <xf numFmtId="44" fontId="0" fillId="0" borderId="1" xfId="0" applyNumberFormat="1" applyBorder="1"/>
    <xf numFmtId="0" fontId="2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44" fontId="0" fillId="0" borderId="5" xfId="1" applyFont="1" applyBorder="1"/>
    <xf numFmtId="44" fontId="0" fillId="0" borderId="5" xfId="0" applyNumberFormat="1" applyBorder="1"/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44" fontId="2" fillId="3" borderId="1" xfId="1" applyFont="1" applyFill="1" applyBorder="1" applyAlignment="1">
      <alignment vertical="center"/>
    </xf>
    <xf numFmtId="44" fontId="2" fillId="3" borderId="1" xfId="0" applyNumberFormat="1" applyFont="1" applyFill="1" applyBorder="1" applyAlignment="1">
      <alignment vertical="center"/>
    </xf>
    <xf numFmtId="44" fontId="0" fillId="2" borderId="5" xfId="1" applyFont="1" applyFill="1" applyBorder="1"/>
    <xf numFmtId="44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44" fontId="2" fillId="3" borderId="9" xfId="1" applyFont="1" applyFill="1" applyBorder="1" applyAlignment="1">
      <alignment vertical="center"/>
    </xf>
    <xf numFmtId="44" fontId="2" fillId="3" borderId="9" xfId="0" applyNumberFormat="1" applyFont="1" applyFill="1" applyBorder="1" applyAlignment="1">
      <alignment vertical="center"/>
    </xf>
    <xf numFmtId="0" fontId="4" fillId="5" borderId="2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44" fontId="0" fillId="0" borderId="9" xfId="0" applyNumberFormat="1" applyBorder="1"/>
    <xf numFmtId="44" fontId="0" fillId="0" borderId="9" xfId="1" applyFont="1" applyBorder="1"/>
    <xf numFmtId="44" fontId="0" fillId="2" borderId="10" xfId="1" applyFont="1" applyFill="1" applyBorder="1"/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2" borderId="5" xfId="1" applyFont="1" applyFill="1" applyBorder="1" applyAlignment="1">
      <alignment horizontal="center" vertical="center"/>
    </xf>
    <xf numFmtId="44" fontId="2" fillId="2" borderId="10" xfId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164" fontId="0" fillId="10" borderId="5" xfId="0" applyNumberFormat="1" applyFill="1" applyBorder="1" applyAlignment="1">
      <alignment horizontal="center" vertical="center"/>
    </xf>
    <xf numFmtId="44" fontId="2" fillId="10" borderId="5" xfId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9" xfId="0" applyFill="1" applyBorder="1" applyAlignment="1">
      <alignment horizontal="center" vertical="center"/>
    </xf>
    <xf numFmtId="44" fontId="2" fillId="10" borderId="10" xfId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8" borderId="14" xfId="0" applyNumberFormat="1" applyFill="1" applyBorder="1" applyAlignment="1">
      <alignment horizontal="center" vertical="center"/>
    </xf>
    <xf numFmtId="44" fontId="2" fillId="2" borderId="14" xfId="1" applyFont="1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8" borderId="15" xfId="0" applyFill="1" applyBorder="1" applyAlignment="1">
      <alignment horizontal="center"/>
    </xf>
    <xf numFmtId="0" fontId="0" fillId="8" borderId="15" xfId="0" applyFill="1" applyBorder="1" applyAlignment="1">
      <alignment horizontal="center" vertical="center"/>
    </xf>
    <xf numFmtId="44" fontId="2" fillId="2" borderId="16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10" borderId="10" xfId="0" applyNumberFormat="1" applyFill="1" applyBorder="1" applyAlignment="1">
      <alignment horizontal="center" vertical="center"/>
    </xf>
    <xf numFmtId="0" fontId="0" fillId="8" borderId="14" xfId="0" applyFill="1" applyBorder="1" applyAlignment="1">
      <alignment horizontal="center"/>
    </xf>
    <xf numFmtId="0" fontId="0" fillId="8" borderId="14" xfId="0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44" fontId="0" fillId="0" borderId="20" xfId="0" applyNumberFormat="1" applyBorder="1"/>
    <xf numFmtId="0" fontId="2" fillId="3" borderId="21" xfId="0" applyFont="1" applyFill="1" applyBorder="1" applyAlignment="1">
      <alignment horizontal="center" vertical="center"/>
    </xf>
    <xf numFmtId="44" fontId="2" fillId="3" borderId="22" xfId="0" applyNumberFormat="1" applyFont="1" applyFill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4" fontId="10" fillId="2" borderId="5" xfId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0" fillId="8" borderId="23" xfId="0" applyFill="1" applyBorder="1" applyAlignment="1">
      <alignment horizontal="center"/>
    </xf>
    <xf numFmtId="0" fontId="0" fillId="8" borderId="23" xfId="0" applyFill="1" applyBorder="1" applyAlignment="1">
      <alignment horizontal="center" vertical="center"/>
    </xf>
    <xf numFmtId="164" fontId="0" fillId="8" borderId="24" xfId="0" applyNumberFormat="1" applyFill="1" applyBorder="1" applyAlignment="1">
      <alignment horizontal="center" vertical="center"/>
    </xf>
    <xf numFmtId="44" fontId="2" fillId="2" borderId="24" xfId="1" applyFont="1" applyFill="1" applyBorder="1" applyAlignment="1">
      <alignment horizontal="center" vertical="center"/>
    </xf>
    <xf numFmtId="44" fontId="0" fillId="0" borderId="5" xfId="1" applyFont="1" applyFill="1" applyBorder="1"/>
    <xf numFmtId="0" fontId="6" fillId="7" borderId="18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/>
    </xf>
    <xf numFmtId="44" fontId="10" fillId="2" borderId="1" xfId="1" applyFont="1" applyFill="1" applyBorder="1" applyAlignment="1">
      <alignment horizontal="center" vertical="center"/>
    </xf>
    <xf numFmtId="44" fontId="10" fillId="10" borderId="1" xfId="1" applyFont="1" applyFill="1" applyBorder="1" applyAlignment="1">
      <alignment horizontal="center" vertical="center"/>
    </xf>
    <xf numFmtId="44" fontId="2" fillId="10" borderId="1" xfId="1" applyFont="1" applyFill="1" applyBorder="1" applyAlignment="1">
      <alignment horizontal="center" vertical="center"/>
    </xf>
    <xf numFmtId="165" fontId="10" fillId="10" borderId="1" xfId="1" applyNumberFormat="1" applyFont="1" applyFill="1" applyBorder="1" applyAlignment="1">
      <alignment horizontal="center" vertical="center"/>
    </xf>
    <xf numFmtId="165" fontId="2" fillId="10" borderId="1" xfId="1" applyNumberFormat="1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44" fontId="8" fillId="2" borderId="27" xfId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/>
    </xf>
    <xf numFmtId="44" fontId="2" fillId="0" borderId="10" xfId="1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44" fontId="2" fillId="4" borderId="1" xfId="1" applyFont="1" applyFill="1" applyBorder="1" applyAlignment="1">
      <alignment horizontal="center" vertical="center"/>
    </xf>
    <xf numFmtId="44" fontId="10" fillId="4" borderId="1" xfId="1" applyFont="1" applyFill="1" applyBorder="1" applyAlignment="1">
      <alignment horizontal="center" vertical="center"/>
    </xf>
    <xf numFmtId="0" fontId="0" fillId="4" borderId="0" xfId="0" applyFill="1"/>
    <xf numFmtId="44" fontId="8" fillId="2" borderId="1" xfId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44" fontId="2" fillId="4" borderId="10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44" fontId="0" fillId="4" borderId="0" xfId="0" applyNumberFormat="1" applyFill="1"/>
    <xf numFmtId="44" fontId="0" fillId="0" borderId="0" xfId="1" applyFont="1"/>
    <xf numFmtId="44" fontId="13" fillId="0" borderId="0" xfId="0" applyNumberFormat="1" applyFont="1"/>
    <xf numFmtId="0" fontId="9" fillId="4" borderId="10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9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64" fontId="0" fillId="12" borderId="5" xfId="0" applyNumberFormat="1" applyFill="1" applyBorder="1" applyAlignment="1">
      <alignment horizontal="center" vertical="center"/>
    </xf>
    <xf numFmtId="44" fontId="10" fillId="12" borderId="1" xfId="1" applyFont="1" applyFill="1" applyBorder="1" applyAlignment="1">
      <alignment horizontal="center" vertical="center"/>
    </xf>
    <xf numFmtId="44" fontId="2" fillId="12" borderId="5" xfId="1" applyFont="1" applyFill="1" applyBorder="1" applyAlignment="1">
      <alignment horizontal="center" vertical="center"/>
    </xf>
    <xf numFmtId="44" fontId="8" fillId="12" borderId="1" xfId="1" applyFont="1" applyFill="1" applyBorder="1" applyAlignment="1">
      <alignment horizontal="center" vertical="center"/>
    </xf>
    <xf numFmtId="0" fontId="0" fillId="12" borderId="9" xfId="0" applyFill="1" applyBorder="1" applyAlignment="1">
      <alignment horizontal="center"/>
    </xf>
    <xf numFmtId="0" fontId="9" fillId="12" borderId="9" xfId="0" applyFont="1" applyFill="1" applyBorder="1" applyAlignment="1">
      <alignment horizontal="center" vertical="center"/>
    </xf>
    <xf numFmtId="164" fontId="0" fillId="12" borderId="10" xfId="0" applyNumberFormat="1" applyFill="1" applyBorder="1" applyAlignment="1">
      <alignment horizontal="center" vertical="center"/>
    </xf>
    <xf numFmtId="44" fontId="2" fillId="12" borderId="1" xfId="1" applyFont="1" applyFill="1" applyBorder="1" applyAlignment="1">
      <alignment horizontal="center" vertical="center"/>
    </xf>
    <xf numFmtId="44" fontId="2" fillId="2" borderId="30" xfId="1" applyFont="1" applyFill="1" applyBorder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/>
    </xf>
    <xf numFmtId="0" fontId="0" fillId="11" borderId="15" xfId="0" applyFill="1" applyBorder="1" applyAlignment="1">
      <alignment horizontal="center"/>
    </xf>
    <xf numFmtId="0" fontId="0" fillId="11" borderId="15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164" fontId="0" fillId="11" borderId="30" xfId="0" applyNumberFormat="1" applyFill="1" applyBorder="1" applyAlignment="1">
      <alignment horizontal="center" vertical="center"/>
    </xf>
    <xf numFmtId="44" fontId="14" fillId="0" borderId="1" xfId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44" fontId="2" fillId="0" borderId="5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44" fontId="10" fillId="0" borderId="1" xfId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 vertical="center"/>
    </xf>
    <xf numFmtId="44" fontId="8" fillId="0" borderId="1" xfId="1" applyFont="1" applyFill="1" applyBorder="1" applyAlignment="1">
      <alignment horizontal="center" vertical="center"/>
    </xf>
    <xf numFmtId="44" fontId="0" fillId="0" borderId="0" xfId="0" applyNumberFormat="1" applyFont="1"/>
    <xf numFmtId="0" fontId="0" fillId="0" borderId="0" xfId="0" applyFill="1"/>
    <xf numFmtId="0" fontId="15" fillId="0" borderId="9" xfId="0" applyFont="1" applyFill="1" applyBorder="1" applyAlignment="1">
      <alignment horizontal="center" vertical="center"/>
    </xf>
    <xf numFmtId="44" fontId="10" fillId="10" borderId="9" xfId="1" applyFont="1" applyFill="1" applyBorder="1" applyAlignment="1">
      <alignment horizontal="center" vertical="center"/>
    </xf>
    <xf numFmtId="165" fontId="10" fillId="10" borderId="9" xfId="1" applyNumberFormat="1" applyFont="1" applyFill="1" applyBorder="1" applyAlignment="1">
      <alignment horizontal="center" vertical="center"/>
    </xf>
    <xf numFmtId="44" fontId="10" fillId="2" borderId="10" xfId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5" fillId="0" borderId="9" xfId="0" applyNumberFormat="1" applyFont="1" applyFill="1" applyBorder="1" applyAlignment="1">
      <alignment horizontal="center" vertical="center"/>
    </xf>
    <xf numFmtId="164" fontId="0" fillId="0" borderId="9" xfId="0" applyNumberFormat="1" applyFill="1" applyBorder="1" applyAlignment="1">
      <alignment horizontal="center" vertical="center"/>
    </xf>
    <xf numFmtId="44" fontId="16" fillId="0" borderId="9" xfId="1" applyFont="1" applyFill="1" applyBorder="1" applyAlignment="1">
      <alignment horizontal="center" vertical="center"/>
    </xf>
    <xf numFmtId="0" fontId="0" fillId="13" borderId="14" xfId="0" applyFill="1" applyBorder="1" applyAlignment="1">
      <alignment horizontal="center"/>
    </xf>
    <xf numFmtId="0" fontId="0" fillId="13" borderId="14" xfId="0" applyFill="1" applyBorder="1" applyAlignment="1">
      <alignment horizontal="center" vertical="center"/>
    </xf>
    <xf numFmtId="164" fontId="0" fillId="13" borderId="14" xfId="0" applyNumberFormat="1" applyFill="1" applyBorder="1" applyAlignment="1">
      <alignment horizontal="center" vertical="center"/>
    </xf>
    <xf numFmtId="44" fontId="2" fillId="12" borderId="14" xfId="1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44" fontId="15" fillId="0" borderId="0" xfId="0" applyNumberFormat="1" applyFont="1"/>
    <xf numFmtId="44" fontId="15" fillId="4" borderId="31" xfId="0" applyNumberFormat="1" applyFont="1" applyFill="1" applyBorder="1"/>
    <xf numFmtId="44" fontId="16" fillId="0" borderId="32" xfId="1" applyNumberFormat="1" applyFont="1" applyFill="1" applyBorder="1" applyAlignment="1">
      <alignment horizontal="center" vertical="center"/>
    </xf>
    <xf numFmtId="44" fontId="10" fillId="4" borderId="31" xfId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44" fontId="8" fillId="6" borderId="27" xfId="1" applyFont="1" applyFill="1" applyBorder="1" applyAlignment="1">
      <alignment horizontal="center" vertical="center"/>
    </xf>
    <xf numFmtId="0" fontId="0" fillId="13" borderId="33" xfId="0" applyFill="1" applyBorder="1" applyAlignment="1">
      <alignment horizontal="center"/>
    </xf>
    <xf numFmtId="44" fontId="2" fillId="12" borderId="22" xfId="1" applyFont="1" applyFill="1" applyBorder="1" applyAlignment="1">
      <alignment horizontal="center" vertical="center"/>
    </xf>
    <xf numFmtId="0" fontId="0" fillId="11" borderId="21" xfId="0" applyFill="1" applyBorder="1" applyAlignment="1">
      <alignment horizontal="center"/>
    </xf>
    <xf numFmtId="44" fontId="2" fillId="2" borderId="34" xfId="1" applyFont="1" applyFill="1" applyBorder="1" applyAlignment="1">
      <alignment horizontal="center" vertical="center"/>
    </xf>
    <xf numFmtId="0" fontId="0" fillId="11" borderId="35" xfId="0" applyFill="1" applyBorder="1" applyAlignment="1">
      <alignment horizontal="center"/>
    </xf>
    <xf numFmtId="44" fontId="2" fillId="2" borderId="36" xfId="1" applyFont="1" applyFill="1" applyBorder="1" applyAlignment="1">
      <alignment horizontal="center" vertical="center"/>
    </xf>
    <xf numFmtId="0" fontId="0" fillId="11" borderId="37" xfId="0" applyFill="1" applyBorder="1" applyAlignment="1">
      <alignment horizontal="center"/>
    </xf>
    <xf numFmtId="0" fontId="0" fillId="11" borderId="3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164" fontId="0" fillId="11" borderId="39" xfId="0" applyNumberFormat="1" applyFill="1" applyBorder="1" applyAlignment="1">
      <alignment horizontal="center" vertical="center"/>
    </xf>
    <xf numFmtId="44" fontId="2" fillId="2" borderId="39" xfId="1" applyFont="1" applyFill="1" applyBorder="1" applyAlignment="1">
      <alignment horizontal="center" vertical="center"/>
    </xf>
    <xf numFmtId="44" fontId="2" fillId="2" borderId="40" xfId="1" applyFont="1" applyFill="1" applyBorder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 vertical="center"/>
    </xf>
    <xf numFmtId="44" fontId="10" fillId="0" borderId="5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Border="1"/>
    <xf numFmtId="0" fontId="2" fillId="0" borderId="41" xfId="0" applyFont="1" applyBorder="1" applyAlignment="1">
      <alignment horizontal="center" vertical="center"/>
    </xf>
    <xf numFmtId="44" fontId="10" fillId="14" borderId="31" xfId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165" fontId="10" fillId="15" borderId="1" xfId="1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9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/>
    </xf>
    <xf numFmtId="0" fontId="9" fillId="16" borderId="9" xfId="0" applyFont="1" applyFill="1" applyBorder="1" applyAlignment="1">
      <alignment horizontal="center" vertical="center"/>
    </xf>
    <xf numFmtId="165" fontId="10" fillId="4" borderId="1" xfId="1" applyNumberFormat="1" applyFont="1" applyFill="1" applyBorder="1" applyAlignment="1">
      <alignment horizontal="center" vertical="center"/>
    </xf>
    <xf numFmtId="0" fontId="19" fillId="20" borderId="48" xfId="0" applyFont="1" applyFill="1" applyBorder="1" applyAlignment="1">
      <alignment horizontal="center" vertical="center" wrapText="1"/>
    </xf>
    <xf numFmtId="0" fontId="19" fillId="20" borderId="49" xfId="0" applyFont="1" applyFill="1" applyBorder="1" applyAlignment="1">
      <alignment horizontal="center" vertical="center" wrapText="1"/>
    </xf>
    <xf numFmtId="0" fontId="19" fillId="20" borderId="50" xfId="0" applyFont="1" applyFill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21" borderId="49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0" fillId="22" borderId="49" xfId="0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8" fillId="19" borderId="55" xfId="0" applyFont="1" applyFill="1" applyBorder="1" applyAlignment="1">
      <alignment horizontal="center" vertical="center" wrapText="1"/>
    </xf>
    <xf numFmtId="0" fontId="18" fillId="19" borderId="10" xfId="0" applyFont="1" applyFill="1" applyBorder="1" applyAlignment="1">
      <alignment horizontal="center" vertical="center" wrapText="1"/>
    </xf>
    <xf numFmtId="0" fontId="18" fillId="19" borderId="56" xfId="0" applyFont="1" applyFill="1" applyBorder="1" applyAlignment="1">
      <alignment horizontal="center" vertical="center" wrapText="1"/>
    </xf>
    <xf numFmtId="0" fontId="19" fillId="20" borderId="53" xfId="0" applyFont="1" applyFill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20" borderId="22" xfId="0" applyFont="1" applyFill="1" applyBorder="1" applyAlignment="1">
      <alignment horizontal="center" vertical="center" wrapText="1"/>
    </xf>
    <xf numFmtId="0" fontId="19" fillId="20" borderId="54" xfId="0" applyFont="1" applyFill="1" applyBorder="1" applyAlignment="1">
      <alignment horizontal="center" vertical="center" wrapText="1"/>
    </xf>
    <xf numFmtId="0" fontId="26" fillId="23" borderId="1" xfId="0" applyFont="1" applyFill="1" applyBorder="1" applyAlignment="1">
      <alignment horizontal="center" vertical="center" wrapText="1"/>
    </xf>
    <xf numFmtId="0" fontId="26" fillId="23" borderId="21" xfId="0" applyFont="1" applyFill="1" applyBorder="1" applyAlignment="1">
      <alignment horizontal="center" vertical="center" wrapText="1"/>
    </xf>
    <xf numFmtId="0" fontId="26" fillId="23" borderId="22" xfId="0" applyFont="1" applyFill="1" applyBorder="1" applyAlignment="1">
      <alignment horizontal="center" vertical="center" wrapText="1"/>
    </xf>
    <xf numFmtId="0" fontId="24" fillId="12" borderId="2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4" fillId="12" borderId="22" xfId="0" applyFont="1" applyFill="1" applyBorder="1" applyAlignment="1">
      <alignment horizontal="center" vertical="center" wrapText="1"/>
    </xf>
    <xf numFmtId="0" fontId="2" fillId="24" borderId="37" xfId="0" applyFont="1" applyFill="1" applyBorder="1" applyAlignment="1">
      <alignment horizontal="center" vertical="center" wrapText="1"/>
    </xf>
    <xf numFmtId="0" fontId="2" fillId="24" borderId="38" xfId="0" applyFont="1" applyFill="1" applyBorder="1" applyAlignment="1">
      <alignment horizontal="center" vertical="center"/>
    </xf>
    <xf numFmtId="0" fontId="2" fillId="24" borderId="54" xfId="0" applyFont="1" applyFill="1" applyBorder="1" applyAlignment="1">
      <alignment horizontal="center" vertical="center"/>
    </xf>
    <xf numFmtId="0" fontId="25" fillId="0" borderId="0" xfId="0" applyFont="1"/>
    <xf numFmtId="44" fontId="8" fillId="6" borderId="27" xfId="1" applyFont="1" applyFill="1" applyBorder="1" applyAlignment="1">
      <alignment horizontal="center" vertical="center"/>
    </xf>
    <xf numFmtId="0" fontId="26" fillId="23" borderId="41" xfId="0" applyFont="1" applyFill="1" applyBorder="1" applyAlignment="1">
      <alignment horizontal="center" vertical="center" wrapText="1"/>
    </xf>
    <xf numFmtId="0" fontId="2" fillId="24" borderId="60" xfId="0" applyFont="1" applyFill="1" applyBorder="1" applyAlignment="1">
      <alignment horizontal="center" vertical="center"/>
    </xf>
    <xf numFmtId="0" fontId="18" fillId="19" borderId="58" xfId="0" applyFont="1" applyFill="1" applyBorder="1" applyAlignment="1">
      <alignment horizontal="center" vertical="center" wrapText="1"/>
    </xf>
    <xf numFmtId="0" fontId="19" fillId="20" borderId="51" xfId="0" applyFont="1" applyFill="1" applyBorder="1" applyAlignment="1">
      <alignment horizontal="center" vertical="center" wrapText="1"/>
    </xf>
    <xf numFmtId="0" fontId="19" fillId="20" borderId="37" xfId="0" applyFont="1" applyFill="1" applyBorder="1" applyAlignment="1">
      <alignment horizontal="center" vertical="center" wrapText="1"/>
    </xf>
    <xf numFmtId="0" fontId="22" fillId="20" borderId="52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center" vertical="center" wrapText="1"/>
    </xf>
    <xf numFmtId="0" fontId="22" fillId="20" borderId="38" xfId="0" applyFont="1" applyFill="1" applyBorder="1" applyAlignment="1">
      <alignment horizontal="center" vertical="center" wrapText="1"/>
    </xf>
    <xf numFmtId="0" fontId="19" fillId="20" borderId="21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8" fillId="27" borderId="0" xfId="0" applyFont="1" applyFill="1" applyBorder="1" applyAlignment="1">
      <alignment horizontal="center"/>
    </xf>
    <xf numFmtId="0" fontId="28" fillId="27" borderId="65" xfId="0" applyFont="1" applyFill="1" applyBorder="1" applyAlignment="1">
      <alignment horizontal="center"/>
    </xf>
    <xf numFmtId="166" fontId="29" fillId="0" borderId="2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167" fontId="29" fillId="27" borderId="1" xfId="0" applyNumberFormat="1" applyFont="1" applyFill="1" applyBorder="1" applyAlignment="1">
      <alignment vertical="center"/>
    </xf>
    <xf numFmtId="167" fontId="29" fillId="27" borderId="22" xfId="0" applyNumberFormat="1" applyFont="1" applyFill="1" applyBorder="1" applyAlignment="1">
      <alignment vertical="center"/>
    </xf>
    <xf numFmtId="166" fontId="30" fillId="0" borderId="19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28" fillId="27" borderId="62" xfId="0" applyFont="1" applyFill="1" applyBorder="1" applyAlignment="1">
      <alignment horizontal="center" vertical="center"/>
    </xf>
    <xf numFmtId="0" fontId="28" fillId="27" borderId="63" xfId="0" applyFont="1" applyFill="1" applyBorder="1" applyAlignment="1">
      <alignment horizontal="center" vertical="center"/>
    </xf>
    <xf numFmtId="0" fontId="30" fillId="0" borderId="9" xfId="0" applyFont="1" applyBorder="1" applyAlignment="1">
      <alignment vertical="center"/>
    </xf>
    <xf numFmtId="166" fontId="30" fillId="0" borderId="55" xfId="0" applyNumberFormat="1" applyFont="1" applyBorder="1" applyAlignment="1">
      <alignment horizontal="center" vertical="center"/>
    </xf>
    <xf numFmtId="167" fontId="29" fillId="27" borderId="9" xfId="0" applyNumberFormat="1" applyFont="1" applyFill="1" applyBorder="1" applyAlignment="1">
      <alignment vertical="center"/>
    </xf>
    <xf numFmtId="167" fontId="29" fillId="27" borderId="66" xfId="0" applyNumberFormat="1" applyFont="1" applyFill="1" applyBorder="1" applyAlignment="1">
      <alignment vertical="center"/>
    </xf>
    <xf numFmtId="167" fontId="28" fillId="28" borderId="7" xfId="0" applyNumberFormat="1" applyFont="1" applyFill="1" applyBorder="1" applyAlignment="1">
      <alignment vertical="center"/>
    </xf>
    <xf numFmtId="167" fontId="28" fillId="28" borderId="8" xfId="0" applyNumberFormat="1" applyFont="1" applyFill="1" applyBorder="1" applyAlignment="1">
      <alignment horizontal="left" vertical="center"/>
    </xf>
    <xf numFmtId="166" fontId="30" fillId="0" borderId="1" xfId="0" applyNumberFormat="1" applyFont="1" applyBorder="1" applyAlignment="1">
      <alignment horizontal="center" vertical="center"/>
    </xf>
    <xf numFmtId="167" fontId="33" fillId="29" borderId="7" xfId="0" applyNumberFormat="1" applyFont="1" applyFill="1" applyBorder="1" applyAlignment="1">
      <alignment vertical="center"/>
    </xf>
    <xf numFmtId="0" fontId="19" fillId="20" borderId="1" xfId="0" applyFont="1" applyFill="1" applyBorder="1" applyAlignment="1">
      <alignment horizontal="center" vertical="center" wrapText="1"/>
    </xf>
    <xf numFmtId="167" fontId="32" fillId="27" borderId="1" xfId="0" applyNumberFormat="1" applyFont="1" applyFill="1" applyBorder="1" applyAlignment="1">
      <alignment vertical="center"/>
    </xf>
    <xf numFmtId="0" fontId="18" fillId="19" borderId="71" xfId="0" applyFont="1" applyFill="1" applyBorder="1" applyAlignment="1">
      <alignment horizontal="center" vertical="center" wrapText="1"/>
    </xf>
    <xf numFmtId="0" fontId="18" fillId="19" borderId="3" xfId="0" applyFont="1" applyFill="1" applyBorder="1" applyAlignment="1">
      <alignment horizontal="center" vertical="center" wrapText="1"/>
    </xf>
    <xf numFmtId="0" fontId="18" fillId="19" borderId="7" xfId="0" applyFont="1" applyFill="1" applyBorder="1" applyAlignment="1">
      <alignment horizontal="center" vertical="center" wrapText="1"/>
    </xf>
    <xf numFmtId="0" fontId="18" fillId="19" borderId="4" xfId="0" applyFont="1" applyFill="1" applyBorder="1" applyAlignment="1">
      <alignment horizontal="center" vertical="center" wrapText="1"/>
    </xf>
    <xf numFmtId="0" fontId="22" fillId="20" borderId="59" xfId="0" applyFont="1" applyFill="1" applyBorder="1" applyAlignment="1">
      <alignment horizontal="center" vertical="center" wrapText="1"/>
    </xf>
    <xf numFmtId="0" fontId="22" fillId="20" borderId="53" xfId="0" applyFont="1" applyFill="1" applyBorder="1" applyAlignment="1">
      <alignment horizontal="center" vertical="center" wrapText="1"/>
    </xf>
    <xf numFmtId="0" fontId="23" fillId="20" borderId="22" xfId="0" applyFont="1" applyFill="1" applyBorder="1" applyAlignment="1">
      <alignment horizontal="center" vertical="center" wrapText="1"/>
    </xf>
    <xf numFmtId="0" fontId="22" fillId="20" borderId="22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3" fillId="20" borderId="54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19" fillId="0" borderId="21" xfId="0" applyFont="1" applyFill="1" applyBorder="1" applyAlignment="1">
      <alignment horizontal="center" vertical="center" wrapText="1"/>
    </xf>
    <xf numFmtId="0" fontId="22" fillId="31" borderId="1" xfId="0" applyFont="1" applyFill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22" xfId="0" applyFont="1" applyFill="1" applyBorder="1" applyAlignment="1">
      <alignment horizontal="center" vertical="center" wrapText="1"/>
    </xf>
    <xf numFmtId="0" fontId="18" fillId="19" borderId="72" xfId="0" applyFont="1" applyFill="1" applyBorder="1" applyAlignment="1">
      <alignment horizontal="center" vertical="center" wrapText="1"/>
    </xf>
    <xf numFmtId="0" fontId="18" fillId="19" borderId="73" xfId="0" applyFont="1" applyFill="1" applyBorder="1" applyAlignment="1">
      <alignment horizontal="center" vertical="center" wrapText="1"/>
    </xf>
    <xf numFmtId="0" fontId="18" fillId="19" borderId="74" xfId="0" applyFont="1" applyFill="1" applyBorder="1" applyAlignment="1">
      <alignment horizontal="center" vertical="center" wrapText="1"/>
    </xf>
    <xf numFmtId="0" fontId="22" fillId="31" borderId="52" xfId="0" applyFont="1" applyFill="1" applyBorder="1" applyAlignment="1">
      <alignment horizontal="center" vertical="center" wrapText="1"/>
    </xf>
    <xf numFmtId="0" fontId="35" fillId="20" borderId="22" xfId="0" applyFont="1" applyFill="1" applyBorder="1" applyAlignment="1">
      <alignment horizontal="center" vertical="center" wrapText="1"/>
    </xf>
    <xf numFmtId="0" fontId="22" fillId="30" borderId="38" xfId="0" applyFont="1" applyFill="1" applyBorder="1" applyAlignment="1">
      <alignment horizontal="center" vertical="center" wrapText="1"/>
    </xf>
    <xf numFmtId="0" fontId="34" fillId="30" borderId="54" xfId="0" applyFont="1" applyFill="1" applyBorder="1" applyAlignment="1">
      <alignment horizontal="center" vertical="center" wrapText="1"/>
    </xf>
    <xf numFmtId="0" fontId="19" fillId="30" borderId="37" xfId="0" applyFont="1" applyFill="1" applyBorder="1" applyAlignment="1">
      <alignment horizontal="center" vertical="center" wrapText="1"/>
    </xf>
    <xf numFmtId="0" fontId="19" fillId="20" borderId="49" xfId="0" applyFont="1" applyFill="1" applyBorder="1" applyAlignment="1">
      <alignment horizontal="center" wrapText="1"/>
    </xf>
    <xf numFmtId="0" fontId="19" fillId="0" borderId="49" xfId="0" applyFont="1" applyBorder="1" applyAlignment="1">
      <alignment horizontal="center" wrapText="1"/>
    </xf>
    <xf numFmtId="0" fontId="19" fillId="20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wrapText="1"/>
    </xf>
    <xf numFmtId="0" fontId="36" fillId="20" borderId="1" xfId="0" applyFont="1" applyFill="1" applyBorder="1" applyAlignment="1">
      <alignment horizontal="center" wrapText="1"/>
    </xf>
    <xf numFmtId="0" fontId="18" fillId="19" borderId="5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18" fillId="20" borderId="1" xfId="0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wrapText="1"/>
    </xf>
    <xf numFmtId="0" fontId="18" fillId="25" borderId="5" xfId="0" applyFont="1" applyFill="1" applyBorder="1" applyAlignment="1">
      <alignment horizontal="center" vertical="center" wrapText="1"/>
    </xf>
    <xf numFmtId="0" fontId="19" fillId="25" borderId="1" xfId="0" applyFont="1" applyFill="1" applyBorder="1" applyAlignment="1">
      <alignment horizontal="center" wrapText="1"/>
    </xf>
    <xf numFmtId="0" fontId="37" fillId="20" borderId="1" xfId="0" applyFont="1" applyFill="1" applyBorder="1" applyAlignment="1">
      <alignment horizontal="center" wrapText="1"/>
    </xf>
    <xf numFmtId="0" fontId="37" fillId="0" borderId="1" xfId="0" applyFont="1" applyBorder="1" applyAlignment="1">
      <alignment horizontal="center" wrapText="1"/>
    </xf>
    <xf numFmtId="0" fontId="19" fillId="32" borderId="1" xfId="0" applyFont="1" applyFill="1" applyBorder="1" applyAlignment="1">
      <alignment horizontal="center" wrapText="1"/>
    </xf>
    <xf numFmtId="0" fontId="18" fillId="32" borderId="1" xfId="0" applyFont="1" applyFill="1" applyBorder="1" applyAlignment="1">
      <alignment horizontal="center" wrapText="1"/>
    </xf>
    <xf numFmtId="0" fontId="37" fillId="25" borderId="1" xfId="0" applyFont="1" applyFill="1" applyBorder="1" applyAlignment="1">
      <alignment horizontal="center" wrapText="1"/>
    </xf>
    <xf numFmtId="44" fontId="8" fillId="6" borderId="27" xfId="1" applyFont="1" applyFill="1" applyBorder="1" applyAlignment="1">
      <alignment horizontal="center" vertical="center"/>
    </xf>
    <xf numFmtId="0" fontId="18" fillId="30" borderId="1" xfId="0" applyFont="1" applyFill="1" applyBorder="1" applyAlignment="1">
      <alignment horizontal="center" vertical="center" wrapText="1"/>
    </xf>
    <xf numFmtId="0" fontId="18" fillId="30" borderId="1" xfId="0" applyFont="1" applyFill="1" applyBorder="1" applyAlignment="1">
      <alignment horizontal="center" wrapText="1"/>
    </xf>
    <xf numFmtId="0" fontId="37" fillId="30" borderId="1" xfId="0" applyFont="1" applyFill="1" applyBorder="1" applyAlignment="1">
      <alignment horizontal="center" wrapText="1"/>
    </xf>
    <xf numFmtId="0" fontId="19" fillId="30" borderId="1" xfId="0" applyFont="1" applyFill="1" applyBorder="1" applyAlignment="1">
      <alignment horizontal="center" wrapText="1"/>
    </xf>
    <xf numFmtId="0" fontId="19" fillId="30" borderId="1" xfId="0" applyFont="1" applyFill="1" applyBorder="1" applyAlignment="1">
      <alignment horizontal="center" vertical="center" wrapText="1"/>
    </xf>
    <xf numFmtId="0" fontId="20" fillId="30" borderId="1" xfId="0" applyFont="1" applyFill="1" applyBorder="1" applyAlignment="1">
      <alignment horizontal="center" wrapText="1"/>
    </xf>
    <xf numFmtId="0" fontId="20" fillId="30" borderId="1" xfId="0" applyFont="1" applyFill="1" applyBorder="1" applyAlignment="1">
      <alignment horizontal="center" vertical="center" wrapText="1"/>
    </xf>
    <xf numFmtId="0" fontId="36" fillId="30" borderId="1" xfId="0" applyFont="1" applyFill="1" applyBorder="1" applyAlignment="1">
      <alignment horizontal="center" wrapText="1"/>
    </xf>
    <xf numFmtId="0" fontId="2" fillId="17" borderId="26" xfId="0" applyFont="1" applyFill="1" applyBorder="1" applyAlignment="1">
      <alignment vertical="center" wrapText="1"/>
    </xf>
    <xf numFmtId="0" fontId="2" fillId="17" borderId="27" xfId="0" applyFont="1" applyFill="1" applyBorder="1" applyAlignment="1">
      <alignment vertical="center" wrapText="1"/>
    </xf>
    <xf numFmtId="0" fontId="17" fillId="18" borderId="43" xfId="0" applyFont="1" applyFill="1" applyBorder="1" applyAlignment="1">
      <alignment vertical="center" wrapText="1"/>
    </xf>
    <xf numFmtId="0" fontId="17" fillId="18" borderId="44" xfId="0" applyFont="1" applyFill="1" applyBorder="1" applyAlignment="1">
      <alignment vertical="center" wrapText="1"/>
    </xf>
    <xf numFmtId="0" fontId="17" fillId="4" borderId="0" xfId="0" applyFont="1" applyFill="1"/>
    <xf numFmtId="168" fontId="2" fillId="11" borderId="51" xfId="0" applyNumberFormat="1" applyFont="1" applyFill="1" applyBorder="1" applyAlignment="1">
      <alignment horizontal="center" vertical="center"/>
    </xf>
    <xf numFmtId="44" fontId="2" fillId="11" borderId="53" xfId="0" applyNumberFormat="1" applyFont="1" applyFill="1" applyBorder="1" applyAlignment="1">
      <alignment horizontal="center" vertical="center"/>
    </xf>
    <xf numFmtId="168" fontId="2" fillId="0" borderId="21" xfId="0" applyNumberFormat="1" applyFont="1" applyBorder="1" applyAlignment="1">
      <alignment horizontal="center" vertical="center"/>
    </xf>
    <xf numFmtId="44" fontId="2" fillId="0" borderId="22" xfId="0" applyNumberFormat="1" applyFont="1" applyBorder="1" applyAlignment="1">
      <alignment horizontal="center" vertical="center"/>
    </xf>
    <xf numFmtId="168" fontId="2" fillId="11" borderId="21" xfId="0" applyNumberFormat="1" applyFont="1" applyFill="1" applyBorder="1" applyAlignment="1">
      <alignment horizontal="center" vertical="center"/>
    </xf>
    <xf numFmtId="44" fontId="2" fillId="11" borderId="22" xfId="0" applyNumberFormat="1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44" fontId="2" fillId="4" borderId="54" xfId="0" applyNumberFormat="1" applyFont="1" applyFill="1" applyBorder="1" applyAlignment="1">
      <alignment horizontal="center" vertical="center"/>
    </xf>
    <xf numFmtId="0" fontId="18" fillId="19" borderId="76" xfId="0" applyFont="1" applyFill="1" applyBorder="1" applyAlignment="1">
      <alignment horizontal="center" vertical="center" wrapText="1"/>
    </xf>
    <xf numFmtId="0" fontId="18" fillId="19" borderId="77" xfId="0" applyFont="1" applyFill="1" applyBorder="1" applyAlignment="1">
      <alignment horizontal="center" vertical="center" wrapText="1"/>
    </xf>
    <xf numFmtId="0" fontId="19" fillId="0" borderId="7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wrapText="1"/>
    </xf>
    <xf numFmtId="0" fontId="19" fillId="0" borderId="41" xfId="0" applyFont="1" applyFill="1" applyBorder="1" applyAlignment="1">
      <alignment horizontal="center" vertical="center" wrapText="1"/>
    </xf>
    <xf numFmtId="0" fontId="20" fillId="0" borderId="41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/>
    </xf>
    <xf numFmtId="44" fontId="17" fillId="6" borderId="4" xfId="1" applyFont="1" applyFill="1" applyBorder="1" applyAlignment="1">
      <alignment horizontal="center" vertical="center"/>
    </xf>
    <xf numFmtId="0" fontId="18" fillId="19" borderId="29" xfId="0" applyFont="1" applyFill="1" applyBorder="1" applyAlignment="1">
      <alignment horizontal="center" vertical="center" wrapText="1"/>
    </xf>
    <xf numFmtId="165" fontId="17" fillId="0" borderId="1" xfId="1" applyNumberFormat="1" applyFont="1" applyFill="1" applyBorder="1" applyAlignment="1">
      <alignment horizontal="center" vertical="center"/>
    </xf>
    <xf numFmtId="44" fontId="17" fillId="0" borderId="5" xfId="1" applyFont="1" applyFill="1" applyBorder="1" applyAlignment="1">
      <alignment horizontal="center" vertical="center"/>
    </xf>
    <xf numFmtId="0" fontId="19" fillId="0" borderId="78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>
      <alignment horizontal="center" wrapText="1"/>
    </xf>
    <xf numFmtId="165" fontId="17" fillId="0" borderId="9" xfId="1" applyNumberFormat="1" applyFont="1" applyFill="1" applyBorder="1" applyAlignment="1">
      <alignment horizontal="center" vertical="center"/>
    </xf>
    <xf numFmtId="0" fontId="38" fillId="23" borderId="0" xfId="0" applyFont="1" applyFill="1" applyBorder="1" applyAlignment="1">
      <alignment horizontal="center" wrapText="1"/>
    </xf>
    <xf numFmtId="1" fontId="19" fillId="0" borderId="1" xfId="0" applyNumberFormat="1" applyFont="1" applyFill="1" applyBorder="1" applyAlignment="1">
      <alignment horizontal="center" wrapText="1"/>
    </xf>
    <xf numFmtId="1" fontId="19" fillId="0" borderId="9" xfId="0" applyNumberFormat="1" applyFont="1" applyFill="1" applyBorder="1" applyAlignment="1">
      <alignment horizontal="center" wrapText="1"/>
    </xf>
    <xf numFmtId="0" fontId="38" fillId="23" borderId="0" xfId="0" applyFont="1" applyFill="1" applyBorder="1" applyAlignment="1">
      <alignment horizontal="center" vertical="center" wrapText="1"/>
    </xf>
    <xf numFmtId="165" fontId="39" fillId="23" borderId="0" xfId="0" applyNumberFormat="1" applyFont="1" applyFill="1" applyBorder="1" applyAlignment="1">
      <alignment horizontal="center" vertical="center"/>
    </xf>
    <xf numFmtId="44" fontId="39" fillId="23" borderId="0" xfId="0" applyNumberFormat="1" applyFont="1" applyFill="1" applyBorder="1" applyAlignment="1">
      <alignment horizontal="center" vertical="center"/>
    </xf>
    <xf numFmtId="44" fontId="39" fillId="4" borderId="3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wrapText="1"/>
    </xf>
    <xf numFmtId="0" fontId="38" fillId="0" borderId="1" xfId="0" applyFont="1" applyFill="1" applyBorder="1" applyAlignment="1">
      <alignment horizontal="center" wrapText="1"/>
    </xf>
    <xf numFmtId="0" fontId="38" fillId="0" borderId="41" xfId="0" applyFont="1" applyFill="1" applyBorder="1" applyAlignment="1">
      <alignment horizontal="center" wrapText="1"/>
    </xf>
    <xf numFmtId="0" fontId="38" fillId="0" borderId="41" xfId="0" applyFont="1" applyFill="1" applyBorder="1" applyAlignment="1">
      <alignment horizontal="center" vertical="center" wrapText="1"/>
    </xf>
    <xf numFmtId="0" fontId="19" fillId="6" borderId="41" xfId="0" applyFont="1" applyFill="1" applyBorder="1" applyAlignment="1">
      <alignment horizontal="center" wrapText="1"/>
    </xf>
    <xf numFmtId="0" fontId="19" fillId="23" borderId="0" xfId="0" applyFont="1" applyFill="1" applyBorder="1" applyAlignment="1">
      <alignment horizontal="center" vertical="center" wrapText="1"/>
    </xf>
    <xf numFmtId="0" fontId="17" fillId="6" borderId="42" xfId="0" applyFont="1" applyFill="1" applyBorder="1" applyAlignment="1">
      <alignment horizontal="center" vertical="center"/>
    </xf>
    <xf numFmtId="44" fontId="17" fillId="6" borderId="44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34" borderId="9" xfId="0" applyFill="1" applyBorder="1" applyAlignment="1">
      <alignment horizontal="center"/>
    </xf>
    <xf numFmtId="0" fontId="15" fillId="34" borderId="9" xfId="0" applyFont="1" applyFill="1" applyBorder="1" applyAlignment="1">
      <alignment horizontal="center" vertical="center"/>
    </xf>
    <xf numFmtId="164" fontId="0" fillId="34" borderId="9" xfId="0" applyNumberFormat="1" applyFill="1" applyBorder="1" applyAlignment="1">
      <alignment horizontal="center" vertical="center"/>
    </xf>
    <xf numFmtId="44" fontId="16" fillId="34" borderId="9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2" fillId="36" borderId="0" xfId="0" applyFont="1" applyFill="1" applyAlignment="1">
      <alignment horizontal="center"/>
    </xf>
    <xf numFmtId="9" fontId="2" fillId="36" borderId="0" xfId="0" applyNumberFormat="1" applyFont="1" applyFill="1" applyAlignment="1">
      <alignment horizontal="center" vertical="center"/>
    </xf>
    <xf numFmtId="0" fontId="2" fillId="36" borderId="0" xfId="0" applyFont="1" applyFill="1" applyAlignment="1">
      <alignment horizontal="center" vertical="center"/>
    </xf>
    <xf numFmtId="169" fontId="2" fillId="4" borderId="0" xfId="0" applyNumberFormat="1" applyFont="1" applyFill="1" applyAlignment="1">
      <alignment horizontal="center" vertical="center"/>
    </xf>
    <xf numFmtId="0" fontId="2" fillId="37" borderId="0" xfId="0" applyFont="1" applyFill="1" applyAlignment="1">
      <alignment horizontal="center"/>
    </xf>
    <xf numFmtId="169" fontId="2" fillId="37" borderId="0" xfId="0" applyNumberFormat="1" applyFont="1" applyFill="1" applyAlignment="1">
      <alignment horizontal="center" vertical="center"/>
    </xf>
    <xf numFmtId="0" fontId="2" fillId="30" borderId="0" xfId="0" applyFont="1" applyFill="1" applyAlignment="1">
      <alignment horizontal="right" vertical="center"/>
    </xf>
    <xf numFmtId="0" fontId="24" fillId="36" borderId="0" xfId="0" applyFont="1" applyFill="1" applyAlignment="1">
      <alignment horizontal="center"/>
    </xf>
    <xf numFmtId="165" fontId="2" fillId="4" borderId="23" xfId="1" applyNumberFormat="1" applyFont="1" applyFill="1" applyBorder="1" applyAlignment="1">
      <alignment horizontal="center" vertical="center"/>
    </xf>
    <xf numFmtId="165" fontId="10" fillId="34" borderId="9" xfId="1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44" fontId="8" fillId="6" borderId="27" xfId="1" applyFont="1" applyFill="1" applyBorder="1" applyAlignment="1">
      <alignment horizontal="center" vertical="center"/>
    </xf>
    <xf numFmtId="44" fontId="8" fillId="6" borderId="44" xfId="1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2" fillId="30" borderId="0" xfId="0" applyFont="1" applyFill="1" applyAlignment="1">
      <alignment horizontal="left" vertical="center"/>
    </xf>
    <xf numFmtId="0" fontId="2" fillId="35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17" borderId="45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47" xfId="0" applyFont="1" applyFill="1" applyBorder="1" applyAlignment="1">
      <alignment horizontal="center" vertical="center" wrapText="1"/>
    </xf>
    <xf numFmtId="0" fontId="17" fillId="18" borderId="69" xfId="0" applyFont="1" applyFill="1" applyBorder="1" applyAlignment="1">
      <alignment horizontal="center" vertical="center" wrapText="1"/>
    </xf>
    <xf numFmtId="0" fontId="17" fillId="18" borderId="68" xfId="0" applyFont="1" applyFill="1" applyBorder="1" applyAlignment="1">
      <alignment horizontal="center" vertical="center" wrapText="1"/>
    </xf>
    <xf numFmtId="0" fontId="17" fillId="18" borderId="70" xfId="0" applyFont="1" applyFill="1" applyBorder="1" applyAlignment="1">
      <alignment horizontal="center" vertical="center" wrapText="1"/>
    </xf>
    <xf numFmtId="0" fontId="2" fillId="17" borderId="79" xfId="0" applyFont="1" applyFill="1" applyBorder="1" applyAlignment="1">
      <alignment horizontal="center" vertical="center" wrapText="1"/>
    </xf>
    <xf numFmtId="0" fontId="2" fillId="17" borderId="80" xfId="0" applyFont="1" applyFill="1" applyBorder="1" applyAlignment="1">
      <alignment horizontal="center" vertical="center" wrapText="1"/>
    </xf>
    <xf numFmtId="0" fontId="2" fillId="17" borderId="81" xfId="0" applyFont="1" applyFill="1" applyBorder="1" applyAlignment="1">
      <alignment horizontal="center" vertical="center" wrapText="1"/>
    </xf>
    <xf numFmtId="0" fontId="17" fillId="18" borderId="82" xfId="0" applyFont="1" applyFill="1" applyBorder="1" applyAlignment="1">
      <alignment horizontal="center" vertical="center" wrapText="1"/>
    </xf>
    <xf numFmtId="0" fontId="17" fillId="18" borderId="83" xfId="0" applyFont="1" applyFill="1" applyBorder="1" applyAlignment="1">
      <alignment horizontal="center" vertical="center" wrapText="1"/>
    </xf>
    <xf numFmtId="0" fontId="17" fillId="18" borderId="84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17" fillId="18" borderId="3" xfId="0" applyFont="1" applyFill="1" applyBorder="1" applyAlignment="1">
      <alignment horizontal="center" vertical="center" wrapText="1"/>
    </xf>
    <xf numFmtId="0" fontId="17" fillId="18" borderId="4" xfId="0" applyFont="1" applyFill="1" applyBorder="1" applyAlignment="1">
      <alignment horizontal="center" vertical="center" wrapText="1"/>
    </xf>
    <xf numFmtId="0" fontId="2" fillId="17" borderId="25" xfId="0" applyFont="1" applyFill="1" applyBorder="1" applyAlignment="1">
      <alignment horizontal="center" vertical="center" wrapText="1"/>
    </xf>
    <xf numFmtId="0" fontId="2" fillId="17" borderId="26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17" fillId="18" borderId="64" xfId="0" applyFont="1" applyFill="1" applyBorder="1" applyAlignment="1">
      <alignment horizontal="center" vertical="center" wrapText="1"/>
    </xf>
    <xf numFmtId="0" fontId="17" fillId="18" borderId="0" xfId="0" applyFont="1" applyFill="1" applyBorder="1" applyAlignment="1">
      <alignment horizontal="center" vertical="center" wrapText="1"/>
    </xf>
    <xf numFmtId="0" fontId="17" fillId="18" borderId="65" xfId="0" applyFont="1" applyFill="1" applyBorder="1" applyAlignment="1">
      <alignment horizontal="center" vertical="center" wrapText="1"/>
    </xf>
    <xf numFmtId="0" fontId="19" fillId="20" borderId="2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19" fillId="23" borderId="21" xfId="0" applyFont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horizontal="center" vertical="center" wrapText="1"/>
    </xf>
    <xf numFmtId="0" fontId="19" fillId="20" borderId="37" xfId="0" applyFont="1" applyFill="1" applyBorder="1" applyAlignment="1">
      <alignment horizontal="center" vertical="center" wrapText="1"/>
    </xf>
    <xf numFmtId="0" fontId="19" fillId="20" borderId="38" xfId="0" applyFont="1" applyFill="1" applyBorder="1" applyAlignment="1">
      <alignment horizontal="center" vertical="center" wrapText="1"/>
    </xf>
    <xf numFmtId="0" fontId="19" fillId="20" borderId="51" xfId="0" applyFont="1" applyFill="1" applyBorder="1" applyAlignment="1">
      <alignment horizontal="center" vertical="center" wrapText="1"/>
    </xf>
    <xf numFmtId="0" fontId="19" fillId="20" borderId="52" xfId="0" applyFont="1" applyFill="1" applyBorder="1" applyAlignment="1">
      <alignment horizontal="center" vertical="center" wrapText="1"/>
    </xf>
    <xf numFmtId="0" fontId="18" fillId="19" borderId="25" xfId="0" applyFont="1" applyFill="1" applyBorder="1" applyAlignment="1">
      <alignment horizontal="center" vertical="center" wrapText="1"/>
    </xf>
    <xf numFmtId="0" fontId="18" fillId="19" borderId="57" xfId="0" applyFont="1" applyFill="1" applyBorder="1" applyAlignment="1">
      <alignment horizontal="center" vertical="center" wrapText="1"/>
    </xf>
    <xf numFmtId="0" fontId="18" fillId="19" borderId="58" xfId="0" applyFont="1" applyFill="1" applyBorder="1" applyAlignment="1">
      <alignment horizontal="center" vertical="center" wrapText="1"/>
    </xf>
    <xf numFmtId="0" fontId="17" fillId="18" borderId="42" xfId="0" applyFont="1" applyFill="1" applyBorder="1" applyAlignment="1">
      <alignment horizontal="center" vertical="center" wrapText="1"/>
    </xf>
    <xf numFmtId="0" fontId="17" fillId="18" borderId="43" xfId="0" applyFont="1" applyFill="1" applyBorder="1" applyAlignment="1">
      <alignment horizontal="center" vertical="center" wrapText="1"/>
    </xf>
    <xf numFmtId="0" fontId="27" fillId="26" borderId="25" xfId="0" applyFont="1" applyFill="1" applyBorder="1" applyAlignment="1">
      <alignment horizontal="center" vertical="center"/>
    </xf>
    <xf numFmtId="0" fontId="27" fillId="26" borderId="26" xfId="0" applyFont="1" applyFill="1" applyBorder="1" applyAlignment="1">
      <alignment horizontal="center" vertical="center"/>
    </xf>
    <xf numFmtId="0" fontId="27" fillId="26" borderId="27" xfId="0" applyFont="1" applyFill="1" applyBorder="1" applyAlignment="1">
      <alignment horizontal="center" vertical="center"/>
    </xf>
    <xf numFmtId="0" fontId="27" fillId="26" borderId="42" xfId="0" applyFont="1" applyFill="1" applyBorder="1" applyAlignment="1">
      <alignment horizontal="center" vertical="center"/>
    </xf>
    <xf numFmtId="0" fontId="27" fillId="26" borderId="43" xfId="0" applyFont="1" applyFill="1" applyBorder="1" applyAlignment="1">
      <alignment horizontal="center" vertical="center"/>
    </xf>
    <xf numFmtId="0" fontId="27" fillId="26" borderId="44" xfId="0" applyFont="1" applyFill="1" applyBorder="1" applyAlignment="1">
      <alignment horizontal="center" vertical="center"/>
    </xf>
    <xf numFmtId="0" fontId="31" fillId="25" borderId="2" xfId="0" applyFont="1" applyFill="1" applyBorder="1" applyAlignment="1">
      <alignment horizontal="right" vertical="center"/>
    </xf>
    <xf numFmtId="0" fontId="31" fillId="25" borderId="67" xfId="0" applyFont="1" applyFill="1" applyBorder="1" applyAlignment="1">
      <alignment horizontal="right" vertical="center"/>
    </xf>
    <xf numFmtId="0" fontId="2" fillId="33" borderId="0" xfId="0" applyFont="1" applyFill="1" applyAlignment="1">
      <alignment horizontal="center"/>
    </xf>
    <xf numFmtId="0" fontId="3" fillId="25" borderId="51" xfId="0" applyFont="1" applyFill="1" applyBorder="1" applyAlignment="1">
      <alignment horizontal="center" vertical="center" wrapText="1"/>
    </xf>
    <xf numFmtId="0" fontId="3" fillId="25" borderId="52" xfId="0" applyFont="1" applyFill="1" applyBorder="1" applyAlignment="1">
      <alignment horizontal="center" vertical="center" wrapText="1"/>
    </xf>
    <xf numFmtId="0" fontId="3" fillId="25" borderId="59" xfId="0" applyFont="1" applyFill="1" applyBorder="1" applyAlignment="1">
      <alignment horizontal="center" vertical="center" wrapText="1"/>
    </xf>
    <xf numFmtId="0" fontId="3" fillId="25" borderId="53" xfId="0" applyFont="1" applyFill="1" applyBorder="1" applyAlignment="1">
      <alignment horizontal="center" vertical="center" wrapText="1"/>
    </xf>
    <xf numFmtId="0" fontId="24" fillId="23" borderId="21" xfId="0" applyFont="1" applyFill="1" applyBorder="1" applyAlignment="1">
      <alignment horizontal="center" vertical="center" wrapText="1"/>
    </xf>
    <xf numFmtId="0" fontId="24" fillId="23" borderId="1" xfId="0" applyFont="1" applyFill="1" applyBorder="1" applyAlignment="1">
      <alignment horizontal="center" vertical="center" wrapText="1"/>
    </xf>
    <xf numFmtId="0" fontId="24" fillId="23" borderId="41" xfId="0" applyFont="1" applyFill="1" applyBorder="1" applyAlignment="1">
      <alignment horizontal="center" vertical="center" wrapText="1"/>
    </xf>
    <xf numFmtId="0" fontId="24" fillId="23" borderId="22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28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#,##0.00\ [$€-407]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#,##0.00\ [$€-407]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4" formatCode="_-&quot;$&quot;\ * #,##0.00_-;\-&quot;$&quot;\ * #,##0.0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4" formatCode="_-&quot;$&quot;\ * #,##0.00_-;\-&quot;$&quot;\ * #,##0.0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rgb="FF000000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#,##0.00\ [$€-407]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</font>
      <numFmt numFmtId="165" formatCode="_-* #,##0.00\ [$€-C0A]_-;\-* #,##0.00\ [$€-C0A]_-;_-* &quot;-&quot;??\ [$€-C0A]_-;_-@_-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#,##0.00\ [$€-407]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\ [$€-407]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D6DCE4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[$€-407]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#,##0.00\ [$€-407]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\ [$€-407]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D6DCE4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[$€-407]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#,##0.00\ [$€-407]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\ [$€-407]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D6DCE4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[$€-407]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\ [$€-407]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  <vertical/>
        <horizontal/>
      </border>
    </dxf>
    <dxf>
      <border outline="0">
        <top style="medium">
          <color indexed="64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[$€-407]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[$€-407]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[$€-407]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64" formatCode="#,##0.00\ [$€-407]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medium">
          <color rgb="FF000000"/>
        </top>
        <bottom style="thin">
          <color rgb="FF000000"/>
        </bottom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[$€-407]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164" formatCode="#,##0.00\ [$€-407]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64" formatCode="#,##0.00\ [$€-407]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BD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16901</xdr:rowOff>
    </xdr:from>
    <xdr:to>
      <xdr:col>7</xdr:col>
      <xdr:colOff>45720</xdr:colOff>
      <xdr:row>72</xdr:row>
      <xdr:rowOff>167640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117461"/>
          <a:ext cx="9349740" cy="1796659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73</xdr:row>
      <xdr:rowOff>91441</xdr:rowOff>
    </xdr:from>
    <xdr:to>
      <xdr:col>7</xdr:col>
      <xdr:colOff>8429</xdr:colOff>
      <xdr:row>85</xdr:row>
      <xdr:rowOff>83821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" y="14020801"/>
          <a:ext cx="9335309" cy="218694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68581</xdr:colOff>
      <xdr:row>95</xdr:row>
      <xdr:rowOff>102846</xdr:rowOff>
    </xdr:from>
    <xdr:to>
      <xdr:col>7</xdr:col>
      <xdr:colOff>45721</xdr:colOff>
      <xdr:row>105</xdr:row>
      <xdr:rowOff>58134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1" y="19183326"/>
          <a:ext cx="9281160" cy="1784088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106</xdr:row>
      <xdr:rowOff>38100</xdr:rowOff>
    </xdr:from>
    <xdr:to>
      <xdr:col>7</xdr:col>
      <xdr:colOff>60959</xdr:colOff>
      <xdr:row>118</xdr:row>
      <xdr:rowOff>137160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740" y="20002500"/>
          <a:ext cx="9273539" cy="229362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162</xdr:row>
      <xdr:rowOff>30480</xdr:rowOff>
    </xdr:from>
    <xdr:to>
      <xdr:col>7</xdr:col>
      <xdr:colOff>327660</xdr:colOff>
      <xdr:row>176</xdr:row>
      <xdr:rowOff>79607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" y="27523440"/>
          <a:ext cx="9608820" cy="2609447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177</xdr:row>
      <xdr:rowOff>15240</xdr:rowOff>
    </xdr:from>
    <xdr:to>
      <xdr:col>7</xdr:col>
      <xdr:colOff>297180</xdr:colOff>
      <xdr:row>195</xdr:row>
      <xdr:rowOff>85287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260" y="30251400"/>
          <a:ext cx="9540240" cy="33618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B4:F168" totalsRowShown="0" headerRowDxfId="280" headerRowBorderDxfId="279" tableBorderDxfId="278">
  <autoFilter ref="B4:F168"/>
  <sortState ref="B5:D227">
    <sortCondition ref="B4:B227"/>
  </sortState>
  <tableColumns count="5">
    <tableColumn id="1" name="Descripcion" dataDxfId="277"/>
    <tableColumn id="2" name="Cantidad" dataDxfId="276"/>
    <tableColumn id="3" name="Cuantificacion " dataDxfId="275">
      <calculatedColumnFormula>200+40+55+4+2</calculatedColumnFormula>
    </tableColumn>
    <tableColumn id="4" name="Estado" dataDxfId="274"/>
    <tableColumn id="10" name="Observaciones" dataDxfId="273" dataCellStyle="Moneda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3" name="Tabla134" displayName="Tabla134" ref="B4:I145" totalsRowCount="1" headerRowDxfId="272" headerRowBorderDxfId="271" tableBorderDxfId="270">
  <autoFilter ref="B4:I144"/>
  <sortState ref="B5:J144">
    <sortCondition ref="E4:E144"/>
  </sortState>
  <tableColumns count="8">
    <tableColumn id="1" name="Descripcion" dataDxfId="269"/>
    <tableColumn id="2" name="Cantidad" dataDxfId="268"/>
    <tableColumn id="11" name="Columna6" dataDxfId="267">
      <calculatedColumnFormula>SUM(Tabla1343[[#This Row],[Columna1]:[Columna5]])</calculatedColumnFormula>
    </tableColumn>
    <tableColumn id="3" name="Cuantificacion " dataDxfId="266"/>
    <tableColumn id="10" name="Observaciones" dataDxfId="265" dataCellStyle="Moneda"/>
    <tableColumn id="7" name="Precio Unitario en Pesos /   €" dataDxfId="264" dataCellStyle="Moneda"/>
    <tableColumn id="6" name="Precio Total en Pesos" dataDxfId="263" dataCellStyle="Moneda">
      <calculatedColumnFormula>+Tabla134[[#This Row],[Precio Total en Pesos]]*H$3</calculatedColumnFormula>
    </tableColumn>
    <tableColumn id="5" name="Valor Alquiler CBA 3%" dataCellStyle="Moneda">
      <calculatedColumnFormula>+Tabla134[[#This Row],[Precio Total en Pesos]]*I$3*3%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4" name="Tabla1345" displayName="Tabla1345" ref="B4:I77" totalsRowCount="1" headerRowDxfId="262" totalsRowDxfId="259" headerRowBorderDxfId="261" tableBorderDxfId="260" totalsRowCellStyle="Moneda">
  <autoFilter ref="B4:I76"/>
  <sortState ref="B5:J144">
    <sortCondition ref="E4:E144"/>
  </sortState>
  <tableColumns count="8">
    <tableColumn id="1" name="Descripcion" dataDxfId="258" totalsRowDxfId="257"/>
    <tableColumn id="2" name="Cantidad" dataDxfId="256" totalsRowDxfId="255"/>
    <tableColumn id="11" name="Columna6" dataDxfId="254" totalsRowDxfId="253">
      <calculatedColumnFormula>SUM(Tabla1343[[#This Row],[Columna1]:[Columna5]])</calculatedColumnFormula>
    </tableColumn>
    <tableColumn id="3" name="Cuantificacion " dataDxfId="252" totalsRowDxfId="251"/>
    <tableColumn id="10" name="Observaciones" dataDxfId="250" totalsRowDxfId="249" dataCellStyle="Moneda"/>
    <tableColumn id="7" name="Precio Unitario en Pesos /   €" dataDxfId="248" totalsRowDxfId="247" dataCellStyle="Moneda"/>
    <tableColumn id="6" name="Precio Total en Pesos" dataDxfId="246" totalsRowDxfId="245" dataCellStyle="Moneda">
      <calculatedColumnFormula>+Tabla1345[[#This Row],[Precio Total en Pesos]]*H$3</calculatedColumnFormula>
    </tableColumn>
    <tableColumn id="5" name="Valor Alquiler CBA 3%" totalsRowFunction="custom" totalsRowDxfId="244" dataCellStyle="Moneda">
      <calculatedColumnFormula>+Tabla1345[[#This Row],[Precio Total en Pesos]]*I$3*3%</calculatedColumnFormula>
      <totalsRowFormula>SUM(I40:I76)</totalsRow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5" name="Tabla13456" displayName="Tabla13456" ref="B4:I145" totalsRowCount="1" headerRowDxfId="243" headerRowBorderDxfId="242" tableBorderDxfId="241">
  <autoFilter ref="B4:I144"/>
  <sortState ref="B5:J144">
    <sortCondition ref="E4:E144"/>
  </sortState>
  <tableColumns count="8">
    <tableColumn id="1" name="Descripcion" dataDxfId="240"/>
    <tableColumn id="2" name="Cantidad" dataDxfId="239"/>
    <tableColumn id="11" name="Columna6" dataDxfId="238">
      <calculatedColumnFormula>SUM(Tabla1343[[#This Row],[Columna1]:[Columna5]])</calculatedColumnFormula>
    </tableColumn>
    <tableColumn id="3" name="Cuantificacion " dataDxfId="237"/>
    <tableColumn id="10" name="Observaciones" dataDxfId="236" dataCellStyle="Moneda"/>
    <tableColumn id="7" name="Precio Unitario en Pesos /   €" dataDxfId="235" dataCellStyle="Moneda"/>
    <tableColumn id="6" name="Precio Total en Pesos" dataDxfId="234" dataCellStyle="Moneda">
      <calculatedColumnFormula>+Tabla13456[[#This Row],[Precio Total en Pesos]]*H$3</calculatedColumnFormula>
    </tableColumn>
    <tableColumn id="5" name="Valor Alquiler CBA 3%" totalsRowFunction="custom" dataDxfId="233" totalsRowDxfId="232" dataCellStyle="Moneda">
      <calculatedColumnFormula>+Tabla13456[[#This Row],[Precio Total en Pesos]]*I$3*3%</calculatedColumnFormula>
      <totalsRowFormula>SUM(I108:I144)</totalsRow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2" name="Tabla1343" displayName="Tabla1343" ref="B4:H146" totalsRowCount="1" headerRowDxfId="231" headerRowBorderDxfId="230" tableBorderDxfId="229">
  <autoFilter ref="B4:H145"/>
  <tableColumns count="7">
    <tableColumn id="1" name="Descripcion" dataDxfId="228" totalsRowDxfId="227"/>
    <tableColumn id="10" name="Columna1" dataDxfId="226" totalsRowDxfId="225"/>
    <tableColumn id="11" name="Columna2" dataDxfId="224" totalsRowDxfId="223"/>
    <tableColumn id="12" name="Columna3" dataDxfId="222" totalsRowDxfId="221"/>
    <tableColumn id="13" name="Columna4" dataDxfId="220" totalsRowDxfId="219"/>
    <tableColumn id="14" name="Columna5" dataDxfId="218" totalsRowDxfId="217"/>
    <tableColumn id="15" name="Columna6" dataDxfId="216" totalsRowDxfId="215">
      <calculatedColumnFormula>SUM(Tabla1343[[#This Row],[Columna1]:[Columna5]])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Tabla1347" displayName="Tabla1347" ref="B4:I146" totalsRowCount="1" headerRowDxfId="214" headerRowBorderDxfId="213" tableBorderDxfId="212">
  <autoFilter ref="B4:I145"/>
  <sortState ref="B5:J144">
    <sortCondition ref="E4:E144"/>
  </sortState>
  <tableColumns count="8">
    <tableColumn id="1" name="Descripcion" dataDxfId="211"/>
    <tableColumn id="2" name="Cantidad" dataDxfId="210"/>
    <tableColumn id="11" name="Columna6" dataDxfId="209">
      <calculatedColumnFormula>SUM(Tabla1343[[#This Row],[Columna1]:[Columna5]])</calculatedColumnFormula>
    </tableColumn>
    <tableColumn id="3" name="Cuantificacion " dataDxfId="208"/>
    <tableColumn id="10" name="Observaciones" dataDxfId="207" dataCellStyle="Moneda"/>
    <tableColumn id="7" name="Precio Unitario en Pesos /   €" dataDxfId="206" dataCellStyle="Moneda"/>
    <tableColumn id="6" name="Precio Total en Pesos" dataDxfId="205" totalsRowDxfId="204" dataCellStyle="Moneda">
      <calculatedColumnFormula>+Tabla1347[[#This Row],[Precio Total en Pesos]]*H$3</calculatedColumnFormula>
    </tableColumn>
    <tableColumn id="5" name="Valor Alquiler CBA 3%" totalsRowFunction="sum" totalsRowDxfId="203" dataCellStyle="Moneda">
      <calculatedColumnFormula>+Tabla1347[[#This Row],[Precio Total en Pesos]]*I$3*3%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9" name="Tabla9" displayName="Tabla9" ref="B150:I173" totalsRowShown="0" dataDxfId="201" headerRowBorderDxfId="202" tableBorderDxfId="200" dataCellStyle="Moneda">
  <autoFilter ref="B150:I173"/>
  <tableColumns count="8">
    <tableColumn id="1" name="Descripcion" dataDxfId="199"/>
    <tableColumn id="2" name="Cantidad" dataDxfId="198"/>
    <tableColumn id="3" name="Columna6" dataDxfId="197"/>
    <tableColumn id="4" name="Cuantificacion " dataDxfId="196"/>
    <tableColumn id="5" name="Observaciones" dataDxfId="195" dataCellStyle="Moneda"/>
    <tableColumn id="6" name="Precio Unitario en Pesos /   €" dataDxfId="194" dataCellStyle="Moneda"/>
    <tableColumn id="7" name="Precio Total en Pesos" dataDxfId="193" dataCellStyle="Moneda"/>
    <tableColumn id="8" name="Valor Alquiler CBA 3%" dataDxfId="192" dataCellStyle="Mone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Tabla13478" displayName="Tabla13478" ref="B3:I106" totalsRowCount="1" headerRowDxfId="191" headerRowBorderDxfId="190" tableBorderDxfId="189">
  <autoFilter ref="B3:I105"/>
  <sortState ref="B4:J105">
    <sortCondition ref="E3:E105"/>
  </sortState>
  <tableColumns count="8">
    <tableColumn id="1" name="Descripcion" dataDxfId="188"/>
    <tableColumn id="2" name="Cantidad" dataDxfId="187"/>
    <tableColumn id="11" name="Columna6" dataDxfId="186">
      <calculatedColumnFormula>SUM(Tabla1343[[#This Row],[Columna1]:[Columna5]])</calculatedColumnFormula>
    </tableColumn>
    <tableColumn id="3" name="Cuantificacion " dataDxfId="185"/>
    <tableColumn id="10" name="Observaciones" dataDxfId="184" dataCellStyle="Moneda"/>
    <tableColumn id="7" name="Precio Unitario en Pesos /   €" dataDxfId="183" dataCellStyle="Moneda"/>
    <tableColumn id="6" name="Precio Total en Pesos" dataDxfId="182" totalsRowDxfId="181" dataCellStyle="Moneda">
      <calculatedColumnFormula>+Tabla13478[[#This Row],[Precio Total en Pesos]]*H$2</calculatedColumnFormula>
    </tableColumn>
    <tableColumn id="5" name="Valor Alquiler CBA 3%" totalsRowFunction="sum" totalsRowDxfId="180" dataCellStyle="Moneda">
      <calculatedColumnFormula>+Tabla13478[[#This Row],[Precio Total en Pesos]]*I$2*3%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id="8" name="Tabla99" displayName="Tabla99" ref="B152:I175" totalsRowShown="0" dataDxfId="178" headerRowBorderDxfId="179" tableBorderDxfId="177" dataCellStyle="Moneda">
  <autoFilter ref="B152:I175"/>
  <tableColumns count="8">
    <tableColumn id="1" name="Descripcion" dataDxfId="176"/>
    <tableColumn id="2" name="Cantidad" dataDxfId="175"/>
    <tableColumn id="3" name="Columna6" dataDxfId="174"/>
    <tableColumn id="4" name="Cuantificacion " dataDxfId="173"/>
    <tableColumn id="5" name="Observaciones" dataDxfId="172" dataCellStyle="Moneda"/>
    <tableColumn id="6" name="Precio Unitario en Pesos /   €" dataDxfId="171" dataCellStyle="Moneda"/>
    <tableColumn id="7" name="Precio Total en Pesos" dataDxfId="170" dataCellStyle="Moneda"/>
    <tableColumn id="8" name="Valor Alquiler CBA 3%" dataDxfId="169" dataCellStyle="Moned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a10" displayName="Tabla10" ref="B108:I146" totalsRowShown="0" headerRowBorderDxfId="168" tableBorderDxfId="167">
  <autoFilter ref="B108:I146"/>
  <tableColumns count="8">
    <tableColumn id="1" name="Descripcion" dataDxfId="166"/>
    <tableColumn id="2" name="Cantidad" dataDxfId="165"/>
    <tableColumn id="3" name="Columna6" dataDxfId="164">
      <calculatedColumnFormula>SUM(Tabla1343[[#This Row],[Columna1]:[Columna5]])</calculatedColumnFormula>
    </tableColumn>
    <tableColumn id="4" name="Cuantificacion " dataDxfId="163"/>
    <tableColumn id="5" name="Observaciones" dataDxfId="162" dataCellStyle="Moneda"/>
    <tableColumn id="6" name="Precio Unitario en Pesos /   €" dataDxfId="161" dataCellStyle="Moneda"/>
    <tableColumn id="7" name="Precio Total en Pesos" dataDxfId="160" dataCellStyle="Moneda"/>
    <tableColumn id="8" name="Valor Alquiler CBA 3%" dataDxfId="159" dataCellStyle="Moned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a1347812" displayName="Tabla1347812" ref="B3:I106" totalsRowCount="1" headerRowDxfId="158" headerRowBorderDxfId="157" tableBorderDxfId="156">
  <autoFilter ref="B3:I105"/>
  <sortState ref="B4:J105">
    <sortCondition ref="E3:E105"/>
  </sortState>
  <tableColumns count="8">
    <tableColumn id="1" name="Descripcion" dataDxfId="155"/>
    <tableColumn id="2" name="Cantidad" dataDxfId="154"/>
    <tableColumn id="11" name="Columna6" dataDxfId="153">
      <calculatedColumnFormula>SUM(Tabla1343[[#This Row],[Columna1]:[Columna5]])</calculatedColumnFormula>
    </tableColumn>
    <tableColumn id="3" name="Cuantificacion " dataDxfId="152"/>
    <tableColumn id="10" name="Columna1" dataDxfId="151" dataCellStyle="Moneda"/>
    <tableColumn id="7" name="Precio Unitario en Pesos /   €" dataDxfId="150" dataCellStyle="Moneda"/>
    <tableColumn id="6" name="Precio Total en Pesos" dataDxfId="149" totalsRowDxfId="148" dataCellStyle="Moneda">
      <calculatedColumnFormula>+Tabla1347812[[#This Row],[Cantidad]]*Tabla1347812[[#This Row],[Precio Unitario en Pesos /   €]]</calculatedColumnFormula>
    </tableColumn>
    <tableColumn id="5" name="Valor Compra 50%" totalsRowFunction="sum" dataDxfId="147" totalsRowDxfId="146" dataCellStyle="Moneda">
      <calculatedColumnFormula>+Tabla1347812[[#This Row],[Precio Total en Pesos]]/2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id="12" name="Tabla9913" displayName="Tabla9913" ref="B153:G176" totalsRowShown="0" dataDxfId="144" headerRowBorderDxfId="145" tableBorderDxfId="143" dataCellStyle="Moneda">
  <autoFilter ref="B153:G176"/>
  <tableColumns count="6">
    <tableColumn id="1" name="Descripcion" dataDxfId="142"/>
    <tableColumn id="2" name="Cantidad" dataDxfId="141"/>
    <tableColumn id="3" name="Columna6" dataDxfId="140"/>
    <tableColumn id="4" name="Cuantificacion " dataDxfId="139"/>
    <tableColumn id="5" name="Columna1" dataDxfId="138" dataCellStyle="Moneda"/>
    <tableColumn id="6" name="Observaciones" dataDxfId="137" dataCellStyle="Mone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a1014" displayName="Tabla1014" ref="B109:I147" totalsRowShown="0" headerRowBorderDxfId="136" tableBorderDxfId="135">
  <autoFilter ref="B109:I147"/>
  <tableColumns count="8">
    <tableColumn id="1" name="Descripcion" dataDxfId="134"/>
    <tableColumn id="2" name="Cantidad" dataDxfId="133"/>
    <tableColumn id="3" name="Columna6" dataDxfId="132">
      <calculatedColumnFormula>SUM(Tabla1343[[#This Row],[Columna1]:[Columna5]])</calculatedColumnFormula>
    </tableColumn>
    <tableColumn id="4" name="Cuantificacion " dataDxfId="131"/>
    <tableColumn id="5" name="Observaciones" dataDxfId="130" dataCellStyle="Moneda"/>
    <tableColumn id="6" name="Precio Unitario en Pesos /   €" dataDxfId="129" dataCellStyle="Moneda"/>
    <tableColumn id="7" name="Precio Total en Pesos" dataDxfId="128" dataCellStyle="Moneda"/>
    <tableColumn id="8" name="Valor Compra 80%" dataDxfId="127" dataCellStyle="Moned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a134781215" displayName="Tabla134781215" ref="B3:I106" totalsRowCount="1" headerRowDxfId="126" headerRowBorderDxfId="125" tableBorderDxfId="124">
  <autoFilter ref="B3:I105"/>
  <sortState ref="B4:J105">
    <sortCondition ref="E3:E105"/>
  </sortState>
  <tableColumns count="8">
    <tableColumn id="1" name="Descripcion" dataDxfId="123"/>
    <tableColumn id="2" name="Cantidad" dataDxfId="122"/>
    <tableColumn id="11" name="Columna6" dataDxfId="121">
      <calculatedColumnFormula>SUM(Tabla1343[[#This Row],[Columna1]:[Columna5]])</calculatedColumnFormula>
    </tableColumn>
    <tableColumn id="3" name="Cuantificacion " dataDxfId="120"/>
    <tableColumn id="10" name="Columna1" dataDxfId="119" dataCellStyle="Moneda"/>
    <tableColumn id="7" name="Precio Unitario en Pesos" dataDxfId="118" dataCellStyle="Moneda"/>
    <tableColumn id="6" name="Precio Total en Pesos" dataDxfId="117" totalsRowDxfId="116" dataCellStyle="Moneda">
      <calculatedColumnFormula>+Tabla134781215[[#This Row],[Cantidad]]*Tabla134781215[[#This Row],[Precio Unitario en Pesos]]</calculatedColumnFormula>
    </tableColumn>
    <tableColumn id="5" name="Valor Compra 50%" totalsRowFunction="sum" dataDxfId="115" totalsRowDxfId="114" dataCellStyle="Moneda">
      <calculatedColumnFormula>+Tabla134781215[[#This Row],[Precio Total en Pesos]]/2</calculatedColumnFormula>
    </tableColumn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id="15" name="Tabla991316" displayName="Tabla991316" ref="B154:G177" totalsRowShown="0" dataDxfId="112" headerRowBorderDxfId="113" tableBorderDxfId="111" dataCellStyle="Moneda">
  <autoFilter ref="B154:G177"/>
  <tableColumns count="6">
    <tableColumn id="1" name="Descripcion" dataDxfId="110"/>
    <tableColumn id="2" name="Cantidad" dataDxfId="109"/>
    <tableColumn id="3" name="Columna6" dataDxfId="108"/>
    <tableColumn id="4" name="Cuantificacion " dataDxfId="107"/>
    <tableColumn id="5" name="Columna1" dataDxfId="106" dataCellStyle="Moneda"/>
    <tableColumn id="6" name="Observaciones" dataDxfId="105" dataCellStyle="Moned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7" name="Tabla101418" displayName="Tabla101418" ref="B110:I148" totalsRowShown="0" headerRowBorderDxfId="104" tableBorderDxfId="103">
  <autoFilter ref="B110:I148"/>
  <tableColumns count="8">
    <tableColumn id="1" name="Descripcion" dataDxfId="102"/>
    <tableColumn id="2" name="Cantidad" dataDxfId="101"/>
    <tableColumn id="3" name="Columna6" dataDxfId="100">
      <calculatedColumnFormula>SUM(Tabla1343[[#This Row],[Columna1]:[Columna5]])</calculatedColumnFormula>
    </tableColumn>
    <tableColumn id="4" name="Cuantificacion " dataDxfId="99"/>
    <tableColumn id="5" name="Observaciones" dataDxfId="98" dataCellStyle="Moneda"/>
    <tableColumn id="6" name="Precio Unitario en €" dataDxfId="97" dataCellStyle="Moneda"/>
    <tableColumn id="7" name="Precio Total en €" dataDxfId="96" dataCellStyle="Moneda"/>
    <tableColumn id="8" name="Valor Compra € 80%" dataDxfId="95" dataCellStyle="Moned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26" name="Tabla10141827" displayName="Tabla10141827" ref="B3:G41" totalsRowShown="0" headerRowBorderDxfId="94" tableBorderDxfId="93">
  <autoFilter ref="B3:G41"/>
  <tableColumns count="6">
    <tableColumn id="1" name="Descripcion" dataDxfId="92"/>
    <tableColumn id="2" name="Cantidad" dataDxfId="91"/>
    <tableColumn id="3" name="Precio Unitario en €" dataDxfId="90" dataCellStyle="Moneda"/>
    <tableColumn id="4" name="Precio Total en €" dataDxfId="89" dataCellStyle="Moneda">
      <calculatedColumnFormula>+Tabla10141827[[#This Row],[Precio Unitario en €]]*Tabla10141827[[#This Row],[Precio Total en €]]</calculatedColumnFormula>
    </tableColumn>
    <tableColumn id="5" name="Precio Uni Julio 2023 €" dataDxfId="88" dataCellStyle="Moneda">
      <calculatedColumnFormula>+Tabla10141827[[#This Row],[Precio Unitario en €]]*122%</calculatedColumnFormula>
    </tableColumn>
    <tableColumn id="6" name="Columna1" dataDxfId="87" dataCellStyle="Moneda">
      <calculatedColumnFormula>+Tabla10141827[[#This Row],[Cantidad]]*Tabla10141827[[#This Row],[Precio Uni Julio 2023 €]]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6" name="Tabla101417" displayName="Tabla101417" ref="B3:I31" totalsRowShown="0" headerRowBorderDxfId="86" tableBorderDxfId="85">
  <autoFilter ref="B3:I31"/>
  <tableColumns count="8">
    <tableColumn id="1" name="Descripcion" dataDxfId="84"/>
    <tableColumn id="2" name="Cantidad" dataDxfId="83"/>
    <tableColumn id="3" name="Columna6" dataDxfId="82">
      <calculatedColumnFormula>SUM(Tabla1343[[#This Row],[Columna1]:[Columna5]])</calculatedColumnFormula>
    </tableColumn>
    <tableColumn id="4" name="Cuantificacion " dataDxfId="81"/>
    <tableColumn id="5" name="Observaciones" dataDxfId="80" dataCellStyle="Moneda"/>
    <tableColumn id="6" name="Precio Unitario  €" dataDxfId="79" dataCellStyle="Moneda"/>
    <tableColumn id="7" name="Precio Total en Pesos" dataDxfId="78" dataCellStyle="Moneda"/>
    <tableColumn id="8" name="Valor Alquiler 9%" dataDxfId="77" dataCellStyle="Moned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20" name="Tabla20" displayName="Tabla20" ref="B4:F23" totalsRowShown="0" headerRowDxfId="76" dataDxfId="74" headerRowBorderDxfId="75" tableBorderDxfId="73" totalsRowBorderDxfId="72">
  <autoFilter ref="B4:F23"/>
  <tableColumns count="5">
    <tableColumn id="1" name="Descripcion" dataDxfId="71"/>
    <tableColumn id="2" name="Material Requerido" dataDxfId="70"/>
    <tableColumn id="5" name="Material Según Mensaje" dataDxfId="69"/>
    <tableColumn id="4" name="Material Contabilizado" dataDxfId="68"/>
    <tableColumn id="3" name="Observaciones" dataDxfId="67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id="23" name="Tabla2024" displayName="Tabla2024" ref="B4:I23" totalsRowShown="0" headerRowDxfId="66" dataDxfId="64" headerRowBorderDxfId="65" tableBorderDxfId="63" totalsRowBorderDxfId="62">
  <autoFilter ref="B4:I23"/>
  <tableColumns count="8">
    <tableColumn id="1" name="Descripcion" dataDxfId="61"/>
    <tableColumn id="2" name="Material Requerido" dataDxfId="60"/>
    <tableColumn id="5" name="Material Según Mensaje" dataDxfId="59"/>
    <tableColumn id="4" name="Material Contabilizado" dataDxfId="58"/>
    <tableColumn id="3" name="Observaciones" dataDxfId="57"/>
    <tableColumn id="6" name="Material debe Dos57" dataDxfId="56"/>
    <tableColumn id="7" name="Debe volver a BB" dataDxfId="55"/>
    <tableColumn id="8" name="Valor Alquiler 5%" dataDxfId="54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id="21" name="Tabla2022" displayName="Tabla2022" ref="B4:G23" totalsRowCount="1" headerRowDxfId="53" dataDxfId="51" headerRowBorderDxfId="52" tableBorderDxfId="50" totalsRowBorderDxfId="49">
  <autoFilter ref="B4:G22"/>
  <tableColumns count="6">
    <tableColumn id="1" name="Descripcion" totalsRowDxfId="48"/>
    <tableColumn id="2" name="Material Requerido" dataDxfId="47" totalsRowDxfId="46"/>
    <tableColumn id="6" name="Canje" dataDxfId="45" totalsRowDxfId="44">
      <calculatedColumnFormula>+Tabla2022[[#This Row],[Material Requerido]]/2</calculatedColumnFormula>
    </tableColumn>
    <tableColumn id="3" name="Valor Alq de Referencia €" dataDxfId="43" totalsRowDxfId="42" dataCellStyle="Moneda"/>
    <tableColumn id="4" name="Precio Total en Pesos" dataDxfId="41" totalsRowDxfId="40">
      <calculatedColumnFormula>+Tabla2022[[#This Row],[Canje]]*Tabla2022[[#This Row],[Valor Alq de Referencia €]]*G$3</calculatedColumnFormula>
    </tableColumn>
    <tableColumn id="5" name="Valor Alquiler 4%" totalsRowFunction="custom" totalsRowDxfId="39">
      <calculatedColumnFormula>+Tabla2022[[#This Row],[Precio Total en Pesos]]*4%</calculatedColumnFormula>
      <totalsRowFormula>SUM(G5:G22)</totalsRowFormula>
    </tableColumn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id="22" name="Tabla202223" displayName="Tabla202223" ref="B4:I23" totalsRowCount="1" headerRowDxfId="38" dataDxfId="36" headerRowBorderDxfId="37" tableBorderDxfId="35" totalsRowBorderDxfId="34">
  <autoFilter ref="B4:I22"/>
  <tableColumns count="8">
    <tableColumn id="1" name="Descripcion" totalsRowDxfId="33"/>
    <tableColumn id="7" name="Columna1" dataDxfId="32" totalsRowDxfId="31"/>
    <tableColumn id="8" name="Columna2" dataDxfId="30" totalsRowDxfId="29"/>
    <tableColumn id="2" name="Material Requerido" dataDxfId="28" totalsRowDxfId="27"/>
    <tableColumn id="6" name="Canje" dataDxfId="26" totalsRowDxfId="25">
      <calculatedColumnFormula>+Tabla202223[[#This Row],[Material Requerido]]/2</calculatedColumnFormula>
    </tableColumn>
    <tableColumn id="3" name="Valor Alq de Referencia €" dataDxfId="24" totalsRowDxfId="23" dataCellStyle="Moneda"/>
    <tableColumn id="4" name="Precio Total en Pesos" dataDxfId="22" totalsRowDxfId="21">
      <calculatedColumnFormula>+Tabla202223[[#This Row],[Canje]]*Tabla202223[[#This Row],[Valor Alq de Referencia €]]*I$3</calculatedColumnFormula>
    </tableColumn>
    <tableColumn id="5" name="Valor Alquiler 4%" totalsRowFunction="custom" totalsRowDxfId="20">
      <calculatedColumnFormula>+Tabla202223[[#This Row],[Precio Total en Pesos]]*4%</calculatedColumnFormula>
      <totalsRowFormula>SUM(I5:I22)</totalsRowFormula>
    </tableColumn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id="18" name="Tabla10141719" displayName="Tabla10141719" ref="B3:I13" totalsRowShown="0" headerRowBorderDxfId="19" tableBorderDxfId="18">
  <autoFilter ref="B3:I13"/>
  <tableColumns count="8">
    <tableColumn id="1" name="Descripcion" dataDxfId="17"/>
    <tableColumn id="2" name="Cantidad" dataDxfId="16"/>
    <tableColumn id="3" name="Columna6" dataDxfId="15">
      <calculatedColumnFormula>SUM(Tabla1343[[#This Row],[Columna1]:[Columna5]])</calculatedColumnFormula>
    </tableColumn>
    <tableColumn id="4" name="Cuantificacion " dataDxfId="14"/>
    <tableColumn id="5" name="Observaciones" dataDxfId="13" dataCellStyle="Moneda"/>
    <tableColumn id="6" name="Precio Unitario  €" dataDxfId="12" dataCellStyle="Moneda"/>
    <tableColumn id="7" name="Precio Total en Pesos" dataDxfId="11" dataCellStyle="Moneda"/>
    <tableColumn id="8" name="Valor Alquiler 5%" dataDxfId="10" dataCellStyle="Moneda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19" name="Tabla10141720" displayName="Tabla10141720" ref="B3:I10" totalsRowShown="0" headerRowBorderDxfId="9" tableBorderDxfId="8">
  <autoFilter ref="B3:I10"/>
  <tableColumns count="8">
    <tableColumn id="1" name="Descripcion" dataDxfId="7"/>
    <tableColumn id="2" name="Cantidad" dataDxfId="6"/>
    <tableColumn id="3" name="Columna6" dataDxfId="5">
      <calculatedColumnFormula>SUM(Tabla1343[[#This Row],[Columna1]:[Columna5]])</calculatedColumnFormula>
    </tableColumn>
    <tableColumn id="4" name="Cuantificacion " dataDxfId="4"/>
    <tableColumn id="5" name="Observaciones" dataDxfId="3" dataCellStyle="Moneda"/>
    <tableColumn id="6" name="Precio Unitario  €" dataDxfId="2" dataCellStyle="Moneda"/>
    <tableColumn id="7" name="Precio Total en Pesos" dataDxfId="1" dataCellStyle="Moneda"/>
    <tableColumn id="8" name="Valor Alquiler 4%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1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J22"/>
  <sheetViews>
    <sheetView topLeftCell="A10" workbookViewId="0">
      <selection activeCell="E8" sqref="E8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9" width="18.6640625" customWidth="1"/>
    <col min="10" max="10" width="19.6640625" customWidth="1"/>
    <col min="11" max="11" width="18.6640625" customWidth="1"/>
  </cols>
  <sheetData>
    <row r="1" spans="2:10" ht="15" thickBot="1" x14ac:dyDescent="0.35"/>
    <row r="2" spans="2:10" ht="27" customHeight="1" thickBot="1" x14ac:dyDescent="0.35">
      <c r="B2" s="402" t="s">
        <v>35</v>
      </c>
      <c r="C2" s="403"/>
      <c r="D2" s="403"/>
      <c r="E2" s="403"/>
      <c r="F2" s="403"/>
      <c r="G2" s="403"/>
      <c r="H2" s="403"/>
      <c r="I2" s="403"/>
      <c r="J2" s="404"/>
    </row>
    <row r="3" spans="2:10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22</v>
      </c>
      <c r="G3" s="15" t="s">
        <v>23</v>
      </c>
      <c r="H3" s="16" t="s">
        <v>3</v>
      </c>
      <c r="I3" s="15" t="s">
        <v>4</v>
      </c>
      <c r="J3" s="17" t="s">
        <v>5</v>
      </c>
    </row>
    <row r="4" spans="2:10" ht="20.100000000000001" customHeight="1" x14ac:dyDescent="0.3">
      <c r="B4" s="9" t="s">
        <v>6</v>
      </c>
      <c r="C4" s="10">
        <v>600</v>
      </c>
      <c r="D4" s="11">
        <v>52.62</v>
      </c>
      <c r="E4" s="7">
        <v>120.5</v>
      </c>
      <c r="F4" s="12">
        <f>+D4*E4</f>
        <v>6340.71</v>
      </c>
      <c r="G4" s="13">
        <f>+C4*F4</f>
        <v>3804426</v>
      </c>
      <c r="H4" s="22">
        <f>+G4*3.5%</f>
        <v>133154.91</v>
      </c>
      <c r="I4" s="12">
        <v>0</v>
      </c>
      <c r="J4" s="22">
        <f>G4*3%</f>
        <v>114132.78</v>
      </c>
    </row>
    <row r="5" spans="2:10" ht="20.100000000000001" customHeight="1" x14ac:dyDescent="0.3">
      <c r="B5" s="3" t="s">
        <v>7</v>
      </c>
      <c r="C5" s="4">
        <v>360</v>
      </c>
      <c r="D5" s="5">
        <v>62.78</v>
      </c>
      <c r="E5" s="7">
        <v>120.5</v>
      </c>
      <c r="F5" s="6">
        <f t="shared" ref="F5:F8" si="0">+D5*E5</f>
        <v>7564.99</v>
      </c>
      <c r="G5" s="13">
        <f t="shared" ref="G5:G15" si="1">+C5*F5</f>
        <v>2723396.4</v>
      </c>
      <c r="H5" s="22">
        <f t="shared" ref="H5:H15" si="2">+G5*3.5%</f>
        <v>95318.874000000011</v>
      </c>
      <c r="I5" s="6">
        <v>0</v>
      </c>
      <c r="J5" s="22">
        <f t="shared" ref="J5:J15" si="3">G5*3%</f>
        <v>81701.891999999993</v>
      </c>
    </row>
    <row r="6" spans="2:10" ht="20.100000000000001" customHeight="1" x14ac:dyDescent="0.3">
      <c r="B6" s="3" t="s">
        <v>11</v>
      </c>
      <c r="C6" s="4">
        <v>500</v>
      </c>
      <c r="D6" s="5">
        <v>61.35</v>
      </c>
      <c r="E6" s="7">
        <v>120.5</v>
      </c>
      <c r="F6" s="6">
        <f t="shared" si="0"/>
        <v>7392.6750000000002</v>
      </c>
      <c r="G6" s="13">
        <f t="shared" si="1"/>
        <v>3696337.5</v>
      </c>
      <c r="H6" s="22">
        <f t="shared" si="2"/>
        <v>129371.81250000001</v>
      </c>
      <c r="I6" s="6">
        <v>0</v>
      </c>
      <c r="J6" s="22">
        <f t="shared" si="3"/>
        <v>110890.125</v>
      </c>
    </row>
    <row r="7" spans="2:10" ht="20.100000000000001" customHeight="1" x14ac:dyDescent="0.3">
      <c r="B7" s="3" t="s">
        <v>10</v>
      </c>
      <c r="C7" s="4">
        <v>200</v>
      </c>
      <c r="D7" s="5">
        <v>23.17</v>
      </c>
      <c r="E7" s="7">
        <v>120.5</v>
      </c>
      <c r="F7" s="6">
        <f>+D7*E7</f>
        <v>2791.9850000000001</v>
      </c>
      <c r="G7" s="13">
        <f>+C7*F7</f>
        <v>558397</v>
      </c>
      <c r="H7" s="22">
        <f t="shared" si="2"/>
        <v>19543.895</v>
      </c>
      <c r="I7" s="6">
        <v>0</v>
      </c>
      <c r="J7" s="22">
        <f>G7*3%</f>
        <v>16751.91</v>
      </c>
    </row>
    <row r="8" spans="2:10" ht="20.100000000000001" customHeight="1" x14ac:dyDescent="0.3">
      <c r="B8" s="3" t="s">
        <v>9</v>
      </c>
      <c r="C8" s="4">
        <v>100</v>
      </c>
      <c r="D8" s="5">
        <v>121.26</v>
      </c>
      <c r="E8" s="7">
        <v>120.5</v>
      </c>
      <c r="F8" s="6">
        <f t="shared" si="0"/>
        <v>14611.83</v>
      </c>
      <c r="G8" s="13">
        <f t="shared" si="1"/>
        <v>1461183</v>
      </c>
      <c r="H8" s="22">
        <f t="shared" si="2"/>
        <v>51141.405000000006</v>
      </c>
      <c r="I8" s="6">
        <v>0</v>
      </c>
      <c r="J8" s="22">
        <f t="shared" si="3"/>
        <v>43835.49</v>
      </c>
    </row>
    <row r="9" spans="2:10" ht="20.100000000000001" customHeight="1" x14ac:dyDescent="0.3">
      <c r="B9" s="3" t="s">
        <v>12</v>
      </c>
      <c r="C9" s="4">
        <v>50</v>
      </c>
      <c r="D9" s="5">
        <f>+F9/114.5</f>
        <v>97.787860262008721</v>
      </c>
      <c r="E9" s="7">
        <v>120.5</v>
      </c>
      <c r="F9" s="6">
        <v>11196.71</v>
      </c>
      <c r="G9" s="13">
        <f t="shared" si="1"/>
        <v>559835.5</v>
      </c>
      <c r="H9" s="22">
        <f t="shared" si="2"/>
        <v>19594.2425</v>
      </c>
      <c r="I9" s="6">
        <v>0</v>
      </c>
      <c r="J9" s="22">
        <f t="shared" si="3"/>
        <v>16795.064999999999</v>
      </c>
    </row>
    <row r="10" spans="2:10" ht="20.100000000000001" customHeight="1" x14ac:dyDescent="0.3">
      <c r="B10" s="3" t="s">
        <v>68</v>
      </c>
      <c r="C10" s="4">
        <v>200</v>
      </c>
      <c r="D10" s="11" t="s">
        <v>20</v>
      </c>
      <c r="E10" s="7">
        <v>0</v>
      </c>
      <c r="F10" s="6">
        <v>2000</v>
      </c>
      <c r="G10" s="13">
        <f t="shared" si="1"/>
        <v>400000</v>
      </c>
      <c r="H10" s="22">
        <f t="shared" si="2"/>
        <v>14000.000000000002</v>
      </c>
      <c r="I10" s="6">
        <v>0</v>
      </c>
      <c r="J10" s="22">
        <f t="shared" si="3"/>
        <v>12000</v>
      </c>
    </row>
    <row r="11" spans="2:10" ht="20.100000000000001" customHeight="1" x14ac:dyDescent="0.3">
      <c r="B11" s="3" t="s">
        <v>239</v>
      </c>
      <c r="C11" s="4">
        <v>50</v>
      </c>
      <c r="D11" s="5">
        <v>27.46</v>
      </c>
      <c r="E11" s="7">
        <v>120.5</v>
      </c>
      <c r="F11" s="6">
        <f t="shared" ref="F11:F15" si="4">+D11*E11</f>
        <v>3308.9300000000003</v>
      </c>
      <c r="G11" s="13">
        <f t="shared" si="1"/>
        <v>165446.5</v>
      </c>
      <c r="H11" s="22">
        <f t="shared" si="2"/>
        <v>5790.6275000000005</v>
      </c>
      <c r="I11" s="6">
        <v>0</v>
      </c>
      <c r="J11" s="22">
        <f t="shared" si="3"/>
        <v>4963.3949999999995</v>
      </c>
    </row>
    <row r="12" spans="2:10" ht="20.100000000000001" customHeight="1" x14ac:dyDescent="0.3">
      <c r="B12" s="3" t="s">
        <v>240</v>
      </c>
      <c r="C12" s="4">
        <v>50</v>
      </c>
      <c r="D12" s="5">
        <v>29.6</v>
      </c>
      <c r="E12" s="7">
        <v>120.5</v>
      </c>
      <c r="F12" s="6">
        <f t="shared" si="4"/>
        <v>3566.8</v>
      </c>
      <c r="G12" s="13">
        <f t="shared" si="1"/>
        <v>178340</v>
      </c>
      <c r="H12" s="22">
        <f t="shared" si="2"/>
        <v>6241.9000000000005</v>
      </c>
      <c r="I12" s="6">
        <v>0</v>
      </c>
      <c r="J12" s="22">
        <f t="shared" si="3"/>
        <v>5350.2</v>
      </c>
    </row>
    <row r="13" spans="2:10" ht="20.100000000000001" customHeight="1" x14ac:dyDescent="0.3">
      <c r="B13" s="3" t="s">
        <v>251</v>
      </c>
      <c r="C13" s="4">
        <v>50</v>
      </c>
      <c r="D13" s="11" t="s">
        <v>20</v>
      </c>
      <c r="E13" s="7">
        <v>0</v>
      </c>
      <c r="F13" s="6">
        <v>2800</v>
      </c>
      <c r="G13" s="13">
        <f t="shared" si="1"/>
        <v>140000</v>
      </c>
      <c r="H13" s="22">
        <f t="shared" si="2"/>
        <v>4900.0000000000009</v>
      </c>
      <c r="I13" s="6">
        <v>0</v>
      </c>
      <c r="J13" s="22">
        <f t="shared" si="3"/>
        <v>4200</v>
      </c>
    </row>
    <row r="14" spans="2:10" ht="20.100000000000001" customHeight="1" x14ac:dyDescent="0.3">
      <c r="B14" s="3" t="s">
        <v>15</v>
      </c>
      <c r="C14" s="4">
        <v>200</v>
      </c>
      <c r="D14" s="11" t="s">
        <v>20</v>
      </c>
      <c r="E14" s="7">
        <v>0</v>
      </c>
      <c r="F14" s="6">
        <v>3600</v>
      </c>
      <c r="G14" s="13">
        <f t="shared" si="1"/>
        <v>720000</v>
      </c>
      <c r="H14" s="22">
        <f t="shared" si="2"/>
        <v>25200.000000000004</v>
      </c>
      <c r="I14" s="6">
        <v>0</v>
      </c>
      <c r="J14" s="22">
        <f t="shared" si="3"/>
        <v>21600</v>
      </c>
    </row>
    <row r="15" spans="2:10" ht="20.100000000000001" customHeight="1" x14ac:dyDescent="0.3">
      <c r="B15" s="3" t="s">
        <v>16</v>
      </c>
      <c r="C15" s="4">
        <v>4</v>
      </c>
      <c r="D15" s="11">
        <v>100</v>
      </c>
      <c r="E15" s="7">
        <v>120.5</v>
      </c>
      <c r="F15" s="6">
        <f t="shared" si="4"/>
        <v>12050</v>
      </c>
      <c r="G15" s="13">
        <f t="shared" si="1"/>
        <v>48200</v>
      </c>
      <c r="H15" s="22">
        <f t="shared" si="2"/>
        <v>1687.0000000000002</v>
      </c>
      <c r="I15" s="6">
        <v>0</v>
      </c>
      <c r="J15" s="22">
        <f t="shared" si="3"/>
        <v>1446</v>
      </c>
    </row>
    <row r="16" spans="2:10" ht="28.5" customHeight="1" thickBot="1" x14ac:dyDescent="0.35">
      <c r="B16" s="26" t="s">
        <v>19</v>
      </c>
      <c r="C16" s="26"/>
      <c r="D16" s="27"/>
      <c r="E16" s="28"/>
      <c r="F16" s="29"/>
      <c r="G16" s="30"/>
      <c r="H16" s="29">
        <f>SUM(H4:H15)</f>
        <v>505944.66650000011</v>
      </c>
      <c r="I16" s="28"/>
      <c r="J16" s="29">
        <f>SUM(J4:J15)</f>
        <v>433666.85700000002</v>
      </c>
    </row>
    <row r="17" spans="2:10" s="25" customFormat="1" ht="25.5" customHeight="1" thickBot="1" x14ac:dyDescent="0.35">
      <c r="B17" s="31" t="s">
        <v>56</v>
      </c>
      <c r="C17" s="405" t="s">
        <v>59</v>
      </c>
      <c r="D17" s="405"/>
      <c r="E17" s="405"/>
      <c r="F17" s="405"/>
      <c r="G17" s="405"/>
      <c r="H17" s="405"/>
      <c r="I17" s="405"/>
      <c r="J17" s="406"/>
    </row>
    <row r="18" spans="2:10" ht="20.100000000000001" customHeight="1" x14ac:dyDescent="0.3"/>
    <row r="19" spans="2:10" s="1" customFormat="1" ht="25.95" customHeight="1" x14ac:dyDescent="0.3">
      <c r="B19" s="72" t="s">
        <v>285</v>
      </c>
    </row>
    <row r="20" spans="2:10" s="1" customFormat="1" ht="25.95" customHeight="1" x14ac:dyDescent="0.3">
      <c r="B20" s="1" t="s">
        <v>83</v>
      </c>
      <c r="C20" s="1">
        <v>200</v>
      </c>
      <c r="D20" s="79">
        <v>16.3</v>
      </c>
    </row>
    <row r="21" spans="2:10" s="1" customFormat="1" ht="27.6" customHeight="1" x14ac:dyDescent="0.3">
      <c r="B21" s="1" t="s">
        <v>284</v>
      </c>
      <c r="C21" s="1">
        <v>4</v>
      </c>
      <c r="D21" s="79"/>
    </row>
    <row r="22" spans="2:10" ht="27" customHeight="1" x14ac:dyDescent="0.3">
      <c r="B22" s="1" t="s">
        <v>60</v>
      </c>
      <c r="C22" s="1">
        <v>6</v>
      </c>
      <c r="D22" s="79"/>
    </row>
  </sheetData>
  <mergeCells count="2">
    <mergeCell ref="B2:J2"/>
    <mergeCell ref="C17:J17"/>
  </mergeCells>
  <pageMargins left="0.11811023622047245" right="0.11811023622047245" top="0.19685039370078741" bottom="0.19685039370078741" header="0.31496062992125984" footer="0.31496062992125984"/>
  <pageSetup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J9"/>
  <sheetViews>
    <sheetView workbookViewId="0">
      <selection activeCell="C5" sqref="C5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8" width="18.6640625" customWidth="1"/>
  </cols>
  <sheetData>
    <row r="1" spans="2:10" ht="15" thickBot="1" x14ac:dyDescent="0.35"/>
    <row r="2" spans="2:10" ht="27" customHeight="1" thickBot="1" x14ac:dyDescent="0.35">
      <c r="B2" s="402" t="s">
        <v>53</v>
      </c>
      <c r="C2" s="403"/>
      <c r="D2" s="403"/>
      <c r="E2" s="403"/>
      <c r="F2" s="403"/>
      <c r="G2" s="404"/>
    </row>
    <row r="3" spans="2:10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22</v>
      </c>
      <c r="G3" s="17" t="s">
        <v>23</v>
      </c>
    </row>
    <row r="4" spans="2:10" ht="20.100000000000001" customHeight="1" x14ac:dyDescent="0.3">
      <c r="B4" s="75" t="s">
        <v>54</v>
      </c>
      <c r="C4" s="10">
        <v>200</v>
      </c>
      <c r="D4" s="11"/>
      <c r="E4" s="7">
        <v>120.5</v>
      </c>
      <c r="F4" s="12">
        <v>680</v>
      </c>
      <c r="G4" s="76">
        <f>+C4*F4</f>
        <v>136000</v>
      </c>
    </row>
    <row r="5" spans="2:10" ht="20.100000000000001" customHeight="1" x14ac:dyDescent="0.3">
      <c r="B5" s="75" t="s">
        <v>55</v>
      </c>
      <c r="C5" s="10">
        <v>50</v>
      </c>
      <c r="D5" s="11"/>
      <c r="E5" s="7">
        <v>120.5</v>
      </c>
      <c r="F5" s="12">
        <v>680</v>
      </c>
      <c r="G5" s="76">
        <f>+C5*F5</f>
        <v>34000</v>
      </c>
    </row>
    <row r="6" spans="2:10" ht="28.5" customHeight="1" thickBot="1" x14ac:dyDescent="0.35">
      <c r="B6" s="77" t="s">
        <v>19</v>
      </c>
      <c r="C6" s="8"/>
      <c r="D6" s="18"/>
      <c r="E6" s="19"/>
      <c r="F6" s="20"/>
      <c r="G6" s="78">
        <f>SUM(G4:G5)</f>
        <v>170000</v>
      </c>
    </row>
    <row r="7" spans="2:10" s="25" customFormat="1" ht="35.25" customHeight="1" thickBot="1" x14ac:dyDescent="0.35">
      <c r="B7" s="31" t="s">
        <v>56</v>
      </c>
      <c r="C7" s="407" t="s">
        <v>57</v>
      </c>
      <c r="D7" s="407"/>
      <c r="E7" s="407"/>
      <c r="F7" s="407"/>
      <c r="G7" s="408"/>
      <c r="H7"/>
      <c r="I7"/>
      <c r="J7"/>
    </row>
    <row r="8" spans="2:10" s="2" customFormat="1" ht="20.100000000000001" customHeight="1" x14ac:dyDescent="0.3">
      <c r="C8" s="1"/>
      <c r="D8"/>
      <c r="E8"/>
      <c r="F8"/>
      <c r="G8"/>
      <c r="H8"/>
      <c r="I8"/>
      <c r="J8"/>
    </row>
    <row r="9" spans="2:10" s="2" customFormat="1" ht="20.100000000000001" customHeight="1" x14ac:dyDescent="0.3">
      <c r="C9" s="1"/>
      <c r="D9"/>
      <c r="E9"/>
      <c r="F9"/>
      <c r="G9"/>
      <c r="H9"/>
      <c r="I9"/>
      <c r="J9"/>
    </row>
  </sheetData>
  <mergeCells count="2">
    <mergeCell ref="B2:G2"/>
    <mergeCell ref="C7:G7"/>
  </mergeCells>
  <pageMargins left="0.70866141732283472" right="0.70866141732283472" top="0.74803149606299213" bottom="0.74803149606299213" header="0.31496062992125984" footer="0.31496062992125984"/>
  <pageSetup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J15"/>
  <sheetViews>
    <sheetView zoomScaleNormal="100" workbookViewId="0">
      <selection activeCell="C13" sqref="C13:J13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8" width="18.6640625" customWidth="1"/>
    <col min="9" max="9" width="18.88671875" customWidth="1"/>
    <col min="10" max="10" width="19.6640625" customWidth="1"/>
    <col min="11" max="11" width="18.6640625" customWidth="1"/>
  </cols>
  <sheetData>
    <row r="1" spans="2:10" ht="15" thickBot="1" x14ac:dyDescent="0.35"/>
    <row r="2" spans="2:10" ht="27" customHeight="1" thickBot="1" x14ac:dyDescent="0.35">
      <c r="B2" s="402" t="s">
        <v>36</v>
      </c>
      <c r="C2" s="403"/>
      <c r="D2" s="403"/>
      <c r="E2" s="403"/>
      <c r="F2" s="403"/>
      <c r="G2" s="403"/>
      <c r="H2" s="403"/>
      <c r="I2" s="403"/>
      <c r="J2" s="404"/>
    </row>
    <row r="3" spans="2:10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22</v>
      </c>
      <c r="G3" s="15" t="s">
        <v>23</v>
      </c>
      <c r="H3" s="16" t="s">
        <v>3</v>
      </c>
      <c r="I3" s="15" t="s">
        <v>4</v>
      </c>
      <c r="J3" s="17" t="s">
        <v>5</v>
      </c>
    </row>
    <row r="4" spans="2:10" ht="20.100000000000001" customHeight="1" x14ac:dyDescent="0.3">
      <c r="B4" s="9" t="s">
        <v>24</v>
      </c>
      <c r="C4" s="10">
        <v>34</v>
      </c>
      <c r="D4" s="11">
        <v>35.18</v>
      </c>
      <c r="E4" s="7">
        <v>120.5</v>
      </c>
      <c r="F4" s="12">
        <f>+D4*E4</f>
        <v>4239.1899999999996</v>
      </c>
      <c r="G4" s="13">
        <f>+C4*F4</f>
        <v>144132.46</v>
      </c>
      <c r="H4" s="22">
        <f>+G4*3.5%</f>
        <v>5044.6361000000006</v>
      </c>
      <c r="I4" s="12"/>
      <c r="J4" s="22">
        <f>G4*3%</f>
        <v>4323.9737999999998</v>
      </c>
    </row>
    <row r="5" spans="2:10" ht="20.100000000000001" customHeight="1" x14ac:dyDescent="0.3">
      <c r="B5" s="9" t="s">
        <v>25</v>
      </c>
      <c r="C5" s="10">
        <v>15</v>
      </c>
      <c r="D5" s="11">
        <v>50.05</v>
      </c>
      <c r="E5" s="7">
        <v>120.5</v>
      </c>
      <c r="F5" s="12">
        <f t="shared" ref="F5:F7" si="0">+D5*E5</f>
        <v>6031.0249999999996</v>
      </c>
      <c r="G5" s="13">
        <f t="shared" ref="G5:G11" si="1">+C5*F5</f>
        <v>90465.375</v>
      </c>
      <c r="H5" s="22">
        <f t="shared" ref="H5:H11" si="2">+G5*3.5%</f>
        <v>3166.2881250000005</v>
      </c>
      <c r="I5" s="12"/>
      <c r="J5" s="22">
        <f t="shared" ref="J5:J10" si="3">G5*3%</f>
        <v>2713.9612499999998</v>
      </c>
    </row>
    <row r="6" spans="2:10" ht="20.100000000000001" customHeight="1" x14ac:dyDescent="0.3">
      <c r="B6" s="9" t="s">
        <v>6</v>
      </c>
      <c r="C6" s="10">
        <v>901</v>
      </c>
      <c r="D6" s="11">
        <v>52.62</v>
      </c>
      <c r="E6" s="7">
        <v>120.5</v>
      </c>
      <c r="F6" s="12">
        <f t="shared" si="0"/>
        <v>6340.71</v>
      </c>
      <c r="G6" s="13">
        <f t="shared" si="1"/>
        <v>5712979.71</v>
      </c>
      <c r="H6" s="22">
        <f t="shared" si="2"/>
        <v>199954.28985000003</v>
      </c>
      <c r="I6" s="12"/>
      <c r="J6" s="22">
        <f t="shared" si="3"/>
        <v>171389.39129999999</v>
      </c>
    </row>
    <row r="7" spans="2:10" ht="20.100000000000001" customHeight="1" x14ac:dyDescent="0.3">
      <c r="B7" s="9" t="s">
        <v>26</v>
      </c>
      <c r="C7" s="10">
        <v>40</v>
      </c>
      <c r="D7" s="11">
        <v>78</v>
      </c>
      <c r="E7" s="7">
        <v>120.5</v>
      </c>
      <c r="F7" s="12">
        <f t="shared" si="0"/>
        <v>9399</v>
      </c>
      <c r="G7" s="13">
        <f t="shared" si="1"/>
        <v>375960</v>
      </c>
      <c r="H7" s="22">
        <f t="shared" si="2"/>
        <v>13158.6</v>
      </c>
      <c r="I7" s="12"/>
      <c r="J7" s="22">
        <f t="shared" si="3"/>
        <v>11278.8</v>
      </c>
    </row>
    <row r="8" spans="2:10" ht="20.100000000000001" customHeight="1" x14ac:dyDescent="0.3">
      <c r="B8" s="3" t="s">
        <v>68</v>
      </c>
      <c r="C8" s="4">
        <v>364</v>
      </c>
      <c r="D8" s="11" t="s">
        <v>20</v>
      </c>
      <c r="E8" s="11" t="s">
        <v>20</v>
      </c>
      <c r="F8" s="6">
        <v>2000</v>
      </c>
      <c r="G8" s="13">
        <f>+C8*F8</f>
        <v>728000</v>
      </c>
      <c r="H8" s="22">
        <f t="shared" si="2"/>
        <v>25480.000000000004</v>
      </c>
      <c r="I8" s="6"/>
      <c r="J8" s="22">
        <f t="shared" si="3"/>
        <v>21840</v>
      </c>
    </row>
    <row r="9" spans="2:10" ht="20.100000000000001" customHeight="1" x14ac:dyDescent="0.3">
      <c r="B9" s="3" t="s">
        <v>15</v>
      </c>
      <c r="C9" s="4">
        <v>36</v>
      </c>
      <c r="D9" s="11" t="s">
        <v>20</v>
      </c>
      <c r="E9" s="11" t="s">
        <v>20</v>
      </c>
      <c r="F9" s="6">
        <v>3600</v>
      </c>
      <c r="G9" s="13">
        <f t="shared" si="1"/>
        <v>129600</v>
      </c>
      <c r="H9" s="22">
        <f t="shared" si="2"/>
        <v>4536</v>
      </c>
      <c r="I9" s="6"/>
      <c r="J9" s="22">
        <f t="shared" si="3"/>
        <v>3888</v>
      </c>
    </row>
    <row r="10" spans="2:10" ht="20.100000000000001" customHeight="1" x14ac:dyDescent="0.3">
      <c r="B10" s="3" t="s">
        <v>27</v>
      </c>
      <c r="C10" s="4">
        <v>130</v>
      </c>
      <c r="D10" s="11" t="s">
        <v>20</v>
      </c>
      <c r="E10" s="11" t="s">
        <v>20</v>
      </c>
      <c r="F10" s="6">
        <v>100</v>
      </c>
      <c r="G10" s="13">
        <f t="shared" si="1"/>
        <v>13000</v>
      </c>
      <c r="H10" s="22">
        <f t="shared" si="2"/>
        <v>455.00000000000006</v>
      </c>
      <c r="I10" s="6"/>
      <c r="J10" s="22">
        <f t="shared" si="3"/>
        <v>390</v>
      </c>
    </row>
    <row r="11" spans="2:10" ht="20.100000000000001" customHeight="1" x14ac:dyDescent="0.3">
      <c r="B11" s="3" t="s">
        <v>114</v>
      </c>
      <c r="C11" s="4">
        <v>20</v>
      </c>
      <c r="D11" s="11" t="s">
        <v>20</v>
      </c>
      <c r="E11" s="11" t="s">
        <v>20</v>
      </c>
      <c r="F11" s="6">
        <v>10000</v>
      </c>
      <c r="G11" s="13">
        <f t="shared" si="1"/>
        <v>200000</v>
      </c>
      <c r="H11" s="22">
        <f t="shared" si="2"/>
        <v>7000.0000000000009</v>
      </c>
      <c r="I11" s="6"/>
      <c r="J11" s="22">
        <f>G11*3%</f>
        <v>6000</v>
      </c>
    </row>
    <row r="12" spans="2:10" ht="28.5" customHeight="1" thickBot="1" x14ac:dyDescent="0.35">
      <c r="B12" s="8" t="s">
        <v>19</v>
      </c>
      <c r="C12" s="8"/>
      <c r="D12" s="18"/>
      <c r="E12" s="19"/>
      <c r="F12" s="20"/>
      <c r="G12" s="21"/>
      <c r="H12" s="20">
        <f>SUM(H4:H11)</f>
        <v>258794.81407500003</v>
      </c>
      <c r="I12" s="20"/>
      <c r="J12" s="20">
        <f>SUM(J4:J11)</f>
        <v>221824.12634999998</v>
      </c>
    </row>
    <row r="13" spans="2:10" s="25" customFormat="1" ht="25.5" customHeight="1" thickBot="1" x14ac:dyDescent="0.35">
      <c r="B13" s="31" t="s">
        <v>56</v>
      </c>
      <c r="C13" s="405" t="s">
        <v>59</v>
      </c>
      <c r="D13" s="405"/>
      <c r="E13" s="405"/>
      <c r="F13" s="405"/>
      <c r="G13" s="405"/>
      <c r="H13" s="405"/>
      <c r="I13" s="405"/>
      <c r="J13" s="406"/>
    </row>
    <row r="14" spans="2:10" ht="20.100000000000001" customHeight="1" x14ac:dyDescent="0.3"/>
    <row r="15" spans="2:10" ht="20.100000000000001" customHeight="1" x14ac:dyDescent="0.3"/>
  </sheetData>
  <mergeCells count="2">
    <mergeCell ref="B2:J2"/>
    <mergeCell ref="C13:J13"/>
  </mergeCells>
  <pageMargins left="0.19685039370078741" right="0.11811023622047245" top="0.74803149606299213" bottom="0.74803149606299213" header="0.31496062992125984" footer="0.31496062992125984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J13"/>
  <sheetViews>
    <sheetView workbookViewId="0">
      <selection activeCell="E19" sqref="E19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9" width="18.6640625" customWidth="1"/>
    <col min="10" max="10" width="19.6640625" customWidth="1"/>
    <col min="11" max="11" width="18.6640625" customWidth="1"/>
  </cols>
  <sheetData>
    <row r="1" spans="2:10" ht="15" thickBot="1" x14ac:dyDescent="0.35"/>
    <row r="2" spans="2:10" ht="27" customHeight="1" thickBot="1" x14ac:dyDescent="0.35">
      <c r="B2" s="402" t="s">
        <v>37</v>
      </c>
      <c r="C2" s="403"/>
      <c r="D2" s="403"/>
      <c r="E2" s="403"/>
      <c r="F2" s="403"/>
      <c r="G2" s="403"/>
      <c r="H2" s="403"/>
      <c r="I2" s="403"/>
      <c r="J2" s="404"/>
    </row>
    <row r="3" spans="2:10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22</v>
      </c>
      <c r="G3" s="15" t="s">
        <v>23</v>
      </c>
      <c r="H3" s="16" t="s">
        <v>3</v>
      </c>
      <c r="I3" s="15" t="s">
        <v>4</v>
      </c>
      <c r="J3" s="17" t="s">
        <v>5</v>
      </c>
    </row>
    <row r="4" spans="2:10" ht="20.100000000000001" customHeight="1" x14ac:dyDescent="0.3">
      <c r="B4" s="9" t="s">
        <v>50</v>
      </c>
      <c r="C4" s="10">
        <v>13</v>
      </c>
      <c r="D4" s="12">
        <v>0</v>
      </c>
      <c r="E4" s="7">
        <v>120.75</v>
      </c>
      <c r="F4" s="12">
        <v>2000</v>
      </c>
      <c r="G4" s="13">
        <f>+C4*F4</f>
        <v>26000</v>
      </c>
      <c r="H4" s="22">
        <f>+G4*3.5%</f>
        <v>910.00000000000011</v>
      </c>
      <c r="I4" s="12">
        <v>0</v>
      </c>
      <c r="J4" s="22">
        <f>G4*3%</f>
        <v>780</v>
      </c>
    </row>
    <row r="5" spans="2:10" ht="20.100000000000001" customHeight="1" x14ac:dyDescent="0.3">
      <c r="B5" s="3" t="s">
        <v>38</v>
      </c>
      <c r="C5" s="4">
        <v>8</v>
      </c>
      <c r="D5" s="6">
        <v>0</v>
      </c>
      <c r="E5" s="7">
        <v>120.75</v>
      </c>
      <c r="F5" s="6">
        <v>1000</v>
      </c>
      <c r="G5" s="13">
        <f t="shared" ref="G5:G9" si="0">+C5*F5</f>
        <v>8000</v>
      </c>
      <c r="H5" s="22">
        <f t="shared" ref="H5:H9" si="1">+G5*3.5%</f>
        <v>280</v>
      </c>
      <c r="I5" s="6">
        <v>0</v>
      </c>
      <c r="J5" s="22">
        <f t="shared" ref="J5:J9" si="2">G5*3%</f>
        <v>240</v>
      </c>
    </row>
    <row r="6" spans="2:10" ht="20.100000000000001" customHeight="1" x14ac:dyDescent="0.3">
      <c r="B6" s="3" t="s">
        <v>39</v>
      </c>
      <c r="C6" s="4">
        <v>3</v>
      </c>
      <c r="D6" s="12">
        <v>0</v>
      </c>
      <c r="E6" s="7">
        <v>120.75</v>
      </c>
      <c r="F6" s="6">
        <v>1800</v>
      </c>
      <c r="G6" s="13">
        <f t="shared" si="0"/>
        <v>5400</v>
      </c>
      <c r="H6" s="22">
        <f t="shared" si="1"/>
        <v>189.00000000000003</v>
      </c>
      <c r="I6" s="6">
        <v>0</v>
      </c>
      <c r="J6" s="22">
        <f t="shared" si="2"/>
        <v>162</v>
      </c>
    </row>
    <row r="7" spans="2:10" ht="20.100000000000001" customHeight="1" x14ac:dyDescent="0.3">
      <c r="B7" s="3" t="s">
        <v>40</v>
      </c>
      <c r="C7" s="4">
        <v>2</v>
      </c>
      <c r="D7" s="6">
        <v>0</v>
      </c>
      <c r="E7" s="7">
        <v>120.75</v>
      </c>
      <c r="F7" s="6">
        <v>1800</v>
      </c>
      <c r="G7" s="13">
        <f t="shared" si="0"/>
        <v>3600</v>
      </c>
      <c r="H7" s="22">
        <f t="shared" si="1"/>
        <v>126.00000000000001</v>
      </c>
      <c r="I7" s="6">
        <v>0</v>
      </c>
      <c r="J7" s="22">
        <f t="shared" si="2"/>
        <v>108</v>
      </c>
    </row>
    <row r="8" spans="2:10" ht="20.100000000000001" customHeight="1" x14ac:dyDescent="0.3">
      <c r="B8" s="3" t="s">
        <v>41</v>
      </c>
      <c r="C8" s="4">
        <v>8</v>
      </c>
      <c r="D8" s="12">
        <v>0</v>
      </c>
      <c r="E8" s="7">
        <v>120.75</v>
      </c>
      <c r="F8" s="6">
        <v>500</v>
      </c>
      <c r="G8" s="13">
        <f t="shared" si="0"/>
        <v>4000</v>
      </c>
      <c r="H8" s="22">
        <f t="shared" si="1"/>
        <v>140</v>
      </c>
      <c r="I8" s="6">
        <v>0</v>
      </c>
      <c r="J8" s="22">
        <f t="shared" si="2"/>
        <v>120</v>
      </c>
    </row>
    <row r="9" spans="2:10" ht="20.100000000000001" customHeight="1" x14ac:dyDescent="0.3">
      <c r="B9" s="3" t="s">
        <v>42</v>
      </c>
      <c r="C9" s="4">
        <v>10</v>
      </c>
      <c r="D9" s="6">
        <v>0</v>
      </c>
      <c r="E9" s="7">
        <v>120.75</v>
      </c>
      <c r="F9" s="6">
        <v>5000</v>
      </c>
      <c r="G9" s="13">
        <f t="shared" si="0"/>
        <v>50000</v>
      </c>
      <c r="H9" s="22">
        <f t="shared" si="1"/>
        <v>1750.0000000000002</v>
      </c>
      <c r="I9" s="6">
        <v>0</v>
      </c>
      <c r="J9" s="22">
        <f t="shared" si="2"/>
        <v>1500</v>
      </c>
    </row>
    <row r="10" spans="2:10" ht="28.5" customHeight="1" thickBot="1" x14ac:dyDescent="0.35">
      <c r="B10" s="8" t="s">
        <v>19</v>
      </c>
      <c r="C10" s="8"/>
      <c r="D10" s="18"/>
      <c r="E10" s="19"/>
      <c r="F10" s="20"/>
      <c r="G10" s="21"/>
      <c r="H10" s="20">
        <f>SUM(H4:H9)</f>
        <v>3395</v>
      </c>
      <c r="I10" s="19"/>
      <c r="J10" s="20">
        <f>SUM(J4:J9)</f>
        <v>2910</v>
      </c>
    </row>
    <row r="11" spans="2:10" s="25" customFormat="1" ht="25.5" customHeight="1" thickBot="1" x14ac:dyDescent="0.35">
      <c r="B11" s="31" t="s">
        <v>56</v>
      </c>
      <c r="C11" s="405" t="s">
        <v>58</v>
      </c>
      <c r="D11" s="405"/>
      <c r="E11" s="405"/>
      <c r="F11" s="405"/>
      <c r="G11" s="405"/>
      <c r="H11" s="405"/>
      <c r="I11" s="405"/>
      <c r="J11" s="406"/>
    </row>
    <row r="12" spans="2:10" ht="20.100000000000001" customHeight="1" x14ac:dyDescent="0.3"/>
    <row r="13" spans="2:10" ht="20.100000000000001" customHeight="1" x14ac:dyDescent="0.3"/>
  </sheetData>
  <mergeCells count="2">
    <mergeCell ref="B2:J2"/>
    <mergeCell ref="C11:J11"/>
  </mergeCells>
  <pageMargins left="0.31496062992125984" right="0.31496062992125984" top="0.35433070866141736" bottom="0.35433070866141736" header="0.31496062992125984" footer="0.31496062992125984"/>
  <pageSetup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J11"/>
  <sheetViews>
    <sheetView workbookViewId="0">
      <selection activeCell="D16" sqref="D16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9" width="18.6640625" customWidth="1"/>
    <col min="10" max="10" width="19.6640625" customWidth="1"/>
    <col min="11" max="11" width="18.6640625" customWidth="1"/>
  </cols>
  <sheetData>
    <row r="1" spans="2:10" ht="15" thickBot="1" x14ac:dyDescent="0.35"/>
    <row r="2" spans="2:10" ht="27" customHeight="1" thickBot="1" x14ac:dyDescent="0.35">
      <c r="B2" s="402" t="s">
        <v>49</v>
      </c>
      <c r="C2" s="403"/>
      <c r="D2" s="403"/>
      <c r="E2" s="403"/>
      <c r="F2" s="403"/>
      <c r="G2" s="403"/>
      <c r="H2" s="403"/>
      <c r="I2" s="403"/>
      <c r="J2" s="404"/>
    </row>
    <row r="3" spans="2:10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22</v>
      </c>
      <c r="G3" s="15" t="s">
        <v>23</v>
      </c>
      <c r="H3" s="16" t="s">
        <v>3</v>
      </c>
      <c r="I3" s="15" t="s">
        <v>4</v>
      </c>
      <c r="J3" s="17" t="s">
        <v>5</v>
      </c>
    </row>
    <row r="4" spans="2:10" ht="20.100000000000001" customHeight="1" x14ac:dyDescent="0.3">
      <c r="B4" s="9" t="s">
        <v>43</v>
      </c>
      <c r="C4" s="10">
        <v>100</v>
      </c>
      <c r="D4" s="11">
        <v>27.84</v>
      </c>
      <c r="E4" s="7">
        <v>121.75</v>
      </c>
      <c r="F4" s="12">
        <f>+D4*E4</f>
        <v>3389.52</v>
      </c>
      <c r="G4" s="13">
        <f>+C4*F4</f>
        <v>338952</v>
      </c>
      <c r="H4" s="22">
        <f>+G4*3.5%</f>
        <v>11863.320000000002</v>
      </c>
      <c r="I4" s="12">
        <v>0</v>
      </c>
      <c r="J4" s="22">
        <f>G4*3%</f>
        <v>10168.56</v>
      </c>
    </row>
    <row r="5" spans="2:10" ht="20.100000000000001" customHeight="1" x14ac:dyDescent="0.3">
      <c r="B5" s="9" t="s">
        <v>44</v>
      </c>
      <c r="C5" s="10">
        <v>48</v>
      </c>
      <c r="D5" s="11">
        <v>33.32</v>
      </c>
      <c r="E5" s="7">
        <v>121.75</v>
      </c>
      <c r="F5" s="12">
        <f t="shared" ref="F5:F6" si="0">+D5*E5</f>
        <v>4056.71</v>
      </c>
      <c r="G5" s="13">
        <f t="shared" ref="G5:G7" si="1">+C5*F5</f>
        <v>194722.08000000002</v>
      </c>
      <c r="H5" s="22">
        <f t="shared" ref="H5:H6" si="2">+G5*3.5%</f>
        <v>6815.2728000000016</v>
      </c>
      <c r="I5" s="12">
        <v>0</v>
      </c>
      <c r="J5" s="22">
        <f t="shared" ref="J5:J7" si="3">G5*3%</f>
        <v>5841.6624000000002</v>
      </c>
    </row>
    <row r="6" spans="2:10" ht="20.100000000000001" customHeight="1" x14ac:dyDescent="0.3">
      <c r="B6" s="9" t="s">
        <v>45</v>
      </c>
      <c r="C6" s="4">
        <v>80</v>
      </c>
      <c r="D6" s="5">
        <v>32.07</v>
      </c>
      <c r="E6" s="7">
        <v>121.75</v>
      </c>
      <c r="F6" s="12">
        <f t="shared" si="0"/>
        <v>3904.5225</v>
      </c>
      <c r="G6" s="13">
        <f t="shared" si="1"/>
        <v>312361.8</v>
      </c>
      <c r="H6" s="22">
        <f t="shared" si="2"/>
        <v>10932.663</v>
      </c>
      <c r="I6" s="12">
        <v>0</v>
      </c>
      <c r="J6" s="22">
        <f t="shared" si="3"/>
        <v>9370.8539999999994</v>
      </c>
    </row>
    <row r="7" spans="2:10" ht="20.100000000000001" customHeight="1" x14ac:dyDescent="0.3">
      <c r="B7" s="9" t="s">
        <v>46</v>
      </c>
      <c r="C7" s="4">
        <v>13</v>
      </c>
      <c r="D7" s="5">
        <v>46.94</v>
      </c>
      <c r="E7" s="7">
        <v>121.75</v>
      </c>
      <c r="F7" s="6">
        <f t="shared" ref="F7" si="4">+D7*E7</f>
        <v>5714.9449999999997</v>
      </c>
      <c r="G7" s="13">
        <f t="shared" si="1"/>
        <v>74294.285000000003</v>
      </c>
      <c r="H7" s="22">
        <f t="shared" ref="H7" si="5">+G7*3.5%</f>
        <v>2600.2999750000004</v>
      </c>
      <c r="I7" s="12">
        <v>0</v>
      </c>
      <c r="J7" s="22">
        <f t="shared" si="3"/>
        <v>2228.8285500000002</v>
      </c>
    </row>
    <row r="8" spans="2:10" ht="28.5" customHeight="1" thickBot="1" x14ac:dyDescent="0.35">
      <c r="B8" s="8" t="s">
        <v>19</v>
      </c>
      <c r="C8" s="8"/>
      <c r="D8" s="18"/>
      <c r="E8" s="19"/>
      <c r="F8" s="20"/>
      <c r="G8" s="21"/>
      <c r="H8" s="20">
        <f>SUM(H4:H7)</f>
        <v>32211.555775000004</v>
      </c>
      <c r="I8" s="19"/>
      <c r="J8" s="20">
        <f>SUM(J4:J7)</f>
        <v>27609.904949999996</v>
      </c>
    </row>
    <row r="9" spans="2:10" s="25" customFormat="1" ht="25.5" customHeight="1" thickBot="1" x14ac:dyDescent="0.35">
      <c r="B9" s="31" t="s">
        <v>56</v>
      </c>
      <c r="C9" s="405" t="s">
        <v>58</v>
      </c>
      <c r="D9" s="405"/>
      <c r="E9" s="405"/>
      <c r="F9" s="405"/>
      <c r="G9" s="405"/>
      <c r="H9" s="405"/>
      <c r="I9" s="405"/>
      <c r="J9" s="406"/>
    </row>
    <row r="10" spans="2:10" ht="20.100000000000001" customHeight="1" x14ac:dyDescent="0.3"/>
    <row r="11" spans="2:10" ht="20.100000000000001" customHeight="1" x14ac:dyDescent="0.3"/>
  </sheetData>
  <mergeCells count="2">
    <mergeCell ref="B2:J2"/>
    <mergeCell ref="C9:J9"/>
  </mergeCells>
  <pageMargins left="0.70866141732283472" right="0.70866141732283472" top="0.74803149606299213" bottom="0.74803149606299213" header="0.31496062992125984" footer="0.31496062992125984"/>
  <pageSetup scal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J11"/>
  <sheetViews>
    <sheetView workbookViewId="0">
      <selection activeCell="J5" sqref="J5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9" width="18.6640625" customWidth="1"/>
    <col min="10" max="10" width="19.6640625" customWidth="1"/>
    <col min="11" max="11" width="18.6640625" customWidth="1"/>
  </cols>
  <sheetData>
    <row r="1" spans="2:10" ht="15" thickBot="1" x14ac:dyDescent="0.35"/>
    <row r="2" spans="2:10" ht="27" customHeight="1" thickBot="1" x14ac:dyDescent="0.35">
      <c r="B2" s="402" t="s">
        <v>48</v>
      </c>
      <c r="C2" s="403"/>
      <c r="D2" s="403"/>
      <c r="E2" s="403"/>
      <c r="F2" s="403"/>
      <c r="G2" s="403"/>
      <c r="H2" s="403"/>
      <c r="I2" s="403"/>
      <c r="J2" s="404"/>
    </row>
    <row r="3" spans="2:10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22</v>
      </c>
      <c r="G3" s="15" t="s">
        <v>23</v>
      </c>
      <c r="H3" s="16" t="s">
        <v>3</v>
      </c>
      <c r="I3" s="15" t="s">
        <v>4</v>
      </c>
      <c r="J3" s="17" t="s">
        <v>5</v>
      </c>
    </row>
    <row r="4" spans="2:10" ht="20.100000000000001" customHeight="1" x14ac:dyDescent="0.3">
      <c r="B4" s="9" t="s">
        <v>24</v>
      </c>
      <c r="C4" s="10">
        <v>99</v>
      </c>
      <c r="D4" s="11">
        <v>35.18</v>
      </c>
      <c r="E4" s="7">
        <v>124.5</v>
      </c>
      <c r="F4" s="12">
        <f>+D4*E4</f>
        <v>4379.91</v>
      </c>
      <c r="G4" s="13">
        <f>+C4*F4</f>
        <v>433611.08999999997</v>
      </c>
      <c r="H4" s="22">
        <f>+G4*3.5%</f>
        <v>15176.388150000001</v>
      </c>
      <c r="I4" s="12">
        <v>0</v>
      </c>
      <c r="J4" s="22">
        <f>G4*3%</f>
        <v>13008.332699999999</v>
      </c>
    </row>
    <row r="5" spans="2:10" ht="20.100000000000001" customHeight="1" x14ac:dyDescent="0.3">
      <c r="B5" s="9" t="s">
        <v>51</v>
      </c>
      <c r="C5" s="10">
        <v>8</v>
      </c>
      <c r="D5" s="11">
        <v>150</v>
      </c>
      <c r="E5" s="7">
        <v>124.5</v>
      </c>
      <c r="F5" s="12">
        <f t="shared" ref="F5:F6" si="0">+D5*E5</f>
        <v>18675</v>
      </c>
      <c r="G5" s="13">
        <f t="shared" ref="G5:G7" si="1">+C5*F5</f>
        <v>149400</v>
      </c>
      <c r="H5" s="22">
        <f t="shared" ref="H5:H7" si="2">+G5*3.5%</f>
        <v>5229.0000000000009</v>
      </c>
      <c r="I5" s="12">
        <v>0</v>
      </c>
      <c r="J5" s="22">
        <f t="shared" ref="J5:J7" si="3">G5*3%</f>
        <v>4482</v>
      </c>
    </row>
    <row r="6" spans="2:10" ht="20.100000000000001" customHeight="1" x14ac:dyDescent="0.3">
      <c r="B6" s="9" t="s">
        <v>52</v>
      </c>
      <c r="C6" s="4">
        <v>8</v>
      </c>
      <c r="D6" s="5">
        <v>130</v>
      </c>
      <c r="E6" s="7">
        <v>124.5</v>
      </c>
      <c r="F6" s="12">
        <f t="shared" si="0"/>
        <v>16185</v>
      </c>
      <c r="G6" s="13">
        <f t="shared" si="1"/>
        <v>129480</v>
      </c>
      <c r="H6" s="22">
        <f t="shared" si="2"/>
        <v>4531.8</v>
      </c>
      <c r="I6" s="12">
        <v>0</v>
      </c>
      <c r="J6" s="22">
        <f t="shared" si="3"/>
        <v>3884.3999999999996</v>
      </c>
    </row>
    <row r="7" spans="2:10" ht="20.100000000000001" customHeight="1" x14ac:dyDescent="0.3">
      <c r="B7" s="9" t="s">
        <v>47</v>
      </c>
      <c r="C7" s="4">
        <v>4</v>
      </c>
      <c r="D7" s="5"/>
      <c r="E7" s="7">
        <v>124.5</v>
      </c>
      <c r="F7" s="12">
        <v>40000</v>
      </c>
      <c r="G7" s="13">
        <f t="shared" si="1"/>
        <v>160000</v>
      </c>
      <c r="H7" s="22">
        <f t="shared" si="2"/>
        <v>5600.0000000000009</v>
      </c>
      <c r="I7" s="12">
        <v>0</v>
      </c>
      <c r="J7" s="22">
        <f t="shared" si="3"/>
        <v>4800</v>
      </c>
    </row>
    <row r="8" spans="2:10" ht="28.5" customHeight="1" thickBot="1" x14ac:dyDescent="0.35">
      <c r="B8" s="8" t="s">
        <v>19</v>
      </c>
      <c r="C8" s="8"/>
      <c r="D8" s="18"/>
      <c r="E8" s="19"/>
      <c r="F8" s="20"/>
      <c r="G8" s="21"/>
      <c r="H8" s="20">
        <f>SUM(H4:H7)</f>
        <v>30537.188150000002</v>
      </c>
      <c r="I8" s="19"/>
      <c r="J8" s="20">
        <f>SUM(J4:J7)</f>
        <v>26174.7327</v>
      </c>
    </row>
    <row r="9" spans="2:10" s="25" customFormat="1" ht="25.5" customHeight="1" thickBot="1" x14ac:dyDescent="0.35">
      <c r="B9" s="31" t="s">
        <v>56</v>
      </c>
      <c r="C9" s="405" t="s">
        <v>58</v>
      </c>
      <c r="D9" s="405"/>
      <c r="E9" s="405"/>
      <c r="F9" s="405"/>
      <c r="G9" s="405"/>
      <c r="H9" s="405"/>
      <c r="I9" s="405"/>
      <c r="J9" s="406"/>
    </row>
    <row r="10" spans="2:10" ht="20.100000000000001" customHeight="1" x14ac:dyDescent="0.3"/>
    <row r="11" spans="2:10" ht="20.100000000000001" customHeight="1" x14ac:dyDescent="0.3"/>
  </sheetData>
  <mergeCells count="2">
    <mergeCell ref="B2:J2"/>
    <mergeCell ref="C9:J9"/>
  </mergeCells>
  <pageMargins left="0.70866141732283472" right="0.70866141732283472" top="0.74803149606299213" bottom="0.74803149606299213" header="0.31496062992125984" footer="0.31496062992125984"/>
  <pageSetup scale="6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workbookViewId="0">
      <selection activeCell="D12" sqref="D12"/>
    </sheetView>
  </sheetViews>
  <sheetFormatPr baseColWidth="10" defaultRowHeight="14.4" x14ac:dyDescent="0.3"/>
  <cols>
    <col min="1" max="1" width="22.33203125" customWidth="1"/>
    <col min="2" max="5" width="13.6640625" customWidth="1"/>
    <col min="6" max="6" width="15.44140625" customWidth="1"/>
    <col min="7" max="9" width="13.6640625" customWidth="1"/>
  </cols>
  <sheetData>
    <row r="1" spans="1:9" ht="16.2" thickBot="1" x14ac:dyDescent="0.35">
      <c r="A1" s="402" t="s">
        <v>35</v>
      </c>
      <c r="B1" s="403"/>
      <c r="C1" s="403"/>
      <c r="D1" s="403"/>
      <c r="E1" s="403"/>
      <c r="F1" s="403"/>
      <c r="G1" s="403"/>
      <c r="H1" s="403"/>
      <c r="I1" s="404"/>
    </row>
    <row r="2" spans="1:9" ht="43.8" thickBot="1" x14ac:dyDescent="0.35">
      <c r="A2" s="14" t="s">
        <v>0</v>
      </c>
      <c r="B2" s="15" t="s">
        <v>1</v>
      </c>
      <c r="C2" s="15" t="s">
        <v>21</v>
      </c>
      <c r="D2" s="16" t="s">
        <v>2</v>
      </c>
      <c r="E2" s="16" t="s">
        <v>22</v>
      </c>
      <c r="F2" s="16" t="s">
        <v>23</v>
      </c>
      <c r="G2" s="16" t="s">
        <v>3</v>
      </c>
      <c r="H2" s="15" t="s">
        <v>4</v>
      </c>
      <c r="I2" s="32" t="s">
        <v>5</v>
      </c>
    </row>
    <row r="3" spans="1:9" x14ac:dyDescent="0.3">
      <c r="A3" s="9" t="s">
        <v>6</v>
      </c>
      <c r="B3" s="10">
        <v>600</v>
      </c>
      <c r="C3" s="11">
        <v>52.62</v>
      </c>
      <c r="D3" s="7">
        <v>120.5</v>
      </c>
      <c r="E3" s="12">
        <f>+C3*D3</f>
        <v>6340.71</v>
      </c>
      <c r="F3" s="13">
        <f>+B3*E3</f>
        <v>3804426</v>
      </c>
      <c r="G3" s="22">
        <f>+F3*3.5%</f>
        <v>133154.91</v>
      </c>
      <c r="H3" s="12">
        <v>0</v>
      </c>
      <c r="I3" s="22">
        <f>+B3*H3*3%</f>
        <v>0</v>
      </c>
    </row>
    <row r="4" spans="1:9" x14ac:dyDescent="0.3">
      <c r="A4" s="3" t="s">
        <v>7</v>
      </c>
      <c r="B4" s="4">
        <v>360</v>
      </c>
      <c r="C4" s="5">
        <v>62.78</v>
      </c>
      <c r="D4" s="7">
        <v>120.5</v>
      </c>
      <c r="E4" s="6">
        <f t="shared" ref="E4:E7" si="0">+C4*D4</f>
        <v>7564.99</v>
      </c>
      <c r="F4" s="13">
        <f t="shared" ref="F4:F14" si="1">+B4*E4</f>
        <v>2723396.4</v>
      </c>
      <c r="G4" s="22">
        <f t="shared" ref="G4:G14" si="2">+F4*3.5%</f>
        <v>95318.874000000011</v>
      </c>
      <c r="H4" s="6">
        <v>0</v>
      </c>
      <c r="I4" s="22">
        <f t="shared" ref="I4:I14" si="3">+H4*3%</f>
        <v>0</v>
      </c>
    </row>
    <row r="5" spans="1:9" x14ac:dyDescent="0.3">
      <c r="A5" s="3" t="s">
        <v>11</v>
      </c>
      <c r="B5" s="4">
        <v>500</v>
      </c>
      <c r="C5" s="5">
        <v>61.35</v>
      </c>
      <c r="D5" s="7">
        <v>120.5</v>
      </c>
      <c r="E5" s="6">
        <f t="shared" si="0"/>
        <v>7392.6750000000002</v>
      </c>
      <c r="F5" s="13">
        <f t="shared" si="1"/>
        <v>3696337.5</v>
      </c>
      <c r="G5" s="22">
        <f t="shared" si="2"/>
        <v>129371.81250000001</v>
      </c>
      <c r="H5" s="6">
        <v>0</v>
      </c>
      <c r="I5" s="22">
        <f t="shared" si="3"/>
        <v>0</v>
      </c>
    </row>
    <row r="6" spans="1:9" x14ac:dyDescent="0.3">
      <c r="A6" s="3" t="s">
        <v>10</v>
      </c>
      <c r="B6" s="4">
        <v>200</v>
      </c>
      <c r="C6" s="5">
        <v>23.17</v>
      </c>
      <c r="D6" s="7">
        <v>120.5</v>
      </c>
      <c r="E6" s="6">
        <f t="shared" si="0"/>
        <v>2791.9850000000001</v>
      </c>
      <c r="F6" s="13">
        <f t="shared" si="1"/>
        <v>558397</v>
      </c>
      <c r="G6" s="22">
        <f t="shared" si="2"/>
        <v>19543.895</v>
      </c>
      <c r="H6" s="6">
        <v>0</v>
      </c>
      <c r="I6" s="22">
        <f t="shared" si="3"/>
        <v>0</v>
      </c>
    </row>
    <row r="7" spans="1:9" x14ac:dyDescent="0.3">
      <c r="A7" s="3" t="s">
        <v>9</v>
      </c>
      <c r="B7" s="4">
        <v>100</v>
      </c>
      <c r="C7" s="5">
        <v>121.26</v>
      </c>
      <c r="D7" s="7">
        <v>120.5</v>
      </c>
      <c r="E7" s="6">
        <f t="shared" si="0"/>
        <v>14611.83</v>
      </c>
      <c r="F7" s="13">
        <f t="shared" si="1"/>
        <v>1461183</v>
      </c>
      <c r="G7" s="22">
        <f t="shared" si="2"/>
        <v>51141.405000000006</v>
      </c>
      <c r="H7" s="6">
        <v>0</v>
      </c>
      <c r="I7" s="22">
        <f t="shared" si="3"/>
        <v>0</v>
      </c>
    </row>
    <row r="8" spans="1:9" x14ac:dyDescent="0.3">
      <c r="A8" s="3" t="s">
        <v>12</v>
      </c>
      <c r="B8" s="4">
        <v>50</v>
      </c>
      <c r="C8" s="5">
        <f>+E8/114.5</f>
        <v>97.787860262008721</v>
      </c>
      <c r="D8" s="7">
        <v>120.5</v>
      </c>
      <c r="E8" s="6">
        <v>11196.71</v>
      </c>
      <c r="F8" s="13">
        <f t="shared" si="1"/>
        <v>559835.5</v>
      </c>
      <c r="G8" s="22">
        <f t="shared" si="2"/>
        <v>19594.2425</v>
      </c>
      <c r="H8" s="6">
        <v>0</v>
      </c>
      <c r="I8" s="22">
        <f t="shared" si="3"/>
        <v>0</v>
      </c>
    </row>
    <row r="9" spans="1:9" x14ac:dyDescent="0.3">
      <c r="A9" s="3" t="s">
        <v>13</v>
      </c>
      <c r="B9" s="4">
        <v>200</v>
      </c>
      <c r="C9" s="11" t="s">
        <v>20</v>
      </c>
      <c r="D9" s="7">
        <v>0</v>
      </c>
      <c r="E9" s="6">
        <v>2000</v>
      </c>
      <c r="F9" s="13">
        <f t="shared" si="1"/>
        <v>400000</v>
      </c>
      <c r="G9" s="22">
        <f t="shared" si="2"/>
        <v>14000.000000000002</v>
      </c>
      <c r="H9" s="6">
        <v>0</v>
      </c>
      <c r="I9" s="22">
        <f t="shared" si="3"/>
        <v>0</v>
      </c>
    </row>
    <row r="10" spans="1:9" x14ac:dyDescent="0.3">
      <c r="A10" s="3" t="s">
        <v>17</v>
      </c>
      <c r="B10" s="4">
        <v>50</v>
      </c>
      <c r="C10" s="5">
        <v>27.46</v>
      </c>
      <c r="D10" s="7">
        <v>120.5</v>
      </c>
      <c r="E10" s="6">
        <f t="shared" ref="E10:E14" si="4">+C10*D10</f>
        <v>3308.9300000000003</v>
      </c>
      <c r="F10" s="13">
        <f t="shared" si="1"/>
        <v>165446.5</v>
      </c>
      <c r="G10" s="22">
        <f t="shared" si="2"/>
        <v>5790.6275000000005</v>
      </c>
      <c r="H10" s="6">
        <v>0</v>
      </c>
      <c r="I10" s="22">
        <f t="shared" si="3"/>
        <v>0</v>
      </c>
    </row>
    <row r="11" spans="1:9" x14ac:dyDescent="0.3">
      <c r="A11" s="3" t="s">
        <v>18</v>
      </c>
      <c r="B11" s="4">
        <v>50</v>
      </c>
      <c r="C11" s="5">
        <v>29.6</v>
      </c>
      <c r="D11" s="7">
        <v>120.5</v>
      </c>
      <c r="E11" s="6">
        <f t="shared" si="4"/>
        <v>3566.8</v>
      </c>
      <c r="F11" s="13">
        <f t="shared" si="1"/>
        <v>178340</v>
      </c>
      <c r="G11" s="22">
        <f t="shared" si="2"/>
        <v>6241.9000000000005</v>
      </c>
      <c r="H11" s="6">
        <v>0</v>
      </c>
      <c r="I11" s="22">
        <f t="shared" si="3"/>
        <v>0</v>
      </c>
    </row>
    <row r="12" spans="1:9" x14ac:dyDescent="0.3">
      <c r="A12" s="3" t="s">
        <v>14</v>
      </c>
      <c r="B12" s="4">
        <v>50</v>
      </c>
      <c r="C12" s="11" t="s">
        <v>20</v>
      </c>
      <c r="D12" s="7">
        <v>0</v>
      </c>
      <c r="E12" s="6">
        <v>2800</v>
      </c>
      <c r="F12" s="13">
        <f t="shared" si="1"/>
        <v>140000</v>
      </c>
      <c r="G12" s="22">
        <f t="shared" si="2"/>
        <v>4900.0000000000009</v>
      </c>
      <c r="H12" s="6">
        <v>0</v>
      </c>
      <c r="I12" s="22">
        <f t="shared" si="3"/>
        <v>0</v>
      </c>
    </row>
    <row r="13" spans="1:9" x14ac:dyDescent="0.3">
      <c r="A13" s="3" t="s">
        <v>15</v>
      </c>
      <c r="B13" s="4">
        <v>200</v>
      </c>
      <c r="C13" s="11" t="s">
        <v>20</v>
      </c>
      <c r="D13" s="7">
        <v>0</v>
      </c>
      <c r="E13" s="6">
        <v>3600</v>
      </c>
      <c r="F13" s="13">
        <f t="shared" si="1"/>
        <v>720000</v>
      </c>
      <c r="G13" s="22">
        <f t="shared" si="2"/>
        <v>25200.000000000004</v>
      </c>
      <c r="H13" s="6">
        <v>0</v>
      </c>
      <c r="I13" s="22">
        <f t="shared" si="3"/>
        <v>0</v>
      </c>
    </row>
    <row r="14" spans="1:9" x14ac:dyDescent="0.3">
      <c r="A14" s="3" t="s">
        <v>16</v>
      </c>
      <c r="B14" s="4">
        <v>4</v>
      </c>
      <c r="C14" s="11">
        <v>100</v>
      </c>
      <c r="D14" s="7">
        <v>120.5</v>
      </c>
      <c r="E14" s="6">
        <f t="shared" si="4"/>
        <v>12050</v>
      </c>
      <c r="F14" s="13">
        <f t="shared" si="1"/>
        <v>48200</v>
      </c>
      <c r="G14" s="22">
        <f t="shared" si="2"/>
        <v>1687.0000000000002</v>
      </c>
      <c r="H14" s="6">
        <v>0</v>
      </c>
      <c r="I14" s="22">
        <f t="shared" si="3"/>
        <v>0</v>
      </c>
    </row>
    <row r="15" spans="1:9" ht="15" thickBot="1" x14ac:dyDescent="0.35">
      <c r="A15" s="26" t="s">
        <v>19</v>
      </c>
      <c r="B15" s="26"/>
      <c r="C15" s="27"/>
      <c r="D15" s="28"/>
      <c r="E15" s="29"/>
      <c r="F15" s="30"/>
      <c r="G15" s="29">
        <f>SUM(G3:G14)</f>
        <v>505944.66650000011</v>
      </c>
      <c r="H15" s="28"/>
      <c r="I15" s="29">
        <f>SUM(I3:I14)</f>
        <v>0</v>
      </c>
    </row>
    <row r="16" spans="1:9" ht="18.600000000000001" thickBot="1" x14ac:dyDescent="0.35">
      <c r="A16" s="31" t="s">
        <v>56</v>
      </c>
      <c r="B16" s="405" t="s">
        <v>59</v>
      </c>
      <c r="C16" s="405"/>
      <c r="D16" s="405"/>
      <c r="E16" s="405"/>
      <c r="F16" s="405"/>
      <c r="G16" s="405"/>
      <c r="H16" s="405"/>
      <c r="I16" s="406"/>
    </row>
    <row r="17" spans="1:9" ht="15" thickBot="1" x14ac:dyDescent="0.35"/>
    <row r="18" spans="1:9" ht="16.2" thickBot="1" x14ac:dyDescent="0.35">
      <c r="A18" s="402" t="s">
        <v>53</v>
      </c>
      <c r="B18" s="403"/>
      <c r="C18" s="403"/>
      <c r="D18" s="403"/>
      <c r="E18" s="403"/>
      <c r="F18" s="404"/>
    </row>
    <row r="19" spans="1:9" ht="43.8" thickBot="1" x14ac:dyDescent="0.35">
      <c r="A19" s="14" t="s">
        <v>0</v>
      </c>
      <c r="B19" s="15" t="s">
        <v>1</v>
      </c>
      <c r="C19" s="15" t="s">
        <v>21</v>
      </c>
      <c r="D19" s="16" t="s">
        <v>2</v>
      </c>
      <c r="E19" s="16" t="s">
        <v>22</v>
      </c>
      <c r="F19" s="16" t="s">
        <v>23</v>
      </c>
    </row>
    <row r="20" spans="1:9" x14ac:dyDescent="0.3">
      <c r="A20" s="9" t="s">
        <v>54</v>
      </c>
      <c r="B20" s="10">
        <v>200</v>
      </c>
      <c r="C20" s="11"/>
      <c r="D20" s="7">
        <v>120.5</v>
      </c>
      <c r="E20" s="12">
        <v>680</v>
      </c>
      <c r="F20" s="13">
        <f>+B20*E20</f>
        <v>136000</v>
      </c>
    </row>
    <row r="21" spans="1:9" x14ac:dyDescent="0.3">
      <c r="A21" s="9" t="s">
        <v>55</v>
      </c>
      <c r="B21" s="10">
        <v>50</v>
      </c>
      <c r="C21" s="11"/>
      <c r="D21" s="7">
        <v>120.5</v>
      </c>
      <c r="E21" s="12">
        <v>680</v>
      </c>
      <c r="F21" s="13">
        <f>+B21*E21</f>
        <v>34000</v>
      </c>
    </row>
    <row r="22" spans="1:9" ht="15" thickBot="1" x14ac:dyDescent="0.35">
      <c r="A22" s="8" t="s">
        <v>19</v>
      </c>
      <c r="B22" s="8"/>
      <c r="C22" s="18"/>
      <c r="D22" s="19"/>
      <c r="E22" s="20"/>
      <c r="F22" s="21">
        <f>SUM(F20:F21)</f>
        <v>170000</v>
      </c>
    </row>
    <row r="23" spans="1:9" ht="40.5" customHeight="1" thickBot="1" x14ac:dyDescent="0.35">
      <c r="A23" s="31" t="s">
        <v>56</v>
      </c>
      <c r="B23" s="407" t="s">
        <v>57</v>
      </c>
      <c r="C23" s="407"/>
      <c r="D23" s="407"/>
      <c r="E23" s="407"/>
      <c r="F23" s="408"/>
    </row>
    <row r="24" spans="1:9" ht="15" thickBot="1" x14ac:dyDescent="0.35"/>
    <row r="25" spans="1:9" ht="16.2" thickBot="1" x14ac:dyDescent="0.35">
      <c r="A25" s="402" t="s">
        <v>36</v>
      </c>
      <c r="B25" s="403"/>
      <c r="C25" s="403"/>
      <c r="D25" s="403"/>
      <c r="E25" s="403"/>
      <c r="F25" s="403"/>
      <c r="G25" s="403"/>
      <c r="H25" s="403"/>
      <c r="I25" s="404"/>
    </row>
    <row r="26" spans="1:9" ht="43.8" thickBot="1" x14ac:dyDescent="0.35">
      <c r="A26" s="14" t="s">
        <v>0</v>
      </c>
      <c r="B26" s="15" t="s">
        <v>1</v>
      </c>
      <c r="C26" s="15" t="s">
        <v>21</v>
      </c>
      <c r="D26" s="16" t="s">
        <v>2</v>
      </c>
      <c r="E26" s="16" t="s">
        <v>22</v>
      </c>
      <c r="F26" s="16" t="s">
        <v>23</v>
      </c>
      <c r="G26" s="16" t="s">
        <v>3</v>
      </c>
      <c r="H26" s="15" t="s">
        <v>4</v>
      </c>
      <c r="I26" s="32" t="s">
        <v>5</v>
      </c>
    </row>
    <row r="27" spans="1:9" x14ac:dyDescent="0.3">
      <c r="A27" s="9" t="s">
        <v>24</v>
      </c>
      <c r="B27" s="10">
        <v>34</v>
      </c>
      <c r="C27" s="11">
        <v>35.18</v>
      </c>
      <c r="D27" s="7">
        <v>120.5</v>
      </c>
      <c r="E27" s="12">
        <f>+C27*D27</f>
        <v>4239.1899999999996</v>
      </c>
      <c r="F27" s="13">
        <f>+B27*E27</f>
        <v>144132.46</v>
      </c>
      <c r="G27" s="22">
        <f>+F27*3.5%</f>
        <v>5044.6361000000006</v>
      </c>
      <c r="H27" s="12"/>
      <c r="I27" s="22">
        <f>F27*3%</f>
        <v>4323.9737999999998</v>
      </c>
    </row>
    <row r="28" spans="1:9" x14ac:dyDescent="0.3">
      <c r="A28" s="9" t="s">
        <v>25</v>
      </c>
      <c r="B28" s="10">
        <v>15</v>
      </c>
      <c r="C28" s="11">
        <v>50.05</v>
      </c>
      <c r="D28" s="7">
        <v>120.5</v>
      </c>
      <c r="E28" s="12">
        <f t="shared" ref="E28:E30" si="5">+C28*D28</f>
        <v>6031.0249999999996</v>
      </c>
      <c r="F28" s="13">
        <f t="shared" ref="F28:F34" si="6">+B28*E28</f>
        <v>90465.375</v>
      </c>
      <c r="G28" s="22">
        <f t="shared" ref="G28:G34" si="7">+F28*3.5%</f>
        <v>3166.2881250000005</v>
      </c>
      <c r="H28" s="12"/>
      <c r="I28" s="22">
        <f t="shared" ref="I28:I33" si="8">F28*3%</f>
        <v>2713.9612499999998</v>
      </c>
    </row>
    <row r="29" spans="1:9" x14ac:dyDescent="0.3">
      <c r="A29" s="9" t="s">
        <v>6</v>
      </c>
      <c r="B29" s="10">
        <v>901</v>
      </c>
      <c r="C29" s="11">
        <v>52.62</v>
      </c>
      <c r="D29" s="7">
        <v>120.5</v>
      </c>
      <c r="E29" s="12">
        <f t="shared" si="5"/>
        <v>6340.71</v>
      </c>
      <c r="F29" s="13">
        <f t="shared" si="6"/>
        <v>5712979.71</v>
      </c>
      <c r="G29" s="22">
        <f t="shared" si="7"/>
        <v>199954.28985000003</v>
      </c>
      <c r="H29" s="12"/>
      <c r="I29" s="22">
        <f t="shared" si="8"/>
        <v>171389.39129999999</v>
      </c>
    </row>
    <row r="30" spans="1:9" x14ac:dyDescent="0.3">
      <c r="A30" s="9" t="s">
        <v>26</v>
      </c>
      <c r="B30" s="10">
        <v>40</v>
      </c>
      <c r="C30" s="11">
        <v>78</v>
      </c>
      <c r="D30" s="7">
        <v>120.5</v>
      </c>
      <c r="E30" s="12">
        <f t="shared" si="5"/>
        <v>9399</v>
      </c>
      <c r="F30" s="13">
        <f t="shared" si="6"/>
        <v>375960</v>
      </c>
      <c r="G30" s="22">
        <f t="shared" si="7"/>
        <v>13158.6</v>
      </c>
      <c r="H30" s="12"/>
      <c r="I30" s="22">
        <f t="shared" si="8"/>
        <v>11278.8</v>
      </c>
    </row>
    <row r="31" spans="1:9" x14ac:dyDescent="0.3">
      <c r="A31" s="3" t="s">
        <v>29</v>
      </c>
      <c r="B31" s="4">
        <v>364</v>
      </c>
      <c r="C31" s="11" t="s">
        <v>20</v>
      </c>
      <c r="D31" s="11" t="s">
        <v>20</v>
      </c>
      <c r="E31" s="6">
        <v>2000</v>
      </c>
      <c r="F31" s="13">
        <f>+B31*E31</f>
        <v>728000</v>
      </c>
      <c r="G31" s="22">
        <f t="shared" si="7"/>
        <v>25480.000000000004</v>
      </c>
      <c r="H31" s="6"/>
      <c r="I31" s="22">
        <f t="shared" si="8"/>
        <v>21840</v>
      </c>
    </row>
    <row r="32" spans="1:9" x14ac:dyDescent="0.3">
      <c r="A32" s="3" t="s">
        <v>15</v>
      </c>
      <c r="B32" s="4">
        <v>36</v>
      </c>
      <c r="C32" s="11" t="s">
        <v>20</v>
      </c>
      <c r="D32" s="11" t="s">
        <v>20</v>
      </c>
      <c r="E32" s="6">
        <v>3600</v>
      </c>
      <c r="F32" s="13">
        <f t="shared" si="6"/>
        <v>129600</v>
      </c>
      <c r="G32" s="22">
        <f t="shared" si="7"/>
        <v>4536</v>
      </c>
      <c r="H32" s="6"/>
      <c r="I32" s="22">
        <f t="shared" si="8"/>
        <v>3888</v>
      </c>
    </row>
    <row r="33" spans="1:9" x14ac:dyDescent="0.3">
      <c r="A33" s="3" t="s">
        <v>27</v>
      </c>
      <c r="B33" s="4">
        <v>130</v>
      </c>
      <c r="C33" s="11" t="s">
        <v>20</v>
      </c>
      <c r="D33" s="11" t="s">
        <v>20</v>
      </c>
      <c r="E33" s="6">
        <v>100</v>
      </c>
      <c r="F33" s="13">
        <f t="shared" si="6"/>
        <v>13000</v>
      </c>
      <c r="G33" s="22">
        <f t="shared" si="7"/>
        <v>455.00000000000006</v>
      </c>
      <c r="H33" s="6"/>
      <c r="I33" s="22">
        <f t="shared" si="8"/>
        <v>390</v>
      </c>
    </row>
    <row r="34" spans="1:9" x14ac:dyDescent="0.3">
      <c r="A34" s="3" t="s">
        <v>28</v>
      </c>
      <c r="B34" s="4">
        <v>20</v>
      </c>
      <c r="C34" s="11" t="s">
        <v>20</v>
      </c>
      <c r="D34" s="11" t="s">
        <v>20</v>
      </c>
      <c r="E34" s="6">
        <v>10000</v>
      </c>
      <c r="F34" s="13">
        <f t="shared" si="6"/>
        <v>200000</v>
      </c>
      <c r="G34" s="22">
        <f t="shared" si="7"/>
        <v>7000.0000000000009</v>
      </c>
      <c r="H34" s="6"/>
      <c r="I34" s="22">
        <f>F34*3%</f>
        <v>6000</v>
      </c>
    </row>
    <row r="35" spans="1:9" ht="15" thickBot="1" x14ac:dyDescent="0.35">
      <c r="A35" s="8" t="s">
        <v>19</v>
      </c>
      <c r="B35" s="8"/>
      <c r="C35" s="18"/>
      <c r="D35" s="19"/>
      <c r="E35" s="20"/>
      <c r="F35" s="21"/>
      <c r="G35" s="20">
        <f>SUM(G27:G34)</f>
        <v>258794.81407500003</v>
      </c>
      <c r="H35" s="20"/>
      <c r="I35" s="20">
        <f>SUM(I27:I34)</f>
        <v>221824.12634999998</v>
      </c>
    </row>
    <row r="36" spans="1:9" ht="18.600000000000001" thickBot="1" x14ac:dyDescent="0.35">
      <c r="A36" s="31" t="s">
        <v>56</v>
      </c>
      <c r="B36" s="405" t="s">
        <v>59</v>
      </c>
      <c r="C36" s="405"/>
      <c r="D36" s="405"/>
      <c r="E36" s="405"/>
      <c r="F36" s="405"/>
      <c r="G36" s="405"/>
      <c r="H36" s="405"/>
      <c r="I36" s="406"/>
    </row>
    <row r="37" spans="1:9" ht="15" thickBot="1" x14ac:dyDescent="0.35"/>
    <row r="38" spans="1:9" ht="16.2" thickBot="1" x14ac:dyDescent="0.35">
      <c r="A38" s="402" t="s">
        <v>37</v>
      </c>
      <c r="B38" s="403"/>
      <c r="C38" s="403"/>
      <c r="D38" s="403"/>
      <c r="E38" s="403"/>
      <c r="F38" s="403"/>
      <c r="G38" s="403"/>
      <c r="H38" s="403"/>
      <c r="I38" s="404"/>
    </row>
    <row r="39" spans="1:9" ht="43.8" thickBot="1" x14ac:dyDescent="0.35">
      <c r="A39" s="14" t="s">
        <v>0</v>
      </c>
      <c r="B39" s="15" t="s">
        <v>1</v>
      </c>
      <c r="C39" s="15" t="s">
        <v>21</v>
      </c>
      <c r="D39" s="16" t="s">
        <v>2</v>
      </c>
      <c r="E39" s="16" t="s">
        <v>22</v>
      </c>
      <c r="F39" s="16" t="s">
        <v>23</v>
      </c>
      <c r="G39" s="16" t="s">
        <v>3</v>
      </c>
      <c r="H39" s="15" t="s">
        <v>4</v>
      </c>
      <c r="I39" s="32" t="s">
        <v>5</v>
      </c>
    </row>
    <row r="40" spans="1:9" x14ac:dyDescent="0.3">
      <c r="A40" s="9" t="s">
        <v>50</v>
      </c>
      <c r="B40" s="10">
        <v>13</v>
      </c>
      <c r="C40" s="11"/>
      <c r="D40" s="7">
        <v>120.75</v>
      </c>
      <c r="E40" s="12">
        <v>2000</v>
      </c>
      <c r="F40" s="13">
        <f>+B40*E40</f>
        <v>26000</v>
      </c>
      <c r="G40" s="22">
        <f>+F40*3.5%</f>
        <v>910.00000000000011</v>
      </c>
      <c r="H40" s="12">
        <v>0</v>
      </c>
      <c r="I40" s="22">
        <f>F40*3%</f>
        <v>780</v>
      </c>
    </row>
    <row r="41" spans="1:9" x14ac:dyDescent="0.3">
      <c r="A41" s="3" t="s">
        <v>38</v>
      </c>
      <c r="B41" s="4">
        <v>8</v>
      </c>
      <c r="C41" s="5"/>
      <c r="D41" s="7">
        <v>120.75</v>
      </c>
      <c r="E41" s="6">
        <v>1000</v>
      </c>
      <c r="F41" s="13">
        <f t="shared" ref="F41:F45" si="9">+B41*E41</f>
        <v>8000</v>
      </c>
      <c r="G41" s="22">
        <f t="shared" ref="G41:G45" si="10">+F41*3.5%</f>
        <v>280</v>
      </c>
      <c r="H41" s="6">
        <v>0</v>
      </c>
      <c r="I41" s="22">
        <f t="shared" ref="I41:I45" si="11">F41*3%</f>
        <v>240</v>
      </c>
    </row>
    <row r="42" spans="1:9" x14ac:dyDescent="0.3">
      <c r="A42" s="3" t="s">
        <v>39</v>
      </c>
      <c r="B42" s="4">
        <v>3</v>
      </c>
      <c r="C42" s="5"/>
      <c r="D42" s="7">
        <v>120.75</v>
      </c>
      <c r="E42" s="6">
        <v>1800</v>
      </c>
      <c r="F42" s="13">
        <f t="shared" si="9"/>
        <v>5400</v>
      </c>
      <c r="G42" s="22">
        <f t="shared" si="10"/>
        <v>189.00000000000003</v>
      </c>
      <c r="H42" s="6">
        <v>0</v>
      </c>
      <c r="I42" s="22">
        <f t="shared" si="11"/>
        <v>162</v>
      </c>
    </row>
    <row r="43" spans="1:9" x14ac:dyDescent="0.3">
      <c r="A43" s="3" t="s">
        <v>40</v>
      </c>
      <c r="B43" s="4">
        <v>2</v>
      </c>
      <c r="C43" s="5"/>
      <c r="D43" s="7">
        <v>120.75</v>
      </c>
      <c r="E43" s="6">
        <v>1800</v>
      </c>
      <c r="F43" s="13">
        <f t="shared" si="9"/>
        <v>3600</v>
      </c>
      <c r="G43" s="22">
        <f t="shared" si="10"/>
        <v>126.00000000000001</v>
      </c>
      <c r="H43" s="6">
        <v>0</v>
      </c>
      <c r="I43" s="22">
        <f t="shared" si="11"/>
        <v>108</v>
      </c>
    </row>
    <row r="44" spans="1:9" x14ac:dyDescent="0.3">
      <c r="A44" s="3" t="s">
        <v>41</v>
      </c>
      <c r="B44" s="4">
        <v>8</v>
      </c>
      <c r="C44" s="5"/>
      <c r="D44" s="7">
        <v>120.75</v>
      </c>
      <c r="E44" s="6">
        <v>500</v>
      </c>
      <c r="F44" s="13">
        <f t="shared" si="9"/>
        <v>4000</v>
      </c>
      <c r="G44" s="22">
        <f t="shared" si="10"/>
        <v>140</v>
      </c>
      <c r="H44" s="6">
        <v>0</v>
      </c>
      <c r="I44" s="22">
        <f t="shared" si="11"/>
        <v>120</v>
      </c>
    </row>
    <row r="45" spans="1:9" x14ac:dyDescent="0.3">
      <c r="A45" s="3" t="s">
        <v>42</v>
      </c>
      <c r="B45" s="4">
        <v>10</v>
      </c>
      <c r="C45" s="5"/>
      <c r="D45" s="7">
        <v>120.75</v>
      </c>
      <c r="E45" s="6">
        <v>5000</v>
      </c>
      <c r="F45" s="13">
        <f t="shared" si="9"/>
        <v>50000</v>
      </c>
      <c r="G45" s="22">
        <f t="shared" si="10"/>
        <v>1750.0000000000002</v>
      </c>
      <c r="H45" s="6">
        <v>0</v>
      </c>
      <c r="I45" s="22">
        <f t="shared" si="11"/>
        <v>1500</v>
      </c>
    </row>
    <row r="46" spans="1:9" ht="15" thickBot="1" x14ac:dyDescent="0.35">
      <c r="A46" s="8" t="s">
        <v>19</v>
      </c>
      <c r="B46" s="8"/>
      <c r="C46" s="18"/>
      <c r="D46" s="19"/>
      <c r="E46" s="20"/>
      <c r="F46" s="21"/>
      <c r="G46" s="20">
        <f>SUM(G40:G45)</f>
        <v>3395</v>
      </c>
      <c r="H46" s="19"/>
      <c r="I46" s="20">
        <f>SUM(I40:I45)</f>
        <v>2910</v>
      </c>
    </row>
    <row r="47" spans="1:9" ht="18.600000000000001" thickBot="1" x14ac:dyDescent="0.35">
      <c r="A47" s="31" t="s">
        <v>56</v>
      </c>
      <c r="B47" s="405" t="s">
        <v>58</v>
      </c>
      <c r="C47" s="405"/>
      <c r="D47" s="405"/>
      <c r="E47" s="405"/>
      <c r="F47" s="405"/>
      <c r="G47" s="405"/>
      <c r="H47" s="405"/>
      <c r="I47" s="406"/>
    </row>
    <row r="48" spans="1:9" ht="15" thickBot="1" x14ac:dyDescent="0.35"/>
    <row r="49" spans="1:9" ht="16.2" thickBot="1" x14ac:dyDescent="0.35">
      <c r="A49" s="402" t="s">
        <v>49</v>
      </c>
      <c r="B49" s="403"/>
      <c r="C49" s="403"/>
      <c r="D49" s="403"/>
      <c r="E49" s="403"/>
      <c r="F49" s="403"/>
      <c r="G49" s="403"/>
      <c r="H49" s="403"/>
      <c r="I49" s="404"/>
    </row>
    <row r="50" spans="1:9" ht="43.8" thickBot="1" x14ac:dyDescent="0.35">
      <c r="A50" s="14" t="s">
        <v>0</v>
      </c>
      <c r="B50" s="15" t="s">
        <v>1</v>
      </c>
      <c r="C50" s="15" t="s">
        <v>21</v>
      </c>
      <c r="D50" s="16" t="s">
        <v>2</v>
      </c>
      <c r="E50" s="16" t="s">
        <v>22</v>
      </c>
      <c r="F50" s="16" t="s">
        <v>23</v>
      </c>
      <c r="G50" s="16" t="s">
        <v>3</v>
      </c>
      <c r="H50" s="15" t="s">
        <v>4</v>
      </c>
      <c r="I50" s="32" t="s">
        <v>5</v>
      </c>
    </row>
    <row r="51" spans="1:9" x14ac:dyDescent="0.3">
      <c r="A51" s="9" t="s">
        <v>43</v>
      </c>
      <c r="B51" s="10">
        <v>100</v>
      </c>
      <c r="C51" s="11">
        <v>27.84</v>
      </c>
      <c r="D51" s="7">
        <v>121.75</v>
      </c>
      <c r="E51" s="12">
        <f>+C51*D51</f>
        <v>3389.52</v>
      </c>
      <c r="F51" s="13">
        <f>+B51*E51</f>
        <v>338952</v>
      </c>
      <c r="G51" s="22">
        <f>+F51*3.5%</f>
        <v>11863.320000000002</v>
      </c>
      <c r="H51" s="12">
        <v>0</v>
      </c>
      <c r="I51" s="22">
        <f>F51*3%</f>
        <v>10168.56</v>
      </c>
    </row>
    <row r="52" spans="1:9" x14ac:dyDescent="0.3">
      <c r="A52" s="9" t="s">
        <v>44</v>
      </c>
      <c r="B52" s="10">
        <v>48</v>
      </c>
      <c r="C52" s="11">
        <v>33.32</v>
      </c>
      <c r="D52" s="7">
        <v>121.75</v>
      </c>
      <c r="E52" s="12">
        <f t="shared" ref="E52:E54" si="12">+C52*D52</f>
        <v>4056.71</v>
      </c>
      <c r="F52" s="13">
        <f t="shared" ref="F52:F54" si="13">+B52*E52</f>
        <v>194722.08000000002</v>
      </c>
      <c r="G52" s="22">
        <f t="shared" ref="G52:G54" si="14">+F52*3.5%</f>
        <v>6815.2728000000016</v>
      </c>
      <c r="H52" s="12">
        <v>0</v>
      </c>
      <c r="I52" s="22">
        <f t="shared" ref="I52:I54" si="15">F52*3%</f>
        <v>5841.6624000000002</v>
      </c>
    </row>
    <row r="53" spans="1:9" x14ac:dyDescent="0.3">
      <c r="A53" s="9" t="s">
        <v>45</v>
      </c>
      <c r="B53" s="4">
        <v>80</v>
      </c>
      <c r="C53" s="5">
        <v>32.07</v>
      </c>
      <c r="D53" s="7">
        <v>121.75</v>
      </c>
      <c r="E53" s="12">
        <f t="shared" si="12"/>
        <v>3904.5225</v>
      </c>
      <c r="F53" s="13">
        <f t="shared" si="13"/>
        <v>312361.8</v>
      </c>
      <c r="G53" s="22">
        <f t="shared" si="14"/>
        <v>10932.663</v>
      </c>
      <c r="H53" s="12">
        <v>0</v>
      </c>
      <c r="I53" s="22">
        <f t="shared" si="15"/>
        <v>9370.8539999999994</v>
      </c>
    </row>
    <row r="54" spans="1:9" x14ac:dyDescent="0.3">
      <c r="A54" s="9" t="s">
        <v>46</v>
      </c>
      <c r="B54" s="4">
        <v>13</v>
      </c>
      <c r="C54" s="5">
        <v>46.94</v>
      </c>
      <c r="D54" s="7">
        <v>121.75</v>
      </c>
      <c r="E54" s="6">
        <f t="shared" si="12"/>
        <v>5714.9449999999997</v>
      </c>
      <c r="F54" s="13">
        <f t="shared" si="13"/>
        <v>74294.285000000003</v>
      </c>
      <c r="G54" s="22">
        <f t="shared" si="14"/>
        <v>2600.2999750000004</v>
      </c>
      <c r="H54" s="12">
        <v>0</v>
      </c>
      <c r="I54" s="22">
        <f t="shared" si="15"/>
        <v>2228.8285500000002</v>
      </c>
    </row>
    <row r="55" spans="1:9" ht="15" thickBot="1" x14ac:dyDescent="0.35">
      <c r="A55" s="8" t="s">
        <v>19</v>
      </c>
      <c r="B55" s="8"/>
      <c r="C55" s="18"/>
      <c r="D55" s="19"/>
      <c r="E55" s="20"/>
      <c r="F55" s="21"/>
      <c r="G55" s="20">
        <f>SUM(G51:G54)</f>
        <v>32211.555775000004</v>
      </c>
      <c r="H55" s="19"/>
      <c r="I55" s="20">
        <f>SUM(I51:I54)</f>
        <v>27609.904949999996</v>
      </c>
    </row>
    <row r="56" spans="1:9" ht="18.600000000000001" thickBot="1" x14ac:dyDescent="0.35">
      <c r="A56" s="31" t="s">
        <v>56</v>
      </c>
      <c r="B56" s="405" t="s">
        <v>58</v>
      </c>
      <c r="C56" s="405"/>
      <c r="D56" s="405"/>
      <c r="E56" s="405"/>
      <c r="F56" s="405"/>
      <c r="G56" s="405"/>
      <c r="H56" s="405"/>
      <c r="I56" s="406"/>
    </row>
    <row r="57" spans="1:9" ht="15" thickBot="1" x14ac:dyDescent="0.35"/>
    <row r="58" spans="1:9" ht="16.2" thickBot="1" x14ac:dyDescent="0.35">
      <c r="A58" s="402" t="s">
        <v>48</v>
      </c>
      <c r="B58" s="403"/>
      <c r="C58" s="403"/>
      <c r="D58" s="403"/>
      <c r="E58" s="403"/>
      <c r="F58" s="403"/>
      <c r="G58" s="403"/>
      <c r="H58" s="403"/>
      <c r="I58" s="404"/>
    </row>
    <row r="59" spans="1:9" ht="43.8" thickBot="1" x14ac:dyDescent="0.35">
      <c r="A59" s="14" t="s">
        <v>0</v>
      </c>
      <c r="B59" s="15" t="s">
        <v>1</v>
      </c>
      <c r="C59" s="15" t="s">
        <v>21</v>
      </c>
      <c r="D59" s="16" t="s">
        <v>2</v>
      </c>
      <c r="E59" s="16" t="s">
        <v>22</v>
      </c>
      <c r="F59" s="16" t="s">
        <v>23</v>
      </c>
      <c r="G59" s="16" t="s">
        <v>3</v>
      </c>
      <c r="H59" s="15" t="s">
        <v>4</v>
      </c>
      <c r="I59" s="32" t="s">
        <v>5</v>
      </c>
    </row>
    <row r="60" spans="1:9" x14ac:dyDescent="0.3">
      <c r="A60" s="9" t="s">
        <v>24</v>
      </c>
      <c r="B60" s="10">
        <v>99</v>
      </c>
      <c r="C60" s="11">
        <v>35.18</v>
      </c>
      <c r="D60" s="7">
        <v>124.5</v>
      </c>
      <c r="E60" s="12">
        <f>+C60*D60</f>
        <v>4379.91</v>
      </c>
      <c r="F60" s="13">
        <f>+B60*E60</f>
        <v>433611.08999999997</v>
      </c>
      <c r="G60" s="22">
        <f>+F60*3.5%</f>
        <v>15176.388150000001</v>
      </c>
      <c r="H60" s="12">
        <v>0</v>
      </c>
      <c r="I60" s="22">
        <f>F60*3%</f>
        <v>13008.332699999999</v>
      </c>
    </row>
    <row r="61" spans="1:9" x14ac:dyDescent="0.3">
      <c r="A61" s="9" t="s">
        <v>51</v>
      </c>
      <c r="B61" s="10">
        <v>8</v>
      </c>
      <c r="C61" s="11">
        <v>150</v>
      </c>
      <c r="D61" s="7">
        <v>124.5</v>
      </c>
      <c r="E61" s="12">
        <f t="shared" ref="E61:E62" si="16">+C61*D61</f>
        <v>18675</v>
      </c>
      <c r="F61" s="13">
        <f t="shared" ref="F61:F63" si="17">+B61*E61</f>
        <v>149400</v>
      </c>
      <c r="G61" s="22">
        <f t="shared" ref="G61:G63" si="18">+F61*3.5%</f>
        <v>5229.0000000000009</v>
      </c>
      <c r="H61" s="12">
        <v>0</v>
      </c>
      <c r="I61" s="22">
        <f t="shared" ref="I61:I63" si="19">F61*3%</f>
        <v>4482</v>
      </c>
    </row>
    <row r="62" spans="1:9" x14ac:dyDescent="0.3">
      <c r="A62" s="9" t="s">
        <v>52</v>
      </c>
      <c r="B62" s="4">
        <v>8</v>
      </c>
      <c r="C62" s="5">
        <v>130</v>
      </c>
      <c r="D62" s="7">
        <v>124.5</v>
      </c>
      <c r="E62" s="12">
        <f t="shared" si="16"/>
        <v>16185</v>
      </c>
      <c r="F62" s="13">
        <f t="shared" si="17"/>
        <v>129480</v>
      </c>
      <c r="G62" s="22">
        <f t="shared" si="18"/>
        <v>4531.8</v>
      </c>
      <c r="H62" s="12">
        <v>0</v>
      </c>
      <c r="I62" s="22">
        <f t="shared" si="19"/>
        <v>3884.3999999999996</v>
      </c>
    </row>
    <row r="63" spans="1:9" x14ac:dyDescent="0.3">
      <c r="A63" s="9" t="s">
        <v>47</v>
      </c>
      <c r="B63" s="4">
        <v>4</v>
      </c>
      <c r="C63" s="5"/>
      <c r="D63" s="7">
        <v>124.5</v>
      </c>
      <c r="E63" s="12">
        <v>40000</v>
      </c>
      <c r="F63" s="13">
        <f t="shared" si="17"/>
        <v>160000</v>
      </c>
      <c r="G63" s="22">
        <f t="shared" si="18"/>
        <v>5600.0000000000009</v>
      </c>
      <c r="H63" s="12">
        <v>0</v>
      </c>
      <c r="I63" s="22">
        <f t="shared" si="19"/>
        <v>4800</v>
      </c>
    </row>
    <row r="64" spans="1:9" ht="15" thickBot="1" x14ac:dyDescent="0.35">
      <c r="A64" s="8" t="s">
        <v>19</v>
      </c>
      <c r="B64" s="8"/>
      <c r="C64" s="18"/>
      <c r="D64" s="19"/>
      <c r="E64" s="20"/>
      <c r="F64" s="21"/>
      <c r="G64" s="20">
        <f>SUM(G60:G63)</f>
        <v>30537.188150000002</v>
      </c>
      <c r="H64" s="19"/>
      <c r="I64" s="20">
        <f>SUM(I60:I63)</f>
        <v>26174.7327</v>
      </c>
    </row>
    <row r="65" spans="1:9" ht="18.600000000000001" thickBot="1" x14ac:dyDescent="0.35">
      <c r="A65" s="31" t="s">
        <v>56</v>
      </c>
      <c r="B65" s="405" t="s">
        <v>58</v>
      </c>
      <c r="C65" s="405"/>
      <c r="D65" s="405"/>
      <c r="E65" s="405"/>
      <c r="F65" s="405"/>
      <c r="G65" s="405"/>
      <c r="H65" s="405"/>
      <c r="I65" s="406"/>
    </row>
  </sheetData>
  <mergeCells count="12">
    <mergeCell ref="A1:I1"/>
    <mergeCell ref="B16:I16"/>
    <mergeCell ref="A25:I25"/>
    <mergeCell ref="B36:I36"/>
    <mergeCell ref="A38:I38"/>
    <mergeCell ref="A49:I49"/>
    <mergeCell ref="B56:I56"/>
    <mergeCell ref="A58:I58"/>
    <mergeCell ref="B65:I65"/>
    <mergeCell ref="A18:F18"/>
    <mergeCell ref="B23:F23"/>
    <mergeCell ref="B47:I47"/>
  </mergeCells>
  <pageMargins left="0.51181102362204722" right="0.51181102362204722" top="0.35433070866141736" bottom="0.19685039370078741" header="0.31496062992125984" footer="0.31496062992125984"/>
  <pageSetup scale="8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J10"/>
  <sheetViews>
    <sheetView workbookViewId="0">
      <selection activeCell="D11" sqref="D11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9" width="18.6640625" customWidth="1"/>
    <col min="10" max="10" width="19.6640625" customWidth="1"/>
    <col min="11" max="11" width="18.6640625" customWidth="1"/>
  </cols>
  <sheetData>
    <row r="1" spans="2:10" ht="15" thickBot="1" x14ac:dyDescent="0.35"/>
    <row r="2" spans="2:10" ht="27" customHeight="1" thickBot="1" x14ac:dyDescent="0.35">
      <c r="B2" s="402" t="s">
        <v>61</v>
      </c>
      <c r="C2" s="403"/>
      <c r="D2" s="403"/>
      <c r="E2" s="403"/>
      <c r="F2" s="403"/>
      <c r="G2" s="403"/>
      <c r="H2" s="403"/>
      <c r="I2" s="403"/>
      <c r="J2" s="404"/>
    </row>
    <row r="3" spans="2:10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22</v>
      </c>
      <c r="G3" s="15" t="s">
        <v>23</v>
      </c>
      <c r="H3" s="16" t="s">
        <v>3</v>
      </c>
      <c r="I3" s="15" t="s">
        <v>4</v>
      </c>
      <c r="J3" s="17" t="s">
        <v>5</v>
      </c>
    </row>
    <row r="4" spans="2:10" ht="20.100000000000001" customHeight="1" x14ac:dyDescent="0.3">
      <c r="B4" s="3" t="s">
        <v>10</v>
      </c>
      <c r="C4" s="4">
        <v>40</v>
      </c>
      <c r="D4" s="5">
        <v>23.17</v>
      </c>
      <c r="E4" s="7">
        <v>120.5</v>
      </c>
      <c r="F4" s="6">
        <f t="shared" ref="F4:F6" si="0">+D4*E4</f>
        <v>2791.9850000000001</v>
      </c>
      <c r="G4" s="13">
        <f t="shared" ref="G4:G6" si="1">+C4*F4</f>
        <v>111679.40000000001</v>
      </c>
      <c r="H4" s="22">
        <f t="shared" ref="H4:H6" si="2">+G4*3.5%</f>
        <v>3908.7790000000005</v>
      </c>
      <c r="I4" s="6">
        <v>0</v>
      </c>
      <c r="J4" s="22">
        <f>+I4*3%</f>
        <v>0</v>
      </c>
    </row>
    <row r="5" spans="2:10" ht="20.100000000000001" customHeight="1" x14ac:dyDescent="0.3">
      <c r="B5" s="3" t="s">
        <v>30</v>
      </c>
      <c r="C5" s="4">
        <v>40</v>
      </c>
      <c r="D5" s="5">
        <v>16.3</v>
      </c>
      <c r="E5" s="7">
        <v>120.5</v>
      </c>
      <c r="F5" s="6">
        <f t="shared" si="0"/>
        <v>1964.15</v>
      </c>
      <c r="G5" s="13">
        <f t="shared" si="1"/>
        <v>78566</v>
      </c>
      <c r="H5" s="22">
        <f t="shared" si="2"/>
        <v>2749.8100000000004</v>
      </c>
      <c r="I5" s="6"/>
      <c r="J5" s="22"/>
    </row>
    <row r="6" spans="2:10" ht="20.100000000000001" customHeight="1" x14ac:dyDescent="0.3">
      <c r="B6" s="34" t="s">
        <v>224</v>
      </c>
      <c r="C6" s="35">
        <v>200</v>
      </c>
      <c r="D6" s="36">
        <v>62.78</v>
      </c>
      <c r="E6" s="37">
        <v>120.5</v>
      </c>
      <c r="F6" s="6">
        <f t="shared" si="0"/>
        <v>7564.99</v>
      </c>
      <c r="G6" s="13">
        <f t="shared" si="1"/>
        <v>1512998</v>
      </c>
      <c r="H6" s="22">
        <f t="shared" si="2"/>
        <v>52954.930000000008</v>
      </c>
      <c r="I6" s="38"/>
      <c r="J6" s="39"/>
    </row>
    <row r="7" spans="2:10" ht="28.5" customHeight="1" thickBot="1" x14ac:dyDescent="0.35">
      <c r="B7" s="26" t="s">
        <v>19</v>
      </c>
      <c r="C7" s="26"/>
      <c r="D7" s="27"/>
      <c r="E7" s="28"/>
      <c r="F7" s="29"/>
      <c r="G7" s="30"/>
      <c r="H7" s="29">
        <f>SUM(H4:H5)</f>
        <v>6658.5890000000009</v>
      </c>
      <c r="I7" s="28"/>
      <c r="J7" s="29">
        <f>SUM(J4:J5)</f>
        <v>0</v>
      </c>
    </row>
    <row r="8" spans="2:10" s="25" customFormat="1" ht="25.5" customHeight="1" thickBot="1" x14ac:dyDescent="0.35">
      <c r="B8" s="31" t="s">
        <v>56</v>
      </c>
      <c r="C8" s="405"/>
      <c r="D8" s="405"/>
      <c r="E8" s="405"/>
      <c r="F8" s="405"/>
      <c r="G8" s="405"/>
      <c r="H8" s="405"/>
      <c r="I8" s="405"/>
      <c r="J8" s="406"/>
    </row>
    <row r="9" spans="2:10" ht="20.100000000000001" customHeight="1" x14ac:dyDescent="0.3"/>
    <row r="10" spans="2:10" ht="20.100000000000001" customHeight="1" x14ac:dyDescent="0.3"/>
  </sheetData>
  <mergeCells count="2">
    <mergeCell ref="B2:J2"/>
    <mergeCell ref="C8:J8"/>
  </mergeCells>
  <pageMargins left="0.70866141732283472" right="0.70866141732283472" top="0.74803149606299213" bottom="0.74803149606299213" header="0.31496062992125984" footer="0.31496062992125984"/>
  <pageSetup scale="6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J44"/>
  <sheetViews>
    <sheetView topLeftCell="A25" workbookViewId="0">
      <selection activeCell="B27" sqref="B27:J43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9" width="18.6640625" customWidth="1"/>
    <col min="10" max="10" width="19.6640625" customWidth="1"/>
    <col min="11" max="11" width="18.6640625" customWidth="1"/>
  </cols>
  <sheetData>
    <row r="1" spans="2:10" ht="15" thickBot="1" x14ac:dyDescent="0.35"/>
    <row r="2" spans="2:10" ht="27" customHeight="1" thickBot="1" x14ac:dyDescent="0.35">
      <c r="B2" s="402" t="s">
        <v>62</v>
      </c>
      <c r="C2" s="403"/>
      <c r="D2" s="403"/>
      <c r="E2" s="403"/>
      <c r="F2" s="403"/>
      <c r="G2" s="403"/>
      <c r="H2" s="403"/>
      <c r="I2" s="403"/>
      <c r="J2" s="404"/>
    </row>
    <row r="3" spans="2:10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22</v>
      </c>
      <c r="G3" s="15" t="s">
        <v>23</v>
      </c>
      <c r="H3" s="16" t="s">
        <v>3</v>
      </c>
      <c r="I3" s="15" t="s">
        <v>4</v>
      </c>
      <c r="J3" s="17" t="s">
        <v>5</v>
      </c>
    </row>
    <row r="4" spans="2:10" s="1" customFormat="1" ht="20.399999999999999" customHeight="1" thickBot="1" x14ac:dyDescent="0.35">
      <c r="B4" s="409" t="s">
        <v>70</v>
      </c>
      <c r="C4" s="410"/>
      <c r="D4" s="410"/>
      <c r="E4" s="410"/>
      <c r="F4" s="410"/>
      <c r="G4" s="410"/>
      <c r="H4" s="410"/>
      <c r="I4" s="411"/>
      <c r="J4" s="33"/>
    </row>
    <row r="5" spans="2:10" ht="20.100000000000001" customHeight="1" x14ac:dyDescent="0.3">
      <c r="B5" s="9" t="s">
        <v>24</v>
      </c>
      <c r="C5" s="10">
        <v>4</v>
      </c>
      <c r="D5" s="11"/>
      <c r="E5" s="13"/>
      <c r="F5" s="12"/>
      <c r="G5" s="13"/>
      <c r="H5" s="22"/>
      <c r="I5" s="12"/>
      <c r="J5" s="22">
        <f>G5*3%</f>
        <v>0</v>
      </c>
    </row>
    <row r="6" spans="2:10" ht="20.100000000000001" customHeight="1" x14ac:dyDescent="0.3">
      <c r="B6" s="9" t="s">
        <v>25</v>
      </c>
      <c r="C6" s="10">
        <v>4</v>
      </c>
      <c r="D6" s="11"/>
      <c r="E6" s="7"/>
      <c r="F6" s="12"/>
      <c r="G6" s="13"/>
      <c r="H6" s="22"/>
      <c r="I6" s="12"/>
      <c r="J6" s="22">
        <f t="shared" ref="J6:J13" si="0">G6*3%</f>
        <v>0</v>
      </c>
    </row>
    <row r="7" spans="2:10" ht="20.100000000000001" customHeight="1" x14ac:dyDescent="0.3">
      <c r="B7" s="9" t="s">
        <v>64</v>
      </c>
      <c r="C7" s="4">
        <v>419</v>
      </c>
      <c r="D7" s="5"/>
      <c r="E7" s="7"/>
      <c r="F7" s="12"/>
      <c r="G7" s="13"/>
      <c r="H7" s="22"/>
      <c r="I7" s="12"/>
      <c r="J7" s="22">
        <f t="shared" si="0"/>
        <v>0</v>
      </c>
    </row>
    <row r="8" spans="2:10" ht="20.100000000000001" customHeight="1" x14ac:dyDescent="0.3">
      <c r="B8" s="9" t="s">
        <v>63</v>
      </c>
      <c r="C8" s="4">
        <v>1</v>
      </c>
      <c r="D8" s="5"/>
      <c r="E8" s="7"/>
      <c r="F8" s="12"/>
      <c r="G8" s="13"/>
      <c r="H8" s="22"/>
      <c r="I8" s="12"/>
      <c r="J8" s="22">
        <f t="shared" si="0"/>
        <v>0</v>
      </c>
    </row>
    <row r="9" spans="2:10" ht="20.100000000000001" customHeight="1" x14ac:dyDescent="0.3">
      <c r="B9" s="9" t="s">
        <v>65</v>
      </c>
      <c r="C9" s="4">
        <v>2</v>
      </c>
      <c r="D9" s="5"/>
      <c r="E9" s="7"/>
      <c r="F9" s="12"/>
      <c r="G9" s="13"/>
      <c r="H9" s="22"/>
      <c r="I9" s="12"/>
      <c r="J9" s="22">
        <f t="shared" si="0"/>
        <v>0</v>
      </c>
    </row>
    <row r="10" spans="2:10" ht="20.100000000000001" customHeight="1" x14ac:dyDescent="0.3">
      <c r="B10" s="9" t="s">
        <v>66</v>
      </c>
      <c r="C10" s="4">
        <v>2</v>
      </c>
      <c r="D10" s="5"/>
      <c r="E10" s="7"/>
      <c r="F10" s="12"/>
      <c r="G10" s="13"/>
      <c r="H10" s="22"/>
      <c r="I10" s="12"/>
      <c r="J10" s="22">
        <f t="shared" si="0"/>
        <v>0</v>
      </c>
    </row>
    <row r="11" spans="2:10" ht="20.100000000000001" customHeight="1" x14ac:dyDescent="0.3">
      <c r="B11" s="9" t="s">
        <v>67</v>
      </c>
      <c r="C11" s="4">
        <v>123</v>
      </c>
      <c r="D11" s="5"/>
      <c r="E11" s="7"/>
      <c r="F11" s="12"/>
      <c r="G11" s="13"/>
      <c r="H11" s="22"/>
      <c r="I11" s="12"/>
      <c r="J11" s="22">
        <f t="shared" si="0"/>
        <v>0</v>
      </c>
    </row>
    <row r="12" spans="2:10" ht="20.100000000000001" customHeight="1" x14ac:dyDescent="0.3">
      <c r="B12" s="9" t="s">
        <v>68</v>
      </c>
      <c r="C12" s="4">
        <v>408</v>
      </c>
      <c r="D12" s="5"/>
      <c r="E12" s="7"/>
      <c r="F12" s="12"/>
      <c r="G12" s="13"/>
      <c r="H12" s="22"/>
      <c r="I12" s="12"/>
      <c r="J12" s="22">
        <f t="shared" si="0"/>
        <v>0</v>
      </c>
    </row>
    <row r="13" spans="2:10" ht="20.100000000000001" customHeight="1" x14ac:dyDescent="0.3">
      <c r="B13" s="9" t="s">
        <v>69</v>
      </c>
      <c r="C13" s="4">
        <v>8</v>
      </c>
      <c r="D13" s="5"/>
      <c r="E13" s="7"/>
      <c r="F13" s="12"/>
      <c r="G13" s="13"/>
      <c r="H13" s="22"/>
      <c r="I13" s="12"/>
      <c r="J13" s="22">
        <f t="shared" si="0"/>
        <v>0</v>
      </c>
    </row>
    <row r="14" spans="2:10" ht="28.5" customHeight="1" thickBot="1" x14ac:dyDescent="0.35">
      <c r="B14" s="8" t="s">
        <v>80</v>
      </c>
      <c r="C14" s="8"/>
      <c r="D14" s="18"/>
      <c r="E14" s="19"/>
      <c r="F14" s="20"/>
      <c r="G14" s="21"/>
      <c r="H14" s="20">
        <f>SUM(H5:H13)</f>
        <v>0</v>
      </c>
      <c r="I14" s="19"/>
      <c r="J14" s="20">
        <f>SUM(J5:J13)</f>
        <v>0</v>
      </c>
    </row>
    <row r="15" spans="2:10" s="1" customFormat="1" ht="20.399999999999999" customHeight="1" thickBot="1" x14ac:dyDescent="0.35">
      <c r="B15" s="409" t="s">
        <v>71</v>
      </c>
      <c r="C15" s="410"/>
      <c r="D15" s="410"/>
      <c r="E15" s="410"/>
      <c r="F15" s="410"/>
      <c r="G15" s="410"/>
      <c r="H15" s="410"/>
      <c r="I15" s="411"/>
      <c r="J15" s="33"/>
    </row>
    <row r="16" spans="2:10" ht="20.100000000000001" customHeight="1" x14ac:dyDescent="0.3">
      <c r="B16" s="9" t="s">
        <v>65</v>
      </c>
      <c r="C16" s="4">
        <v>148</v>
      </c>
      <c r="D16" s="5"/>
      <c r="E16" s="7"/>
      <c r="F16" s="12"/>
      <c r="G16" s="13"/>
      <c r="H16" s="22"/>
      <c r="I16" s="12"/>
      <c r="J16" s="22">
        <f t="shared" ref="J16:J25" si="1">G16*3%</f>
        <v>0</v>
      </c>
    </row>
    <row r="17" spans="2:10" ht="20.100000000000001" customHeight="1" x14ac:dyDescent="0.3">
      <c r="B17" s="9" t="s">
        <v>261</v>
      </c>
      <c r="C17" s="4">
        <v>111</v>
      </c>
      <c r="D17" s="5"/>
      <c r="E17" s="7"/>
      <c r="F17" s="12"/>
      <c r="G17" s="13"/>
      <c r="H17" s="22"/>
      <c r="I17" s="12"/>
      <c r="J17" s="22">
        <f t="shared" si="1"/>
        <v>0</v>
      </c>
    </row>
    <row r="18" spans="2:10" ht="20.100000000000001" customHeight="1" x14ac:dyDescent="0.3">
      <c r="B18" s="9" t="s">
        <v>72</v>
      </c>
      <c r="C18" s="4">
        <v>165</v>
      </c>
      <c r="D18" s="5"/>
      <c r="E18" s="7"/>
      <c r="F18" s="12"/>
      <c r="G18" s="13"/>
      <c r="H18" s="22"/>
      <c r="I18" s="12"/>
      <c r="J18" s="22">
        <f t="shared" si="1"/>
        <v>0</v>
      </c>
    </row>
    <row r="19" spans="2:10" ht="20.100000000000001" customHeight="1" x14ac:dyDescent="0.3">
      <c r="B19" s="9" t="s">
        <v>73</v>
      </c>
      <c r="C19" s="4">
        <v>38</v>
      </c>
      <c r="D19" s="5"/>
      <c r="E19" s="7"/>
      <c r="F19" s="12"/>
      <c r="G19" s="13"/>
      <c r="H19" s="22"/>
      <c r="I19" s="12"/>
      <c r="J19" s="22">
        <f t="shared" si="1"/>
        <v>0</v>
      </c>
    </row>
    <row r="20" spans="2:10" ht="20.100000000000001" customHeight="1" x14ac:dyDescent="0.3">
      <c r="B20" s="9" t="s">
        <v>74</v>
      </c>
      <c r="C20" s="4">
        <v>48</v>
      </c>
      <c r="D20" s="5"/>
      <c r="E20" s="7"/>
      <c r="F20" s="12"/>
      <c r="G20" s="13"/>
      <c r="H20" s="22"/>
      <c r="I20" s="12"/>
      <c r="J20" s="22">
        <f t="shared" si="1"/>
        <v>0</v>
      </c>
    </row>
    <row r="21" spans="2:10" ht="20.100000000000001" customHeight="1" x14ac:dyDescent="0.3">
      <c r="B21" s="9" t="s">
        <v>75</v>
      </c>
      <c r="C21" s="4">
        <v>2</v>
      </c>
      <c r="D21" s="5"/>
      <c r="E21" s="7"/>
      <c r="F21" s="12"/>
      <c r="G21" s="13"/>
      <c r="H21" s="22"/>
      <c r="I21" s="12"/>
      <c r="J21" s="22">
        <f t="shared" si="1"/>
        <v>0</v>
      </c>
    </row>
    <row r="22" spans="2:10" ht="20.100000000000001" customHeight="1" x14ac:dyDescent="0.3">
      <c r="B22" s="9" t="s">
        <v>76</v>
      </c>
      <c r="C22" s="4">
        <v>4</v>
      </c>
      <c r="D22" s="5"/>
      <c r="E22" s="7"/>
      <c r="F22" s="12"/>
      <c r="G22" s="13"/>
      <c r="H22" s="22"/>
      <c r="I22" s="12"/>
      <c r="J22" s="22">
        <f t="shared" si="1"/>
        <v>0</v>
      </c>
    </row>
    <row r="23" spans="2:10" ht="20.100000000000001" customHeight="1" x14ac:dyDescent="0.3">
      <c r="B23" s="9" t="s">
        <v>77</v>
      </c>
      <c r="C23" s="4">
        <v>4</v>
      </c>
      <c r="D23" s="5"/>
      <c r="E23" s="7"/>
      <c r="F23" s="12"/>
      <c r="G23" s="13"/>
      <c r="H23" s="22"/>
      <c r="I23" s="12"/>
      <c r="J23" s="22">
        <f t="shared" si="1"/>
        <v>0</v>
      </c>
    </row>
    <row r="24" spans="2:10" ht="20.100000000000001" customHeight="1" x14ac:dyDescent="0.3">
      <c r="B24" s="9" t="s">
        <v>78</v>
      </c>
      <c r="C24" s="4">
        <v>2</v>
      </c>
      <c r="D24" s="5"/>
      <c r="E24" s="7"/>
      <c r="F24" s="12"/>
      <c r="G24" s="13"/>
      <c r="H24" s="22"/>
      <c r="I24" s="12"/>
      <c r="J24" s="22">
        <f t="shared" si="1"/>
        <v>0</v>
      </c>
    </row>
    <row r="25" spans="2:10" ht="20.100000000000001" customHeight="1" x14ac:dyDescent="0.3">
      <c r="B25" s="9" t="s">
        <v>79</v>
      </c>
      <c r="C25" s="4">
        <v>7</v>
      </c>
      <c r="D25" s="5"/>
      <c r="E25" s="7"/>
      <c r="F25" s="12"/>
      <c r="G25" s="13"/>
      <c r="H25" s="22"/>
      <c r="I25" s="12"/>
      <c r="J25" s="22">
        <f t="shared" si="1"/>
        <v>0</v>
      </c>
    </row>
    <row r="26" spans="2:10" ht="28.5" customHeight="1" thickBot="1" x14ac:dyDescent="0.35">
      <c r="B26" s="8" t="s">
        <v>80</v>
      </c>
      <c r="C26" s="8"/>
      <c r="D26" s="18"/>
      <c r="E26" s="19"/>
      <c r="F26" s="20"/>
      <c r="G26" s="21"/>
      <c r="H26" s="20">
        <f>SUM(H16:H25)</f>
        <v>0</v>
      </c>
      <c r="I26" s="19"/>
      <c r="J26" s="20">
        <f>SUM(J16:J25)</f>
        <v>0</v>
      </c>
    </row>
    <row r="27" spans="2:10" s="1" customFormat="1" ht="20.399999999999999" customHeight="1" thickBot="1" x14ac:dyDescent="0.35">
      <c r="B27" s="409" t="s">
        <v>81</v>
      </c>
      <c r="C27" s="410"/>
      <c r="D27" s="410"/>
      <c r="E27" s="410"/>
      <c r="F27" s="410"/>
      <c r="G27" s="410"/>
      <c r="H27" s="410"/>
      <c r="I27" s="411"/>
      <c r="J27" s="33"/>
    </row>
    <row r="28" spans="2:10" ht="20.100000000000001" customHeight="1" x14ac:dyDescent="0.3">
      <c r="B28" s="9" t="s">
        <v>82</v>
      </c>
      <c r="C28" s="4">
        <v>55</v>
      </c>
      <c r="D28" s="5"/>
      <c r="E28" s="7"/>
      <c r="F28" s="12"/>
      <c r="G28" s="13"/>
      <c r="H28" s="22"/>
      <c r="I28" s="12"/>
      <c r="J28" s="22">
        <f t="shared" ref="J28:J42" si="2">G28*3%</f>
        <v>0</v>
      </c>
    </row>
    <row r="29" spans="2:10" ht="20.100000000000001" customHeight="1" x14ac:dyDescent="0.3">
      <c r="B29" s="9" t="s">
        <v>30</v>
      </c>
      <c r="C29" s="4">
        <v>65</v>
      </c>
      <c r="D29" s="5"/>
      <c r="E29" s="7"/>
      <c r="F29" s="12"/>
      <c r="G29" s="13"/>
      <c r="H29" s="22"/>
      <c r="I29" s="12"/>
      <c r="J29" s="22">
        <f t="shared" si="2"/>
        <v>0</v>
      </c>
    </row>
    <row r="30" spans="2:10" ht="20.100000000000001" customHeight="1" x14ac:dyDescent="0.3">
      <c r="B30" s="9" t="s">
        <v>84</v>
      </c>
      <c r="C30" s="4">
        <v>7</v>
      </c>
      <c r="D30" s="5"/>
      <c r="E30" s="7"/>
      <c r="F30" s="12"/>
      <c r="G30" s="13"/>
      <c r="H30" s="22"/>
      <c r="I30" s="12"/>
      <c r="J30" s="22">
        <f t="shared" si="2"/>
        <v>0</v>
      </c>
    </row>
    <row r="31" spans="2:10" ht="20.100000000000001" customHeight="1" x14ac:dyDescent="0.3">
      <c r="B31" s="9" t="s">
        <v>85</v>
      </c>
      <c r="C31" s="4">
        <v>55</v>
      </c>
      <c r="D31" s="5"/>
      <c r="E31" s="7"/>
      <c r="F31" s="12"/>
      <c r="G31" s="13"/>
      <c r="H31" s="22"/>
      <c r="I31" s="12"/>
      <c r="J31" s="22">
        <f t="shared" si="2"/>
        <v>0</v>
      </c>
    </row>
    <row r="32" spans="2:10" ht="20.100000000000001" customHeight="1" x14ac:dyDescent="0.3">
      <c r="B32" s="9" t="s">
        <v>86</v>
      </c>
      <c r="C32" s="4">
        <v>25</v>
      </c>
      <c r="D32" s="5"/>
      <c r="E32" s="7"/>
      <c r="F32" s="12"/>
      <c r="G32" s="13"/>
      <c r="H32" s="22"/>
      <c r="I32" s="12"/>
      <c r="J32" s="22">
        <f t="shared" si="2"/>
        <v>0</v>
      </c>
    </row>
    <row r="33" spans="2:10" ht="20.100000000000001" customHeight="1" x14ac:dyDescent="0.3">
      <c r="B33" s="9" t="s">
        <v>260</v>
      </c>
      <c r="C33" s="4">
        <v>4</v>
      </c>
      <c r="D33" s="5"/>
      <c r="E33" s="7"/>
      <c r="F33" s="12"/>
      <c r="G33" s="13"/>
      <c r="H33" s="22"/>
      <c r="I33" s="12"/>
      <c r="J33" s="22">
        <f t="shared" si="2"/>
        <v>0</v>
      </c>
    </row>
    <row r="34" spans="2:10" ht="20.100000000000001" customHeight="1" x14ac:dyDescent="0.3">
      <c r="B34" s="9" t="s">
        <v>73</v>
      </c>
      <c r="C34" s="4">
        <v>5</v>
      </c>
      <c r="D34" s="5"/>
      <c r="E34" s="7"/>
      <c r="F34" s="12"/>
      <c r="G34" s="13"/>
      <c r="H34" s="22"/>
      <c r="I34" s="12"/>
      <c r="J34" s="22">
        <f t="shared" si="2"/>
        <v>0</v>
      </c>
    </row>
    <row r="35" spans="2:10" ht="20.100000000000001" customHeight="1" x14ac:dyDescent="0.3">
      <c r="B35" s="9" t="s">
        <v>68</v>
      </c>
      <c r="C35" s="4">
        <v>28</v>
      </c>
      <c r="D35" s="5"/>
      <c r="E35" s="7"/>
      <c r="F35" s="12"/>
      <c r="G35" s="13"/>
      <c r="H35" s="22"/>
      <c r="I35" s="12"/>
      <c r="J35" s="22">
        <f t="shared" si="2"/>
        <v>0</v>
      </c>
    </row>
    <row r="36" spans="2:10" ht="20.100000000000001" customHeight="1" x14ac:dyDescent="0.3">
      <c r="B36" s="9" t="s">
        <v>15</v>
      </c>
      <c r="C36" s="4">
        <v>167</v>
      </c>
      <c r="D36" s="5"/>
      <c r="E36" s="7"/>
      <c r="F36" s="12"/>
      <c r="G36" s="13"/>
      <c r="H36" s="22"/>
      <c r="I36" s="12"/>
      <c r="J36" s="22">
        <f t="shared" si="2"/>
        <v>0</v>
      </c>
    </row>
    <row r="37" spans="2:10" ht="20.100000000000001" customHeight="1" x14ac:dyDescent="0.3">
      <c r="B37" s="9" t="s">
        <v>87</v>
      </c>
      <c r="C37" s="4">
        <v>12</v>
      </c>
      <c r="D37" s="5"/>
      <c r="E37" s="7"/>
      <c r="F37" s="12"/>
      <c r="G37" s="13"/>
      <c r="H37" s="22"/>
      <c r="I37" s="12"/>
      <c r="J37" s="22">
        <f t="shared" si="2"/>
        <v>0</v>
      </c>
    </row>
    <row r="38" spans="2:10" ht="20.100000000000001" customHeight="1" x14ac:dyDescent="0.3">
      <c r="B38" s="9" t="s">
        <v>74</v>
      </c>
      <c r="C38" s="4">
        <v>10</v>
      </c>
      <c r="D38" s="5"/>
      <c r="E38" s="7"/>
      <c r="F38" s="12"/>
      <c r="G38" s="13"/>
      <c r="H38" s="22"/>
      <c r="I38" s="12"/>
      <c r="J38" s="22">
        <f t="shared" ref="J38" si="3">G38*3%</f>
        <v>0</v>
      </c>
    </row>
    <row r="39" spans="2:10" ht="20.100000000000001" customHeight="1" x14ac:dyDescent="0.3">
      <c r="B39" s="9" t="s">
        <v>88</v>
      </c>
      <c r="C39" s="4">
        <v>10</v>
      </c>
      <c r="D39" s="5"/>
      <c r="E39" s="7"/>
      <c r="F39" s="12"/>
      <c r="G39" s="13"/>
      <c r="H39" s="22"/>
      <c r="I39" s="12"/>
      <c r="J39" s="22">
        <f t="shared" si="2"/>
        <v>0</v>
      </c>
    </row>
    <row r="40" spans="2:10" ht="20.100000000000001" customHeight="1" x14ac:dyDescent="0.3">
      <c r="B40" s="9" t="s">
        <v>89</v>
      </c>
      <c r="C40" s="4">
        <v>1</v>
      </c>
      <c r="D40" s="5"/>
      <c r="E40" s="7"/>
      <c r="F40" s="12"/>
      <c r="G40" s="13"/>
      <c r="H40" s="22"/>
      <c r="I40" s="12"/>
      <c r="J40" s="22">
        <f t="shared" si="2"/>
        <v>0</v>
      </c>
    </row>
    <row r="41" spans="2:10" ht="20.100000000000001" customHeight="1" x14ac:dyDescent="0.3">
      <c r="B41" s="9" t="s">
        <v>76</v>
      </c>
      <c r="C41" s="4">
        <v>2</v>
      </c>
      <c r="D41" s="5"/>
      <c r="E41" s="7"/>
      <c r="F41" s="12"/>
      <c r="G41" s="13"/>
      <c r="H41" s="22"/>
      <c r="I41" s="12"/>
      <c r="J41" s="22">
        <f t="shared" si="2"/>
        <v>0</v>
      </c>
    </row>
    <row r="42" spans="2:10" ht="20.100000000000001" customHeight="1" x14ac:dyDescent="0.3">
      <c r="B42" s="9" t="s">
        <v>90</v>
      </c>
      <c r="C42" s="4">
        <v>3</v>
      </c>
      <c r="D42" s="5"/>
      <c r="E42" s="7"/>
      <c r="F42" s="12"/>
      <c r="G42" s="13"/>
      <c r="H42" s="22"/>
      <c r="I42" s="12"/>
      <c r="J42" s="22">
        <f t="shared" si="2"/>
        <v>0</v>
      </c>
    </row>
    <row r="43" spans="2:10" ht="28.5" customHeight="1" thickBot="1" x14ac:dyDescent="0.35">
      <c r="B43" s="8" t="s">
        <v>80</v>
      </c>
      <c r="C43" s="8"/>
      <c r="D43" s="18"/>
      <c r="E43" s="19"/>
      <c r="F43" s="20"/>
      <c r="G43" s="21"/>
      <c r="H43" s="20">
        <f>SUM(H28:H42)</f>
        <v>0</v>
      </c>
      <c r="I43" s="19"/>
      <c r="J43" s="20">
        <f>SUM(J28:J42)</f>
        <v>0</v>
      </c>
    </row>
    <row r="44" spans="2:10" s="25" customFormat="1" ht="25.5" customHeight="1" thickBot="1" x14ac:dyDescent="0.35">
      <c r="B44" s="31" t="s">
        <v>56</v>
      </c>
      <c r="C44" s="405"/>
      <c r="D44" s="405"/>
      <c r="E44" s="405"/>
      <c r="F44" s="405"/>
      <c r="G44" s="405"/>
      <c r="H44" s="405"/>
      <c r="I44" s="405"/>
      <c r="J44" s="406"/>
    </row>
  </sheetData>
  <mergeCells count="5">
    <mergeCell ref="B2:J2"/>
    <mergeCell ref="C44:J44"/>
    <mergeCell ref="B4:I4"/>
    <mergeCell ref="B15:I15"/>
    <mergeCell ref="B27:I27"/>
  </mergeCells>
  <pageMargins left="0.31496062992125984" right="0.31496062992125984" top="0.35433070866141736" bottom="0.35433070866141736" header="0.31496062992125984" footer="0.31496062992125984"/>
  <pageSetup scale="5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J60"/>
  <sheetViews>
    <sheetView workbookViewId="0">
      <selection activeCell="C58" sqref="C58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9" width="18.6640625" customWidth="1"/>
    <col min="10" max="10" width="19.6640625" customWidth="1"/>
    <col min="11" max="11" width="18.6640625" customWidth="1"/>
  </cols>
  <sheetData>
    <row r="1" spans="2:10" ht="15" thickBot="1" x14ac:dyDescent="0.35"/>
    <row r="2" spans="2:10" ht="27" customHeight="1" thickBot="1" x14ac:dyDescent="0.35">
      <c r="B2" s="402" t="s">
        <v>91</v>
      </c>
      <c r="C2" s="403"/>
      <c r="D2" s="403"/>
      <c r="E2" s="403"/>
      <c r="F2" s="403"/>
      <c r="G2" s="403"/>
      <c r="H2" s="403"/>
      <c r="I2" s="403"/>
      <c r="J2" s="404"/>
    </row>
    <row r="3" spans="2:10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22</v>
      </c>
      <c r="G3" s="15" t="s">
        <v>23</v>
      </c>
      <c r="H3" s="16" t="s">
        <v>3</v>
      </c>
      <c r="I3" s="15" t="s">
        <v>4</v>
      </c>
      <c r="J3" s="17" t="s">
        <v>5</v>
      </c>
    </row>
    <row r="4" spans="2:10" s="1" customFormat="1" ht="20.399999999999999" customHeight="1" thickBot="1" x14ac:dyDescent="0.35">
      <c r="B4" s="409" t="s">
        <v>70</v>
      </c>
      <c r="C4" s="410"/>
      <c r="D4" s="410"/>
      <c r="E4" s="410"/>
      <c r="F4" s="410"/>
      <c r="G4" s="410"/>
      <c r="H4" s="410"/>
      <c r="I4" s="411"/>
      <c r="J4" s="33"/>
    </row>
    <row r="5" spans="2:10" ht="20.100000000000001" customHeight="1" x14ac:dyDescent="0.3">
      <c r="B5" s="9" t="s">
        <v>92</v>
      </c>
      <c r="C5" s="10">
        <v>2</v>
      </c>
      <c r="D5" s="11"/>
      <c r="E5" s="13"/>
      <c r="F5" s="12"/>
      <c r="G5" s="13"/>
      <c r="H5" s="22"/>
      <c r="I5" s="12"/>
      <c r="J5" s="22">
        <f>G5*3%</f>
        <v>0</v>
      </c>
    </row>
    <row r="6" spans="2:10" ht="20.100000000000001" customHeight="1" x14ac:dyDescent="0.3">
      <c r="B6" s="73" t="s">
        <v>286</v>
      </c>
      <c r="C6" s="46">
        <v>12</v>
      </c>
      <c r="D6" s="11"/>
      <c r="E6" s="13"/>
      <c r="F6" s="89"/>
      <c r="G6" s="13"/>
      <c r="H6" s="22"/>
      <c r="I6" s="89"/>
      <c r="J6" s="22">
        <f t="shared" ref="J6:J8" si="0">G6*3%</f>
        <v>0</v>
      </c>
    </row>
    <row r="7" spans="2:10" ht="20.100000000000001" customHeight="1" x14ac:dyDescent="0.3">
      <c r="B7" s="73" t="s">
        <v>287</v>
      </c>
      <c r="C7" s="46">
        <v>1</v>
      </c>
      <c r="D7" s="11"/>
      <c r="E7" s="13"/>
      <c r="F7" s="89"/>
      <c r="G7" s="13"/>
      <c r="H7" s="22"/>
      <c r="I7" s="89"/>
      <c r="J7" s="22">
        <f t="shared" si="0"/>
        <v>0</v>
      </c>
    </row>
    <row r="8" spans="2:10" ht="20.100000000000001" customHeight="1" x14ac:dyDescent="0.3">
      <c r="B8" s="9" t="s">
        <v>93</v>
      </c>
      <c r="C8" s="10">
        <v>12</v>
      </c>
      <c r="D8" s="11"/>
      <c r="E8" s="7"/>
      <c r="F8" s="12"/>
      <c r="G8" s="13"/>
      <c r="H8" s="22"/>
      <c r="I8" s="12"/>
      <c r="J8" s="22">
        <f t="shared" si="0"/>
        <v>0</v>
      </c>
    </row>
    <row r="9" spans="2:10" ht="20.100000000000001" customHeight="1" x14ac:dyDescent="0.3">
      <c r="B9" s="9" t="s">
        <v>94</v>
      </c>
      <c r="C9" s="4">
        <v>1</v>
      </c>
      <c r="D9" s="5"/>
      <c r="E9" s="7"/>
      <c r="F9" s="12"/>
      <c r="G9" s="13"/>
      <c r="H9" s="22"/>
      <c r="I9" s="12"/>
      <c r="J9" s="22">
        <f t="shared" ref="J9:J16" si="1">G9*3%</f>
        <v>0</v>
      </c>
    </row>
    <row r="10" spans="2:10" ht="20.100000000000001" customHeight="1" x14ac:dyDescent="0.3">
      <c r="B10" s="9" t="s">
        <v>264</v>
      </c>
      <c r="C10" s="4">
        <v>8</v>
      </c>
      <c r="D10" s="5"/>
      <c r="E10" s="7"/>
      <c r="F10" s="12"/>
      <c r="G10" s="13"/>
      <c r="H10" s="22"/>
      <c r="I10" s="12"/>
      <c r="J10" s="22">
        <f t="shared" si="1"/>
        <v>0</v>
      </c>
    </row>
    <row r="11" spans="2:10" ht="20.100000000000001" customHeight="1" x14ac:dyDescent="0.3">
      <c r="B11" s="9" t="s">
        <v>95</v>
      </c>
      <c r="C11" s="4">
        <v>3</v>
      </c>
      <c r="D11" s="5"/>
      <c r="E11" s="7"/>
      <c r="F11" s="12"/>
      <c r="G11" s="13"/>
      <c r="H11" s="22"/>
      <c r="I11" s="12"/>
      <c r="J11" s="22">
        <f t="shared" si="1"/>
        <v>0</v>
      </c>
    </row>
    <row r="12" spans="2:10" ht="20.100000000000001" customHeight="1" x14ac:dyDescent="0.3">
      <c r="B12" s="9" t="s">
        <v>96</v>
      </c>
      <c r="C12" s="4">
        <v>4</v>
      </c>
      <c r="D12" s="5"/>
      <c r="E12" s="7"/>
      <c r="F12" s="12"/>
      <c r="G12" s="13"/>
      <c r="H12" s="22"/>
      <c r="I12" s="12"/>
      <c r="J12" s="22">
        <f t="shared" si="1"/>
        <v>0</v>
      </c>
    </row>
    <row r="13" spans="2:10" ht="20.100000000000001" customHeight="1" x14ac:dyDescent="0.3">
      <c r="B13" s="9" t="s">
        <v>97</v>
      </c>
      <c r="C13" s="4">
        <v>9</v>
      </c>
      <c r="D13" s="5"/>
      <c r="E13" s="7"/>
      <c r="F13" s="12"/>
      <c r="G13" s="13"/>
      <c r="H13" s="22"/>
      <c r="I13" s="12"/>
      <c r="J13" s="22">
        <f t="shared" si="1"/>
        <v>0</v>
      </c>
    </row>
    <row r="14" spans="2:10" ht="20.100000000000001" customHeight="1" x14ac:dyDescent="0.3">
      <c r="B14" s="9" t="s">
        <v>98</v>
      </c>
      <c r="C14" s="4">
        <v>6</v>
      </c>
      <c r="D14" s="5"/>
      <c r="E14" s="7"/>
      <c r="F14" s="12"/>
      <c r="G14" s="13"/>
      <c r="H14" s="22"/>
      <c r="I14" s="12"/>
      <c r="J14" s="22">
        <f t="shared" si="1"/>
        <v>0</v>
      </c>
    </row>
    <row r="15" spans="2:10" ht="20.100000000000001" customHeight="1" x14ac:dyDescent="0.3">
      <c r="B15" s="9" t="s">
        <v>99</v>
      </c>
      <c r="C15" s="4">
        <v>7</v>
      </c>
      <c r="D15" s="5"/>
      <c r="E15" s="7"/>
      <c r="F15" s="12"/>
      <c r="G15" s="13"/>
      <c r="H15" s="22"/>
      <c r="I15" s="12"/>
      <c r="J15" s="22">
        <f t="shared" si="1"/>
        <v>0</v>
      </c>
    </row>
    <row r="16" spans="2:10" ht="20.100000000000001" customHeight="1" x14ac:dyDescent="0.3">
      <c r="B16" s="9" t="s">
        <v>100</v>
      </c>
      <c r="C16" s="4">
        <v>6</v>
      </c>
      <c r="D16" s="5"/>
      <c r="E16" s="7"/>
      <c r="F16" s="12"/>
      <c r="G16" s="13"/>
      <c r="H16" s="22"/>
      <c r="I16" s="12"/>
      <c r="J16" s="22">
        <f t="shared" si="1"/>
        <v>0</v>
      </c>
    </row>
    <row r="17" spans="2:10" ht="28.5" customHeight="1" thickBot="1" x14ac:dyDescent="0.35">
      <c r="B17" s="8" t="s">
        <v>80</v>
      </c>
      <c r="C17" s="8"/>
      <c r="D17" s="18"/>
      <c r="E17" s="19"/>
      <c r="F17" s="20"/>
      <c r="G17" s="21"/>
      <c r="H17" s="20">
        <f>SUM(H5:H16)</f>
        <v>0</v>
      </c>
      <c r="I17" s="19"/>
      <c r="J17" s="20">
        <f>SUM(J5:J16)</f>
        <v>0</v>
      </c>
    </row>
    <row r="18" spans="2:10" s="1" customFormat="1" ht="20.399999999999999" customHeight="1" thickBot="1" x14ac:dyDescent="0.35">
      <c r="B18" s="409" t="s">
        <v>71</v>
      </c>
      <c r="C18" s="410"/>
      <c r="D18" s="410"/>
      <c r="E18" s="410"/>
      <c r="F18" s="410"/>
      <c r="G18" s="410"/>
      <c r="H18" s="410"/>
      <c r="I18" s="411"/>
      <c r="J18" s="33"/>
    </row>
    <row r="19" spans="2:10" ht="20.100000000000001" customHeight="1" x14ac:dyDescent="0.3">
      <c r="B19" s="9" t="s">
        <v>101</v>
      </c>
      <c r="C19" s="4">
        <v>11</v>
      </c>
      <c r="D19" s="5"/>
      <c r="E19" s="7"/>
      <c r="F19" s="12"/>
      <c r="G19" s="13"/>
      <c r="H19" s="22"/>
      <c r="I19" s="12"/>
      <c r="J19" s="22">
        <f t="shared" ref="J19:J24" si="2">G19*3%</f>
        <v>0</v>
      </c>
    </row>
    <row r="20" spans="2:10" ht="20.100000000000001" customHeight="1" x14ac:dyDescent="0.3">
      <c r="B20" s="9" t="s">
        <v>26</v>
      </c>
      <c r="C20" s="4">
        <v>31</v>
      </c>
      <c r="D20" s="5"/>
      <c r="E20" s="7"/>
      <c r="F20" s="12"/>
      <c r="G20" s="13"/>
      <c r="H20" s="22"/>
      <c r="I20" s="12"/>
      <c r="J20" s="22">
        <f t="shared" si="2"/>
        <v>0</v>
      </c>
    </row>
    <row r="21" spans="2:10" ht="20.100000000000001" customHeight="1" x14ac:dyDescent="0.3">
      <c r="B21" s="9" t="s">
        <v>102</v>
      </c>
      <c r="C21" s="4">
        <v>2</v>
      </c>
      <c r="D21" s="5"/>
      <c r="E21" s="7"/>
      <c r="F21" s="12"/>
      <c r="G21" s="13"/>
      <c r="H21" s="22"/>
      <c r="I21" s="12"/>
      <c r="J21" s="22">
        <f t="shared" si="2"/>
        <v>0</v>
      </c>
    </row>
    <row r="22" spans="2:10" ht="20.100000000000001" customHeight="1" x14ac:dyDescent="0.3">
      <c r="B22" s="9" t="s">
        <v>55</v>
      </c>
      <c r="C22" s="4">
        <v>142</v>
      </c>
      <c r="D22" s="5"/>
      <c r="E22" s="7"/>
      <c r="F22" s="12"/>
      <c r="G22" s="13"/>
      <c r="H22" s="22"/>
      <c r="I22" s="12"/>
      <c r="J22" s="22">
        <f t="shared" si="2"/>
        <v>0</v>
      </c>
    </row>
    <row r="23" spans="2:10" ht="20.100000000000001" customHeight="1" x14ac:dyDescent="0.3">
      <c r="B23" s="9" t="s">
        <v>76</v>
      </c>
      <c r="C23" s="4">
        <v>5</v>
      </c>
      <c r="D23" s="5"/>
      <c r="E23" s="7"/>
      <c r="F23" s="12"/>
      <c r="G23" s="13"/>
      <c r="H23" s="22"/>
      <c r="I23" s="12"/>
      <c r="J23" s="22">
        <f t="shared" si="2"/>
        <v>0</v>
      </c>
    </row>
    <row r="24" spans="2:10" ht="20.100000000000001" customHeight="1" x14ac:dyDescent="0.3">
      <c r="B24" s="9" t="s">
        <v>103</v>
      </c>
      <c r="C24" s="4">
        <v>2</v>
      </c>
      <c r="D24" s="5"/>
      <c r="E24" s="7"/>
      <c r="F24" s="12"/>
      <c r="G24" s="13"/>
      <c r="H24" s="22"/>
      <c r="I24" s="12"/>
      <c r="J24" s="22">
        <f t="shared" si="2"/>
        <v>0</v>
      </c>
    </row>
    <row r="25" spans="2:10" ht="28.5" customHeight="1" thickBot="1" x14ac:dyDescent="0.35">
      <c r="B25" s="8" t="s">
        <v>80</v>
      </c>
      <c r="C25" s="8"/>
      <c r="D25" s="18"/>
      <c r="E25" s="19"/>
      <c r="F25" s="20"/>
      <c r="G25" s="21"/>
      <c r="H25" s="20">
        <f>SUM(H19:H24)</f>
        <v>0</v>
      </c>
      <c r="I25" s="19"/>
      <c r="J25" s="20">
        <f>SUM(J19:J24)</f>
        <v>0</v>
      </c>
    </row>
    <row r="26" spans="2:10" s="1" customFormat="1" ht="20.399999999999999" customHeight="1" thickBot="1" x14ac:dyDescent="0.35">
      <c r="B26" s="409" t="s">
        <v>81</v>
      </c>
      <c r="C26" s="410"/>
      <c r="D26" s="410"/>
      <c r="E26" s="410"/>
      <c r="F26" s="410"/>
      <c r="G26" s="410"/>
      <c r="H26" s="410"/>
      <c r="I26" s="411"/>
      <c r="J26" s="33"/>
    </row>
    <row r="27" spans="2:10" ht="20.100000000000001" customHeight="1" x14ac:dyDescent="0.3">
      <c r="B27" s="9" t="s">
        <v>55</v>
      </c>
      <c r="C27" s="4">
        <v>151</v>
      </c>
      <c r="D27" s="5"/>
      <c r="E27" s="7"/>
      <c r="F27" s="12"/>
      <c r="G27" s="13"/>
      <c r="H27" s="22"/>
      <c r="I27" s="12"/>
      <c r="J27" s="22">
        <f t="shared" ref="J27:J28" si="3">G27*3%</f>
        <v>0</v>
      </c>
    </row>
    <row r="28" spans="2:10" ht="20.100000000000001" customHeight="1" x14ac:dyDescent="0.3">
      <c r="B28" s="9" t="s">
        <v>103</v>
      </c>
      <c r="C28" s="4">
        <v>5</v>
      </c>
      <c r="D28" s="5"/>
      <c r="E28" s="7"/>
      <c r="F28" s="12"/>
      <c r="G28" s="13"/>
      <c r="H28" s="22"/>
      <c r="I28" s="12"/>
      <c r="J28" s="22">
        <f t="shared" si="3"/>
        <v>0</v>
      </c>
    </row>
    <row r="29" spans="2:10" ht="28.5" customHeight="1" thickBot="1" x14ac:dyDescent="0.35">
      <c r="B29" s="8" t="s">
        <v>80</v>
      </c>
      <c r="C29" s="8"/>
      <c r="D29" s="18"/>
      <c r="E29" s="19"/>
      <c r="F29" s="20"/>
      <c r="G29" s="21"/>
      <c r="H29" s="20">
        <f>SUM(H27:H28)</f>
        <v>0</v>
      </c>
      <c r="I29" s="19"/>
      <c r="J29" s="20">
        <f>SUM(J27:J28)</f>
        <v>0</v>
      </c>
    </row>
    <row r="30" spans="2:10" s="1" customFormat="1" ht="20.399999999999999" customHeight="1" thickBot="1" x14ac:dyDescent="0.35">
      <c r="B30" s="409" t="s">
        <v>104</v>
      </c>
      <c r="C30" s="410"/>
      <c r="D30" s="410"/>
      <c r="E30" s="410"/>
      <c r="F30" s="410"/>
      <c r="G30" s="410"/>
      <c r="H30" s="410"/>
      <c r="I30" s="411"/>
      <c r="J30" s="33"/>
    </row>
    <row r="31" spans="2:10" ht="20.100000000000001" customHeight="1" x14ac:dyDescent="0.3">
      <c r="B31" s="9" t="s">
        <v>105</v>
      </c>
      <c r="C31" s="4">
        <v>17</v>
      </c>
      <c r="D31" s="5"/>
      <c r="E31" s="7"/>
      <c r="F31" s="12"/>
      <c r="G31" s="13"/>
      <c r="H31" s="22"/>
      <c r="I31" s="12"/>
      <c r="J31" s="22">
        <f t="shared" ref="J31:J58" si="4">G31*3%</f>
        <v>0</v>
      </c>
    </row>
    <row r="32" spans="2:10" ht="20.100000000000001" customHeight="1" x14ac:dyDescent="0.3">
      <c r="B32" s="9" t="s">
        <v>106</v>
      </c>
      <c r="C32" s="4">
        <v>4</v>
      </c>
      <c r="D32" s="5"/>
      <c r="E32" s="7"/>
      <c r="F32" s="12"/>
      <c r="G32" s="13"/>
      <c r="H32" s="22"/>
      <c r="I32" s="12"/>
      <c r="J32" s="22">
        <f t="shared" ref="J32:J40" si="5">G32*3%</f>
        <v>0</v>
      </c>
    </row>
    <row r="33" spans="2:10" ht="20.100000000000001" customHeight="1" x14ac:dyDescent="0.3">
      <c r="B33" s="9" t="s">
        <v>107</v>
      </c>
      <c r="C33" s="4">
        <v>4</v>
      </c>
      <c r="D33" s="5"/>
      <c r="E33" s="7"/>
      <c r="F33" s="12"/>
      <c r="G33" s="13"/>
      <c r="H33" s="22"/>
      <c r="I33" s="12"/>
      <c r="J33" s="22">
        <f t="shared" si="5"/>
        <v>0</v>
      </c>
    </row>
    <row r="34" spans="2:10" ht="20.100000000000001" customHeight="1" x14ac:dyDescent="0.3">
      <c r="B34" s="9" t="s">
        <v>108</v>
      </c>
      <c r="C34" s="4">
        <v>15</v>
      </c>
      <c r="D34" s="5"/>
      <c r="E34" s="7"/>
      <c r="F34" s="12"/>
      <c r="G34" s="13"/>
      <c r="H34" s="22"/>
      <c r="I34" s="12"/>
      <c r="J34" s="22">
        <f t="shared" si="5"/>
        <v>0</v>
      </c>
    </row>
    <row r="35" spans="2:10" ht="20.100000000000001" customHeight="1" x14ac:dyDescent="0.3">
      <c r="B35" s="9" t="s">
        <v>109</v>
      </c>
      <c r="C35" s="4">
        <v>29</v>
      </c>
      <c r="D35" s="5"/>
      <c r="E35" s="7"/>
      <c r="F35" s="12"/>
      <c r="G35" s="13"/>
      <c r="H35" s="22"/>
      <c r="I35" s="12"/>
      <c r="J35" s="22">
        <f t="shared" si="5"/>
        <v>0</v>
      </c>
    </row>
    <row r="36" spans="2:10" ht="20.100000000000001" customHeight="1" x14ac:dyDescent="0.3">
      <c r="B36" s="9" t="s">
        <v>67</v>
      </c>
      <c r="C36" s="4">
        <v>14</v>
      </c>
      <c r="D36" s="5"/>
      <c r="E36" s="7"/>
      <c r="F36" s="12"/>
      <c r="G36" s="13"/>
      <c r="H36" s="22"/>
      <c r="I36" s="12"/>
      <c r="J36" s="22">
        <f t="shared" si="5"/>
        <v>0</v>
      </c>
    </row>
    <row r="37" spans="2:10" ht="20.100000000000001" customHeight="1" x14ac:dyDescent="0.3">
      <c r="B37" s="3" t="s">
        <v>256</v>
      </c>
      <c r="C37" s="4">
        <v>25</v>
      </c>
      <c r="D37" s="5"/>
      <c r="E37" s="7"/>
      <c r="F37" s="12"/>
      <c r="G37" s="13"/>
      <c r="H37" s="22"/>
      <c r="I37" s="12"/>
      <c r="J37" s="22">
        <f t="shared" si="5"/>
        <v>0</v>
      </c>
    </row>
    <row r="38" spans="2:10" ht="20.100000000000001" customHeight="1" x14ac:dyDescent="0.3">
      <c r="B38" s="3" t="s">
        <v>257</v>
      </c>
      <c r="C38" s="4">
        <v>21</v>
      </c>
      <c r="D38" s="5"/>
      <c r="E38" s="7"/>
      <c r="F38" s="12"/>
      <c r="G38" s="13"/>
      <c r="H38" s="22"/>
      <c r="I38" s="12"/>
      <c r="J38" s="22">
        <f t="shared" si="5"/>
        <v>0</v>
      </c>
    </row>
    <row r="39" spans="2:10" ht="20.100000000000001" customHeight="1" x14ac:dyDescent="0.3">
      <c r="B39" s="3" t="s">
        <v>258</v>
      </c>
      <c r="C39" s="4">
        <v>7</v>
      </c>
      <c r="D39" s="5"/>
      <c r="E39" s="7"/>
      <c r="F39" s="12"/>
      <c r="G39" s="13"/>
      <c r="H39" s="22"/>
      <c r="I39" s="12"/>
      <c r="J39" s="22">
        <f t="shared" si="5"/>
        <v>0</v>
      </c>
    </row>
    <row r="40" spans="2:10" ht="20.100000000000001" customHeight="1" x14ac:dyDescent="0.3">
      <c r="B40" s="9" t="s">
        <v>127</v>
      </c>
      <c r="C40" s="4">
        <v>6</v>
      </c>
      <c r="D40" s="5"/>
      <c r="E40" s="7"/>
      <c r="F40" s="12"/>
      <c r="G40" s="13"/>
      <c r="H40" s="22"/>
      <c r="I40" s="12"/>
      <c r="J40" s="22">
        <f t="shared" si="5"/>
        <v>0</v>
      </c>
    </row>
    <row r="41" spans="2:10" ht="20.100000000000001" customHeight="1" x14ac:dyDescent="0.3">
      <c r="B41" s="9" t="s">
        <v>126</v>
      </c>
      <c r="C41" s="4">
        <v>2</v>
      </c>
      <c r="D41" s="5"/>
      <c r="E41" s="7"/>
      <c r="F41" s="12"/>
      <c r="G41" s="13"/>
      <c r="H41" s="22"/>
      <c r="I41" s="12"/>
      <c r="J41" s="22">
        <f t="shared" si="4"/>
        <v>0</v>
      </c>
    </row>
    <row r="42" spans="2:10" ht="20.100000000000001" customHeight="1" x14ac:dyDescent="0.3">
      <c r="B42" s="9" t="s">
        <v>263</v>
      </c>
      <c r="C42" s="4">
        <v>15</v>
      </c>
      <c r="D42" s="5"/>
      <c r="E42" s="7"/>
      <c r="F42" s="12"/>
      <c r="G42" s="13"/>
      <c r="H42" s="22"/>
      <c r="I42" s="12"/>
      <c r="J42" s="22">
        <f t="shared" si="4"/>
        <v>0</v>
      </c>
    </row>
    <row r="43" spans="2:10" ht="20.100000000000001" customHeight="1" x14ac:dyDescent="0.3">
      <c r="B43" s="9" t="s">
        <v>110</v>
      </c>
      <c r="C43" s="4">
        <v>59</v>
      </c>
      <c r="D43" s="5"/>
      <c r="E43" s="7"/>
      <c r="F43" s="12"/>
      <c r="G43" s="13"/>
      <c r="H43" s="22"/>
      <c r="I43" s="12"/>
      <c r="J43" s="22">
        <f t="shared" si="4"/>
        <v>0</v>
      </c>
    </row>
    <row r="44" spans="2:10" ht="20.100000000000001" customHeight="1" x14ac:dyDescent="0.3">
      <c r="B44" s="9" t="s">
        <v>111</v>
      </c>
      <c r="C44" s="4">
        <v>12</v>
      </c>
      <c r="D44" s="5"/>
      <c r="E44" s="7"/>
      <c r="F44" s="12"/>
      <c r="G44" s="13"/>
      <c r="H44" s="22"/>
      <c r="I44" s="12"/>
      <c r="J44" s="22">
        <f t="shared" si="4"/>
        <v>0</v>
      </c>
    </row>
    <row r="45" spans="2:10" ht="20.100000000000001" customHeight="1" x14ac:dyDescent="0.3">
      <c r="B45" s="9" t="s">
        <v>112</v>
      </c>
      <c r="C45" s="4">
        <v>20</v>
      </c>
      <c r="D45" s="5"/>
      <c r="E45" s="7"/>
      <c r="F45" s="12"/>
      <c r="G45" s="13"/>
      <c r="H45" s="22"/>
      <c r="I45" s="12"/>
      <c r="J45" s="22">
        <f t="shared" si="4"/>
        <v>0</v>
      </c>
    </row>
    <row r="46" spans="2:10" ht="20.100000000000001" customHeight="1" x14ac:dyDescent="0.3">
      <c r="B46" s="9" t="s">
        <v>113</v>
      </c>
      <c r="C46" s="4">
        <v>9</v>
      </c>
      <c r="D46" s="5"/>
      <c r="E46" s="7"/>
      <c r="F46" s="12"/>
      <c r="G46" s="13"/>
      <c r="H46" s="22"/>
      <c r="I46" s="12"/>
      <c r="J46" s="22">
        <f t="shared" si="4"/>
        <v>0</v>
      </c>
    </row>
    <row r="47" spans="2:10" ht="20.100000000000001" customHeight="1" x14ac:dyDescent="0.3">
      <c r="B47" s="9" t="s">
        <v>55</v>
      </c>
      <c r="C47" s="4">
        <v>24</v>
      </c>
      <c r="D47" s="5"/>
      <c r="E47" s="7"/>
      <c r="F47" s="12"/>
      <c r="G47" s="13"/>
      <c r="H47" s="22"/>
      <c r="I47" s="12"/>
      <c r="J47" s="22">
        <f t="shared" si="4"/>
        <v>0</v>
      </c>
    </row>
    <row r="48" spans="2:10" ht="20.100000000000001" customHeight="1" x14ac:dyDescent="0.3">
      <c r="B48" s="9" t="s">
        <v>115</v>
      </c>
      <c r="C48" s="4">
        <v>2</v>
      </c>
      <c r="D48" s="5"/>
      <c r="E48" s="7"/>
      <c r="F48" s="12"/>
      <c r="G48" s="13"/>
      <c r="H48" s="22"/>
      <c r="I48" s="12"/>
      <c r="J48" s="22">
        <f t="shared" si="4"/>
        <v>0</v>
      </c>
    </row>
    <row r="49" spans="2:10" ht="20.100000000000001" customHeight="1" x14ac:dyDescent="0.3">
      <c r="B49" s="9" t="s">
        <v>116</v>
      </c>
      <c r="C49" s="4">
        <v>15</v>
      </c>
      <c r="D49" s="5"/>
      <c r="E49" s="7"/>
      <c r="F49" s="12"/>
      <c r="G49" s="13"/>
      <c r="H49" s="22"/>
      <c r="I49" s="12"/>
      <c r="J49" s="22">
        <f t="shared" si="4"/>
        <v>0</v>
      </c>
    </row>
    <row r="50" spans="2:10" ht="20.100000000000001" customHeight="1" x14ac:dyDescent="0.3">
      <c r="B50" s="9" t="s">
        <v>117</v>
      </c>
      <c r="C50" s="4">
        <v>2</v>
      </c>
      <c r="D50" s="5"/>
      <c r="E50" s="7"/>
      <c r="F50" s="12"/>
      <c r="G50" s="13"/>
      <c r="H50" s="22"/>
      <c r="I50" s="12"/>
      <c r="J50" s="22">
        <f t="shared" si="4"/>
        <v>0</v>
      </c>
    </row>
    <row r="51" spans="2:10" ht="20.100000000000001" customHeight="1" x14ac:dyDescent="0.3">
      <c r="B51" s="9" t="s">
        <v>119</v>
      </c>
      <c r="C51" s="4">
        <v>137</v>
      </c>
      <c r="D51" s="5"/>
      <c r="E51" s="7"/>
      <c r="F51" s="12"/>
      <c r="G51" s="13"/>
      <c r="H51" s="22"/>
      <c r="I51" s="12"/>
      <c r="J51" s="22">
        <f t="shared" si="4"/>
        <v>0</v>
      </c>
    </row>
    <row r="52" spans="2:10" ht="20.100000000000001" customHeight="1" x14ac:dyDescent="0.3">
      <c r="B52" s="9" t="s">
        <v>118</v>
      </c>
      <c r="C52" s="4">
        <v>97</v>
      </c>
      <c r="D52" s="5"/>
      <c r="E52" s="7"/>
      <c r="F52" s="12"/>
      <c r="G52" s="13"/>
      <c r="H52" s="22"/>
      <c r="I52" s="12"/>
      <c r="J52" s="22">
        <f t="shared" si="4"/>
        <v>0</v>
      </c>
    </row>
    <row r="53" spans="2:10" ht="20.100000000000001" customHeight="1" x14ac:dyDescent="0.3">
      <c r="B53" s="9" t="s">
        <v>75</v>
      </c>
      <c r="C53" s="4">
        <v>32</v>
      </c>
      <c r="D53" s="5"/>
      <c r="E53" s="7"/>
      <c r="F53" s="12"/>
      <c r="G53" s="13"/>
      <c r="H53" s="22"/>
      <c r="I53" s="12"/>
      <c r="J53" s="22">
        <f t="shared" si="4"/>
        <v>0</v>
      </c>
    </row>
    <row r="54" spans="2:10" ht="20.100000000000001" customHeight="1" x14ac:dyDescent="0.3">
      <c r="B54" s="9" t="s">
        <v>120</v>
      </c>
      <c r="C54" s="4">
        <v>2</v>
      </c>
      <c r="D54" s="5"/>
      <c r="E54" s="7"/>
      <c r="F54" s="12"/>
      <c r="G54" s="13"/>
      <c r="H54" s="22"/>
      <c r="I54" s="12"/>
      <c r="J54" s="22">
        <f t="shared" si="4"/>
        <v>0</v>
      </c>
    </row>
    <row r="55" spans="2:10" ht="20.100000000000001" customHeight="1" x14ac:dyDescent="0.3">
      <c r="B55" s="9" t="s">
        <v>121</v>
      </c>
      <c r="C55" s="4">
        <v>5</v>
      </c>
      <c r="D55" s="5"/>
      <c r="E55" s="7"/>
      <c r="F55" s="12"/>
      <c r="G55" s="13"/>
      <c r="H55" s="22"/>
      <c r="I55" s="12"/>
      <c r="J55" s="22">
        <f t="shared" si="4"/>
        <v>0</v>
      </c>
    </row>
    <row r="56" spans="2:10" ht="20.100000000000001" customHeight="1" x14ac:dyDescent="0.3">
      <c r="B56" s="9" t="s">
        <v>122</v>
      </c>
      <c r="C56" s="4">
        <v>3</v>
      </c>
      <c r="D56" s="5"/>
      <c r="E56" s="7"/>
      <c r="F56" s="12"/>
      <c r="G56" s="13"/>
      <c r="H56" s="22"/>
      <c r="I56" s="12"/>
      <c r="J56" s="22">
        <f t="shared" si="4"/>
        <v>0</v>
      </c>
    </row>
    <row r="57" spans="2:10" ht="20.100000000000001" customHeight="1" x14ac:dyDescent="0.3">
      <c r="B57" s="9" t="s">
        <v>90</v>
      </c>
      <c r="C57" s="4">
        <v>2</v>
      </c>
      <c r="D57" s="5"/>
      <c r="E57" s="7"/>
      <c r="F57" s="12"/>
      <c r="G57" s="13"/>
      <c r="H57" s="22"/>
      <c r="I57" s="12"/>
      <c r="J57" s="22">
        <f t="shared" si="4"/>
        <v>0</v>
      </c>
    </row>
    <row r="58" spans="2:10" ht="20.100000000000001" customHeight="1" x14ac:dyDescent="0.3">
      <c r="B58" s="9" t="s">
        <v>123</v>
      </c>
      <c r="C58" s="4">
        <v>1</v>
      </c>
      <c r="D58" s="5"/>
      <c r="E58" s="7"/>
      <c r="F58" s="12"/>
      <c r="G58" s="13"/>
      <c r="H58" s="22"/>
      <c r="I58" s="12"/>
      <c r="J58" s="22">
        <f t="shared" si="4"/>
        <v>0</v>
      </c>
    </row>
    <row r="59" spans="2:10" ht="28.5" customHeight="1" thickBot="1" x14ac:dyDescent="0.35">
      <c r="B59" s="8" t="s">
        <v>80</v>
      </c>
      <c r="C59" s="8"/>
      <c r="D59" s="18"/>
      <c r="E59" s="19"/>
      <c r="F59" s="20"/>
      <c r="G59" s="21"/>
      <c r="H59" s="20">
        <f>SUM(H31:H58)</f>
        <v>0</v>
      </c>
      <c r="I59" s="19"/>
      <c r="J59" s="20">
        <f>SUM(J31:J58)</f>
        <v>0</v>
      </c>
    </row>
    <row r="60" spans="2:10" s="25" customFormat="1" ht="25.5" customHeight="1" thickBot="1" x14ac:dyDescent="0.35">
      <c r="B60" s="31" t="s">
        <v>56</v>
      </c>
      <c r="C60" s="405"/>
      <c r="D60" s="405"/>
      <c r="E60" s="405"/>
      <c r="F60" s="405"/>
      <c r="G60" s="405"/>
      <c r="H60" s="405"/>
      <c r="I60" s="405"/>
      <c r="J60" s="406"/>
    </row>
  </sheetData>
  <mergeCells count="6">
    <mergeCell ref="B2:J2"/>
    <mergeCell ref="B4:I4"/>
    <mergeCell ref="B18:I18"/>
    <mergeCell ref="B26:I26"/>
    <mergeCell ref="C60:J60"/>
    <mergeCell ref="B30:I30"/>
  </mergeCells>
  <pageMargins left="0.11811023622047245" right="0.31496062992125984" top="0.35433070866141736" bottom="0.35433070866141736" header="0.31496062992125984" footer="0.31496062992125984"/>
  <pageSetup scale="4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J52"/>
  <sheetViews>
    <sheetView topLeftCell="A33" workbookViewId="0">
      <selection activeCell="B26" sqref="B26:J50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9" width="18.6640625" customWidth="1"/>
    <col min="10" max="10" width="19.6640625" customWidth="1"/>
    <col min="11" max="11" width="18.6640625" customWidth="1"/>
  </cols>
  <sheetData>
    <row r="1" spans="2:10" ht="15" thickBot="1" x14ac:dyDescent="0.35"/>
    <row r="2" spans="2:10" ht="27" customHeight="1" thickBot="1" x14ac:dyDescent="0.35">
      <c r="B2" s="402" t="s">
        <v>124</v>
      </c>
      <c r="C2" s="403"/>
      <c r="D2" s="403"/>
      <c r="E2" s="403"/>
      <c r="F2" s="403"/>
      <c r="G2" s="403"/>
      <c r="H2" s="403"/>
      <c r="I2" s="403"/>
      <c r="J2" s="404"/>
    </row>
    <row r="3" spans="2:10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22</v>
      </c>
      <c r="G3" s="15" t="s">
        <v>23</v>
      </c>
      <c r="H3" s="16" t="s">
        <v>3</v>
      </c>
      <c r="I3" s="15" t="s">
        <v>4</v>
      </c>
      <c r="J3" s="17" t="s">
        <v>5</v>
      </c>
    </row>
    <row r="4" spans="2:10" s="1" customFormat="1" ht="20.399999999999999" customHeight="1" thickBot="1" x14ac:dyDescent="0.35">
      <c r="B4" s="409" t="s">
        <v>70</v>
      </c>
      <c r="C4" s="410"/>
      <c r="D4" s="410"/>
      <c r="E4" s="410"/>
      <c r="F4" s="410"/>
      <c r="G4" s="410"/>
      <c r="H4" s="410"/>
      <c r="I4" s="411"/>
      <c r="J4" s="33"/>
    </row>
    <row r="5" spans="2:10" ht="20.100000000000001" customHeight="1" x14ac:dyDescent="0.3">
      <c r="B5" s="9" t="s">
        <v>125</v>
      </c>
      <c r="C5" s="10">
        <v>3</v>
      </c>
      <c r="D5" s="11"/>
      <c r="E5" s="13"/>
      <c r="F5" s="12"/>
      <c r="G5" s="13"/>
      <c r="H5" s="22"/>
      <c r="I5" s="12"/>
      <c r="J5" s="22">
        <f>G5*3%</f>
        <v>0</v>
      </c>
    </row>
    <row r="6" spans="2:10" ht="20.100000000000001" customHeight="1" x14ac:dyDescent="0.3">
      <c r="B6" s="9" t="s">
        <v>127</v>
      </c>
      <c r="C6" s="10">
        <v>28</v>
      </c>
      <c r="D6" s="11"/>
      <c r="E6" s="7"/>
      <c r="F6" s="12"/>
      <c r="G6" s="13"/>
      <c r="H6" s="22"/>
      <c r="I6" s="12"/>
      <c r="J6" s="22">
        <f t="shared" ref="J6:J24" si="0">G6*3%</f>
        <v>0</v>
      </c>
    </row>
    <row r="7" spans="2:10" ht="20.100000000000001" customHeight="1" x14ac:dyDescent="0.3">
      <c r="B7" s="9" t="s">
        <v>128</v>
      </c>
      <c r="C7" s="4">
        <v>46</v>
      </c>
      <c r="D7" s="5"/>
      <c r="E7" s="7"/>
      <c r="F7" s="12"/>
      <c r="G7" s="13"/>
      <c r="H7" s="22"/>
      <c r="I7" s="12"/>
      <c r="J7" s="22">
        <f t="shared" si="0"/>
        <v>0</v>
      </c>
    </row>
    <row r="8" spans="2:10" ht="20.100000000000001" customHeight="1" x14ac:dyDescent="0.3">
      <c r="B8" s="9" t="s">
        <v>129</v>
      </c>
      <c r="C8" s="4">
        <v>73</v>
      </c>
      <c r="D8" s="5"/>
      <c r="E8" s="7"/>
      <c r="F8" s="12"/>
      <c r="G8" s="13"/>
      <c r="H8" s="22"/>
      <c r="I8" s="12"/>
      <c r="J8" s="22">
        <f t="shared" si="0"/>
        <v>0</v>
      </c>
    </row>
    <row r="9" spans="2:10" ht="20.100000000000001" customHeight="1" x14ac:dyDescent="0.3">
      <c r="B9" s="9" t="s">
        <v>130</v>
      </c>
      <c r="C9" s="4">
        <v>74</v>
      </c>
      <c r="D9" s="5"/>
      <c r="E9" s="7"/>
      <c r="F9" s="12"/>
      <c r="G9" s="13"/>
      <c r="H9" s="22"/>
      <c r="I9" s="12"/>
      <c r="J9" s="22">
        <f t="shared" si="0"/>
        <v>0</v>
      </c>
    </row>
    <row r="10" spans="2:10" ht="20.100000000000001" customHeight="1" x14ac:dyDescent="0.3">
      <c r="B10" s="9" t="s">
        <v>131</v>
      </c>
      <c r="C10" s="4">
        <v>16</v>
      </c>
      <c r="D10" s="5"/>
      <c r="E10" s="7"/>
      <c r="F10" s="12"/>
      <c r="G10" s="13"/>
      <c r="H10" s="22"/>
      <c r="I10" s="12"/>
      <c r="J10" s="22">
        <f t="shared" si="0"/>
        <v>0</v>
      </c>
    </row>
    <row r="11" spans="2:10" ht="20.100000000000001" customHeight="1" x14ac:dyDescent="0.3">
      <c r="B11" s="9" t="s">
        <v>132</v>
      </c>
      <c r="C11" s="4">
        <v>8</v>
      </c>
      <c r="D11" s="5"/>
      <c r="E11" s="7"/>
      <c r="F11" s="12"/>
      <c r="G11" s="13"/>
      <c r="H11" s="22"/>
      <c r="I11" s="12"/>
      <c r="J11" s="22">
        <f t="shared" si="0"/>
        <v>0</v>
      </c>
    </row>
    <row r="12" spans="2:10" ht="20.100000000000001" customHeight="1" x14ac:dyDescent="0.3">
      <c r="B12" s="9" t="s">
        <v>133</v>
      </c>
      <c r="C12" s="4">
        <v>28</v>
      </c>
      <c r="D12" s="5"/>
      <c r="E12" s="7"/>
      <c r="F12" s="12"/>
      <c r="G12" s="13"/>
      <c r="H12" s="22"/>
      <c r="I12" s="12"/>
      <c r="J12" s="22">
        <f t="shared" si="0"/>
        <v>0</v>
      </c>
    </row>
    <row r="13" spans="2:10" ht="20.100000000000001" customHeight="1" x14ac:dyDescent="0.3">
      <c r="B13" s="9" t="s">
        <v>134</v>
      </c>
      <c r="C13" s="4">
        <v>11</v>
      </c>
      <c r="D13" s="5"/>
      <c r="E13" s="7"/>
      <c r="F13" s="12"/>
      <c r="G13" s="13"/>
      <c r="H13" s="22"/>
      <c r="I13" s="12"/>
      <c r="J13" s="22">
        <f t="shared" si="0"/>
        <v>0</v>
      </c>
    </row>
    <row r="14" spans="2:10" ht="20.100000000000001" customHeight="1" x14ac:dyDescent="0.3">
      <c r="B14" s="9" t="s">
        <v>135</v>
      </c>
      <c r="C14" s="4">
        <v>27</v>
      </c>
      <c r="D14" s="5"/>
      <c r="E14" s="7"/>
      <c r="F14" s="12"/>
      <c r="G14" s="13"/>
      <c r="H14" s="22"/>
      <c r="I14" s="12"/>
      <c r="J14" s="22">
        <f t="shared" si="0"/>
        <v>0</v>
      </c>
    </row>
    <row r="15" spans="2:10" ht="20.100000000000001" customHeight="1" x14ac:dyDescent="0.3">
      <c r="B15" s="9" t="s">
        <v>136</v>
      </c>
      <c r="C15" s="4">
        <v>28</v>
      </c>
      <c r="D15" s="5"/>
      <c r="E15" s="7"/>
      <c r="F15" s="12"/>
      <c r="G15" s="13"/>
      <c r="H15" s="22"/>
      <c r="I15" s="12"/>
      <c r="J15" s="22">
        <f t="shared" si="0"/>
        <v>0</v>
      </c>
    </row>
    <row r="16" spans="2:10" ht="20.100000000000001" customHeight="1" x14ac:dyDescent="0.3">
      <c r="B16" s="9" t="s">
        <v>42</v>
      </c>
      <c r="C16" s="4">
        <v>1</v>
      </c>
      <c r="D16" s="5"/>
      <c r="E16" s="7"/>
      <c r="F16" s="12"/>
      <c r="G16" s="13"/>
      <c r="H16" s="22"/>
      <c r="I16" s="12"/>
      <c r="J16" s="22">
        <f t="shared" si="0"/>
        <v>0</v>
      </c>
    </row>
    <row r="17" spans="2:10" ht="20.100000000000001" customHeight="1" x14ac:dyDescent="0.3">
      <c r="B17" s="9" t="s">
        <v>137</v>
      </c>
      <c r="C17" s="4">
        <v>2</v>
      </c>
      <c r="D17" s="5"/>
      <c r="E17" s="7"/>
      <c r="F17" s="12"/>
      <c r="G17" s="13"/>
      <c r="H17" s="22"/>
      <c r="I17" s="12"/>
      <c r="J17" s="22">
        <f t="shared" si="0"/>
        <v>0</v>
      </c>
    </row>
    <row r="18" spans="2:10" ht="20.100000000000001" customHeight="1" x14ac:dyDescent="0.3">
      <c r="B18" s="9" t="s">
        <v>138</v>
      </c>
      <c r="C18" s="4">
        <v>6</v>
      </c>
      <c r="D18" s="5"/>
      <c r="E18" s="7"/>
      <c r="F18" s="12"/>
      <c r="G18" s="13"/>
      <c r="H18" s="22"/>
      <c r="I18" s="12"/>
      <c r="J18" s="22">
        <f t="shared" si="0"/>
        <v>0</v>
      </c>
    </row>
    <row r="19" spans="2:10" ht="20.100000000000001" customHeight="1" x14ac:dyDescent="0.3">
      <c r="B19" s="9" t="s">
        <v>139</v>
      </c>
      <c r="C19" s="4">
        <v>8</v>
      </c>
      <c r="D19" s="5"/>
      <c r="E19" s="7"/>
      <c r="F19" s="12"/>
      <c r="G19" s="13"/>
      <c r="H19" s="22"/>
      <c r="I19" s="12"/>
      <c r="J19" s="22">
        <f t="shared" si="0"/>
        <v>0</v>
      </c>
    </row>
    <row r="20" spans="2:10" ht="20.100000000000001" customHeight="1" x14ac:dyDescent="0.3">
      <c r="B20" s="9" t="s">
        <v>76</v>
      </c>
      <c r="C20" s="4">
        <v>2</v>
      </c>
      <c r="D20" s="5"/>
      <c r="E20" s="7"/>
      <c r="F20" s="12"/>
      <c r="G20" s="13"/>
      <c r="H20" s="22"/>
      <c r="I20" s="12"/>
      <c r="J20" s="22">
        <f t="shared" si="0"/>
        <v>0</v>
      </c>
    </row>
    <row r="21" spans="2:10" ht="20.100000000000001" customHeight="1" x14ac:dyDescent="0.3">
      <c r="B21" s="9" t="s">
        <v>140</v>
      </c>
      <c r="C21" s="4">
        <v>34</v>
      </c>
      <c r="D21" s="5"/>
      <c r="E21" s="7"/>
      <c r="F21" s="12"/>
      <c r="G21" s="13"/>
      <c r="H21" s="22"/>
      <c r="I21" s="12"/>
      <c r="J21" s="22">
        <f t="shared" si="0"/>
        <v>0</v>
      </c>
    </row>
    <row r="22" spans="2:10" ht="20.100000000000001" customHeight="1" x14ac:dyDescent="0.3">
      <c r="B22" s="9" t="s">
        <v>141</v>
      </c>
      <c r="C22" s="4">
        <v>19</v>
      </c>
      <c r="D22" s="5"/>
      <c r="E22" s="7"/>
      <c r="F22" s="12"/>
      <c r="G22" s="13"/>
      <c r="H22" s="22"/>
      <c r="I22" s="12"/>
      <c r="J22" s="22">
        <f t="shared" si="0"/>
        <v>0</v>
      </c>
    </row>
    <row r="23" spans="2:10" ht="20.100000000000001" customHeight="1" x14ac:dyDescent="0.3">
      <c r="B23" s="9" t="s">
        <v>142</v>
      </c>
      <c r="C23" s="4">
        <v>18</v>
      </c>
      <c r="D23" s="5"/>
      <c r="E23" s="7"/>
      <c r="F23" s="12"/>
      <c r="G23" s="13"/>
      <c r="H23" s="22"/>
      <c r="I23" s="12"/>
      <c r="J23" s="22">
        <f t="shared" si="0"/>
        <v>0</v>
      </c>
    </row>
    <row r="24" spans="2:10" ht="20.100000000000001" customHeight="1" x14ac:dyDescent="0.3">
      <c r="B24" s="9" t="s">
        <v>90</v>
      </c>
      <c r="C24" s="4">
        <v>3</v>
      </c>
      <c r="D24" s="5"/>
      <c r="E24" s="7"/>
      <c r="F24" s="12"/>
      <c r="G24" s="13"/>
      <c r="H24" s="22"/>
      <c r="I24" s="12"/>
      <c r="J24" s="22">
        <f t="shared" si="0"/>
        <v>0</v>
      </c>
    </row>
    <row r="25" spans="2:10" ht="28.5" customHeight="1" thickBot="1" x14ac:dyDescent="0.35">
      <c r="B25" s="8" t="s">
        <v>80</v>
      </c>
      <c r="C25" s="8"/>
      <c r="D25" s="18"/>
      <c r="E25" s="19"/>
      <c r="F25" s="20"/>
      <c r="G25" s="21"/>
      <c r="H25" s="20">
        <f>SUM(H5:H24)</f>
        <v>0</v>
      </c>
      <c r="I25" s="19"/>
      <c r="J25" s="20">
        <f>SUM(J5:J24)</f>
        <v>0</v>
      </c>
    </row>
    <row r="26" spans="2:10" s="1" customFormat="1" ht="20.399999999999999" customHeight="1" thickBot="1" x14ac:dyDescent="0.35">
      <c r="B26" s="409" t="s">
        <v>71</v>
      </c>
      <c r="C26" s="410"/>
      <c r="D26" s="410"/>
      <c r="E26" s="410"/>
      <c r="F26" s="410"/>
      <c r="G26" s="410"/>
      <c r="H26" s="410"/>
      <c r="I26" s="411"/>
      <c r="J26" s="33"/>
    </row>
    <row r="27" spans="2:10" ht="20.100000000000001" customHeight="1" x14ac:dyDescent="0.3">
      <c r="B27" s="9" t="s">
        <v>143</v>
      </c>
      <c r="C27" s="4">
        <v>4</v>
      </c>
      <c r="D27" s="5"/>
      <c r="E27" s="7"/>
      <c r="F27" s="12"/>
      <c r="G27" s="13">
        <f t="shared" ref="G27" si="1">+C27*F27</f>
        <v>0</v>
      </c>
      <c r="H27" s="22">
        <f t="shared" ref="H27" si="2">+G27*3.5%</f>
        <v>0</v>
      </c>
      <c r="I27" s="12"/>
      <c r="J27" s="22">
        <f t="shared" ref="J27" si="3">G27*3%</f>
        <v>0</v>
      </c>
    </row>
    <row r="28" spans="2:10" ht="20.100000000000001" customHeight="1" x14ac:dyDescent="0.3">
      <c r="B28" s="9" t="s">
        <v>83</v>
      </c>
      <c r="C28" s="4">
        <v>4</v>
      </c>
      <c r="D28" s="5"/>
      <c r="E28" s="7"/>
      <c r="F28" s="12"/>
      <c r="G28" s="13"/>
      <c r="H28" s="22"/>
      <c r="I28" s="12"/>
      <c r="J28" s="22"/>
    </row>
    <row r="29" spans="2:10" ht="20.100000000000001" customHeight="1" x14ac:dyDescent="0.3">
      <c r="B29" s="9" t="s">
        <v>106</v>
      </c>
      <c r="C29" s="4">
        <v>4</v>
      </c>
      <c r="D29" s="5"/>
      <c r="E29" s="7"/>
      <c r="F29" s="12"/>
      <c r="G29" s="13"/>
      <c r="H29" s="22"/>
      <c r="I29" s="12"/>
      <c r="J29" s="22"/>
    </row>
    <row r="30" spans="2:10" ht="20.100000000000001" customHeight="1" x14ac:dyDescent="0.3">
      <c r="B30" s="9" t="s">
        <v>144</v>
      </c>
      <c r="C30" s="4">
        <v>4</v>
      </c>
      <c r="D30" s="5"/>
      <c r="E30" s="7"/>
      <c r="F30" s="12"/>
      <c r="G30" s="13"/>
      <c r="H30" s="22"/>
      <c r="I30" s="12"/>
      <c r="J30" s="22"/>
    </row>
    <row r="31" spans="2:10" ht="20.100000000000001" customHeight="1" x14ac:dyDescent="0.3">
      <c r="B31" s="9" t="s">
        <v>107</v>
      </c>
      <c r="C31" s="4">
        <v>6</v>
      </c>
      <c r="D31" s="5"/>
      <c r="E31" s="7"/>
      <c r="F31" s="12"/>
      <c r="G31" s="13"/>
      <c r="H31" s="22"/>
      <c r="I31" s="12"/>
      <c r="J31" s="22"/>
    </row>
    <row r="32" spans="2:10" ht="20.100000000000001" customHeight="1" x14ac:dyDescent="0.3">
      <c r="B32" s="9" t="s">
        <v>101</v>
      </c>
      <c r="C32" s="4">
        <v>6</v>
      </c>
      <c r="D32" s="5"/>
      <c r="E32" s="7"/>
      <c r="F32" s="12"/>
      <c r="G32" s="13"/>
      <c r="H32" s="22"/>
      <c r="I32" s="12"/>
      <c r="J32" s="22"/>
    </row>
    <row r="33" spans="2:10" ht="20.100000000000001" customHeight="1" x14ac:dyDescent="0.3">
      <c r="B33" s="9" t="s">
        <v>145</v>
      </c>
      <c r="C33" s="4">
        <v>1</v>
      </c>
      <c r="D33" s="5"/>
      <c r="E33" s="7"/>
      <c r="F33" s="12"/>
      <c r="G33" s="13"/>
      <c r="H33" s="22"/>
      <c r="I33" s="12"/>
      <c r="J33" s="22"/>
    </row>
    <row r="34" spans="2:10" ht="20.100000000000001" customHeight="1" x14ac:dyDescent="0.3">
      <c r="B34" s="9" t="s">
        <v>125</v>
      </c>
      <c r="C34" s="4">
        <v>1</v>
      </c>
      <c r="D34" s="5"/>
      <c r="E34" s="7"/>
      <c r="F34" s="12"/>
      <c r="G34" s="13"/>
      <c r="H34" s="22"/>
      <c r="I34" s="12"/>
      <c r="J34" s="22"/>
    </row>
    <row r="35" spans="2:10" ht="20.100000000000001" customHeight="1" x14ac:dyDescent="0.3">
      <c r="B35" s="9" t="s">
        <v>68</v>
      </c>
      <c r="C35" s="4">
        <v>24</v>
      </c>
      <c r="D35" s="5"/>
      <c r="E35" s="7"/>
      <c r="F35" s="12"/>
      <c r="G35" s="13"/>
      <c r="H35" s="22"/>
      <c r="I35" s="12"/>
      <c r="J35" s="22"/>
    </row>
    <row r="36" spans="2:10" ht="20.100000000000001" customHeight="1" x14ac:dyDescent="0.3">
      <c r="B36" s="9" t="s">
        <v>146</v>
      </c>
      <c r="C36" s="4">
        <v>2</v>
      </c>
      <c r="D36" s="5"/>
      <c r="E36" s="7"/>
      <c r="F36" s="12"/>
      <c r="G36" s="13"/>
      <c r="H36" s="22"/>
      <c r="I36" s="12"/>
      <c r="J36" s="22"/>
    </row>
    <row r="37" spans="2:10" ht="20.100000000000001" customHeight="1" x14ac:dyDescent="0.3">
      <c r="B37" s="9" t="s">
        <v>134</v>
      </c>
      <c r="C37" s="4">
        <v>6</v>
      </c>
      <c r="D37" s="5"/>
      <c r="E37" s="7"/>
      <c r="F37" s="12"/>
      <c r="G37" s="13"/>
      <c r="H37" s="22"/>
      <c r="I37" s="12"/>
      <c r="J37" s="22"/>
    </row>
    <row r="38" spans="2:10" ht="20.100000000000001" customHeight="1" x14ac:dyDescent="0.3">
      <c r="B38" s="9" t="s">
        <v>136</v>
      </c>
      <c r="C38" s="4">
        <v>8</v>
      </c>
      <c r="D38" s="5"/>
      <c r="E38" s="7"/>
      <c r="F38" s="12"/>
      <c r="G38" s="13"/>
      <c r="H38" s="22"/>
      <c r="I38" s="12"/>
      <c r="J38" s="22"/>
    </row>
    <row r="39" spans="2:10" ht="20.100000000000001" customHeight="1" x14ac:dyDescent="0.3">
      <c r="B39" s="9" t="s">
        <v>147</v>
      </c>
      <c r="C39" s="4">
        <v>15</v>
      </c>
      <c r="D39" s="5"/>
      <c r="E39" s="7"/>
      <c r="F39" s="12"/>
      <c r="G39" s="13"/>
      <c r="H39" s="22"/>
      <c r="I39" s="12"/>
      <c r="J39" s="22"/>
    </row>
    <row r="40" spans="2:10" ht="20.100000000000001" customHeight="1" x14ac:dyDescent="0.3">
      <c r="B40" s="9" t="s">
        <v>148</v>
      </c>
      <c r="C40" s="4">
        <v>4</v>
      </c>
      <c r="D40" s="5"/>
      <c r="E40" s="7"/>
      <c r="F40" s="12"/>
      <c r="G40" s="13"/>
      <c r="H40" s="22"/>
      <c r="I40" s="12"/>
      <c r="J40" s="22"/>
    </row>
    <row r="41" spans="2:10" ht="20.100000000000001" customHeight="1" x14ac:dyDescent="0.3">
      <c r="B41" s="9" t="s">
        <v>149</v>
      </c>
      <c r="C41" s="4">
        <v>13</v>
      </c>
      <c r="D41" s="5"/>
      <c r="E41" s="7"/>
      <c r="F41" s="12"/>
      <c r="G41" s="13"/>
      <c r="H41" s="22"/>
      <c r="I41" s="12"/>
      <c r="J41" s="22"/>
    </row>
    <row r="42" spans="2:10" ht="20.100000000000001" customHeight="1" x14ac:dyDescent="0.3">
      <c r="B42" s="9" t="s">
        <v>150</v>
      </c>
      <c r="C42" s="4">
        <v>10</v>
      </c>
      <c r="D42" s="5"/>
      <c r="E42" s="7"/>
      <c r="F42" s="12"/>
      <c r="G42" s="13"/>
      <c r="H42" s="22"/>
      <c r="I42" s="12"/>
      <c r="J42" s="22"/>
    </row>
    <row r="43" spans="2:10" ht="20.100000000000001" customHeight="1" x14ac:dyDescent="0.3">
      <c r="B43" s="9" t="s">
        <v>151</v>
      </c>
      <c r="C43" s="4">
        <v>8</v>
      </c>
      <c r="D43" s="5"/>
      <c r="E43" s="7"/>
      <c r="F43" s="12"/>
      <c r="G43" s="13"/>
      <c r="H43" s="22"/>
      <c r="I43" s="12"/>
      <c r="J43" s="22"/>
    </row>
    <row r="44" spans="2:10" ht="20.100000000000001" customHeight="1" x14ac:dyDescent="0.3">
      <c r="B44" s="9" t="s">
        <v>152</v>
      </c>
      <c r="C44" s="4">
        <v>6</v>
      </c>
      <c r="D44" s="5"/>
      <c r="E44" s="7"/>
      <c r="F44" s="12"/>
      <c r="G44" s="13"/>
      <c r="H44" s="22"/>
      <c r="I44" s="12"/>
      <c r="J44" s="22"/>
    </row>
    <row r="45" spans="2:10" ht="20.100000000000001" customHeight="1" x14ac:dyDescent="0.3">
      <c r="B45" s="9" t="s">
        <v>153</v>
      </c>
      <c r="C45" s="4">
        <v>14</v>
      </c>
      <c r="D45" s="5"/>
      <c r="E45" s="7"/>
      <c r="F45" s="12"/>
      <c r="G45" s="13"/>
      <c r="H45" s="22"/>
      <c r="I45" s="12"/>
      <c r="J45" s="22"/>
    </row>
    <row r="46" spans="2:10" ht="20.100000000000001" customHeight="1" x14ac:dyDescent="0.3">
      <c r="B46" s="9" t="s">
        <v>154</v>
      </c>
      <c r="C46" s="4">
        <v>11</v>
      </c>
      <c r="D46" s="5"/>
      <c r="E46" s="7"/>
      <c r="F46" s="12"/>
      <c r="G46" s="13"/>
      <c r="H46" s="22"/>
      <c r="I46" s="12"/>
      <c r="J46" s="22"/>
    </row>
    <row r="47" spans="2:10" ht="20.100000000000001" customHeight="1" x14ac:dyDescent="0.3">
      <c r="B47" s="9" t="s">
        <v>155</v>
      </c>
      <c r="C47" s="4">
        <v>7</v>
      </c>
      <c r="D47" s="5"/>
      <c r="E47" s="7"/>
      <c r="F47" s="12"/>
      <c r="G47" s="13"/>
      <c r="H47" s="22"/>
      <c r="I47" s="12"/>
      <c r="J47" s="22"/>
    </row>
    <row r="48" spans="2:10" ht="20.100000000000001" customHeight="1" x14ac:dyDescent="0.3">
      <c r="B48" s="9" t="s">
        <v>123</v>
      </c>
      <c r="C48" s="4">
        <v>1</v>
      </c>
      <c r="D48" s="5"/>
      <c r="E48" s="7"/>
      <c r="F48" s="12"/>
      <c r="G48" s="13"/>
      <c r="H48" s="22"/>
      <c r="I48" s="12"/>
      <c r="J48" s="22"/>
    </row>
    <row r="49" spans="2:10" ht="20.100000000000001" customHeight="1" x14ac:dyDescent="0.3">
      <c r="B49" s="9" t="s">
        <v>156</v>
      </c>
      <c r="C49" s="4">
        <v>9</v>
      </c>
      <c r="D49" s="5"/>
      <c r="E49" s="7"/>
      <c r="F49" s="12"/>
      <c r="G49" s="13"/>
      <c r="H49" s="22"/>
      <c r="I49" s="12"/>
      <c r="J49" s="22"/>
    </row>
    <row r="50" spans="2:10" ht="20.100000000000001" customHeight="1" x14ac:dyDescent="0.3">
      <c r="B50" s="9" t="s">
        <v>157</v>
      </c>
      <c r="C50" s="4">
        <v>4</v>
      </c>
      <c r="D50" s="5"/>
      <c r="E50" s="7"/>
      <c r="F50" s="12"/>
      <c r="G50" s="13"/>
      <c r="H50" s="22"/>
      <c r="I50" s="12"/>
      <c r="J50" s="22"/>
    </row>
    <row r="51" spans="2:10" ht="28.5" customHeight="1" thickBot="1" x14ac:dyDescent="0.35">
      <c r="B51" s="8" t="s">
        <v>80</v>
      </c>
      <c r="C51" s="8"/>
      <c r="D51" s="18"/>
      <c r="E51" s="19"/>
      <c r="F51" s="20"/>
      <c r="G51" s="21"/>
      <c r="H51" s="20">
        <f>SUM(H27:H50)</f>
        <v>0</v>
      </c>
      <c r="I51" s="19"/>
      <c r="J51" s="20">
        <f>SUM(J27:J50)</f>
        <v>0</v>
      </c>
    </row>
    <row r="52" spans="2:10" s="25" customFormat="1" ht="25.5" customHeight="1" thickBot="1" x14ac:dyDescent="0.35">
      <c r="B52" s="31" t="s">
        <v>56</v>
      </c>
      <c r="C52" s="405"/>
      <c r="D52" s="405"/>
      <c r="E52" s="405"/>
      <c r="F52" s="405"/>
      <c r="G52" s="405"/>
      <c r="H52" s="405"/>
      <c r="I52" s="405"/>
      <c r="J52" s="406"/>
    </row>
  </sheetData>
  <mergeCells count="4">
    <mergeCell ref="B2:J2"/>
    <mergeCell ref="B4:I4"/>
    <mergeCell ref="B26:I26"/>
    <mergeCell ref="C52:J52"/>
  </mergeCells>
  <pageMargins left="0.11811023622047245" right="0.11811023622047245" top="0.15748031496062992" bottom="0.15748031496062992" header="0.31496062992125984" footer="0.31496062992125984"/>
  <pageSetup scale="5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5"/>
  <sheetViews>
    <sheetView workbookViewId="0">
      <selection activeCell="I8" sqref="I8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7" width="18.6640625" customWidth="1"/>
  </cols>
  <sheetData>
    <row r="1" spans="2:7" ht="15" thickBot="1" x14ac:dyDescent="0.35"/>
    <row r="2" spans="2:7" ht="27" customHeight="1" thickBot="1" x14ac:dyDescent="0.35">
      <c r="B2" s="402" t="s">
        <v>8</v>
      </c>
      <c r="C2" s="403"/>
      <c r="D2" s="403"/>
      <c r="E2" s="403"/>
      <c r="F2" s="403"/>
      <c r="G2" s="404"/>
    </row>
    <row r="3" spans="2:7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34</v>
      </c>
      <c r="G3" s="15" t="s">
        <v>23</v>
      </c>
    </row>
    <row r="4" spans="2:7" ht="20.100000000000001" customHeight="1" x14ac:dyDescent="0.3">
      <c r="B4" s="3" t="s">
        <v>10</v>
      </c>
      <c r="C4" s="4">
        <v>45</v>
      </c>
      <c r="D4" s="5">
        <v>23.17</v>
      </c>
      <c r="E4" s="7">
        <v>122.75</v>
      </c>
      <c r="F4" s="5">
        <f>+C4*D4</f>
        <v>1042.6500000000001</v>
      </c>
      <c r="G4" s="7">
        <f t="shared" ref="G4:G12" si="0">+C4*D4*E4</f>
        <v>127985.28750000001</v>
      </c>
    </row>
    <row r="5" spans="2:7" ht="20.100000000000001" customHeight="1" x14ac:dyDescent="0.3">
      <c r="B5" s="3" t="s">
        <v>30</v>
      </c>
      <c r="C5" s="4">
        <v>45</v>
      </c>
      <c r="D5" s="5">
        <f>17.04*1.21</f>
        <v>20.618399999999998</v>
      </c>
      <c r="E5" s="7">
        <v>122.75</v>
      </c>
      <c r="F5" s="5">
        <f t="shared" ref="F5:F12" si="1">+C5*D5</f>
        <v>927.82799999999986</v>
      </c>
      <c r="G5" s="7">
        <f t="shared" si="0"/>
        <v>113890.88699999999</v>
      </c>
    </row>
    <row r="6" spans="2:7" ht="20.100000000000001" customHeight="1" x14ac:dyDescent="0.3">
      <c r="B6" s="3" t="s">
        <v>17</v>
      </c>
      <c r="C6" s="4">
        <v>18</v>
      </c>
      <c r="D6" s="5">
        <v>27.46</v>
      </c>
      <c r="E6" s="7">
        <v>122.75</v>
      </c>
      <c r="F6" s="5">
        <f t="shared" si="1"/>
        <v>494.28000000000003</v>
      </c>
      <c r="G6" s="7">
        <f t="shared" si="0"/>
        <v>60672.87</v>
      </c>
    </row>
    <row r="7" spans="2:7" ht="20.100000000000001" customHeight="1" x14ac:dyDescent="0.3">
      <c r="B7" s="3" t="s">
        <v>31</v>
      </c>
      <c r="C7" s="4">
        <v>9</v>
      </c>
      <c r="D7" s="5">
        <v>29.6</v>
      </c>
      <c r="E7" s="7">
        <v>122.75</v>
      </c>
      <c r="F7" s="5">
        <f t="shared" si="1"/>
        <v>266.40000000000003</v>
      </c>
      <c r="G7" s="7">
        <f t="shared" si="0"/>
        <v>32700.600000000006</v>
      </c>
    </row>
    <row r="8" spans="2:7" ht="20.100000000000001" customHeight="1" x14ac:dyDescent="0.3">
      <c r="B8" s="3" t="s">
        <v>32</v>
      </c>
      <c r="C8" s="4">
        <v>135</v>
      </c>
      <c r="D8" s="5">
        <v>61.35</v>
      </c>
      <c r="E8" s="7">
        <v>122.75</v>
      </c>
      <c r="F8" s="5">
        <f t="shared" si="1"/>
        <v>8282.25</v>
      </c>
      <c r="G8" s="7">
        <f t="shared" si="0"/>
        <v>1016646.1875</v>
      </c>
    </row>
    <row r="9" spans="2:7" ht="20.100000000000001" customHeight="1" x14ac:dyDescent="0.3">
      <c r="B9" s="3" t="s">
        <v>6</v>
      </c>
      <c r="C9" s="4">
        <v>276</v>
      </c>
      <c r="D9" s="5">
        <v>52.62</v>
      </c>
      <c r="E9" s="7">
        <v>122.75</v>
      </c>
      <c r="F9" s="5">
        <f t="shared" si="1"/>
        <v>14523.119999999999</v>
      </c>
      <c r="G9" s="7">
        <f t="shared" si="0"/>
        <v>1782712.98</v>
      </c>
    </row>
    <row r="10" spans="2:7" ht="20.100000000000001" customHeight="1" x14ac:dyDescent="0.3">
      <c r="B10" s="3" t="s">
        <v>33</v>
      </c>
      <c r="C10" s="4">
        <v>24</v>
      </c>
      <c r="D10" s="11">
        <v>78</v>
      </c>
      <c r="E10" s="7">
        <v>122.75</v>
      </c>
      <c r="F10" s="5">
        <f t="shared" si="1"/>
        <v>1872</v>
      </c>
      <c r="G10" s="7">
        <f t="shared" si="0"/>
        <v>229788</v>
      </c>
    </row>
    <row r="11" spans="2:7" ht="20.100000000000001" customHeight="1" x14ac:dyDescent="0.3">
      <c r="B11" s="3" t="s">
        <v>9</v>
      </c>
      <c r="C11" s="4">
        <v>36</v>
      </c>
      <c r="D11" s="5">
        <f>126.78*1.21</f>
        <v>153.40379999999999</v>
      </c>
      <c r="E11" s="7">
        <v>122.75</v>
      </c>
      <c r="F11" s="5">
        <f t="shared" si="1"/>
        <v>5522.5367999999999</v>
      </c>
      <c r="G11" s="7">
        <f t="shared" si="0"/>
        <v>677891.3922</v>
      </c>
    </row>
    <row r="12" spans="2:7" ht="20.100000000000001" customHeight="1" x14ac:dyDescent="0.3">
      <c r="B12" s="3" t="s">
        <v>7</v>
      </c>
      <c r="C12" s="4">
        <v>153</v>
      </c>
      <c r="D12" s="5">
        <v>62.78</v>
      </c>
      <c r="E12" s="7">
        <v>122.75</v>
      </c>
      <c r="F12" s="5">
        <f t="shared" si="1"/>
        <v>9605.34</v>
      </c>
      <c r="G12" s="7">
        <f t="shared" si="0"/>
        <v>1179055.4850000001</v>
      </c>
    </row>
    <row r="13" spans="2:7" ht="20.100000000000001" customHeight="1" x14ac:dyDescent="0.3">
      <c r="B13" s="3" t="s">
        <v>13</v>
      </c>
      <c r="C13" s="4">
        <v>192</v>
      </c>
      <c r="D13" s="5" t="s">
        <v>20</v>
      </c>
      <c r="E13" s="7">
        <v>0</v>
      </c>
      <c r="F13" s="5">
        <f>2500/E12*C13</f>
        <v>3910.3869653767815</v>
      </c>
      <c r="G13" s="7">
        <f>+C13*2500</f>
        <v>480000</v>
      </c>
    </row>
    <row r="14" spans="2:7" ht="20.100000000000001" customHeight="1" x14ac:dyDescent="0.3">
      <c r="B14" s="3" t="s">
        <v>15</v>
      </c>
      <c r="C14" s="4">
        <v>68</v>
      </c>
      <c r="D14" s="5" t="s">
        <v>20</v>
      </c>
      <c r="E14" s="7">
        <v>0</v>
      </c>
      <c r="F14" s="5">
        <f>4500/E12*C14</f>
        <v>2492.8716904276985</v>
      </c>
      <c r="G14" s="7">
        <f>+C14*4500</f>
        <v>306000</v>
      </c>
    </row>
    <row r="15" spans="2:7" ht="22.5" customHeight="1" x14ac:dyDescent="0.3">
      <c r="F15" s="24">
        <f>SUM(F4:F14)</f>
        <v>48939.663455804483</v>
      </c>
      <c r="G15" s="23">
        <f>SUM(G4:G14)</f>
        <v>6007343.6891999999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J81"/>
  <sheetViews>
    <sheetView topLeftCell="A64" workbookViewId="0">
      <selection activeCell="J3" sqref="J3"/>
    </sheetView>
  </sheetViews>
  <sheetFormatPr baseColWidth="10" defaultRowHeight="14.4" x14ac:dyDescent="0.3"/>
  <cols>
    <col min="1" max="1" width="3.33203125" customWidth="1"/>
    <col min="2" max="2" width="32.5546875" style="2" customWidth="1"/>
    <col min="3" max="3" width="18.6640625" style="1" customWidth="1"/>
    <col min="4" max="9" width="18.6640625" customWidth="1"/>
    <col min="10" max="10" width="19.6640625" customWidth="1"/>
    <col min="11" max="11" width="18.6640625" customWidth="1"/>
  </cols>
  <sheetData>
    <row r="1" spans="2:10" ht="15" thickBot="1" x14ac:dyDescent="0.35"/>
    <row r="2" spans="2:10" ht="27" customHeight="1" thickBot="1" x14ac:dyDescent="0.35">
      <c r="B2" s="402" t="s">
        <v>158</v>
      </c>
      <c r="C2" s="403"/>
      <c r="D2" s="403"/>
      <c r="E2" s="403"/>
      <c r="F2" s="403"/>
      <c r="G2" s="403"/>
      <c r="H2" s="403"/>
      <c r="I2" s="403"/>
      <c r="J2" s="404"/>
    </row>
    <row r="3" spans="2:10" s="1" customFormat="1" ht="33" customHeight="1" thickBot="1" x14ac:dyDescent="0.35">
      <c r="B3" s="14" t="s">
        <v>0</v>
      </c>
      <c r="C3" s="15" t="s">
        <v>1</v>
      </c>
      <c r="D3" s="15" t="s">
        <v>21</v>
      </c>
      <c r="E3" s="16" t="s">
        <v>2</v>
      </c>
      <c r="F3" s="15" t="s">
        <v>22</v>
      </c>
      <c r="G3" s="15" t="s">
        <v>23</v>
      </c>
      <c r="H3" s="16" t="s">
        <v>3</v>
      </c>
      <c r="I3" s="15" t="s">
        <v>4</v>
      </c>
      <c r="J3" s="17" t="s">
        <v>5</v>
      </c>
    </row>
    <row r="4" spans="2:10" s="1" customFormat="1" ht="20.399999999999999" customHeight="1" thickBot="1" x14ac:dyDescent="0.35">
      <c r="B4" s="409" t="s">
        <v>70</v>
      </c>
      <c r="C4" s="410"/>
      <c r="D4" s="410"/>
      <c r="E4" s="410"/>
      <c r="F4" s="410"/>
      <c r="G4" s="410"/>
      <c r="H4" s="410"/>
      <c r="I4" s="411"/>
      <c r="J4" s="33"/>
    </row>
    <row r="5" spans="2:10" ht="20.100000000000001" customHeight="1" x14ac:dyDescent="0.3">
      <c r="B5" s="9" t="s">
        <v>159</v>
      </c>
      <c r="C5" s="10">
        <v>2</v>
      </c>
      <c r="D5" s="11"/>
      <c r="E5" s="13"/>
      <c r="F5" s="12"/>
      <c r="G5" s="13"/>
      <c r="H5" s="22"/>
      <c r="I5" s="12"/>
      <c r="J5" s="22"/>
    </row>
    <row r="6" spans="2:10" ht="20.100000000000001" customHeight="1" x14ac:dyDescent="0.3">
      <c r="B6" s="9" t="s">
        <v>30</v>
      </c>
      <c r="C6" s="10">
        <v>2</v>
      </c>
      <c r="D6" s="11"/>
      <c r="E6" s="13"/>
      <c r="F6" s="12"/>
      <c r="G6" s="13"/>
      <c r="H6" s="22"/>
      <c r="I6" s="12"/>
      <c r="J6" s="22"/>
    </row>
    <row r="7" spans="2:10" ht="20.100000000000001" customHeight="1" x14ac:dyDescent="0.3">
      <c r="B7" s="9" t="s">
        <v>160</v>
      </c>
      <c r="C7" s="10">
        <v>9</v>
      </c>
      <c r="D7" s="11"/>
      <c r="E7" s="7"/>
      <c r="F7" s="12"/>
      <c r="G7" s="13"/>
      <c r="H7" s="22"/>
      <c r="I7" s="12"/>
      <c r="J7" s="22"/>
    </row>
    <row r="8" spans="2:10" ht="20.100000000000001" customHeight="1" x14ac:dyDescent="0.3">
      <c r="B8" s="9" t="s">
        <v>161</v>
      </c>
      <c r="C8" s="4">
        <v>36</v>
      </c>
      <c r="D8" s="5"/>
      <c r="E8" s="7"/>
      <c r="F8" s="12"/>
      <c r="G8" s="13"/>
      <c r="H8" s="22"/>
      <c r="I8" s="12"/>
      <c r="J8" s="22"/>
    </row>
    <row r="9" spans="2:10" ht="20.100000000000001" customHeight="1" x14ac:dyDescent="0.3">
      <c r="B9" s="9" t="s">
        <v>162</v>
      </c>
      <c r="C9" s="4">
        <v>27</v>
      </c>
      <c r="D9" s="5"/>
      <c r="E9" s="7"/>
      <c r="F9" s="12"/>
      <c r="G9" s="13"/>
      <c r="H9" s="22"/>
      <c r="I9" s="12"/>
      <c r="J9" s="22"/>
    </row>
    <row r="10" spans="2:10" ht="20.100000000000001" customHeight="1" x14ac:dyDescent="0.3">
      <c r="B10" s="9" t="s">
        <v>163</v>
      </c>
      <c r="C10" s="4">
        <v>2</v>
      </c>
      <c r="D10" s="5"/>
      <c r="E10" s="7"/>
      <c r="F10" s="12"/>
      <c r="G10" s="13"/>
      <c r="H10" s="22"/>
      <c r="I10" s="12"/>
      <c r="J10" s="22"/>
    </row>
    <row r="11" spans="2:10" ht="20.100000000000001" customHeight="1" x14ac:dyDescent="0.3">
      <c r="B11" s="9" t="s">
        <v>164</v>
      </c>
      <c r="C11" s="4">
        <v>6</v>
      </c>
      <c r="D11" s="5"/>
      <c r="E11" s="7"/>
      <c r="F11" s="12"/>
      <c r="G11" s="13"/>
      <c r="H11" s="22"/>
      <c r="I11" s="12"/>
      <c r="J11" s="22"/>
    </row>
    <row r="12" spans="2:10" ht="20.100000000000001" customHeight="1" x14ac:dyDescent="0.3">
      <c r="B12" s="9" t="s">
        <v>165</v>
      </c>
      <c r="C12" s="4">
        <v>2</v>
      </c>
      <c r="D12" s="5"/>
      <c r="E12" s="7"/>
      <c r="F12" s="12"/>
      <c r="G12" s="13"/>
      <c r="H12" s="22"/>
      <c r="I12" s="12"/>
      <c r="J12" s="22"/>
    </row>
    <row r="13" spans="2:10" ht="20.100000000000001" customHeight="1" x14ac:dyDescent="0.3">
      <c r="B13" s="9" t="s">
        <v>166</v>
      </c>
      <c r="C13" s="4">
        <v>1</v>
      </c>
      <c r="D13" s="5"/>
      <c r="E13" s="7"/>
      <c r="F13" s="12"/>
      <c r="G13" s="13"/>
      <c r="H13" s="22"/>
      <c r="I13" s="12"/>
      <c r="J13" s="22"/>
    </row>
    <row r="14" spans="2:10" ht="20.100000000000001" customHeight="1" x14ac:dyDescent="0.3">
      <c r="B14" s="9" t="s">
        <v>167</v>
      </c>
      <c r="C14" s="4">
        <v>1</v>
      </c>
      <c r="D14" s="5"/>
      <c r="E14" s="7"/>
      <c r="F14" s="12"/>
      <c r="G14" s="13"/>
      <c r="H14" s="22"/>
      <c r="I14" s="12"/>
      <c r="J14" s="22"/>
    </row>
    <row r="15" spans="2:10" ht="20.100000000000001" customHeight="1" x14ac:dyDescent="0.3">
      <c r="B15" s="9" t="s">
        <v>168</v>
      </c>
      <c r="C15" s="4">
        <v>3</v>
      </c>
      <c r="D15" s="5"/>
      <c r="E15" s="7"/>
      <c r="F15" s="12"/>
      <c r="G15" s="13"/>
      <c r="H15" s="22"/>
      <c r="I15" s="12"/>
      <c r="J15" s="22"/>
    </row>
    <row r="16" spans="2:10" ht="20.100000000000001" customHeight="1" x14ac:dyDescent="0.3">
      <c r="B16" s="9" t="s">
        <v>169</v>
      </c>
      <c r="C16" s="4">
        <v>3</v>
      </c>
      <c r="D16" s="5"/>
      <c r="E16" s="7"/>
      <c r="F16" s="12"/>
      <c r="G16" s="13"/>
      <c r="H16" s="22"/>
      <c r="I16" s="12"/>
      <c r="J16" s="22"/>
    </row>
    <row r="17" spans="2:10" ht="20.100000000000001" customHeight="1" x14ac:dyDescent="0.3">
      <c r="B17" s="9" t="s">
        <v>170</v>
      </c>
      <c r="C17" s="4">
        <v>7</v>
      </c>
      <c r="D17" s="5"/>
      <c r="E17" s="7"/>
      <c r="F17" s="12"/>
      <c r="G17" s="13"/>
      <c r="H17" s="22"/>
      <c r="I17" s="12"/>
      <c r="J17" s="22"/>
    </row>
    <row r="18" spans="2:10" ht="20.100000000000001" customHeight="1" x14ac:dyDescent="0.3">
      <c r="B18" s="9" t="s">
        <v>171</v>
      </c>
      <c r="C18" s="4">
        <v>3</v>
      </c>
      <c r="D18" s="5"/>
      <c r="E18" s="7"/>
      <c r="F18" s="12"/>
      <c r="G18" s="13"/>
      <c r="H18" s="22"/>
      <c r="I18" s="12"/>
      <c r="J18" s="22"/>
    </row>
    <row r="19" spans="2:10" ht="20.100000000000001" customHeight="1" x14ac:dyDescent="0.3">
      <c r="B19" s="9" t="s">
        <v>172</v>
      </c>
      <c r="C19" s="4">
        <v>6</v>
      </c>
      <c r="D19" s="5"/>
      <c r="E19" s="7"/>
      <c r="F19" s="12"/>
      <c r="G19" s="13"/>
      <c r="H19" s="22"/>
      <c r="I19" s="12"/>
      <c r="J19" s="22"/>
    </row>
    <row r="20" spans="2:10" ht="20.100000000000001" customHeight="1" x14ac:dyDescent="0.3">
      <c r="B20" s="9" t="s">
        <v>173</v>
      </c>
      <c r="C20" s="4">
        <v>165</v>
      </c>
      <c r="D20" s="5"/>
      <c r="E20" s="7"/>
      <c r="F20" s="12"/>
      <c r="G20" s="13"/>
      <c r="H20" s="22"/>
      <c r="I20" s="12"/>
      <c r="J20" s="22"/>
    </row>
    <row r="21" spans="2:10" ht="20.100000000000001" customHeight="1" x14ac:dyDescent="0.3">
      <c r="B21" s="9" t="s">
        <v>174</v>
      </c>
      <c r="C21" s="4">
        <v>6</v>
      </c>
      <c r="D21" s="5"/>
      <c r="E21" s="7"/>
      <c r="F21" s="12"/>
      <c r="G21" s="13"/>
      <c r="H21" s="22"/>
      <c r="I21" s="12"/>
      <c r="J21" s="22"/>
    </row>
    <row r="22" spans="2:10" ht="20.100000000000001" customHeight="1" x14ac:dyDescent="0.3">
      <c r="B22" s="9" t="s">
        <v>175</v>
      </c>
      <c r="C22" s="4">
        <v>2</v>
      </c>
      <c r="D22" s="5"/>
      <c r="E22" s="7"/>
      <c r="F22" s="12"/>
      <c r="G22" s="13"/>
      <c r="H22" s="22"/>
      <c r="I22" s="12"/>
      <c r="J22" s="22"/>
    </row>
    <row r="23" spans="2:10" ht="20.100000000000001" customHeight="1" x14ac:dyDescent="0.3">
      <c r="B23" s="9" t="s">
        <v>176</v>
      </c>
      <c r="C23" s="4">
        <v>3</v>
      </c>
      <c r="D23" s="5"/>
      <c r="E23" s="7"/>
      <c r="F23" s="12"/>
      <c r="G23" s="13"/>
      <c r="H23" s="22"/>
      <c r="I23" s="12"/>
      <c r="J23" s="22"/>
    </row>
    <row r="24" spans="2:10" ht="20.100000000000001" customHeight="1" x14ac:dyDescent="0.3">
      <c r="B24" s="9" t="s">
        <v>177</v>
      </c>
      <c r="C24" s="4">
        <v>113</v>
      </c>
      <c r="D24" s="5"/>
      <c r="E24" s="7"/>
      <c r="F24" s="12"/>
      <c r="G24" s="13"/>
      <c r="H24" s="22"/>
      <c r="I24" s="12"/>
      <c r="J24" s="22"/>
    </row>
    <row r="25" spans="2:10" ht="20.100000000000001" customHeight="1" x14ac:dyDescent="0.3">
      <c r="B25" s="9" t="s">
        <v>178</v>
      </c>
      <c r="C25" s="4">
        <v>1</v>
      </c>
      <c r="D25" s="5"/>
      <c r="E25" s="7"/>
      <c r="F25" s="12"/>
      <c r="G25" s="13"/>
      <c r="H25" s="22"/>
      <c r="I25" s="12"/>
      <c r="J25" s="22"/>
    </row>
    <row r="26" spans="2:10" ht="20.100000000000001" customHeight="1" x14ac:dyDescent="0.3">
      <c r="B26" s="9" t="s">
        <v>179</v>
      </c>
      <c r="C26" s="4">
        <v>6</v>
      </c>
      <c r="D26" s="5"/>
      <c r="E26" s="7"/>
      <c r="F26" s="12"/>
      <c r="G26" s="13"/>
      <c r="H26" s="22"/>
      <c r="I26" s="12"/>
      <c r="J26" s="22"/>
    </row>
    <row r="27" spans="2:10" ht="20.100000000000001" customHeight="1" x14ac:dyDescent="0.3">
      <c r="B27" s="9" t="s">
        <v>180</v>
      </c>
      <c r="C27" s="4">
        <v>1</v>
      </c>
      <c r="D27" s="5"/>
      <c r="E27" s="7"/>
      <c r="F27" s="12"/>
      <c r="G27" s="13"/>
      <c r="H27" s="22"/>
      <c r="I27" s="12"/>
      <c r="J27" s="22"/>
    </row>
    <row r="28" spans="2:10" ht="28.5" customHeight="1" thickBot="1" x14ac:dyDescent="0.35">
      <c r="B28" s="8"/>
      <c r="C28" s="8"/>
      <c r="D28" s="18"/>
      <c r="E28" s="19"/>
      <c r="F28" s="20"/>
      <c r="G28" s="21"/>
      <c r="H28" s="20">
        <f>SUM(H5:H27)</f>
        <v>0</v>
      </c>
      <c r="I28" s="19"/>
      <c r="J28" s="20">
        <f>SUM(J5:J27)</f>
        <v>0</v>
      </c>
    </row>
    <row r="29" spans="2:10" s="1" customFormat="1" ht="20.399999999999999" customHeight="1" thickBot="1" x14ac:dyDescent="0.35">
      <c r="B29" s="409" t="s">
        <v>71</v>
      </c>
      <c r="C29" s="410"/>
      <c r="D29" s="410"/>
      <c r="E29" s="410"/>
      <c r="F29" s="410"/>
      <c r="G29" s="410"/>
      <c r="H29" s="410"/>
      <c r="I29" s="411"/>
      <c r="J29" s="33"/>
    </row>
    <row r="30" spans="2:10" ht="20.100000000000001" customHeight="1" x14ac:dyDescent="0.3">
      <c r="B30" s="9" t="s">
        <v>181</v>
      </c>
      <c r="C30" s="4">
        <v>1</v>
      </c>
      <c r="D30" s="5"/>
      <c r="E30" s="7"/>
      <c r="F30" s="12"/>
      <c r="G30" s="13"/>
      <c r="H30" s="22"/>
      <c r="I30" s="12"/>
      <c r="J30" s="22"/>
    </row>
    <row r="31" spans="2:10" ht="20.100000000000001" customHeight="1" x14ac:dyDescent="0.3">
      <c r="B31" s="9" t="s">
        <v>182</v>
      </c>
      <c r="C31" s="4">
        <v>2</v>
      </c>
      <c r="D31" s="5"/>
      <c r="E31" s="7"/>
      <c r="F31" s="12"/>
      <c r="G31" s="13"/>
      <c r="H31" s="22"/>
      <c r="I31" s="12"/>
      <c r="J31" s="22"/>
    </row>
    <row r="32" spans="2:10" ht="20.100000000000001" customHeight="1" x14ac:dyDescent="0.3">
      <c r="B32" s="9" t="s">
        <v>183</v>
      </c>
      <c r="C32" s="4">
        <v>1</v>
      </c>
      <c r="D32" s="5"/>
      <c r="E32" s="7"/>
      <c r="F32" s="12"/>
      <c r="G32" s="13"/>
      <c r="H32" s="22"/>
      <c r="I32" s="12"/>
      <c r="J32" s="22"/>
    </row>
    <row r="33" spans="2:10" ht="20.100000000000001" customHeight="1" x14ac:dyDescent="0.3">
      <c r="B33" s="9" t="s">
        <v>184</v>
      </c>
      <c r="C33" s="4">
        <v>1</v>
      </c>
      <c r="D33" s="5"/>
      <c r="E33" s="7"/>
      <c r="F33" s="12"/>
      <c r="G33" s="13"/>
      <c r="H33" s="22"/>
      <c r="I33" s="12"/>
      <c r="J33" s="22"/>
    </row>
    <row r="34" spans="2:10" ht="20.100000000000001" customHeight="1" x14ac:dyDescent="0.3">
      <c r="B34" s="9" t="s">
        <v>185</v>
      </c>
      <c r="C34" s="4">
        <v>2</v>
      </c>
      <c r="D34" s="5"/>
      <c r="E34" s="7"/>
      <c r="F34" s="12"/>
      <c r="G34" s="13"/>
      <c r="H34" s="22"/>
      <c r="I34" s="12"/>
      <c r="J34" s="22"/>
    </row>
    <row r="35" spans="2:10" ht="20.100000000000001" customHeight="1" x14ac:dyDescent="0.3">
      <c r="B35" s="9" t="s">
        <v>186</v>
      </c>
      <c r="C35" s="4">
        <v>1</v>
      </c>
      <c r="D35" s="5"/>
      <c r="E35" s="7"/>
      <c r="F35" s="12"/>
      <c r="G35" s="13"/>
      <c r="H35" s="22"/>
      <c r="I35" s="12"/>
      <c r="J35" s="22"/>
    </row>
    <row r="36" spans="2:10" ht="20.100000000000001" customHeight="1" x14ac:dyDescent="0.3">
      <c r="B36" s="9" t="s">
        <v>187</v>
      </c>
      <c r="C36" s="4">
        <v>1</v>
      </c>
      <c r="D36" s="5"/>
      <c r="E36" s="7"/>
      <c r="F36" s="12"/>
      <c r="G36" s="13"/>
      <c r="H36" s="22"/>
      <c r="I36" s="12"/>
      <c r="J36" s="22"/>
    </row>
    <row r="37" spans="2:10" ht="20.100000000000001" customHeight="1" x14ac:dyDescent="0.3">
      <c r="B37" s="9" t="s">
        <v>188</v>
      </c>
      <c r="C37" s="4">
        <v>136</v>
      </c>
      <c r="D37" s="5"/>
      <c r="E37" s="7"/>
      <c r="F37" s="12"/>
      <c r="G37" s="13"/>
      <c r="H37" s="22"/>
      <c r="I37" s="12"/>
      <c r="J37" s="22"/>
    </row>
    <row r="38" spans="2:10" ht="20.100000000000001" customHeight="1" x14ac:dyDescent="0.3">
      <c r="B38" s="9" t="s">
        <v>189</v>
      </c>
      <c r="C38" s="4">
        <v>14</v>
      </c>
      <c r="D38" s="5"/>
      <c r="E38" s="7"/>
      <c r="F38" s="12"/>
      <c r="G38" s="13"/>
      <c r="H38" s="22"/>
      <c r="I38" s="12"/>
      <c r="J38" s="22"/>
    </row>
    <row r="39" spans="2:10" ht="20.100000000000001" customHeight="1" x14ac:dyDescent="0.3">
      <c r="B39" s="9" t="s">
        <v>190</v>
      </c>
      <c r="C39" s="4">
        <v>5</v>
      </c>
      <c r="D39" s="5"/>
      <c r="E39" s="7"/>
      <c r="F39" s="12"/>
      <c r="G39" s="13"/>
      <c r="H39" s="22"/>
      <c r="I39" s="12"/>
      <c r="J39" s="22"/>
    </row>
    <row r="40" spans="2:10" ht="20.100000000000001" customHeight="1" x14ac:dyDescent="0.3">
      <c r="B40" s="9" t="s">
        <v>191</v>
      </c>
      <c r="C40" s="4">
        <v>1</v>
      </c>
      <c r="D40" s="5"/>
      <c r="E40" s="7"/>
      <c r="F40" s="12"/>
      <c r="G40" s="13"/>
      <c r="H40" s="22"/>
      <c r="I40" s="12"/>
      <c r="J40" s="22"/>
    </row>
    <row r="41" spans="2:10" ht="20.100000000000001" customHeight="1" x14ac:dyDescent="0.3">
      <c r="B41" s="9" t="s">
        <v>192</v>
      </c>
      <c r="C41" s="4">
        <v>1</v>
      </c>
      <c r="D41" s="5"/>
      <c r="E41" s="7"/>
      <c r="F41" s="12"/>
      <c r="G41" s="13"/>
      <c r="H41" s="22"/>
      <c r="I41" s="12"/>
      <c r="J41" s="22"/>
    </row>
    <row r="42" spans="2:10" ht="20.100000000000001" customHeight="1" x14ac:dyDescent="0.3">
      <c r="B42" s="9" t="s">
        <v>193</v>
      </c>
      <c r="C42" s="4">
        <v>3</v>
      </c>
      <c r="D42" s="5"/>
      <c r="E42" s="7"/>
      <c r="F42" s="12"/>
      <c r="G42" s="13"/>
      <c r="H42" s="22"/>
      <c r="I42" s="12"/>
      <c r="J42" s="22"/>
    </row>
    <row r="43" spans="2:10" ht="20.100000000000001" customHeight="1" x14ac:dyDescent="0.3">
      <c r="B43" s="9" t="s">
        <v>194</v>
      </c>
      <c r="C43" s="4">
        <v>2</v>
      </c>
      <c r="D43" s="5"/>
      <c r="E43" s="7"/>
      <c r="F43" s="12"/>
      <c r="G43" s="13"/>
      <c r="H43" s="22"/>
      <c r="I43" s="12"/>
      <c r="J43" s="22"/>
    </row>
    <row r="44" spans="2:10" ht="20.100000000000001" customHeight="1" x14ac:dyDescent="0.3">
      <c r="B44" s="9" t="s">
        <v>195</v>
      </c>
      <c r="C44" s="4">
        <v>3</v>
      </c>
      <c r="D44" s="5"/>
      <c r="E44" s="7"/>
      <c r="F44" s="12"/>
      <c r="G44" s="13"/>
      <c r="H44" s="22"/>
      <c r="I44" s="12"/>
      <c r="J44" s="22"/>
    </row>
    <row r="45" spans="2:10" ht="20.100000000000001" customHeight="1" x14ac:dyDescent="0.3">
      <c r="B45" s="9" t="s">
        <v>196</v>
      </c>
      <c r="C45" s="4">
        <v>1</v>
      </c>
      <c r="D45" s="5"/>
      <c r="E45" s="7"/>
      <c r="F45" s="12"/>
      <c r="G45" s="13"/>
      <c r="H45" s="22"/>
      <c r="I45" s="12"/>
      <c r="J45" s="22"/>
    </row>
    <row r="46" spans="2:10" ht="20.100000000000001" customHeight="1" x14ac:dyDescent="0.3">
      <c r="B46" s="9" t="s">
        <v>197</v>
      </c>
      <c r="C46" s="4">
        <v>2</v>
      </c>
      <c r="D46" s="5"/>
      <c r="E46" s="7"/>
      <c r="F46" s="12"/>
      <c r="G46" s="13"/>
      <c r="H46" s="22"/>
      <c r="I46" s="12"/>
      <c r="J46" s="22"/>
    </row>
    <row r="47" spans="2:10" ht="20.100000000000001" customHeight="1" x14ac:dyDescent="0.3">
      <c r="B47" s="9" t="s">
        <v>198</v>
      </c>
      <c r="C47" s="4">
        <v>12</v>
      </c>
      <c r="D47" s="5"/>
      <c r="E47" s="7"/>
      <c r="F47" s="12"/>
      <c r="G47" s="13"/>
      <c r="H47" s="22"/>
      <c r="I47" s="12"/>
      <c r="J47" s="22"/>
    </row>
    <row r="48" spans="2:10" ht="20.100000000000001" customHeight="1" x14ac:dyDescent="0.3">
      <c r="B48" s="9" t="s">
        <v>199</v>
      </c>
      <c r="C48" s="4">
        <v>1</v>
      </c>
      <c r="D48" s="5"/>
      <c r="E48" s="7"/>
      <c r="F48" s="12"/>
      <c r="G48" s="13"/>
      <c r="H48" s="22"/>
      <c r="I48" s="12"/>
      <c r="J48" s="22"/>
    </row>
    <row r="49" spans="2:10" ht="28.5" customHeight="1" thickBot="1" x14ac:dyDescent="0.35">
      <c r="B49" s="8" t="s">
        <v>80</v>
      </c>
      <c r="C49" s="8"/>
      <c r="D49" s="18"/>
      <c r="E49" s="19"/>
      <c r="F49" s="20"/>
      <c r="G49" s="21"/>
      <c r="H49" s="20">
        <f>SUM(H30:H48)</f>
        <v>0</v>
      </c>
      <c r="I49" s="19"/>
      <c r="J49" s="20">
        <f>SUM(J30:J48)</f>
        <v>0</v>
      </c>
    </row>
    <row r="50" spans="2:10" s="1" customFormat="1" ht="20.399999999999999" customHeight="1" thickBot="1" x14ac:dyDescent="0.35">
      <c r="B50" s="409" t="s">
        <v>81</v>
      </c>
      <c r="C50" s="410"/>
      <c r="D50" s="410"/>
      <c r="E50" s="410"/>
      <c r="F50" s="410"/>
      <c r="G50" s="410"/>
      <c r="H50" s="410"/>
      <c r="I50" s="411"/>
      <c r="J50" s="33"/>
    </row>
    <row r="51" spans="2:10" ht="20.100000000000001" customHeight="1" x14ac:dyDescent="0.3">
      <c r="B51" s="9" t="s">
        <v>200</v>
      </c>
      <c r="C51" s="4">
        <v>2</v>
      </c>
      <c r="D51" s="5"/>
      <c r="E51" s="7"/>
      <c r="F51" s="12"/>
      <c r="G51" s="13"/>
      <c r="H51" s="22"/>
      <c r="I51" s="12"/>
      <c r="J51" s="22"/>
    </row>
    <row r="52" spans="2:10" ht="20.100000000000001" customHeight="1" x14ac:dyDescent="0.3">
      <c r="B52" s="9" t="s">
        <v>201</v>
      </c>
      <c r="C52" s="4">
        <v>1</v>
      </c>
      <c r="D52" s="5"/>
      <c r="E52" s="7"/>
      <c r="F52" s="12"/>
      <c r="G52" s="13"/>
      <c r="H52" s="22"/>
      <c r="I52" s="12"/>
      <c r="J52" s="22"/>
    </row>
    <row r="53" spans="2:10" ht="20.100000000000001" customHeight="1" x14ac:dyDescent="0.3">
      <c r="B53" s="9" t="s">
        <v>202</v>
      </c>
      <c r="C53" s="4">
        <v>2</v>
      </c>
      <c r="D53" s="5"/>
      <c r="E53" s="7"/>
      <c r="F53" s="12"/>
      <c r="G53" s="13"/>
      <c r="H53" s="22"/>
      <c r="I53" s="12"/>
      <c r="J53" s="22"/>
    </row>
    <row r="54" spans="2:10" ht="20.100000000000001" customHeight="1" x14ac:dyDescent="0.3">
      <c r="B54" s="9" t="s">
        <v>203</v>
      </c>
      <c r="C54" s="4">
        <v>1</v>
      </c>
      <c r="D54" s="5"/>
      <c r="E54" s="7"/>
      <c r="F54" s="12"/>
      <c r="G54" s="13"/>
      <c r="H54" s="22"/>
      <c r="I54" s="12"/>
      <c r="J54" s="22"/>
    </row>
    <row r="55" spans="2:10" ht="20.100000000000001" customHeight="1" x14ac:dyDescent="0.3">
      <c r="B55" s="9" t="s">
        <v>204</v>
      </c>
      <c r="C55" s="4">
        <v>56</v>
      </c>
      <c r="D55" s="5"/>
      <c r="E55" s="7"/>
      <c r="F55" s="12"/>
      <c r="G55" s="13"/>
      <c r="H55" s="22"/>
      <c r="I55" s="12"/>
      <c r="J55" s="22"/>
    </row>
    <row r="56" spans="2:10" ht="20.100000000000001" customHeight="1" x14ac:dyDescent="0.3">
      <c r="B56" s="9" t="s">
        <v>76</v>
      </c>
      <c r="C56" s="4">
        <v>17</v>
      </c>
      <c r="D56" s="5"/>
      <c r="E56" s="7"/>
      <c r="F56" s="12"/>
      <c r="G56" s="13"/>
      <c r="H56" s="22"/>
      <c r="I56" s="12"/>
      <c r="J56" s="22"/>
    </row>
    <row r="57" spans="2:10" ht="20.100000000000001" customHeight="1" x14ac:dyDescent="0.3">
      <c r="B57" s="73" t="s">
        <v>120</v>
      </c>
      <c r="C57" s="74">
        <v>15</v>
      </c>
      <c r="D57" s="5"/>
      <c r="E57" s="7"/>
      <c r="F57" s="89"/>
      <c r="G57" s="13"/>
      <c r="H57" s="22"/>
      <c r="I57" s="89"/>
      <c r="J57" s="22"/>
    </row>
    <row r="58" spans="2:10" ht="20.100000000000001" customHeight="1" x14ac:dyDescent="0.3">
      <c r="B58" s="9" t="s">
        <v>205</v>
      </c>
      <c r="C58" s="4">
        <v>21</v>
      </c>
      <c r="D58" s="5"/>
      <c r="E58" s="7"/>
      <c r="F58" s="12"/>
      <c r="G58" s="13"/>
      <c r="H58" s="22"/>
      <c r="I58" s="12"/>
      <c r="J58" s="22"/>
    </row>
    <row r="59" spans="2:10" ht="20.100000000000001" customHeight="1" x14ac:dyDescent="0.3">
      <c r="B59" s="9" t="s">
        <v>206</v>
      </c>
      <c r="C59" s="4">
        <v>2</v>
      </c>
      <c r="D59" s="5"/>
      <c r="E59" s="7"/>
      <c r="F59" s="12"/>
      <c r="G59" s="13"/>
      <c r="H59" s="22"/>
      <c r="I59" s="12"/>
      <c r="J59" s="22"/>
    </row>
    <row r="60" spans="2:10" ht="20.100000000000001" customHeight="1" x14ac:dyDescent="0.3">
      <c r="B60" s="9" t="s">
        <v>207</v>
      </c>
      <c r="C60" s="4">
        <v>1</v>
      </c>
      <c r="D60" s="5"/>
      <c r="E60" s="7"/>
      <c r="F60" s="12"/>
      <c r="G60" s="13"/>
      <c r="H60" s="22"/>
      <c r="I60" s="12"/>
      <c r="J60" s="22"/>
    </row>
    <row r="61" spans="2:10" ht="28.5" customHeight="1" thickBot="1" x14ac:dyDescent="0.35">
      <c r="B61" s="8" t="s">
        <v>80</v>
      </c>
      <c r="C61" s="8"/>
      <c r="D61" s="18"/>
      <c r="E61" s="19"/>
      <c r="F61" s="20"/>
      <c r="G61" s="21"/>
      <c r="H61" s="20"/>
      <c r="I61" s="19"/>
      <c r="J61" s="20"/>
    </row>
    <row r="62" spans="2:10" s="1" customFormat="1" ht="20.399999999999999" customHeight="1" thickBot="1" x14ac:dyDescent="0.35">
      <c r="B62" s="409" t="s">
        <v>104</v>
      </c>
      <c r="C62" s="410"/>
      <c r="D62" s="410"/>
      <c r="E62" s="410"/>
      <c r="F62" s="410"/>
      <c r="G62" s="410"/>
      <c r="H62" s="410"/>
      <c r="I62" s="411"/>
      <c r="J62" s="33"/>
    </row>
    <row r="63" spans="2:10" ht="20.100000000000001" customHeight="1" x14ac:dyDescent="0.3">
      <c r="B63" s="9" t="s">
        <v>209</v>
      </c>
      <c r="C63" s="4">
        <v>10</v>
      </c>
      <c r="D63" s="5"/>
      <c r="E63" s="7"/>
      <c r="F63" s="12"/>
      <c r="G63" s="13"/>
      <c r="H63" s="22"/>
      <c r="I63" s="12"/>
      <c r="J63" s="22">
        <f t="shared" ref="J63:J79" si="0">G63*3%</f>
        <v>0</v>
      </c>
    </row>
    <row r="64" spans="2:10" ht="20.100000000000001" customHeight="1" x14ac:dyDescent="0.3">
      <c r="B64" s="9" t="s">
        <v>208</v>
      </c>
      <c r="C64" s="4">
        <v>1</v>
      </c>
      <c r="D64" s="5"/>
      <c r="E64" s="7"/>
      <c r="F64" s="12"/>
      <c r="G64" s="13"/>
      <c r="H64" s="22"/>
      <c r="I64" s="12"/>
      <c r="J64" s="22">
        <f t="shared" si="0"/>
        <v>0</v>
      </c>
    </row>
    <row r="65" spans="2:10" ht="20.100000000000001" customHeight="1" x14ac:dyDescent="0.3">
      <c r="B65" s="9" t="s">
        <v>90</v>
      </c>
      <c r="C65" s="4">
        <v>2</v>
      </c>
      <c r="D65" s="5"/>
      <c r="E65" s="7"/>
      <c r="F65" s="12"/>
      <c r="G65" s="13"/>
      <c r="H65" s="22"/>
      <c r="I65" s="12"/>
      <c r="J65" s="22">
        <f t="shared" si="0"/>
        <v>0</v>
      </c>
    </row>
    <row r="66" spans="2:10" ht="20.100000000000001" customHeight="1" x14ac:dyDescent="0.3">
      <c r="B66" s="9" t="s">
        <v>210</v>
      </c>
      <c r="C66" s="4">
        <v>7</v>
      </c>
      <c r="D66" s="5"/>
      <c r="E66" s="7"/>
      <c r="F66" s="12"/>
      <c r="G66" s="13"/>
      <c r="H66" s="22"/>
      <c r="I66" s="12"/>
      <c r="J66" s="22">
        <f t="shared" si="0"/>
        <v>0</v>
      </c>
    </row>
    <row r="67" spans="2:10" ht="20.100000000000001" customHeight="1" x14ac:dyDescent="0.3">
      <c r="B67" s="9" t="s">
        <v>211</v>
      </c>
      <c r="C67" s="4">
        <v>1</v>
      </c>
      <c r="D67" s="5"/>
      <c r="E67" s="7"/>
      <c r="F67" s="12"/>
      <c r="G67" s="13"/>
      <c r="H67" s="22"/>
      <c r="I67" s="12"/>
      <c r="J67" s="22">
        <f t="shared" si="0"/>
        <v>0</v>
      </c>
    </row>
    <row r="68" spans="2:10" ht="20.100000000000001" customHeight="1" x14ac:dyDescent="0.3">
      <c r="B68" s="9" t="s">
        <v>212</v>
      </c>
      <c r="C68" s="4">
        <v>1</v>
      </c>
      <c r="D68" s="5"/>
      <c r="E68" s="7"/>
      <c r="F68" s="12"/>
      <c r="G68" s="13"/>
      <c r="H68" s="22"/>
      <c r="I68" s="12"/>
      <c r="J68" s="22">
        <f t="shared" si="0"/>
        <v>0</v>
      </c>
    </row>
    <row r="69" spans="2:10" ht="20.100000000000001" customHeight="1" x14ac:dyDescent="0.3">
      <c r="B69" s="9" t="s">
        <v>213</v>
      </c>
      <c r="C69" s="4">
        <v>8</v>
      </c>
      <c r="D69" s="5"/>
      <c r="E69" s="7"/>
      <c r="F69" s="12"/>
      <c r="G69" s="13"/>
      <c r="H69" s="22"/>
      <c r="I69" s="12"/>
      <c r="J69" s="22">
        <f t="shared" si="0"/>
        <v>0</v>
      </c>
    </row>
    <row r="70" spans="2:10" ht="20.100000000000001" customHeight="1" x14ac:dyDescent="0.3">
      <c r="B70" s="9" t="s">
        <v>214</v>
      </c>
      <c r="C70" s="4">
        <v>24</v>
      </c>
      <c r="D70" s="5"/>
      <c r="E70" s="7"/>
      <c r="F70" s="12"/>
      <c r="G70" s="13"/>
      <c r="H70" s="22"/>
      <c r="I70" s="12"/>
      <c r="J70" s="22">
        <f t="shared" si="0"/>
        <v>0</v>
      </c>
    </row>
    <row r="71" spans="2:10" ht="20.100000000000001" customHeight="1" x14ac:dyDescent="0.3">
      <c r="B71" s="9" t="s">
        <v>215</v>
      </c>
      <c r="C71" s="4">
        <v>12</v>
      </c>
      <c r="D71" s="5"/>
      <c r="E71" s="7"/>
      <c r="F71" s="12"/>
      <c r="G71" s="13"/>
      <c r="H71" s="22"/>
      <c r="I71" s="12"/>
      <c r="J71" s="22">
        <f t="shared" si="0"/>
        <v>0</v>
      </c>
    </row>
    <row r="72" spans="2:10" ht="20.100000000000001" customHeight="1" x14ac:dyDescent="0.3">
      <c r="B72" s="9" t="s">
        <v>216</v>
      </c>
      <c r="C72" s="4">
        <v>8</v>
      </c>
      <c r="D72" s="5"/>
      <c r="E72" s="7"/>
      <c r="F72" s="12"/>
      <c r="G72" s="13"/>
      <c r="H72" s="22"/>
      <c r="I72" s="12"/>
      <c r="J72" s="22">
        <f t="shared" si="0"/>
        <v>0</v>
      </c>
    </row>
    <row r="73" spans="2:10" ht="20.100000000000001" customHeight="1" x14ac:dyDescent="0.3">
      <c r="B73" s="9" t="s">
        <v>217</v>
      </c>
      <c r="C73" s="4">
        <v>4</v>
      </c>
      <c r="D73" s="5"/>
      <c r="E73" s="7"/>
      <c r="F73" s="12"/>
      <c r="G73" s="13"/>
      <c r="H73" s="22"/>
      <c r="I73" s="12"/>
      <c r="J73" s="22">
        <f t="shared" si="0"/>
        <v>0</v>
      </c>
    </row>
    <row r="74" spans="2:10" ht="20.100000000000001" customHeight="1" x14ac:dyDescent="0.3">
      <c r="B74" s="9" t="s">
        <v>218</v>
      </c>
      <c r="C74" s="4">
        <v>1</v>
      </c>
      <c r="D74" s="5"/>
      <c r="E74" s="7"/>
      <c r="F74" s="12"/>
      <c r="G74" s="13"/>
      <c r="H74" s="22"/>
      <c r="I74" s="12"/>
      <c r="J74" s="22">
        <f t="shared" si="0"/>
        <v>0</v>
      </c>
    </row>
    <row r="75" spans="2:10" ht="20.100000000000001" customHeight="1" x14ac:dyDescent="0.3">
      <c r="B75" s="9" t="s">
        <v>219</v>
      </c>
      <c r="C75" s="4">
        <v>1</v>
      </c>
      <c r="D75" s="5"/>
      <c r="E75" s="7"/>
      <c r="F75" s="12"/>
      <c r="G75" s="13"/>
      <c r="H75" s="22"/>
      <c r="I75" s="12"/>
      <c r="J75" s="22">
        <f t="shared" si="0"/>
        <v>0</v>
      </c>
    </row>
    <row r="76" spans="2:10" ht="20.100000000000001" customHeight="1" x14ac:dyDescent="0.3">
      <c r="B76" s="9" t="s">
        <v>220</v>
      </c>
      <c r="C76" s="4">
        <v>2</v>
      </c>
      <c r="D76" s="5"/>
      <c r="E76" s="7"/>
      <c r="F76" s="12"/>
      <c r="G76" s="13"/>
      <c r="H76" s="22"/>
      <c r="I76" s="12"/>
      <c r="J76" s="22">
        <f t="shared" si="0"/>
        <v>0</v>
      </c>
    </row>
    <row r="77" spans="2:10" ht="20.100000000000001" customHeight="1" x14ac:dyDescent="0.3">
      <c r="B77" s="9" t="s">
        <v>221</v>
      </c>
      <c r="C77" s="4">
        <v>2</v>
      </c>
      <c r="D77" s="5"/>
      <c r="E77" s="7"/>
      <c r="F77" s="12"/>
      <c r="G77" s="13"/>
      <c r="H77" s="22"/>
      <c r="I77" s="12"/>
      <c r="J77" s="22">
        <f t="shared" si="0"/>
        <v>0</v>
      </c>
    </row>
    <row r="78" spans="2:10" ht="20.100000000000001" customHeight="1" x14ac:dyDescent="0.3">
      <c r="B78" s="9" t="s">
        <v>222</v>
      </c>
      <c r="C78" s="4">
        <v>2</v>
      </c>
      <c r="D78" s="5"/>
      <c r="E78" s="7"/>
      <c r="F78" s="12"/>
      <c r="G78" s="13"/>
      <c r="H78" s="22"/>
      <c r="I78" s="12"/>
      <c r="J78" s="22">
        <f t="shared" si="0"/>
        <v>0</v>
      </c>
    </row>
    <row r="79" spans="2:10" ht="20.100000000000001" customHeight="1" x14ac:dyDescent="0.3">
      <c r="B79" s="9" t="s">
        <v>223</v>
      </c>
      <c r="C79" s="4">
        <v>3</v>
      </c>
      <c r="D79" s="5"/>
      <c r="E79" s="7"/>
      <c r="F79" s="12"/>
      <c r="G79" s="13"/>
      <c r="H79" s="22"/>
      <c r="I79" s="12"/>
      <c r="J79" s="22">
        <f t="shared" si="0"/>
        <v>0</v>
      </c>
    </row>
    <row r="80" spans="2:10" ht="28.5" customHeight="1" thickBot="1" x14ac:dyDescent="0.35">
      <c r="B80" s="8" t="s">
        <v>80</v>
      </c>
      <c r="C80" s="8"/>
      <c r="D80" s="18"/>
      <c r="E80" s="19"/>
      <c r="F80" s="20"/>
      <c r="G80" s="21"/>
      <c r="H80" s="20">
        <f>SUM(H63:H79)</f>
        <v>0</v>
      </c>
      <c r="I80" s="19"/>
      <c r="J80" s="20">
        <f>SUM(J63:J79)</f>
        <v>0</v>
      </c>
    </row>
    <row r="81" spans="2:10" s="25" customFormat="1" ht="25.5" customHeight="1" thickBot="1" x14ac:dyDescent="0.35">
      <c r="B81" s="31" t="s">
        <v>56</v>
      </c>
      <c r="C81" s="405"/>
      <c r="D81" s="405"/>
      <c r="E81" s="405"/>
      <c r="F81" s="405"/>
      <c r="G81" s="405"/>
      <c r="H81" s="405"/>
      <c r="I81" s="405"/>
      <c r="J81" s="406"/>
    </row>
  </sheetData>
  <mergeCells count="6">
    <mergeCell ref="C81:J81"/>
    <mergeCell ref="B2:J2"/>
    <mergeCell ref="B4:I4"/>
    <mergeCell ref="B29:I29"/>
    <mergeCell ref="B50:I50"/>
    <mergeCell ref="B62:I62"/>
  </mergeCells>
  <pageMargins left="0.11811023622047245" right="0.11811023622047245" top="0.15748031496062992" bottom="0.15748031496062992" header="0.31496062992125984" footer="0.31496062992125984"/>
  <pageSetup scale="3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8"/>
  <sheetViews>
    <sheetView topLeftCell="A148" zoomScale="130" zoomScaleNormal="130" workbookViewId="0">
      <selection activeCell="C151" sqref="C151"/>
    </sheetView>
  </sheetViews>
  <sheetFormatPr baseColWidth="10" defaultRowHeight="14.4" x14ac:dyDescent="0.3"/>
  <cols>
    <col min="1" max="1" width="1.6640625" customWidth="1"/>
    <col min="2" max="2" width="40" style="2" customWidth="1"/>
    <col min="3" max="3" width="12.6640625" style="1" customWidth="1"/>
    <col min="4" max="5" width="25.6640625" customWidth="1"/>
    <col min="6" max="6" width="27" style="43" customWidth="1"/>
  </cols>
  <sheetData>
    <row r="1" spans="2:6" ht="15" thickBot="1" x14ac:dyDescent="0.35"/>
    <row r="2" spans="2:6" ht="26.25" customHeight="1" thickBot="1" x14ac:dyDescent="0.35">
      <c r="B2" s="412" t="s">
        <v>267</v>
      </c>
      <c r="C2" s="413"/>
      <c r="D2" s="413"/>
      <c r="E2" s="413"/>
      <c r="F2" s="414"/>
    </row>
    <row r="3" spans="2:6" ht="15" customHeight="1" thickBot="1" x14ac:dyDescent="0.35">
      <c r="B3" s="415" t="s">
        <v>268</v>
      </c>
      <c r="C3" s="416"/>
      <c r="D3" s="416"/>
      <c r="E3" s="416"/>
      <c r="F3" s="417"/>
    </row>
    <row r="4" spans="2:6" s="1" customFormat="1" ht="30.75" customHeight="1" thickBot="1" x14ac:dyDescent="0.35">
      <c r="B4" s="40" t="s">
        <v>0</v>
      </c>
      <c r="C4" s="41" t="s">
        <v>1</v>
      </c>
      <c r="D4" s="41" t="s">
        <v>269</v>
      </c>
      <c r="E4" s="67" t="s">
        <v>280</v>
      </c>
      <c r="F4" s="42" t="s">
        <v>225</v>
      </c>
    </row>
    <row r="5" spans="2:6" ht="20.100000000000001" customHeight="1" x14ac:dyDescent="0.3">
      <c r="B5" s="9" t="s">
        <v>275</v>
      </c>
      <c r="C5" s="10">
        <v>12</v>
      </c>
      <c r="D5" s="11" t="s">
        <v>278</v>
      </c>
      <c r="E5" s="11" t="s">
        <v>281</v>
      </c>
      <c r="F5" s="44" t="s">
        <v>243</v>
      </c>
    </row>
    <row r="6" spans="2:6" ht="20.100000000000001" customHeight="1" x14ac:dyDescent="0.3">
      <c r="B6" s="3" t="s">
        <v>210</v>
      </c>
      <c r="C6" s="4">
        <v>7</v>
      </c>
      <c r="D6" s="11" t="s">
        <v>278</v>
      </c>
      <c r="E6" s="11" t="s">
        <v>282</v>
      </c>
      <c r="F6" s="44"/>
    </row>
    <row r="7" spans="2:6" ht="20.100000000000001" customHeight="1" x14ac:dyDescent="0.3">
      <c r="B7" s="3" t="s">
        <v>148</v>
      </c>
      <c r="C7" s="4">
        <v>4</v>
      </c>
      <c r="D7" s="11" t="s">
        <v>278</v>
      </c>
      <c r="E7" s="11" t="s">
        <v>282</v>
      </c>
      <c r="F7" s="44"/>
    </row>
    <row r="8" spans="2:6" ht="20.100000000000001" customHeight="1" x14ac:dyDescent="0.3">
      <c r="B8" s="3" t="s">
        <v>139</v>
      </c>
      <c r="C8" s="4">
        <v>8</v>
      </c>
      <c r="D8" s="11" t="s">
        <v>278</v>
      </c>
      <c r="E8" s="11" t="s">
        <v>282</v>
      </c>
      <c r="F8" s="44"/>
    </row>
    <row r="9" spans="2:6" ht="20.100000000000001" customHeight="1" x14ac:dyDescent="0.3">
      <c r="B9" s="3" t="s">
        <v>194</v>
      </c>
      <c r="C9" s="4">
        <v>2</v>
      </c>
      <c r="D9" s="11" t="s">
        <v>278</v>
      </c>
      <c r="E9" s="11" t="s">
        <v>282</v>
      </c>
      <c r="F9" s="44"/>
    </row>
    <row r="10" spans="2:6" ht="20.100000000000001" customHeight="1" x14ac:dyDescent="0.3">
      <c r="B10" s="3" t="s">
        <v>160</v>
      </c>
      <c r="C10" s="4">
        <v>9</v>
      </c>
      <c r="D10" s="11" t="s">
        <v>278</v>
      </c>
      <c r="E10" s="11" t="s">
        <v>282</v>
      </c>
      <c r="F10" s="44" t="s">
        <v>250</v>
      </c>
    </row>
    <row r="11" spans="2:6" ht="20.100000000000001" customHeight="1" x14ac:dyDescent="0.3">
      <c r="B11" s="48" t="s">
        <v>10</v>
      </c>
      <c r="C11" s="49">
        <v>301</v>
      </c>
      <c r="D11" s="50" t="s">
        <v>279</v>
      </c>
      <c r="E11" s="50" t="s">
        <v>282</v>
      </c>
      <c r="F11" s="51" t="s">
        <v>230</v>
      </c>
    </row>
    <row r="12" spans="2:6" ht="20.100000000000001" customHeight="1" x14ac:dyDescent="0.3">
      <c r="B12" s="3" t="s">
        <v>195</v>
      </c>
      <c r="C12" s="4">
        <v>3</v>
      </c>
      <c r="D12" s="11" t="s">
        <v>278</v>
      </c>
      <c r="E12" s="11" t="s">
        <v>282</v>
      </c>
      <c r="F12" s="44"/>
    </row>
    <row r="13" spans="2:6" ht="20.100000000000001" customHeight="1" x14ac:dyDescent="0.3">
      <c r="B13" s="3" t="s">
        <v>200</v>
      </c>
      <c r="C13" s="4">
        <v>2</v>
      </c>
      <c r="D13" s="11" t="s">
        <v>278</v>
      </c>
      <c r="E13" s="11" t="s">
        <v>281</v>
      </c>
      <c r="F13" s="44"/>
    </row>
    <row r="14" spans="2:6" ht="20.100000000000001" customHeight="1" x14ac:dyDescent="0.3">
      <c r="B14" s="3" t="s">
        <v>202</v>
      </c>
      <c r="C14" s="4">
        <v>2</v>
      </c>
      <c r="D14" s="11" t="s">
        <v>278</v>
      </c>
      <c r="E14" s="11" t="s">
        <v>281</v>
      </c>
      <c r="F14" s="44"/>
    </row>
    <row r="15" spans="2:6" ht="20.100000000000001" customHeight="1" x14ac:dyDescent="0.3">
      <c r="B15" s="3" t="s">
        <v>201</v>
      </c>
      <c r="C15" s="4">
        <v>1</v>
      </c>
      <c r="D15" s="11" t="s">
        <v>278</v>
      </c>
      <c r="E15" s="11" t="s">
        <v>281</v>
      </c>
      <c r="F15" s="44"/>
    </row>
    <row r="16" spans="2:6" ht="20.100000000000001" customHeight="1" x14ac:dyDescent="0.3">
      <c r="B16" s="3" t="s">
        <v>118</v>
      </c>
      <c r="C16" s="4">
        <v>97</v>
      </c>
      <c r="D16" s="11" t="s">
        <v>278</v>
      </c>
      <c r="E16" s="11" t="s">
        <v>282</v>
      </c>
      <c r="F16" s="44"/>
    </row>
    <row r="17" spans="2:6" ht="20.100000000000001" customHeight="1" x14ac:dyDescent="0.3">
      <c r="B17" s="3" t="s">
        <v>119</v>
      </c>
      <c r="C17" s="4">
        <v>137</v>
      </c>
      <c r="D17" s="11" t="s">
        <v>278</v>
      </c>
      <c r="E17" s="11" t="s">
        <v>282</v>
      </c>
      <c r="F17" s="44"/>
    </row>
    <row r="18" spans="2:6" ht="20.100000000000001" customHeight="1" x14ac:dyDescent="0.3">
      <c r="B18" s="3" t="s">
        <v>189</v>
      </c>
      <c r="C18" s="4">
        <v>14</v>
      </c>
      <c r="D18" s="11" t="s">
        <v>278</v>
      </c>
      <c r="E18" s="11" t="s">
        <v>282</v>
      </c>
      <c r="F18" s="44"/>
    </row>
    <row r="19" spans="2:6" ht="20.100000000000001" customHeight="1" x14ac:dyDescent="0.3">
      <c r="B19" s="3" t="s">
        <v>188</v>
      </c>
      <c r="C19" s="4">
        <v>136</v>
      </c>
      <c r="D19" s="11" t="s">
        <v>278</v>
      </c>
      <c r="E19" s="11" t="s">
        <v>282</v>
      </c>
      <c r="F19" s="44"/>
    </row>
    <row r="20" spans="2:6" ht="20.100000000000001" customHeight="1" x14ac:dyDescent="0.3">
      <c r="B20" s="3" t="s">
        <v>171</v>
      </c>
      <c r="C20" s="4">
        <v>3</v>
      </c>
      <c r="D20" s="11" t="s">
        <v>278</v>
      </c>
      <c r="E20" s="11" t="s">
        <v>282</v>
      </c>
      <c r="F20" s="44"/>
    </row>
    <row r="21" spans="2:6" ht="20.100000000000001" customHeight="1" x14ac:dyDescent="0.3">
      <c r="B21" s="3" t="s">
        <v>170</v>
      </c>
      <c r="C21" s="4">
        <v>7</v>
      </c>
      <c r="D21" s="11" t="s">
        <v>278</v>
      </c>
      <c r="E21" s="11" t="s">
        <v>282</v>
      </c>
      <c r="F21" s="44"/>
    </row>
    <row r="22" spans="2:6" ht="20.100000000000001" customHeight="1" x14ac:dyDescent="0.3">
      <c r="B22" s="3" t="s">
        <v>242</v>
      </c>
      <c r="C22" s="4">
        <v>1</v>
      </c>
      <c r="D22" s="11" t="s">
        <v>278</v>
      </c>
      <c r="E22" s="11" t="s">
        <v>282</v>
      </c>
      <c r="F22" s="44" t="s">
        <v>241</v>
      </c>
    </row>
    <row r="23" spans="2:6" ht="20.100000000000001" customHeight="1" x14ac:dyDescent="0.3">
      <c r="B23" s="3" t="s">
        <v>186</v>
      </c>
      <c r="C23" s="4">
        <v>1</v>
      </c>
      <c r="D23" s="11" t="s">
        <v>278</v>
      </c>
      <c r="E23" s="11" t="s">
        <v>282</v>
      </c>
      <c r="F23" s="44"/>
    </row>
    <row r="24" spans="2:6" ht="20.100000000000001" customHeight="1" x14ac:dyDescent="0.3">
      <c r="B24" s="3" t="s">
        <v>137</v>
      </c>
      <c r="C24" s="4">
        <v>2</v>
      </c>
      <c r="D24" s="11" t="s">
        <v>278</v>
      </c>
      <c r="E24" s="11" t="s">
        <v>281</v>
      </c>
      <c r="F24" s="44" t="s">
        <v>273</v>
      </c>
    </row>
    <row r="25" spans="2:6" ht="20.100000000000001" customHeight="1" x14ac:dyDescent="0.3">
      <c r="B25" s="3" t="s">
        <v>117</v>
      </c>
      <c r="C25" s="4">
        <v>9</v>
      </c>
      <c r="D25" s="11" t="s">
        <v>278</v>
      </c>
      <c r="E25" s="11" t="s">
        <v>282</v>
      </c>
      <c r="F25" s="44"/>
    </row>
    <row r="26" spans="2:6" ht="20.100000000000001" customHeight="1" x14ac:dyDescent="0.3">
      <c r="B26" s="3" t="s">
        <v>116</v>
      </c>
      <c r="C26" s="4">
        <v>15</v>
      </c>
      <c r="D26" s="11" t="s">
        <v>278</v>
      </c>
      <c r="E26" s="11" t="s">
        <v>282</v>
      </c>
      <c r="F26" s="44"/>
    </row>
    <row r="27" spans="2:6" ht="20.100000000000001" customHeight="1" x14ac:dyDescent="0.3">
      <c r="B27" s="3" t="s">
        <v>196</v>
      </c>
      <c r="C27" s="4">
        <v>1</v>
      </c>
      <c r="D27" s="11" t="s">
        <v>278</v>
      </c>
      <c r="E27" s="11" t="s">
        <v>282</v>
      </c>
      <c r="F27" s="44"/>
    </row>
    <row r="28" spans="2:6" ht="20.100000000000001" customHeight="1" x14ac:dyDescent="0.3">
      <c r="B28" s="3" t="s">
        <v>247</v>
      </c>
      <c r="C28" s="4">
        <v>3</v>
      </c>
      <c r="D28" s="11" t="s">
        <v>278</v>
      </c>
      <c r="E28" s="11" t="s">
        <v>282</v>
      </c>
      <c r="F28" s="44"/>
    </row>
    <row r="29" spans="2:6" ht="20.100000000000001" customHeight="1" x14ac:dyDescent="0.3">
      <c r="B29" s="3" t="s">
        <v>248</v>
      </c>
      <c r="C29" s="4">
        <v>3</v>
      </c>
      <c r="D29" s="11" t="s">
        <v>278</v>
      </c>
      <c r="E29" s="11" t="s">
        <v>282</v>
      </c>
      <c r="F29" s="44"/>
    </row>
    <row r="30" spans="2:6" ht="20.100000000000001" customHeight="1" x14ac:dyDescent="0.3">
      <c r="B30" s="3" t="s">
        <v>155</v>
      </c>
      <c r="C30" s="4">
        <v>7</v>
      </c>
      <c r="D30" s="11" t="s">
        <v>278</v>
      </c>
      <c r="E30" s="11" t="s">
        <v>282</v>
      </c>
      <c r="F30" s="44"/>
    </row>
    <row r="31" spans="2:6" ht="20.100000000000001" customHeight="1" x14ac:dyDescent="0.3">
      <c r="B31" s="3" t="s">
        <v>154</v>
      </c>
      <c r="C31" s="4">
        <v>11</v>
      </c>
      <c r="D31" s="11" t="s">
        <v>278</v>
      </c>
      <c r="E31" s="11" t="s">
        <v>282</v>
      </c>
      <c r="F31" s="44"/>
    </row>
    <row r="32" spans="2:6" ht="20.100000000000001" customHeight="1" x14ac:dyDescent="0.3">
      <c r="B32" s="48" t="s">
        <v>73</v>
      </c>
      <c r="C32" s="49">
        <v>43</v>
      </c>
      <c r="D32" s="50" t="s">
        <v>279</v>
      </c>
      <c r="E32" s="50" t="s">
        <v>282</v>
      </c>
      <c r="F32" s="51" t="s">
        <v>230</v>
      </c>
    </row>
    <row r="33" spans="2:6" ht="20.100000000000001" customHeight="1" x14ac:dyDescent="0.3">
      <c r="B33" s="48" t="s">
        <v>92</v>
      </c>
      <c r="C33" s="49">
        <v>2</v>
      </c>
      <c r="D33" s="50" t="s">
        <v>279</v>
      </c>
      <c r="E33" s="50" t="s">
        <v>282</v>
      </c>
      <c r="F33" s="51" t="s">
        <v>230</v>
      </c>
    </row>
    <row r="34" spans="2:6" ht="20.100000000000001" customHeight="1" x14ac:dyDescent="0.3">
      <c r="B34" s="3" t="s">
        <v>255</v>
      </c>
      <c r="C34" s="4">
        <v>19</v>
      </c>
      <c r="D34" s="11" t="s">
        <v>278</v>
      </c>
      <c r="E34" s="11" t="s">
        <v>282</v>
      </c>
      <c r="F34" s="44"/>
    </row>
    <row r="35" spans="2:6" ht="20.100000000000001" customHeight="1" x14ac:dyDescent="0.3">
      <c r="B35" s="3" t="s">
        <v>173</v>
      </c>
      <c r="C35" s="4">
        <v>165</v>
      </c>
      <c r="D35" s="11" t="s">
        <v>278</v>
      </c>
      <c r="E35" s="11" t="s">
        <v>282</v>
      </c>
      <c r="F35" s="44"/>
    </row>
    <row r="36" spans="2:6" ht="20.100000000000001" customHeight="1" x14ac:dyDescent="0.3">
      <c r="B36" s="3" t="s">
        <v>181</v>
      </c>
      <c r="C36" s="4">
        <v>1</v>
      </c>
      <c r="D36" s="11" t="s">
        <v>278</v>
      </c>
      <c r="E36" s="11" t="s">
        <v>282</v>
      </c>
      <c r="F36" s="44"/>
    </row>
    <row r="37" spans="2:6" ht="20.100000000000001" customHeight="1" x14ac:dyDescent="0.3">
      <c r="B37" s="3" t="s">
        <v>187</v>
      </c>
      <c r="C37" s="4">
        <v>1</v>
      </c>
      <c r="D37" s="11" t="s">
        <v>278</v>
      </c>
      <c r="E37" s="11" t="s">
        <v>282</v>
      </c>
      <c r="F37" s="44"/>
    </row>
    <row r="38" spans="2:6" ht="20.100000000000001" customHeight="1" x14ac:dyDescent="0.3">
      <c r="B38" s="3" t="s">
        <v>27</v>
      </c>
      <c r="C38" s="4">
        <v>130</v>
      </c>
      <c r="D38" s="11" t="s">
        <v>278</v>
      </c>
      <c r="E38" s="11" t="s">
        <v>282</v>
      </c>
      <c r="F38" s="44"/>
    </row>
    <row r="39" spans="2:6" ht="20.100000000000001" customHeight="1" x14ac:dyDescent="0.3">
      <c r="B39" s="48" t="s">
        <v>30</v>
      </c>
      <c r="C39" s="49">
        <v>311</v>
      </c>
      <c r="D39" s="50" t="s">
        <v>279</v>
      </c>
      <c r="E39" s="50" t="s">
        <v>282</v>
      </c>
      <c r="F39" s="51" t="s">
        <v>230</v>
      </c>
    </row>
    <row r="40" spans="2:6" ht="20.100000000000001" customHeight="1" x14ac:dyDescent="0.3">
      <c r="B40" s="3" t="s">
        <v>42</v>
      </c>
      <c r="C40" s="4">
        <v>11</v>
      </c>
      <c r="D40" s="11" t="s">
        <v>278</v>
      </c>
      <c r="E40" s="11" t="s">
        <v>282</v>
      </c>
      <c r="F40" s="44"/>
    </row>
    <row r="41" spans="2:6" ht="20.100000000000001" customHeight="1" x14ac:dyDescent="0.3">
      <c r="B41" s="3" t="s">
        <v>192</v>
      </c>
      <c r="C41" s="4">
        <v>1</v>
      </c>
      <c r="D41" s="11" t="s">
        <v>278</v>
      </c>
      <c r="E41" s="11" t="s">
        <v>282</v>
      </c>
      <c r="F41" s="44"/>
    </row>
    <row r="42" spans="2:6" ht="20.100000000000001" customHeight="1" x14ac:dyDescent="0.3">
      <c r="B42" s="3" t="s">
        <v>96</v>
      </c>
      <c r="C42" s="4">
        <v>4</v>
      </c>
      <c r="D42" s="11" t="s">
        <v>278</v>
      </c>
      <c r="E42" s="11" t="s">
        <v>282</v>
      </c>
      <c r="F42" s="44"/>
    </row>
    <row r="43" spans="2:6" ht="20.100000000000001" customHeight="1" x14ac:dyDescent="0.3">
      <c r="B43" s="3" t="s">
        <v>98</v>
      </c>
      <c r="C43" s="4">
        <v>6</v>
      </c>
      <c r="D43" s="11" t="s">
        <v>278</v>
      </c>
      <c r="E43" s="11" t="s">
        <v>282</v>
      </c>
      <c r="F43" s="44"/>
    </row>
    <row r="44" spans="2:6" ht="20.100000000000001" customHeight="1" x14ac:dyDescent="0.3">
      <c r="B44" s="3" t="s">
        <v>95</v>
      </c>
      <c r="C44" s="4">
        <v>3</v>
      </c>
      <c r="D44" s="11" t="s">
        <v>278</v>
      </c>
      <c r="E44" s="11" t="s">
        <v>282</v>
      </c>
      <c r="F44" s="44"/>
    </row>
    <row r="45" spans="2:6" ht="20.100000000000001" customHeight="1" x14ac:dyDescent="0.3">
      <c r="B45" s="3" t="s">
        <v>231</v>
      </c>
      <c r="C45" s="4">
        <v>11</v>
      </c>
      <c r="D45" s="11" t="s">
        <v>278</v>
      </c>
      <c r="E45" s="11" t="s">
        <v>282</v>
      </c>
      <c r="F45" s="44"/>
    </row>
    <row r="46" spans="2:6" ht="20.100000000000001" customHeight="1" x14ac:dyDescent="0.3">
      <c r="B46" s="3" t="s">
        <v>69</v>
      </c>
      <c r="C46" s="4">
        <v>15</v>
      </c>
      <c r="D46" s="11" t="s">
        <v>278</v>
      </c>
      <c r="E46" s="11" t="s">
        <v>282</v>
      </c>
      <c r="F46" s="44"/>
    </row>
    <row r="47" spans="2:6" ht="20.100000000000001" customHeight="1" x14ac:dyDescent="0.3">
      <c r="B47" s="3" t="s">
        <v>226</v>
      </c>
      <c r="C47" s="4">
        <v>2</v>
      </c>
      <c r="D47" s="11" t="s">
        <v>278</v>
      </c>
      <c r="E47" s="11" t="s">
        <v>282</v>
      </c>
      <c r="F47" s="44"/>
    </row>
    <row r="48" spans="2:6" ht="20.100000000000001" customHeight="1" x14ac:dyDescent="0.3">
      <c r="B48" s="3" t="s">
        <v>90</v>
      </c>
      <c r="C48" s="4">
        <v>10</v>
      </c>
      <c r="D48" s="11" t="s">
        <v>278</v>
      </c>
      <c r="E48" s="11" t="s">
        <v>282</v>
      </c>
      <c r="F48" s="44"/>
    </row>
    <row r="49" spans="2:6" ht="20.100000000000001" customHeight="1" x14ac:dyDescent="0.3">
      <c r="B49" s="3" t="s">
        <v>97</v>
      </c>
      <c r="C49" s="4">
        <v>9</v>
      </c>
      <c r="D49" s="11" t="s">
        <v>278</v>
      </c>
      <c r="E49" s="11" t="s">
        <v>282</v>
      </c>
      <c r="F49" s="44"/>
    </row>
    <row r="50" spans="2:6" ht="20.100000000000001" customHeight="1" x14ac:dyDescent="0.3">
      <c r="B50" s="48" t="s">
        <v>60</v>
      </c>
      <c r="C50" s="49">
        <v>6</v>
      </c>
      <c r="D50" s="50" t="s">
        <v>279</v>
      </c>
      <c r="E50" s="50" t="s">
        <v>282</v>
      </c>
      <c r="F50" s="51" t="s">
        <v>230</v>
      </c>
    </row>
    <row r="51" spans="2:6" ht="20.100000000000001" customHeight="1" x14ac:dyDescent="0.3">
      <c r="B51" s="48" t="s">
        <v>149</v>
      </c>
      <c r="C51" s="49">
        <v>13</v>
      </c>
      <c r="D51" s="50" t="s">
        <v>279</v>
      </c>
      <c r="E51" s="50" t="s">
        <v>282</v>
      </c>
      <c r="F51" s="51" t="s">
        <v>230</v>
      </c>
    </row>
    <row r="52" spans="2:6" ht="20.100000000000001" customHeight="1" x14ac:dyDescent="0.3">
      <c r="B52" s="48" t="s">
        <v>256</v>
      </c>
      <c r="C52" s="49">
        <v>25</v>
      </c>
      <c r="D52" s="50" t="s">
        <v>279</v>
      </c>
      <c r="E52" s="50" t="s">
        <v>282</v>
      </c>
      <c r="F52" s="51" t="s">
        <v>230</v>
      </c>
    </row>
    <row r="53" spans="2:6" ht="20.100000000000001" customHeight="1" x14ac:dyDescent="0.3">
      <c r="B53" s="48" t="s">
        <v>259</v>
      </c>
      <c r="C53" s="49">
        <v>4</v>
      </c>
      <c r="D53" s="50" t="s">
        <v>279</v>
      </c>
      <c r="E53" s="50" t="s">
        <v>282</v>
      </c>
      <c r="F53" s="51" t="s">
        <v>230</v>
      </c>
    </row>
    <row r="54" spans="2:6" ht="20.100000000000001" customHeight="1" x14ac:dyDescent="0.3">
      <c r="B54" s="52" t="s">
        <v>261</v>
      </c>
      <c r="C54" s="49">
        <v>111</v>
      </c>
      <c r="D54" s="50" t="s">
        <v>279</v>
      </c>
      <c r="E54" s="50" t="s">
        <v>282</v>
      </c>
      <c r="F54" s="51" t="s">
        <v>230</v>
      </c>
    </row>
    <row r="55" spans="2:6" ht="20.100000000000001" customHeight="1" x14ac:dyDescent="0.3">
      <c r="B55" s="48" t="s">
        <v>257</v>
      </c>
      <c r="C55" s="49">
        <v>21</v>
      </c>
      <c r="D55" s="50" t="s">
        <v>279</v>
      </c>
      <c r="E55" s="50" t="s">
        <v>282</v>
      </c>
      <c r="F55" s="51" t="s">
        <v>230</v>
      </c>
    </row>
    <row r="56" spans="2:6" ht="20.100000000000001" customHeight="1" x14ac:dyDescent="0.3">
      <c r="B56" s="48" t="s">
        <v>262</v>
      </c>
      <c r="C56" s="49">
        <v>725</v>
      </c>
      <c r="D56" s="50" t="s">
        <v>279</v>
      </c>
      <c r="E56" s="50" t="s">
        <v>282</v>
      </c>
      <c r="F56" s="51" t="s">
        <v>230</v>
      </c>
    </row>
    <row r="57" spans="2:6" ht="20.100000000000001" customHeight="1" x14ac:dyDescent="0.3">
      <c r="B57" s="3" t="s">
        <v>214</v>
      </c>
      <c r="C57" s="4">
        <v>24</v>
      </c>
      <c r="D57" s="11" t="s">
        <v>278</v>
      </c>
      <c r="E57" s="11" t="s">
        <v>281</v>
      </c>
      <c r="F57" s="44" t="s">
        <v>265</v>
      </c>
    </row>
    <row r="58" spans="2:6" ht="20.100000000000001" customHeight="1" x14ac:dyDescent="0.3">
      <c r="B58" s="48" t="s">
        <v>258</v>
      </c>
      <c r="C58" s="49">
        <v>7</v>
      </c>
      <c r="D58" s="50" t="s">
        <v>279</v>
      </c>
      <c r="E58" s="50" t="s">
        <v>282</v>
      </c>
      <c r="F58" s="51" t="s">
        <v>230</v>
      </c>
    </row>
    <row r="59" spans="2:6" ht="20.100000000000001" customHeight="1" x14ac:dyDescent="0.3">
      <c r="B59" s="3" t="s">
        <v>213</v>
      </c>
      <c r="C59" s="4">
        <v>8</v>
      </c>
      <c r="D59" s="11" t="s">
        <v>278</v>
      </c>
      <c r="E59" s="11" t="s">
        <v>281</v>
      </c>
      <c r="F59" s="44" t="s">
        <v>265</v>
      </c>
    </row>
    <row r="60" spans="2:6" ht="20.100000000000001" customHeight="1" x14ac:dyDescent="0.3">
      <c r="B60" s="3" t="s">
        <v>206</v>
      </c>
      <c r="C60" s="4">
        <v>2</v>
      </c>
      <c r="D60" s="11" t="s">
        <v>278</v>
      </c>
      <c r="E60" s="11" t="s">
        <v>282</v>
      </c>
      <c r="F60" s="44"/>
    </row>
    <row r="61" spans="2:6" ht="20.100000000000001" customHeight="1" x14ac:dyDescent="0.3">
      <c r="B61" s="3" t="s">
        <v>125</v>
      </c>
      <c r="C61" s="4">
        <f>3+1</f>
        <v>4</v>
      </c>
      <c r="D61" s="11" t="s">
        <v>278</v>
      </c>
      <c r="E61" s="11" t="s">
        <v>282</v>
      </c>
      <c r="F61" s="44" t="s">
        <v>250</v>
      </c>
    </row>
    <row r="62" spans="2:6" ht="20.100000000000001" customHeight="1" x14ac:dyDescent="0.3">
      <c r="B62" s="48" t="s">
        <v>52</v>
      </c>
      <c r="C62" s="49">
        <v>8</v>
      </c>
      <c r="D62" s="50" t="s">
        <v>279</v>
      </c>
      <c r="E62" s="50" t="s">
        <v>282</v>
      </c>
      <c r="F62" s="51" t="s">
        <v>230</v>
      </c>
    </row>
    <row r="63" spans="2:6" ht="20.100000000000001" customHeight="1" x14ac:dyDescent="0.3">
      <c r="B63" s="3" t="s">
        <v>249</v>
      </c>
      <c r="C63" s="4">
        <v>2</v>
      </c>
      <c r="D63" s="11" t="s">
        <v>278</v>
      </c>
      <c r="E63" s="11" t="s">
        <v>282</v>
      </c>
      <c r="F63" s="44" t="s">
        <v>250</v>
      </c>
    </row>
    <row r="64" spans="2:6" ht="20.100000000000001" customHeight="1" x14ac:dyDescent="0.3">
      <c r="B64" s="48" t="s">
        <v>232</v>
      </c>
      <c r="C64" s="49">
        <v>8</v>
      </c>
      <c r="D64" s="50" t="s">
        <v>279</v>
      </c>
      <c r="E64" s="50" t="s">
        <v>282</v>
      </c>
      <c r="F64" s="51" t="s">
        <v>230</v>
      </c>
    </row>
    <row r="65" spans="2:6" ht="20.100000000000001" customHeight="1" x14ac:dyDescent="0.3">
      <c r="B65" s="3" t="s">
        <v>208</v>
      </c>
      <c r="C65" s="4">
        <v>1</v>
      </c>
      <c r="D65" s="11" t="s">
        <v>278</v>
      </c>
      <c r="E65" s="11" t="s">
        <v>282</v>
      </c>
      <c r="F65" s="44" t="s">
        <v>250</v>
      </c>
    </row>
    <row r="66" spans="2:6" ht="20.100000000000001" customHeight="1" x14ac:dyDescent="0.3">
      <c r="B66" s="48" t="s">
        <v>16</v>
      </c>
      <c r="C66" s="49">
        <v>4</v>
      </c>
      <c r="D66" s="50" t="s">
        <v>279</v>
      </c>
      <c r="E66" s="50" t="s">
        <v>282</v>
      </c>
      <c r="F66" s="51" t="s">
        <v>230</v>
      </c>
    </row>
    <row r="67" spans="2:6" ht="20.100000000000001" customHeight="1" x14ac:dyDescent="0.3">
      <c r="B67" s="3" t="s">
        <v>127</v>
      </c>
      <c r="C67" s="4">
        <v>34</v>
      </c>
      <c r="D67" s="11" t="s">
        <v>278</v>
      </c>
      <c r="E67" s="11" t="s">
        <v>282</v>
      </c>
      <c r="F67" s="44" t="s">
        <v>250</v>
      </c>
    </row>
    <row r="68" spans="2:6" ht="20.100000000000001" customHeight="1" x14ac:dyDescent="0.3">
      <c r="B68" s="3" t="s">
        <v>126</v>
      </c>
      <c r="C68" s="4">
        <v>2</v>
      </c>
      <c r="D68" s="11" t="s">
        <v>278</v>
      </c>
      <c r="E68" s="11" t="s">
        <v>281</v>
      </c>
      <c r="F68" s="44" t="s">
        <v>270</v>
      </c>
    </row>
    <row r="69" spans="2:6" ht="20.100000000000001" customHeight="1" x14ac:dyDescent="0.3">
      <c r="B69" s="3" t="s">
        <v>164</v>
      </c>
      <c r="C69" s="4">
        <v>6</v>
      </c>
      <c r="D69" s="11" t="s">
        <v>278</v>
      </c>
      <c r="E69" s="11" t="s">
        <v>282</v>
      </c>
      <c r="F69" s="44"/>
    </row>
    <row r="70" spans="2:6" ht="20.100000000000001" customHeight="1" x14ac:dyDescent="0.3">
      <c r="B70" s="3" t="s">
        <v>50</v>
      </c>
      <c r="C70" s="4">
        <v>13</v>
      </c>
      <c r="D70" s="11" t="s">
        <v>278</v>
      </c>
      <c r="E70" s="11" t="s">
        <v>281</v>
      </c>
      <c r="F70" s="44"/>
    </row>
    <row r="71" spans="2:6" ht="20.100000000000001" customHeight="1" x14ac:dyDescent="0.3">
      <c r="B71" s="3" t="s">
        <v>244</v>
      </c>
      <c r="C71" s="4">
        <v>1</v>
      </c>
      <c r="D71" s="11" t="s">
        <v>278</v>
      </c>
      <c r="E71" s="11" t="s">
        <v>282</v>
      </c>
      <c r="F71" s="44"/>
    </row>
    <row r="72" spans="2:6" ht="20.100000000000001" customHeight="1" x14ac:dyDescent="0.3">
      <c r="B72" s="3" t="s">
        <v>156</v>
      </c>
      <c r="C72" s="4">
        <v>9</v>
      </c>
      <c r="D72" s="11" t="s">
        <v>278</v>
      </c>
      <c r="E72" s="11" t="s">
        <v>282</v>
      </c>
      <c r="F72" s="44"/>
    </row>
    <row r="73" spans="2:6" ht="20.100000000000001" customHeight="1" x14ac:dyDescent="0.3">
      <c r="B73" s="3" t="s">
        <v>147</v>
      </c>
      <c r="C73" s="4">
        <f>15+12+50</f>
        <v>77</v>
      </c>
      <c r="D73" s="11" t="s">
        <v>278</v>
      </c>
      <c r="E73" s="11" t="s">
        <v>282</v>
      </c>
      <c r="F73" s="44"/>
    </row>
    <row r="74" spans="2:6" ht="20.100000000000001" customHeight="1" x14ac:dyDescent="0.3">
      <c r="B74" s="3" t="s">
        <v>133</v>
      </c>
      <c r="C74" s="4">
        <v>28</v>
      </c>
      <c r="D74" s="11" t="s">
        <v>278</v>
      </c>
      <c r="E74" s="11" t="s">
        <v>282</v>
      </c>
      <c r="F74" s="44"/>
    </row>
    <row r="75" spans="2:6" ht="20.100000000000001" customHeight="1" x14ac:dyDescent="0.3">
      <c r="B75" s="3" t="s">
        <v>134</v>
      </c>
      <c r="C75" s="4">
        <v>17</v>
      </c>
      <c r="D75" s="11" t="s">
        <v>278</v>
      </c>
      <c r="E75" s="11" t="s">
        <v>282</v>
      </c>
      <c r="F75" s="44"/>
    </row>
    <row r="76" spans="2:6" ht="20.100000000000001" customHeight="1" x14ac:dyDescent="0.3">
      <c r="B76" s="3" t="s">
        <v>135</v>
      </c>
      <c r="C76" s="4">
        <v>27</v>
      </c>
      <c r="D76" s="11" t="s">
        <v>278</v>
      </c>
      <c r="E76" s="11" t="s">
        <v>282</v>
      </c>
      <c r="F76" s="44"/>
    </row>
    <row r="77" spans="2:6" ht="20.100000000000001" customHeight="1" x14ac:dyDescent="0.3">
      <c r="B77" s="3" t="s">
        <v>136</v>
      </c>
      <c r="C77" s="4">
        <v>36</v>
      </c>
      <c r="D77" s="11" t="s">
        <v>278</v>
      </c>
      <c r="E77" s="11" t="s">
        <v>282</v>
      </c>
      <c r="F77" s="44"/>
    </row>
    <row r="78" spans="2:6" ht="20.100000000000001" customHeight="1" x14ac:dyDescent="0.3">
      <c r="B78" s="3" t="s">
        <v>204</v>
      </c>
      <c r="C78" s="4">
        <v>56</v>
      </c>
      <c r="D78" s="11" t="s">
        <v>278</v>
      </c>
      <c r="E78" s="11" t="s">
        <v>282</v>
      </c>
      <c r="F78" s="44"/>
    </row>
    <row r="79" spans="2:6" ht="20.100000000000001" customHeight="1" x14ac:dyDescent="0.3">
      <c r="B79" s="3" t="s">
        <v>15</v>
      </c>
      <c r="C79" s="4">
        <v>403</v>
      </c>
      <c r="D79" s="11" t="s">
        <v>278</v>
      </c>
      <c r="E79" s="11" t="s">
        <v>282</v>
      </c>
      <c r="F79" s="44" t="s">
        <v>266</v>
      </c>
    </row>
    <row r="80" spans="2:6" ht="20.100000000000001" customHeight="1" x14ac:dyDescent="0.3">
      <c r="B80" s="3" t="s">
        <v>252</v>
      </c>
      <c r="C80" s="4">
        <v>16</v>
      </c>
      <c r="D80" s="11" t="s">
        <v>278</v>
      </c>
      <c r="E80" s="11" t="s">
        <v>282</v>
      </c>
      <c r="F80" s="44" t="s">
        <v>243</v>
      </c>
    </row>
    <row r="81" spans="2:6" ht="20.100000000000001" customHeight="1" x14ac:dyDescent="0.3">
      <c r="B81" s="3" t="s">
        <v>252</v>
      </c>
      <c r="C81" s="4">
        <v>74</v>
      </c>
      <c r="D81" s="11" t="s">
        <v>278</v>
      </c>
      <c r="E81" s="11" t="s">
        <v>281</v>
      </c>
      <c r="F81" s="44" t="s">
        <v>253</v>
      </c>
    </row>
    <row r="82" spans="2:6" ht="20.100000000000001" customHeight="1" x14ac:dyDescent="0.3">
      <c r="B82" s="3" t="s">
        <v>140</v>
      </c>
      <c r="C82" s="4">
        <v>34</v>
      </c>
      <c r="D82" s="11" t="s">
        <v>278</v>
      </c>
      <c r="E82" s="11" t="s">
        <v>282</v>
      </c>
      <c r="F82" s="44"/>
    </row>
    <row r="83" spans="2:6" ht="20.100000000000001" customHeight="1" x14ac:dyDescent="0.3">
      <c r="B83" s="3" t="s">
        <v>121</v>
      </c>
      <c r="C83" s="4">
        <v>5</v>
      </c>
      <c r="D83" s="11" t="s">
        <v>278</v>
      </c>
      <c r="E83" s="11" t="s">
        <v>282</v>
      </c>
      <c r="F83" s="44"/>
    </row>
    <row r="84" spans="2:6" ht="20.100000000000001" customHeight="1" x14ac:dyDescent="0.3">
      <c r="B84" s="3" t="s">
        <v>74</v>
      </c>
      <c r="C84" s="4">
        <v>58</v>
      </c>
      <c r="D84" s="11" t="s">
        <v>278</v>
      </c>
      <c r="E84" s="11" t="s">
        <v>282</v>
      </c>
      <c r="F84" s="44"/>
    </row>
    <row r="85" spans="2:6" ht="20.100000000000001" customHeight="1" x14ac:dyDescent="0.3">
      <c r="B85" s="3" t="s">
        <v>88</v>
      </c>
      <c r="C85" s="4">
        <v>10</v>
      </c>
      <c r="D85" s="11" t="s">
        <v>278</v>
      </c>
      <c r="E85" s="11" t="s">
        <v>282</v>
      </c>
      <c r="F85" s="44" t="s">
        <v>271</v>
      </c>
    </row>
    <row r="86" spans="2:6" ht="20.100000000000001" customHeight="1" x14ac:dyDescent="0.3">
      <c r="B86" s="3" t="s">
        <v>190</v>
      </c>
      <c r="C86" s="4">
        <v>5</v>
      </c>
      <c r="D86" s="11" t="s">
        <v>278</v>
      </c>
      <c r="E86" s="11" t="s">
        <v>282</v>
      </c>
      <c r="F86" s="44"/>
    </row>
    <row r="87" spans="2:6" ht="20.100000000000001" customHeight="1" x14ac:dyDescent="0.3">
      <c r="B87" s="48" t="s">
        <v>107</v>
      </c>
      <c r="C87" s="49">
        <v>260</v>
      </c>
      <c r="D87" s="50" t="s">
        <v>279</v>
      </c>
      <c r="E87" s="50" t="s">
        <v>282</v>
      </c>
      <c r="F87" s="51" t="s">
        <v>230</v>
      </c>
    </row>
    <row r="88" spans="2:6" ht="20.100000000000001" customHeight="1" x14ac:dyDescent="0.3">
      <c r="B88" s="48" t="s">
        <v>101</v>
      </c>
      <c r="C88" s="49">
        <v>67</v>
      </c>
      <c r="D88" s="50" t="s">
        <v>279</v>
      </c>
      <c r="E88" s="50" t="s">
        <v>282</v>
      </c>
      <c r="F88" s="51" t="s">
        <v>230</v>
      </c>
    </row>
    <row r="89" spans="2:6" ht="20.100000000000001" customHeight="1" x14ac:dyDescent="0.3">
      <c r="B89" s="3" t="s">
        <v>222</v>
      </c>
      <c r="C89" s="4">
        <v>2</v>
      </c>
      <c r="D89" s="11" t="s">
        <v>278</v>
      </c>
      <c r="E89" s="11" t="s">
        <v>281</v>
      </c>
      <c r="F89" s="44" t="s">
        <v>265</v>
      </c>
    </row>
    <row r="90" spans="2:6" ht="20.100000000000001" customHeight="1" x14ac:dyDescent="0.3">
      <c r="B90" s="3" t="s">
        <v>223</v>
      </c>
      <c r="C90" s="4">
        <v>3</v>
      </c>
      <c r="D90" s="11" t="s">
        <v>278</v>
      </c>
      <c r="E90" s="11" t="s">
        <v>281</v>
      </c>
      <c r="F90" s="44" t="s">
        <v>265</v>
      </c>
    </row>
    <row r="91" spans="2:6" ht="20.100000000000001" customHeight="1" x14ac:dyDescent="0.3">
      <c r="B91" s="3" t="s">
        <v>215</v>
      </c>
      <c r="C91" s="4">
        <v>12</v>
      </c>
      <c r="D91" s="11" t="s">
        <v>278</v>
      </c>
      <c r="E91" s="11" t="s">
        <v>281</v>
      </c>
      <c r="F91" s="44" t="s">
        <v>265</v>
      </c>
    </row>
    <row r="92" spans="2:6" ht="20.100000000000001" customHeight="1" x14ac:dyDescent="0.3">
      <c r="B92" s="48" t="s">
        <v>227</v>
      </c>
      <c r="C92" s="49">
        <v>1526</v>
      </c>
      <c r="D92" s="50" t="s">
        <v>279</v>
      </c>
      <c r="E92" s="50" t="s">
        <v>282</v>
      </c>
      <c r="F92" s="51" t="s">
        <v>230</v>
      </c>
    </row>
    <row r="93" spans="2:6" ht="20.100000000000001" customHeight="1" x14ac:dyDescent="0.3">
      <c r="B93" s="48" t="s">
        <v>108</v>
      </c>
      <c r="C93" s="49">
        <v>15</v>
      </c>
      <c r="D93" s="50" t="s">
        <v>279</v>
      </c>
      <c r="E93" s="50" t="s">
        <v>282</v>
      </c>
      <c r="F93" s="51" t="s">
        <v>230</v>
      </c>
    </row>
    <row r="94" spans="2:6" ht="20.100000000000001" customHeight="1" x14ac:dyDescent="0.3">
      <c r="B94" s="48" t="s">
        <v>109</v>
      </c>
      <c r="C94" s="49">
        <v>29</v>
      </c>
      <c r="D94" s="50" t="s">
        <v>279</v>
      </c>
      <c r="E94" s="50" t="s">
        <v>282</v>
      </c>
      <c r="F94" s="51" t="s">
        <v>230</v>
      </c>
    </row>
    <row r="95" spans="2:6" ht="20.100000000000001" customHeight="1" x14ac:dyDescent="0.3">
      <c r="B95" s="48" t="s">
        <v>26</v>
      </c>
      <c r="C95" s="49">
        <v>71</v>
      </c>
      <c r="D95" s="50" t="s">
        <v>279</v>
      </c>
      <c r="E95" s="50" t="s">
        <v>282</v>
      </c>
      <c r="F95" s="51" t="s">
        <v>230</v>
      </c>
    </row>
    <row r="96" spans="2:6" ht="20.100000000000001" customHeight="1" x14ac:dyDescent="0.3">
      <c r="B96" s="3" t="s">
        <v>112</v>
      </c>
      <c r="C96" s="4">
        <v>20</v>
      </c>
      <c r="D96" s="11" t="s">
        <v>278</v>
      </c>
      <c r="E96" s="11" t="s">
        <v>282</v>
      </c>
      <c r="F96" s="44"/>
    </row>
    <row r="97" spans="2:6" ht="20.100000000000001" customHeight="1" x14ac:dyDescent="0.3">
      <c r="B97" s="3" t="s">
        <v>153</v>
      </c>
      <c r="C97" s="4">
        <v>14</v>
      </c>
      <c r="D97" s="11" t="s">
        <v>278</v>
      </c>
      <c r="E97" s="11" t="s">
        <v>282</v>
      </c>
      <c r="F97" s="44"/>
    </row>
    <row r="98" spans="2:6" ht="20.100000000000001" customHeight="1" x14ac:dyDescent="0.3">
      <c r="B98" s="3" t="s">
        <v>150</v>
      </c>
      <c r="C98" s="4">
        <v>16</v>
      </c>
      <c r="D98" s="11" t="s">
        <v>278</v>
      </c>
      <c r="E98" s="11" t="s">
        <v>282</v>
      </c>
      <c r="F98" s="44"/>
    </row>
    <row r="99" spans="2:6" ht="20.100000000000001" customHeight="1" x14ac:dyDescent="0.3">
      <c r="B99" s="3" t="s">
        <v>151</v>
      </c>
      <c r="C99" s="4">
        <v>8</v>
      </c>
      <c r="D99" s="11" t="s">
        <v>278</v>
      </c>
      <c r="E99" s="11" t="s">
        <v>282</v>
      </c>
      <c r="F99" s="44"/>
    </row>
    <row r="100" spans="2:6" ht="20.100000000000001" customHeight="1" x14ac:dyDescent="0.3">
      <c r="B100" s="3" t="s">
        <v>152</v>
      </c>
      <c r="C100" s="4">
        <v>6</v>
      </c>
      <c r="D100" s="11" t="s">
        <v>278</v>
      </c>
      <c r="E100" s="11" t="s">
        <v>282</v>
      </c>
      <c r="F100" s="44"/>
    </row>
    <row r="101" spans="2:6" ht="20.100000000000001" customHeight="1" x14ac:dyDescent="0.3">
      <c r="B101" s="3" t="s">
        <v>246</v>
      </c>
      <c r="C101" s="4">
        <v>1</v>
      </c>
      <c r="D101" s="11" t="s">
        <v>278</v>
      </c>
      <c r="E101" s="11" t="s">
        <v>282</v>
      </c>
      <c r="F101" s="44"/>
    </row>
    <row r="102" spans="2:6" ht="20.100000000000001" customHeight="1" x14ac:dyDescent="0.3">
      <c r="B102" s="3" t="s">
        <v>245</v>
      </c>
      <c r="C102" s="4">
        <v>1</v>
      </c>
      <c r="D102" s="11" t="s">
        <v>278</v>
      </c>
      <c r="E102" s="11" t="s">
        <v>282</v>
      </c>
      <c r="F102" s="44"/>
    </row>
    <row r="103" spans="2:6" ht="20.100000000000001" customHeight="1" x14ac:dyDescent="0.3">
      <c r="B103" s="3" t="s">
        <v>274</v>
      </c>
      <c r="C103" s="4">
        <v>2</v>
      </c>
      <c r="D103" s="11" t="s">
        <v>278</v>
      </c>
      <c r="E103" s="11" t="s">
        <v>282</v>
      </c>
      <c r="F103" s="44"/>
    </row>
    <row r="104" spans="2:6" ht="20.100000000000001" customHeight="1" x14ac:dyDescent="0.3">
      <c r="B104" s="3" t="s">
        <v>183</v>
      </c>
      <c r="C104" s="4">
        <v>1</v>
      </c>
      <c r="D104" s="11" t="s">
        <v>278</v>
      </c>
      <c r="E104" s="11" t="s">
        <v>282</v>
      </c>
      <c r="F104" s="44"/>
    </row>
    <row r="105" spans="2:6" ht="20.100000000000001" customHeight="1" x14ac:dyDescent="0.3">
      <c r="B105" s="3" t="s">
        <v>47</v>
      </c>
      <c r="C105" s="4">
        <v>4</v>
      </c>
      <c r="D105" s="11" t="s">
        <v>278</v>
      </c>
      <c r="E105" s="11" t="s">
        <v>282</v>
      </c>
      <c r="F105" s="44"/>
    </row>
    <row r="106" spans="2:6" ht="20.100000000000001" customHeight="1" x14ac:dyDescent="0.3">
      <c r="B106" s="3" t="s">
        <v>277</v>
      </c>
      <c r="C106" s="4">
        <v>2</v>
      </c>
      <c r="D106" s="11" t="s">
        <v>278</v>
      </c>
      <c r="E106" s="11" t="s">
        <v>282</v>
      </c>
      <c r="F106" s="44"/>
    </row>
    <row r="107" spans="2:6" ht="20.100000000000001" customHeight="1" x14ac:dyDescent="0.3">
      <c r="B107" s="3" t="s">
        <v>276</v>
      </c>
      <c r="C107" s="4">
        <v>20</v>
      </c>
      <c r="D107" s="11" t="s">
        <v>278</v>
      </c>
      <c r="E107" s="11" t="s">
        <v>282</v>
      </c>
      <c r="F107" s="44"/>
    </row>
    <row r="108" spans="2:6" ht="20.100000000000001" customHeight="1" x14ac:dyDescent="0.3">
      <c r="B108" s="3" t="s">
        <v>193</v>
      </c>
      <c r="C108" s="4">
        <v>3</v>
      </c>
      <c r="D108" s="11" t="s">
        <v>278</v>
      </c>
      <c r="E108" s="11" t="s">
        <v>282</v>
      </c>
      <c r="F108" s="44"/>
    </row>
    <row r="109" spans="2:6" ht="20.100000000000001" customHeight="1" x14ac:dyDescent="0.3">
      <c r="B109" s="3" t="s">
        <v>191</v>
      </c>
      <c r="C109" s="4">
        <v>1</v>
      </c>
      <c r="D109" s="11" t="s">
        <v>278</v>
      </c>
      <c r="E109" s="11" t="s">
        <v>282</v>
      </c>
      <c r="F109" s="44"/>
    </row>
    <row r="110" spans="2:6" ht="20.100000000000001" customHeight="1" x14ac:dyDescent="0.3">
      <c r="B110" s="48" t="s">
        <v>113</v>
      </c>
      <c r="C110" s="49">
        <v>9</v>
      </c>
      <c r="D110" s="50" t="s">
        <v>279</v>
      </c>
      <c r="E110" s="50" t="s">
        <v>282</v>
      </c>
      <c r="F110" s="51" t="s">
        <v>230</v>
      </c>
    </row>
    <row r="111" spans="2:6" ht="20.100000000000001" customHeight="1" x14ac:dyDescent="0.3">
      <c r="B111" s="3" t="s">
        <v>176</v>
      </c>
      <c r="C111" s="4">
        <v>3</v>
      </c>
      <c r="D111" s="11" t="s">
        <v>278</v>
      </c>
      <c r="E111" s="11" t="s">
        <v>282</v>
      </c>
      <c r="F111" s="44"/>
    </row>
    <row r="112" spans="2:6" ht="20.100000000000001" customHeight="1" x14ac:dyDescent="0.3">
      <c r="B112" s="3" t="s">
        <v>161</v>
      </c>
      <c r="C112" s="4">
        <v>36</v>
      </c>
      <c r="D112" s="11" t="s">
        <v>278</v>
      </c>
      <c r="E112" s="11" t="s">
        <v>282</v>
      </c>
      <c r="F112" s="44"/>
    </row>
    <row r="113" spans="2:6" ht="20.100000000000001" customHeight="1" x14ac:dyDescent="0.3">
      <c r="B113" s="3" t="s">
        <v>162</v>
      </c>
      <c r="C113" s="4">
        <v>27</v>
      </c>
      <c r="D113" s="11" t="s">
        <v>278</v>
      </c>
      <c r="E113" s="11" t="s">
        <v>282</v>
      </c>
      <c r="F113" s="44"/>
    </row>
    <row r="114" spans="2:6" ht="20.100000000000001" customHeight="1" x14ac:dyDescent="0.3">
      <c r="B114" s="3" t="s">
        <v>177</v>
      </c>
      <c r="C114" s="4">
        <v>113</v>
      </c>
      <c r="D114" s="11" t="s">
        <v>278</v>
      </c>
      <c r="E114" s="11" t="s">
        <v>282</v>
      </c>
      <c r="F114" s="44"/>
    </row>
    <row r="115" spans="2:6" ht="20.100000000000001" customHeight="1" x14ac:dyDescent="0.3">
      <c r="B115" s="3" t="s">
        <v>142</v>
      </c>
      <c r="C115" s="4">
        <v>18</v>
      </c>
      <c r="D115" s="11" t="s">
        <v>278</v>
      </c>
      <c r="E115" s="11" t="s">
        <v>282</v>
      </c>
      <c r="F115" s="44" t="s">
        <v>250</v>
      </c>
    </row>
    <row r="116" spans="2:6" ht="20.100000000000001" customHeight="1" x14ac:dyDescent="0.3">
      <c r="B116" s="3" t="s">
        <v>212</v>
      </c>
      <c r="C116" s="4">
        <v>1</v>
      </c>
      <c r="D116" s="11" t="s">
        <v>278</v>
      </c>
      <c r="E116" s="11" t="s">
        <v>281</v>
      </c>
      <c r="F116" s="44" t="s">
        <v>265</v>
      </c>
    </row>
    <row r="117" spans="2:6" ht="20.100000000000001" customHeight="1" x14ac:dyDescent="0.3">
      <c r="B117" s="3" t="s">
        <v>211</v>
      </c>
      <c r="C117" s="4">
        <v>1</v>
      </c>
      <c r="D117" s="11" t="s">
        <v>278</v>
      </c>
      <c r="E117" s="11" t="s">
        <v>281</v>
      </c>
      <c r="F117" s="44" t="s">
        <v>265</v>
      </c>
    </row>
    <row r="118" spans="2:6" ht="20.100000000000001" customHeight="1" x14ac:dyDescent="0.3">
      <c r="B118" s="3" t="s">
        <v>209</v>
      </c>
      <c r="C118" s="4">
        <v>10</v>
      </c>
      <c r="D118" s="11" t="s">
        <v>278</v>
      </c>
      <c r="E118" s="11" t="s">
        <v>282</v>
      </c>
      <c r="F118" s="44" t="s">
        <v>250</v>
      </c>
    </row>
    <row r="119" spans="2:6" ht="20.100000000000001" customHeight="1" x14ac:dyDescent="0.3">
      <c r="B119" s="3" t="s">
        <v>75</v>
      </c>
      <c r="C119" s="4">
        <f>34+8</f>
        <v>42</v>
      </c>
      <c r="D119" s="11" t="s">
        <v>278</v>
      </c>
      <c r="E119" s="11" t="s">
        <v>282</v>
      </c>
      <c r="F119" s="44"/>
    </row>
    <row r="120" spans="2:6" ht="20.100000000000001" customHeight="1" x14ac:dyDescent="0.3">
      <c r="B120" s="3" t="s">
        <v>120</v>
      </c>
      <c r="C120" s="4">
        <v>2</v>
      </c>
      <c r="D120" s="11" t="s">
        <v>278</v>
      </c>
      <c r="E120" s="11" t="s">
        <v>282</v>
      </c>
      <c r="F120" s="44"/>
    </row>
    <row r="121" spans="2:6" ht="20.100000000000001" customHeight="1" x14ac:dyDescent="0.3">
      <c r="B121" s="3" t="s">
        <v>76</v>
      </c>
      <c r="C121" s="4">
        <v>30</v>
      </c>
      <c r="D121" s="11" t="s">
        <v>278</v>
      </c>
      <c r="E121" s="11" t="s">
        <v>282</v>
      </c>
      <c r="F121" s="44"/>
    </row>
    <row r="122" spans="2:6" ht="20.100000000000001" customHeight="1" x14ac:dyDescent="0.3">
      <c r="B122" s="3" t="s">
        <v>40</v>
      </c>
      <c r="C122" s="4">
        <v>2</v>
      </c>
      <c r="D122" s="11" t="s">
        <v>278</v>
      </c>
      <c r="E122" s="11" t="s">
        <v>282</v>
      </c>
      <c r="F122" s="44"/>
    </row>
    <row r="123" spans="2:6" ht="20.100000000000001" customHeight="1" x14ac:dyDescent="0.3">
      <c r="B123" s="3" t="s">
        <v>39</v>
      </c>
      <c r="C123" s="4">
        <v>3</v>
      </c>
      <c r="D123" s="11" t="s">
        <v>278</v>
      </c>
      <c r="E123" s="11" t="s">
        <v>282</v>
      </c>
      <c r="F123" s="44"/>
    </row>
    <row r="124" spans="2:6" ht="20.100000000000001" customHeight="1" x14ac:dyDescent="0.3">
      <c r="B124" s="48" t="s">
        <v>111</v>
      </c>
      <c r="C124" s="49">
        <v>12</v>
      </c>
      <c r="D124" s="50" t="s">
        <v>279</v>
      </c>
      <c r="E124" s="50" t="s">
        <v>282</v>
      </c>
      <c r="F124" s="51" t="s">
        <v>230</v>
      </c>
    </row>
    <row r="125" spans="2:6" ht="20.100000000000001" customHeight="1" x14ac:dyDescent="0.3">
      <c r="B125" s="48" t="s">
        <v>110</v>
      </c>
      <c r="C125" s="49">
        <v>109</v>
      </c>
      <c r="D125" s="50" t="s">
        <v>279</v>
      </c>
      <c r="E125" s="50" t="s">
        <v>282</v>
      </c>
      <c r="F125" s="51" t="s">
        <v>230</v>
      </c>
    </row>
    <row r="126" spans="2:6" ht="20.100000000000001" customHeight="1" x14ac:dyDescent="0.3">
      <c r="B126" s="48" t="s">
        <v>263</v>
      </c>
      <c r="C126" s="49">
        <v>15</v>
      </c>
      <c r="D126" s="50" t="s">
        <v>278</v>
      </c>
      <c r="E126" s="50" t="s">
        <v>282</v>
      </c>
      <c r="F126" s="51" t="s">
        <v>230</v>
      </c>
    </row>
    <row r="127" spans="2:6" ht="20.100000000000001" customHeight="1" x14ac:dyDescent="0.3">
      <c r="B127" s="3" t="s">
        <v>283</v>
      </c>
      <c r="C127" s="4">
        <v>8</v>
      </c>
      <c r="D127" s="11" t="s">
        <v>278</v>
      </c>
      <c r="E127" s="11" t="s">
        <v>282</v>
      </c>
      <c r="F127" s="44" t="s">
        <v>243</v>
      </c>
    </row>
    <row r="128" spans="2:6" ht="20.100000000000001" customHeight="1" x14ac:dyDescent="0.3">
      <c r="B128" s="3" t="s">
        <v>203</v>
      </c>
      <c r="C128" s="4">
        <v>1</v>
      </c>
      <c r="D128" s="11" t="s">
        <v>278</v>
      </c>
      <c r="E128" s="11" t="s">
        <v>282</v>
      </c>
      <c r="F128" s="44"/>
    </row>
    <row r="129" spans="2:6" ht="20.100000000000001" customHeight="1" x14ac:dyDescent="0.3">
      <c r="B129" s="48" t="s">
        <v>163</v>
      </c>
      <c r="C129" s="49">
        <v>2</v>
      </c>
      <c r="D129" s="50" t="s">
        <v>279</v>
      </c>
      <c r="E129" s="50" t="s">
        <v>282</v>
      </c>
      <c r="F129" s="51" t="s">
        <v>230</v>
      </c>
    </row>
    <row r="130" spans="2:6" ht="20.100000000000001" customHeight="1" x14ac:dyDescent="0.3">
      <c r="B130" s="3" t="s">
        <v>172</v>
      </c>
      <c r="C130" s="4">
        <v>6</v>
      </c>
      <c r="D130" s="11" t="s">
        <v>278</v>
      </c>
      <c r="E130" s="11" t="s">
        <v>282</v>
      </c>
      <c r="F130" s="44"/>
    </row>
    <row r="131" spans="2:6" ht="20.100000000000001" customHeight="1" x14ac:dyDescent="0.3">
      <c r="B131" s="3" t="s">
        <v>157</v>
      </c>
      <c r="C131" s="4">
        <v>4</v>
      </c>
      <c r="D131" s="11" t="s">
        <v>278</v>
      </c>
      <c r="E131" s="11" t="s">
        <v>282</v>
      </c>
      <c r="F131" s="44"/>
    </row>
    <row r="132" spans="2:6" ht="20.100000000000001" customHeight="1" x14ac:dyDescent="0.3">
      <c r="B132" s="3" t="s">
        <v>178</v>
      </c>
      <c r="C132" s="4">
        <v>1</v>
      </c>
      <c r="D132" s="11" t="s">
        <v>278</v>
      </c>
      <c r="E132" s="11" t="s">
        <v>282</v>
      </c>
      <c r="F132" s="44"/>
    </row>
    <row r="133" spans="2:6" ht="20.100000000000001" customHeight="1" x14ac:dyDescent="0.3">
      <c r="B133" s="3" t="s">
        <v>41</v>
      </c>
      <c r="C133" s="4">
        <v>8</v>
      </c>
      <c r="D133" s="11" t="s">
        <v>278</v>
      </c>
      <c r="E133" s="11" t="s">
        <v>282</v>
      </c>
      <c r="F133" s="44"/>
    </row>
    <row r="134" spans="2:6" ht="20.100000000000001" customHeight="1" x14ac:dyDescent="0.3">
      <c r="B134" s="3" t="s">
        <v>180</v>
      </c>
      <c r="C134" s="4">
        <v>1</v>
      </c>
      <c r="D134" s="11" t="s">
        <v>278</v>
      </c>
      <c r="E134" s="11" t="s">
        <v>282</v>
      </c>
      <c r="F134" s="44"/>
    </row>
    <row r="135" spans="2:6" ht="20.100000000000001" customHeight="1" x14ac:dyDescent="0.3">
      <c r="B135" s="3" t="s">
        <v>175</v>
      </c>
      <c r="C135" s="4">
        <v>2</v>
      </c>
      <c r="D135" s="11" t="s">
        <v>278</v>
      </c>
      <c r="E135" s="11" t="s">
        <v>282</v>
      </c>
      <c r="F135" s="44"/>
    </row>
    <row r="136" spans="2:6" ht="20.100000000000001" customHeight="1" x14ac:dyDescent="0.3">
      <c r="B136" s="3" t="s">
        <v>179</v>
      </c>
      <c r="C136" s="4">
        <v>6</v>
      </c>
      <c r="D136" s="11" t="s">
        <v>278</v>
      </c>
      <c r="E136" s="11" t="s">
        <v>282</v>
      </c>
      <c r="F136" s="44"/>
    </row>
    <row r="137" spans="2:6" ht="20.100000000000001" customHeight="1" x14ac:dyDescent="0.3">
      <c r="B137" s="3" t="s">
        <v>129</v>
      </c>
      <c r="C137" s="4">
        <v>73</v>
      </c>
      <c r="D137" s="11" t="s">
        <v>278</v>
      </c>
      <c r="E137" s="11" t="s">
        <v>282</v>
      </c>
      <c r="F137" s="44"/>
    </row>
    <row r="138" spans="2:6" ht="20.100000000000001" customHeight="1" x14ac:dyDescent="0.3">
      <c r="B138" s="3" t="s">
        <v>128</v>
      </c>
      <c r="C138" s="4">
        <v>46</v>
      </c>
      <c r="D138" s="11" t="s">
        <v>278</v>
      </c>
      <c r="E138" s="11" t="s">
        <v>282</v>
      </c>
      <c r="F138" s="44"/>
    </row>
    <row r="139" spans="2:6" ht="20.100000000000001" customHeight="1" x14ac:dyDescent="0.3">
      <c r="B139" s="3" t="s">
        <v>68</v>
      </c>
      <c r="C139" s="4">
        <v>1024</v>
      </c>
      <c r="D139" s="11" t="s">
        <v>278</v>
      </c>
      <c r="E139" s="11" t="s">
        <v>282</v>
      </c>
      <c r="F139" s="44"/>
    </row>
    <row r="140" spans="2:6" ht="20.100000000000001" customHeight="1" x14ac:dyDescent="0.3">
      <c r="B140" s="3" t="s">
        <v>146</v>
      </c>
      <c r="C140" s="4">
        <v>2</v>
      </c>
      <c r="D140" s="11" t="s">
        <v>278</v>
      </c>
      <c r="E140" s="11" t="s">
        <v>282</v>
      </c>
      <c r="F140" s="44"/>
    </row>
    <row r="141" spans="2:6" ht="20.100000000000001" customHeight="1" x14ac:dyDescent="0.3">
      <c r="B141" s="3" t="s">
        <v>89</v>
      </c>
      <c r="C141" s="4">
        <v>3</v>
      </c>
      <c r="D141" s="11" t="s">
        <v>278</v>
      </c>
      <c r="E141" s="11" t="s">
        <v>282</v>
      </c>
      <c r="F141" s="44"/>
    </row>
    <row r="142" spans="2:6" ht="20.100000000000001" customHeight="1" x14ac:dyDescent="0.3">
      <c r="B142" s="3" t="s">
        <v>205</v>
      </c>
      <c r="C142" s="4">
        <v>21</v>
      </c>
      <c r="D142" s="11" t="s">
        <v>278</v>
      </c>
      <c r="E142" s="11" t="s">
        <v>282</v>
      </c>
      <c r="F142" s="44"/>
    </row>
    <row r="143" spans="2:6" ht="20.100000000000001" customHeight="1" x14ac:dyDescent="0.3">
      <c r="B143" s="3" t="s">
        <v>254</v>
      </c>
      <c r="C143" s="4">
        <v>6</v>
      </c>
      <c r="D143" s="11" t="s">
        <v>278</v>
      </c>
      <c r="E143" s="11" t="s">
        <v>282</v>
      </c>
      <c r="F143" s="44"/>
    </row>
    <row r="144" spans="2:6" ht="20.100000000000001" customHeight="1" x14ac:dyDescent="0.3">
      <c r="B144" s="3" t="s">
        <v>197</v>
      </c>
      <c r="C144" s="4">
        <v>2</v>
      </c>
      <c r="D144" s="11" t="s">
        <v>278</v>
      </c>
      <c r="E144" s="11" t="s">
        <v>282</v>
      </c>
      <c r="F144" s="44"/>
    </row>
    <row r="145" spans="2:6" ht="20.100000000000001" customHeight="1" x14ac:dyDescent="0.3">
      <c r="B145" s="3" t="s">
        <v>100</v>
      </c>
      <c r="C145" s="4">
        <v>6</v>
      </c>
      <c r="D145" s="11" t="s">
        <v>278</v>
      </c>
      <c r="E145" s="11" t="s">
        <v>282</v>
      </c>
      <c r="F145" s="44"/>
    </row>
    <row r="146" spans="2:6" ht="20.100000000000001" customHeight="1" x14ac:dyDescent="0.3">
      <c r="B146" s="3" t="s">
        <v>99</v>
      </c>
      <c r="C146" s="4">
        <v>7</v>
      </c>
      <c r="D146" s="11" t="s">
        <v>278</v>
      </c>
      <c r="E146" s="11" t="s">
        <v>282</v>
      </c>
      <c r="F146" s="44"/>
    </row>
    <row r="147" spans="2:6" ht="20.100000000000001" customHeight="1" x14ac:dyDescent="0.3">
      <c r="B147" s="3" t="s">
        <v>264</v>
      </c>
      <c r="C147" s="4">
        <v>8</v>
      </c>
      <c r="D147" s="11" t="s">
        <v>278</v>
      </c>
      <c r="E147" s="11" t="s">
        <v>282</v>
      </c>
      <c r="F147" s="44"/>
    </row>
    <row r="148" spans="2:6" ht="20.100000000000001" customHeight="1" x14ac:dyDescent="0.3">
      <c r="B148" s="3" t="s">
        <v>93</v>
      </c>
      <c r="C148" s="4">
        <v>12</v>
      </c>
      <c r="D148" s="11" t="s">
        <v>278</v>
      </c>
      <c r="E148" s="11" t="s">
        <v>282</v>
      </c>
      <c r="F148" s="44"/>
    </row>
    <row r="149" spans="2:6" ht="20.100000000000001" customHeight="1" x14ac:dyDescent="0.3">
      <c r="B149" s="3" t="s">
        <v>94</v>
      </c>
      <c r="C149" s="4">
        <v>1</v>
      </c>
      <c r="D149" s="11" t="s">
        <v>278</v>
      </c>
      <c r="E149" s="11" t="s">
        <v>281</v>
      </c>
      <c r="F149" s="44" t="s">
        <v>272</v>
      </c>
    </row>
    <row r="150" spans="2:6" ht="20.100000000000001" customHeight="1" x14ac:dyDescent="0.3">
      <c r="B150" s="3" t="s">
        <v>54</v>
      </c>
      <c r="C150" s="4">
        <v>200</v>
      </c>
      <c r="D150" s="11" t="s">
        <v>278</v>
      </c>
      <c r="E150" s="11" t="s">
        <v>282</v>
      </c>
      <c r="F150" s="44"/>
    </row>
    <row r="151" spans="2:6" ht="20.100000000000001" customHeight="1" x14ac:dyDescent="0.3">
      <c r="B151" s="3" t="s">
        <v>55</v>
      </c>
      <c r="C151" s="4">
        <v>367</v>
      </c>
      <c r="D151" s="11" t="s">
        <v>278</v>
      </c>
      <c r="E151" s="11" t="s">
        <v>282</v>
      </c>
      <c r="F151" s="44"/>
    </row>
    <row r="152" spans="2:6" ht="20.100000000000001" customHeight="1" x14ac:dyDescent="0.3">
      <c r="B152" s="3" t="s">
        <v>207</v>
      </c>
      <c r="C152" s="4">
        <v>1</v>
      </c>
      <c r="D152" s="11" t="s">
        <v>278</v>
      </c>
      <c r="E152" s="11" t="s">
        <v>281</v>
      </c>
      <c r="F152" s="44"/>
    </row>
    <row r="153" spans="2:6" ht="20.100000000000001" customHeight="1" x14ac:dyDescent="0.3">
      <c r="B153" s="48" t="s">
        <v>228</v>
      </c>
      <c r="C153" s="49">
        <v>426</v>
      </c>
      <c r="D153" s="50" t="s">
        <v>279</v>
      </c>
      <c r="E153" s="50" t="s">
        <v>282</v>
      </c>
      <c r="F153" s="51" t="s">
        <v>230</v>
      </c>
    </row>
    <row r="154" spans="2:6" ht="20.100000000000001" customHeight="1" x14ac:dyDescent="0.3">
      <c r="B154" s="48" t="s">
        <v>229</v>
      </c>
      <c r="C154" s="49">
        <f>500+1+55</f>
        <v>556</v>
      </c>
      <c r="D154" s="50" t="s">
        <v>279</v>
      </c>
      <c r="E154" s="50" t="s">
        <v>282</v>
      </c>
      <c r="F154" s="51" t="s">
        <v>230</v>
      </c>
    </row>
    <row r="155" spans="2:6" ht="20.100000000000001" customHeight="1" x14ac:dyDescent="0.3">
      <c r="B155" s="3" t="s">
        <v>233</v>
      </c>
      <c r="C155" s="4">
        <v>1</v>
      </c>
      <c r="D155" s="11" t="s">
        <v>278</v>
      </c>
      <c r="E155" s="11" t="s">
        <v>281</v>
      </c>
      <c r="F155" s="44" t="s">
        <v>265</v>
      </c>
    </row>
    <row r="156" spans="2:6" ht="20.100000000000001" customHeight="1" x14ac:dyDescent="0.3">
      <c r="B156" s="3" t="s">
        <v>237</v>
      </c>
      <c r="C156" s="4">
        <v>1</v>
      </c>
      <c r="D156" s="11" t="s">
        <v>278</v>
      </c>
      <c r="E156" s="11" t="s">
        <v>281</v>
      </c>
      <c r="F156" s="44" t="s">
        <v>265</v>
      </c>
    </row>
    <row r="157" spans="2:6" ht="20.100000000000001" customHeight="1" x14ac:dyDescent="0.3">
      <c r="B157" s="3" t="s">
        <v>238</v>
      </c>
      <c r="C157" s="4">
        <v>4</v>
      </c>
      <c r="D157" s="11" t="s">
        <v>278</v>
      </c>
      <c r="E157" s="11" t="s">
        <v>281</v>
      </c>
      <c r="F157" s="44" t="s">
        <v>265</v>
      </c>
    </row>
    <row r="158" spans="2:6" ht="20.100000000000001" customHeight="1" x14ac:dyDescent="0.3">
      <c r="B158" s="48" t="s">
        <v>235</v>
      </c>
      <c r="C158" s="49">
        <v>50</v>
      </c>
      <c r="D158" s="50" t="s">
        <v>279</v>
      </c>
      <c r="E158" s="50" t="s">
        <v>282</v>
      </c>
      <c r="F158" s="51" t="s">
        <v>230</v>
      </c>
    </row>
    <row r="159" spans="2:6" ht="20.100000000000001" customHeight="1" x14ac:dyDescent="0.3">
      <c r="B159" s="48" t="s">
        <v>236</v>
      </c>
      <c r="C159" s="49">
        <v>50</v>
      </c>
      <c r="D159" s="50" t="s">
        <v>279</v>
      </c>
      <c r="E159" s="50" t="s">
        <v>282</v>
      </c>
      <c r="F159" s="51" t="s">
        <v>230</v>
      </c>
    </row>
    <row r="160" spans="2:6" ht="20.100000000000001" customHeight="1" x14ac:dyDescent="0.3">
      <c r="B160" s="48" t="s">
        <v>105</v>
      </c>
      <c r="C160" s="49">
        <v>17</v>
      </c>
      <c r="D160" s="50" t="s">
        <v>279</v>
      </c>
      <c r="E160" s="50" t="s">
        <v>282</v>
      </c>
      <c r="F160" s="51" t="s">
        <v>230</v>
      </c>
    </row>
    <row r="161" spans="2:6" ht="20.100000000000001" customHeight="1" x14ac:dyDescent="0.3">
      <c r="B161" s="48" t="s">
        <v>106</v>
      </c>
      <c r="C161" s="49">
        <v>145</v>
      </c>
      <c r="D161" s="50" t="s">
        <v>279</v>
      </c>
      <c r="E161" s="50" t="s">
        <v>282</v>
      </c>
      <c r="F161" s="51" t="s">
        <v>230</v>
      </c>
    </row>
    <row r="162" spans="2:6" ht="20.100000000000001" customHeight="1" x14ac:dyDescent="0.3">
      <c r="B162" s="48" t="s">
        <v>144</v>
      </c>
      <c r="C162" s="49">
        <v>23</v>
      </c>
      <c r="D162" s="50" t="s">
        <v>279</v>
      </c>
      <c r="E162" s="50" t="s">
        <v>282</v>
      </c>
      <c r="F162" s="51" t="s">
        <v>230</v>
      </c>
    </row>
    <row r="163" spans="2:6" ht="20.100000000000001" customHeight="1" x14ac:dyDescent="0.3">
      <c r="B163" s="48" t="s">
        <v>234</v>
      </c>
      <c r="C163" s="49">
        <v>80</v>
      </c>
      <c r="D163" s="50" t="s">
        <v>279</v>
      </c>
      <c r="E163" s="50" t="s">
        <v>282</v>
      </c>
      <c r="F163" s="51" t="s">
        <v>230</v>
      </c>
    </row>
    <row r="164" spans="2:6" ht="20.100000000000001" customHeight="1" x14ac:dyDescent="0.3">
      <c r="B164" s="48" t="s">
        <v>102</v>
      </c>
      <c r="C164" s="49">
        <v>15</v>
      </c>
      <c r="D164" s="50" t="s">
        <v>279</v>
      </c>
      <c r="E164" s="50" t="s">
        <v>282</v>
      </c>
      <c r="F164" s="51" t="s">
        <v>230</v>
      </c>
    </row>
    <row r="165" spans="2:6" ht="20.100000000000001" customHeight="1" x14ac:dyDescent="0.3">
      <c r="B165" s="34" t="s">
        <v>220</v>
      </c>
      <c r="C165" s="35">
        <v>2</v>
      </c>
      <c r="D165" s="11" t="s">
        <v>278</v>
      </c>
      <c r="E165" s="68" t="s">
        <v>281</v>
      </c>
      <c r="F165" s="45" t="s">
        <v>265</v>
      </c>
    </row>
    <row r="166" spans="2:6" ht="20.100000000000001" customHeight="1" x14ac:dyDescent="0.3">
      <c r="B166" s="34" t="s">
        <v>221</v>
      </c>
      <c r="C166" s="35">
        <v>2</v>
      </c>
      <c r="D166" s="11" t="s">
        <v>278</v>
      </c>
      <c r="E166" s="68" t="s">
        <v>281</v>
      </c>
      <c r="F166" s="45" t="s">
        <v>265</v>
      </c>
    </row>
    <row r="167" spans="2:6" ht="20.100000000000001" customHeight="1" x14ac:dyDescent="0.3">
      <c r="B167" s="53" t="s">
        <v>67</v>
      </c>
      <c r="C167" s="54">
        <v>237</v>
      </c>
      <c r="D167" s="50" t="s">
        <v>279</v>
      </c>
      <c r="E167" s="69" t="s">
        <v>282</v>
      </c>
      <c r="F167" s="55" t="s">
        <v>230</v>
      </c>
    </row>
    <row r="168" spans="2:6" ht="20.100000000000001" customHeight="1" x14ac:dyDescent="0.3">
      <c r="B168" s="34" t="s">
        <v>216</v>
      </c>
      <c r="C168" s="35">
        <v>8</v>
      </c>
      <c r="D168" s="11" t="s">
        <v>278</v>
      </c>
      <c r="E168" s="68" t="s">
        <v>281</v>
      </c>
      <c r="F168" s="45" t="s">
        <v>265</v>
      </c>
    </row>
  </sheetData>
  <mergeCells count="2">
    <mergeCell ref="B2:F2"/>
    <mergeCell ref="B3:F3"/>
  </mergeCells>
  <phoneticPr fontId="7" type="noConversion"/>
  <pageMargins left="0.19685039370078741" right="0.19685039370078741" top="0.19685039370078741" bottom="0.19685039370078741" header="0.31496062992125984" footer="0.31496062992125984"/>
  <pageSetup scale="85" orientation="portrait" r:id="rId1"/>
  <ignoredErrors>
    <ignoredError sqref="D5" calculatedColumn="1"/>
  </ignoredErrors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72"/>
  <sheetViews>
    <sheetView topLeftCell="A87" zoomScaleNormal="100" workbookViewId="0">
      <selection activeCell="C106" sqref="C106"/>
    </sheetView>
  </sheetViews>
  <sheetFormatPr baseColWidth="10" defaultRowHeight="14.4" x14ac:dyDescent="0.3"/>
  <cols>
    <col min="1" max="1" width="1.6640625" customWidth="1"/>
    <col min="2" max="2" width="34.109375" style="2" bestFit="1" customWidth="1"/>
    <col min="3" max="3" width="13.6640625" style="1" customWidth="1"/>
    <col min="4" max="4" width="14" style="1" hidden="1" customWidth="1"/>
    <col min="5" max="5" width="13.6640625" customWidth="1"/>
    <col min="6" max="6" width="18" style="43" customWidth="1"/>
    <col min="7" max="7" width="15.6640625" style="43" customWidth="1"/>
    <col min="8" max="8" width="15.44140625" style="43" customWidth="1"/>
    <col min="9" max="9" width="15.6640625" style="43" customWidth="1"/>
    <col min="10" max="10" width="2.5546875" customWidth="1"/>
  </cols>
  <sheetData>
    <row r="1" spans="2:10" ht="15" thickBot="1" x14ac:dyDescent="0.35"/>
    <row r="2" spans="2:10" ht="26.25" customHeight="1" thickBot="1" x14ac:dyDescent="0.35">
      <c r="B2" s="412" t="s">
        <v>267</v>
      </c>
      <c r="C2" s="413"/>
      <c r="D2" s="413"/>
      <c r="E2" s="413"/>
      <c r="F2" s="413"/>
      <c r="G2" s="413"/>
      <c r="H2" s="413"/>
      <c r="I2" s="414"/>
    </row>
    <row r="3" spans="2:10" ht="15" customHeight="1" thickBot="1" x14ac:dyDescent="0.35">
      <c r="B3" s="415" t="s">
        <v>288</v>
      </c>
      <c r="C3" s="416"/>
      <c r="D3" s="416"/>
      <c r="E3" s="416"/>
      <c r="F3" s="416"/>
      <c r="G3" s="417"/>
      <c r="H3" s="98" t="s">
        <v>303</v>
      </c>
      <c r="I3" s="99">
        <v>143.5</v>
      </c>
    </row>
    <row r="4" spans="2:10" s="1" customFormat="1" ht="25.2" customHeight="1" thickBot="1" x14ac:dyDescent="0.35">
      <c r="B4" s="100" t="s">
        <v>0</v>
      </c>
      <c r="C4" s="101" t="s">
        <v>1</v>
      </c>
      <c r="D4" s="101" t="s">
        <v>308</v>
      </c>
      <c r="E4" s="101" t="s">
        <v>269</v>
      </c>
      <c r="F4" s="102" t="s">
        <v>225</v>
      </c>
      <c r="G4" s="103" t="s">
        <v>311</v>
      </c>
      <c r="H4" s="127" t="s">
        <v>312</v>
      </c>
      <c r="I4" s="104" t="s">
        <v>5</v>
      </c>
      <c r="J4"/>
    </row>
    <row r="5" spans="2:10" ht="15" customHeight="1" x14ac:dyDescent="0.3">
      <c r="B5" s="9" t="s">
        <v>210</v>
      </c>
      <c r="C5" s="10">
        <v>7</v>
      </c>
      <c r="D5" s="10">
        <f>SUM(Tabla1343[[#This Row],[Columna1]:[Columna5]])</f>
        <v>7</v>
      </c>
      <c r="E5" s="11"/>
      <c r="F5" s="44" t="s">
        <v>290</v>
      </c>
      <c r="G5" s="44">
        <v>28500</v>
      </c>
      <c r="H5" s="44">
        <f>+Tabla134[[#This Row],[Cantidad]]*Tabla134[[#This Row],[Precio Unitario en Pesos /   €]]</f>
        <v>199500</v>
      </c>
      <c r="I5" s="44">
        <f>+Tabla134[[#This Row],[Precio Total en Pesos]]*3%</f>
        <v>5985</v>
      </c>
    </row>
    <row r="6" spans="2:10" ht="15" customHeight="1" x14ac:dyDescent="0.3">
      <c r="B6" s="3" t="s">
        <v>148</v>
      </c>
      <c r="C6" s="4">
        <v>4</v>
      </c>
      <c r="D6" s="10">
        <f>SUM(Tabla1343[[#This Row],[Columna1]:[Columna5]])</f>
        <v>4</v>
      </c>
      <c r="E6" s="11"/>
      <c r="F6" s="92" t="s">
        <v>290</v>
      </c>
      <c r="G6" s="92">
        <v>60000</v>
      </c>
      <c r="H6" s="44">
        <f>+Tabla134[[#This Row],[Cantidad]]*Tabla134[[#This Row],[Precio Unitario en Pesos /   €]]</f>
        <v>240000</v>
      </c>
      <c r="I6" s="44">
        <f>+Tabla134[[#This Row],[Precio Total en Pesos]]*3%</f>
        <v>7200</v>
      </c>
    </row>
    <row r="7" spans="2:10" ht="15" customHeight="1" x14ac:dyDescent="0.3">
      <c r="B7" s="3" t="s">
        <v>139</v>
      </c>
      <c r="C7" s="4">
        <v>8</v>
      </c>
      <c r="D7" s="10">
        <f>SUM(Tabla1343[[#This Row],[Columna1]:[Columna5]])</f>
        <v>8</v>
      </c>
      <c r="E7" s="11"/>
      <c r="F7" s="92" t="s">
        <v>291</v>
      </c>
      <c r="G7" s="92">
        <v>7300</v>
      </c>
      <c r="H7" s="44">
        <f>+Tabla134[[#This Row],[Cantidad]]*Tabla134[[#This Row],[Precio Unitario en Pesos /   €]]</f>
        <v>58400</v>
      </c>
      <c r="I7" s="44">
        <f>+Tabla134[[#This Row],[Precio Total en Pesos]]*3%</f>
        <v>1752</v>
      </c>
    </row>
    <row r="8" spans="2:10" ht="15" customHeight="1" x14ac:dyDescent="0.3">
      <c r="B8" s="3" t="s">
        <v>194</v>
      </c>
      <c r="C8" s="4">
        <v>2</v>
      </c>
      <c r="D8" s="10">
        <f>SUM(Tabla1343[[#This Row],[Columna1]:[Columna5]])</f>
        <v>2</v>
      </c>
      <c r="E8" s="11"/>
      <c r="F8" s="92" t="s">
        <v>291</v>
      </c>
      <c r="G8" s="92">
        <v>16620</v>
      </c>
      <c r="H8" s="44">
        <f>+Tabla134[[#This Row],[Cantidad]]*Tabla134[[#This Row],[Precio Unitario en Pesos /   €]]</f>
        <v>33240</v>
      </c>
      <c r="I8" s="44">
        <f>+Tabla134[[#This Row],[Precio Total en Pesos]]*3%</f>
        <v>997.19999999999993</v>
      </c>
    </row>
    <row r="9" spans="2:10" ht="15" customHeight="1" x14ac:dyDescent="0.3">
      <c r="B9" s="3" t="s">
        <v>160</v>
      </c>
      <c r="C9" s="4">
        <v>9</v>
      </c>
      <c r="D9" s="10">
        <f>SUM(Tabla1343[[#This Row],[Columna1]:[Columna5]])</f>
        <v>9</v>
      </c>
      <c r="E9" s="11"/>
      <c r="F9" s="92" t="s">
        <v>250</v>
      </c>
      <c r="G9" s="92">
        <v>4838</v>
      </c>
      <c r="H9" s="44">
        <f>+Tabla134[[#This Row],[Cantidad]]*Tabla134[[#This Row],[Precio Unitario en Pesos /   €]]</f>
        <v>43542</v>
      </c>
      <c r="I9" s="44">
        <f>+Tabla134[[#This Row],[Precio Total en Pesos]]*3%</f>
        <v>1306.26</v>
      </c>
    </row>
    <row r="10" spans="2:10" ht="15" customHeight="1" x14ac:dyDescent="0.3">
      <c r="B10" s="3" t="s">
        <v>195</v>
      </c>
      <c r="C10" s="4">
        <v>3</v>
      </c>
      <c r="D10" s="10">
        <f>SUM(Tabla1343[[#This Row],[Columna1]:[Columna5]])</f>
        <v>3</v>
      </c>
      <c r="E10" s="11"/>
      <c r="F10" s="92" t="s">
        <v>291</v>
      </c>
      <c r="G10" s="92">
        <v>7500</v>
      </c>
      <c r="H10" s="44">
        <f>+Tabla134[[#This Row],[Cantidad]]*Tabla134[[#This Row],[Precio Unitario en Pesos /   €]]</f>
        <v>22500</v>
      </c>
      <c r="I10" s="44">
        <f>+Tabla134[[#This Row],[Precio Total en Pesos]]*3%</f>
        <v>675</v>
      </c>
    </row>
    <row r="11" spans="2:10" ht="15" customHeight="1" x14ac:dyDescent="0.3">
      <c r="B11" s="3" t="s">
        <v>118</v>
      </c>
      <c r="C11" s="80">
        <v>97</v>
      </c>
      <c r="D11" s="108">
        <f>SUM(Tabla1343[[#This Row],[Columna1]:[Columna5]])</f>
        <v>97</v>
      </c>
      <c r="E11" s="11"/>
      <c r="F11" s="92" t="s">
        <v>291</v>
      </c>
      <c r="G11" s="93">
        <v>370</v>
      </c>
      <c r="H11" s="44">
        <f>+Tabla134[[#This Row],[Cantidad]]*Tabla134[[#This Row],[Precio Unitario en Pesos /   €]]</f>
        <v>35890</v>
      </c>
      <c r="I11" s="44">
        <f>+Tabla134[[#This Row],[Precio Total en Pesos]]*3%</f>
        <v>1076.7</v>
      </c>
    </row>
    <row r="12" spans="2:10" ht="15" customHeight="1" x14ac:dyDescent="0.3">
      <c r="B12" s="3" t="s">
        <v>119</v>
      </c>
      <c r="C12" s="80">
        <v>137</v>
      </c>
      <c r="D12" s="108">
        <f>SUM(Tabla1343[[#This Row],[Columna1]:[Columna5]])</f>
        <v>137</v>
      </c>
      <c r="E12" s="11"/>
      <c r="F12" s="92" t="s">
        <v>291</v>
      </c>
      <c r="G12" s="93">
        <v>400</v>
      </c>
      <c r="H12" s="44">
        <f>+Tabla134[[#This Row],[Cantidad]]*Tabla134[[#This Row],[Precio Unitario en Pesos /   €]]</f>
        <v>54800</v>
      </c>
      <c r="I12" s="44">
        <f>+Tabla134[[#This Row],[Precio Total en Pesos]]*3%</f>
        <v>1644</v>
      </c>
    </row>
    <row r="13" spans="2:10" ht="15" customHeight="1" x14ac:dyDescent="0.3">
      <c r="B13" s="3" t="s">
        <v>189</v>
      </c>
      <c r="C13" s="80">
        <v>14</v>
      </c>
      <c r="D13" s="108">
        <f>SUM(Tabla1343[[#This Row],[Columna1]:[Columna5]])</f>
        <v>14</v>
      </c>
      <c r="E13" s="11"/>
      <c r="F13" s="92" t="s">
        <v>291</v>
      </c>
      <c r="G13" s="93">
        <v>80</v>
      </c>
      <c r="H13" s="44">
        <f>+Tabla134[[#This Row],[Cantidad]]*Tabla134[[#This Row],[Precio Unitario en Pesos /   €]]</f>
        <v>1120</v>
      </c>
      <c r="I13" s="44">
        <f>+Tabla134[[#This Row],[Precio Total en Pesos]]*3%</f>
        <v>33.6</v>
      </c>
    </row>
    <row r="14" spans="2:10" ht="15" customHeight="1" x14ac:dyDescent="0.3">
      <c r="B14" s="3" t="s">
        <v>188</v>
      </c>
      <c r="C14" s="80">
        <v>136</v>
      </c>
      <c r="D14" s="108">
        <f>SUM(Tabla1343[[#This Row],[Columna1]:[Columna5]])</f>
        <v>136</v>
      </c>
      <c r="E14" s="11"/>
      <c r="F14" s="92" t="s">
        <v>291</v>
      </c>
      <c r="G14" s="93">
        <v>170</v>
      </c>
      <c r="H14" s="44">
        <f>+Tabla134[[#This Row],[Cantidad]]*Tabla134[[#This Row],[Precio Unitario en Pesos /   €]]</f>
        <v>23120</v>
      </c>
      <c r="I14" s="44">
        <f>+Tabla134[[#This Row],[Precio Total en Pesos]]*3%</f>
        <v>693.6</v>
      </c>
    </row>
    <row r="15" spans="2:10" ht="15" customHeight="1" x14ac:dyDescent="0.3">
      <c r="B15" s="3" t="s">
        <v>171</v>
      </c>
      <c r="C15" s="80">
        <v>3</v>
      </c>
      <c r="D15" s="108">
        <f>SUM(Tabla1343[[#This Row],[Columna1]:[Columna5]])</f>
        <v>3</v>
      </c>
      <c r="E15" s="11"/>
      <c r="F15" s="92" t="s">
        <v>291</v>
      </c>
      <c r="G15" s="93">
        <v>44000</v>
      </c>
      <c r="H15" s="44">
        <f>+Tabla134[[#This Row],[Cantidad]]*Tabla134[[#This Row],[Precio Unitario en Pesos /   €]]</f>
        <v>132000</v>
      </c>
      <c r="I15" s="44">
        <f>+Tabla134[[#This Row],[Precio Total en Pesos]]*3%</f>
        <v>3960</v>
      </c>
    </row>
    <row r="16" spans="2:10" ht="15" customHeight="1" x14ac:dyDescent="0.3">
      <c r="B16" s="3" t="s">
        <v>170</v>
      </c>
      <c r="C16" s="80">
        <v>7</v>
      </c>
      <c r="D16" s="108">
        <f>SUM(Tabla1343[[#This Row],[Columna1]:[Columna5]])</f>
        <v>7</v>
      </c>
      <c r="E16" s="11"/>
      <c r="F16" s="92" t="s">
        <v>291</v>
      </c>
      <c r="G16" s="93">
        <v>8250</v>
      </c>
      <c r="H16" s="44">
        <f>+Tabla134[[#This Row],[Cantidad]]*Tabla134[[#This Row],[Precio Unitario en Pesos /   €]]</f>
        <v>57750</v>
      </c>
      <c r="I16" s="44">
        <f>+Tabla134[[#This Row],[Precio Total en Pesos]]*3%</f>
        <v>1732.5</v>
      </c>
    </row>
    <row r="17" spans="2:9" ht="15" customHeight="1" x14ac:dyDescent="0.3">
      <c r="B17" s="3" t="s">
        <v>242</v>
      </c>
      <c r="C17" s="80">
        <v>1</v>
      </c>
      <c r="D17" s="108">
        <f>SUM(Tabla1343[[#This Row],[Columna1]:[Columna5]])</f>
        <v>1</v>
      </c>
      <c r="E17" s="11"/>
      <c r="F17" s="93" t="s">
        <v>241</v>
      </c>
      <c r="G17" s="93">
        <v>3500</v>
      </c>
      <c r="H17" s="44">
        <f>+Tabla134[[#This Row],[Cantidad]]*Tabla134[[#This Row],[Precio Unitario en Pesos /   €]]</f>
        <v>3500</v>
      </c>
      <c r="I17" s="44">
        <f>+Tabla134[[#This Row],[Precio Total en Pesos]]*3%</f>
        <v>105</v>
      </c>
    </row>
    <row r="18" spans="2:9" ht="15" customHeight="1" x14ac:dyDescent="0.3">
      <c r="B18" s="3" t="s">
        <v>186</v>
      </c>
      <c r="C18" s="80">
        <v>1</v>
      </c>
      <c r="D18" s="108">
        <f>SUM(Tabla1343[[#This Row],[Columna1]:[Columna5]])</f>
        <v>1</v>
      </c>
      <c r="E18" s="11"/>
      <c r="F18" s="92" t="s">
        <v>291</v>
      </c>
      <c r="G18" s="93">
        <v>27500</v>
      </c>
      <c r="H18" s="44">
        <f>+Tabla134[[#This Row],[Cantidad]]*Tabla134[[#This Row],[Precio Unitario en Pesos /   €]]</f>
        <v>27500</v>
      </c>
      <c r="I18" s="44">
        <f>+Tabla134[[#This Row],[Precio Total en Pesos]]*3%</f>
        <v>825</v>
      </c>
    </row>
    <row r="19" spans="2:9" ht="15" customHeight="1" x14ac:dyDescent="0.3">
      <c r="B19" s="34" t="s">
        <v>117</v>
      </c>
      <c r="C19" s="82">
        <v>9</v>
      </c>
      <c r="D19" s="109">
        <f>SUM(Tabla1343[[#This Row],[Columna1]:[Columna5]])</f>
        <v>9</v>
      </c>
      <c r="E19" s="68"/>
      <c r="F19" s="92" t="s">
        <v>291</v>
      </c>
      <c r="G19" s="93">
        <v>3900</v>
      </c>
      <c r="H19" s="44">
        <f>+Tabla134[[#This Row],[Cantidad]]*Tabla134[[#This Row],[Precio Unitario en Pesos /   €]]</f>
        <v>35100</v>
      </c>
      <c r="I19" s="44">
        <f>+Tabla134[[#This Row],[Precio Total en Pesos]]*3%</f>
        <v>1053</v>
      </c>
    </row>
    <row r="20" spans="2:9" ht="15" customHeight="1" x14ac:dyDescent="0.3">
      <c r="B20" s="3" t="s">
        <v>116</v>
      </c>
      <c r="C20" s="80">
        <v>15</v>
      </c>
      <c r="D20" s="108">
        <f>SUM(Tabla1343[[#This Row],[Columna1]:[Columna5]])</f>
        <v>15</v>
      </c>
      <c r="E20" s="11"/>
      <c r="F20" s="92" t="s">
        <v>291</v>
      </c>
      <c r="G20" s="93">
        <v>7800</v>
      </c>
      <c r="H20" s="44">
        <f>+Tabla134[[#This Row],[Cantidad]]*Tabla134[[#This Row],[Precio Unitario en Pesos /   €]]</f>
        <v>117000</v>
      </c>
      <c r="I20" s="44">
        <f>+Tabla134[[#This Row],[Precio Total en Pesos]]*3%</f>
        <v>3510</v>
      </c>
    </row>
    <row r="21" spans="2:9" ht="15" customHeight="1" x14ac:dyDescent="0.3">
      <c r="B21" s="3" t="s">
        <v>196</v>
      </c>
      <c r="C21" s="80">
        <v>1</v>
      </c>
      <c r="D21" s="108">
        <f>SUM(Tabla1343[[#This Row],[Columna1]:[Columna5]])</f>
        <v>1</v>
      </c>
      <c r="E21" s="11"/>
      <c r="F21" s="92" t="s">
        <v>290</v>
      </c>
      <c r="G21" s="93">
        <v>4290</v>
      </c>
      <c r="H21" s="44">
        <f>+Tabla134[[#This Row],[Cantidad]]*Tabla134[[#This Row],[Precio Unitario en Pesos /   €]]</f>
        <v>4290</v>
      </c>
      <c r="I21" s="44">
        <f>+Tabla134[[#This Row],[Precio Total en Pesos]]*3%</f>
        <v>128.69999999999999</v>
      </c>
    </row>
    <row r="22" spans="2:9" ht="15" customHeight="1" x14ac:dyDescent="0.3">
      <c r="B22" s="3" t="s">
        <v>247</v>
      </c>
      <c r="C22" s="80">
        <v>3</v>
      </c>
      <c r="D22" s="108">
        <f>SUM(Tabla1343[[#This Row],[Columna1]:[Columna5]])</f>
        <v>3</v>
      </c>
      <c r="E22" s="11"/>
      <c r="F22" s="92" t="s">
        <v>292</v>
      </c>
      <c r="G22" s="93">
        <v>118000</v>
      </c>
      <c r="H22" s="44">
        <f>+Tabla134[[#This Row],[Cantidad]]*Tabla134[[#This Row],[Precio Unitario en Pesos /   €]]</f>
        <v>354000</v>
      </c>
      <c r="I22" s="44">
        <f>+Tabla134[[#This Row],[Precio Total en Pesos]]*3%</f>
        <v>10620</v>
      </c>
    </row>
    <row r="23" spans="2:9" ht="15" customHeight="1" x14ac:dyDescent="0.3">
      <c r="B23" s="3" t="s">
        <v>248</v>
      </c>
      <c r="C23" s="80">
        <v>3</v>
      </c>
      <c r="D23" s="108">
        <f>SUM(Tabla1343[[#This Row],[Columna1]:[Columna5]])</f>
        <v>3</v>
      </c>
      <c r="E23" s="11"/>
      <c r="F23" s="93" t="str">
        <f>+F22</f>
        <v>4,5 x 3,0mts</v>
      </c>
      <c r="G23" s="93">
        <f>+G22</f>
        <v>118000</v>
      </c>
      <c r="H23" s="44">
        <f>+Tabla134[[#This Row],[Cantidad]]*Tabla134[[#This Row],[Precio Unitario en Pesos /   €]]</f>
        <v>354000</v>
      </c>
      <c r="I23" s="44">
        <f>+Tabla134[[#This Row],[Precio Total en Pesos]]*3%</f>
        <v>10620</v>
      </c>
    </row>
    <row r="24" spans="2:9" ht="15" customHeight="1" x14ac:dyDescent="0.3">
      <c r="B24" s="3" t="s">
        <v>155</v>
      </c>
      <c r="C24" s="80">
        <v>7</v>
      </c>
      <c r="D24" s="108">
        <f>SUM(Tabla1343[[#This Row],[Columna1]:[Columna5]])</f>
        <v>7</v>
      </c>
      <c r="E24" s="11"/>
      <c r="F24" s="92" t="s">
        <v>291</v>
      </c>
      <c r="G24" s="93">
        <v>5000</v>
      </c>
      <c r="H24" s="44">
        <f>+Tabla134[[#This Row],[Cantidad]]*Tabla134[[#This Row],[Precio Unitario en Pesos /   €]]</f>
        <v>35000</v>
      </c>
      <c r="I24" s="44">
        <f>+Tabla134[[#This Row],[Precio Total en Pesos]]*3%</f>
        <v>1050</v>
      </c>
    </row>
    <row r="25" spans="2:9" ht="15" customHeight="1" x14ac:dyDescent="0.3">
      <c r="B25" s="3" t="s">
        <v>154</v>
      </c>
      <c r="C25" s="80">
        <v>11</v>
      </c>
      <c r="D25" s="108">
        <f>SUM(Tabla1343[[#This Row],[Columna1]:[Columna5]])</f>
        <v>11</v>
      </c>
      <c r="E25" s="11"/>
      <c r="F25" s="92" t="s">
        <v>291</v>
      </c>
      <c r="G25" s="93">
        <v>600</v>
      </c>
      <c r="H25" s="44">
        <f>+Tabla134[[#This Row],[Cantidad]]*Tabla134[[#This Row],[Precio Unitario en Pesos /   €]]</f>
        <v>6600</v>
      </c>
      <c r="I25" s="44">
        <f>+Tabla134[[#This Row],[Precio Total en Pesos]]*3%</f>
        <v>198</v>
      </c>
    </row>
    <row r="26" spans="2:9" ht="15" customHeight="1" x14ac:dyDescent="0.3">
      <c r="B26" s="3" t="s">
        <v>293</v>
      </c>
      <c r="C26" s="80">
        <v>19</v>
      </c>
      <c r="D26" s="108">
        <f>SUM(Tabla1343[[#This Row],[Columna1]:[Columna5]])</f>
        <v>19</v>
      </c>
      <c r="E26" s="11"/>
      <c r="F26" s="92" t="s">
        <v>291</v>
      </c>
      <c r="G26" s="93">
        <v>4650</v>
      </c>
      <c r="H26" s="44">
        <f>+Tabla134[[#This Row],[Cantidad]]*Tabla134[[#This Row],[Precio Unitario en Pesos /   €]]</f>
        <v>88350</v>
      </c>
      <c r="I26" s="44">
        <f>+Tabla134[[#This Row],[Precio Total en Pesos]]*3%</f>
        <v>2650.5</v>
      </c>
    </row>
    <row r="27" spans="2:9" ht="15" customHeight="1" x14ac:dyDescent="0.3">
      <c r="B27" s="3" t="s">
        <v>173</v>
      </c>
      <c r="C27" s="80">
        <v>165</v>
      </c>
      <c r="D27" s="108">
        <f>SUM(Tabla1343[[#This Row],[Columna1]:[Columna5]])</f>
        <v>165</v>
      </c>
      <c r="E27" s="11"/>
      <c r="F27" s="92" t="s">
        <v>291</v>
      </c>
      <c r="G27" s="93">
        <v>580</v>
      </c>
      <c r="H27" s="44">
        <f>+Tabla134[[#This Row],[Cantidad]]*Tabla134[[#This Row],[Precio Unitario en Pesos /   €]]</f>
        <v>95700</v>
      </c>
      <c r="I27" s="44">
        <f>+Tabla134[[#This Row],[Precio Total en Pesos]]*3%</f>
        <v>2871</v>
      </c>
    </row>
    <row r="28" spans="2:9" ht="15" customHeight="1" x14ac:dyDescent="0.3">
      <c r="B28" s="3" t="s">
        <v>181</v>
      </c>
      <c r="C28" s="80">
        <v>1</v>
      </c>
      <c r="D28" s="108">
        <v>1</v>
      </c>
      <c r="E28" s="11"/>
      <c r="F28" s="92" t="s">
        <v>291</v>
      </c>
      <c r="G28" s="93">
        <v>73000</v>
      </c>
      <c r="H28" s="44">
        <f>+Tabla134[[#This Row],[Cantidad]]*Tabla134[[#This Row],[Precio Unitario en Pesos /   €]]</f>
        <v>73000</v>
      </c>
      <c r="I28" s="44">
        <f>+Tabla134[[#This Row],[Precio Total en Pesos]]*3%</f>
        <v>2190</v>
      </c>
    </row>
    <row r="29" spans="2:9" ht="15" customHeight="1" x14ac:dyDescent="0.3">
      <c r="B29" s="3" t="s">
        <v>187</v>
      </c>
      <c r="C29" s="80">
        <v>1</v>
      </c>
      <c r="D29" s="108">
        <f>SUM(Tabla1343[[#This Row],[Columna1]:[Columna5]])</f>
        <v>1</v>
      </c>
      <c r="E29" s="11"/>
      <c r="F29" s="92" t="s">
        <v>291</v>
      </c>
      <c r="G29" s="93">
        <v>13000</v>
      </c>
      <c r="H29" s="44">
        <f>+Tabla134[[#This Row],[Cantidad]]*Tabla134[[#This Row],[Precio Unitario en Pesos /   €]]</f>
        <v>13000</v>
      </c>
      <c r="I29" s="44">
        <f>+Tabla134[[#This Row],[Precio Total en Pesos]]*3%</f>
        <v>390</v>
      </c>
    </row>
    <row r="30" spans="2:9" ht="15" customHeight="1" x14ac:dyDescent="0.3">
      <c r="B30" s="3" t="s">
        <v>27</v>
      </c>
      <c r="C30" s="80">
        <v>130</v>
      </c>
      <c r="D30" s="108">
        <f>SUM(Tabla1343[[#This Row],[Columna1]:[Columna5]])</f>
        <v>130</v>
      </c>
      <c r="E30" s="11"/>
      <c r="F30" s="92" t="s">
        <v>290</v>
      </c>
      <c r="G30" s="93">
        <v>100</v>
      </c>
      <c r="H30" s="44">
        <f>+Tabla134[[#This Row],[Cantidad]]*Tabla134[[#This Row],[Precio Unitario en Pesos /   €]]</f>
        <v>13000</v>
      </c>
      <c r="I30" s="44">
        <f>+Tabla134[[#This Row],[Precio Total en Pesos]]*3%</f>
        <v>390</v>
      </c>
    </row>
    <row r="31" spans="2:9" ht="15" customHeight="1" x14ac:dyDescent="0.3">
      <c r="B31" s="3" t="s">
        <v>42</v>
      </c>
      <c r="C31" s="80">
        <v>11</v>
      </c>
      <c r="D31" s="108">
        <f>SUM(Tabla1343[[#This Row],[Columna1]:[Columna5]])</f>
        <v>11</v>
      </c>
      <c r="E31" s="11"/>
      <c r="F31" s="92" t="s">
        <v>291</v>
      </c>
      <c r="G31" s="93">
        <v>23500</v>
      </c>
      <c r="H31" s="44">
        <f>+Tabla134[[#This Row],[Cantidad]]*Tabla134[[#This Row],[Precio Unitario en Pesos /   €]]</f>
        <v>258500</v>
      </c>
      <c r="I31" s="44">
        <f>+Tabla134[[#This Row],[Precio Total en Pesos]]*3%</f>
        <v>7755</v>
      </c>
    </row>
    <row r="32" spans="2:9" ht="15" customHeight="1" x14ac:dyDescent="0.3">
      <c r="B32" s="3" t="s">
        <v>192</v>
      </c>
      <c r="C32" s="80">
        <v>1</v>
      </c>
      <c r="D32" s="108">
        <f>SUM(Tabla1343[[#This Row],[Columna1]:[Columna5]])</f>
        <v>1</v>
      </c>
      <c r="E32" s="11"/>
      <c r="F32" s="92" t="s">
        <v>290</v>
      </c>
      <c r="G32" s="93">
        <v>500</v>
      </c>
      <c r="H32" s="44">
        <f>+Tabla134[[#This Row],[Cantidad]]*Tabla134[[#This Row],[Precio Unitario en Pesos /   €]]</f>
        <v>500</v>
      </c>
      <c r="I32" s="44">
        <f>+Tabla134[[#This Row],[Precio Total en Pesos]]*3%</f>
        <v>15</v>
      </c>
    </row>
    <row r="33" spans="2:9" ht="15" customHeight="1" x14ac:dyDescent="0.3">
      <c r="B33" s="3" t="s">
        <v>294</v>
      </c>
      <c r="C33" s="80">
        <v>4</v>
      </c>
      <c r="D33" s="108">
        <f>SUM(Tabla1343[[#This Row],[Columna1]:[Columna5]])</f>
        <v>4</v>
      </c>
      <c r="E33" s="11"/>
      <c r="F33" s="92" t="s">
        <v>291</v>
      </c>
      <c r="G33" s="93">
        <v>132000</v>
      </c>
      <c r="H33" s="44">
        <f>+Tabla134[[#This Row],[Cantidad]]*Tabla134[[#This Row],[Precio Unitario en Pesos /   €]]</f>
        <v>528000</v>
      </c>
      <c r="I33" s="44">
        <f>+Tabla134[[#This Row],[Precio Total en Pesos]]*3%</f>
        <v>15840</v>
      </c>
    </row>
    <row r="34" spans="2:9" ht="15" customHeight="1" x14ac:dyDescent="0.3">
      <c r="B34" s="3" t="s">
        <v>98</v>
      </c>
      <c r="C34" s="80">
        <v>6</v>
      </c>
      <c r="D34" s="108">
        <f>SUM(Tabla1343[[#This Row],[Columna1]:[Columna5]])</f>
        <v>6</v>
      </c>
      <c r="E34" s="11"/>
      <c r="F34" s="92" t="s">
        <v>296</v>
      </c>
      <c r="G34" s="93">
        <v>0</v>
      </c>
      <c r="H34" s="44">
        <f>+Tabla134[[#This Row],[Cantidad]]*Tabla134[[#This Row],[Precio Unitario en Pesos /   €]]</f>
        <v>0</v>
      </c>
      <c r="I34" s="44">
        <f>+Tabla134[[#This Row],[Precio Total en Pesos]]*3%</f>
        <v>0</v>
      </c>
    </row>
    <row r="35" spans="2:9" ht="15" customHeight="1" x14ac:dyDescent="0.3">
      <c r="B35" s="3" t="s">
        <v>95</v>
      </c>
      <c r="C35" s="80">
        <v>3</v>
      </c>
      <c r="D35" s="108">
        <f>SUM(Tabla1343[[#This Row],[Columna1]:[Columna5]])</f>
        <v>3</v>
      </c>
      <c r="E35" s="11"/>
      <c r="F35" s="92" t="s">
        <v>296</v>
      </c>
      <c r="G35" s="93">
        <v>0</v>
      </c>
      <c r="H35" s="44">
        <f>+Tabla134[[#This Row],[Cantidad]]*Tabla134[[#This Row],[Precio Unitario en Pesos /   €]]</f>
        <v>0</v>
      </c>
      <c r="I35" s="44">
        <f>+Tabla134[[#This Row],[Precio Total en Pesos]]*3%</f>
        <v>0</v>
      </c>
    </row>
    <row r="36" spans="2:9" ht="15" customHeight="1" x14ac:dyDescent="0.3">
      <c r="B36" s="3" t="s">
        <v>231</v>
      </c>
      <c r="C36" s="80">
        <v>11</v>
      </c>
      <c r="D36" s="108">
        <f>SUM(Tabla1343[[#This Row],[Columna1]:[Columna5]])</f>
        <v>11</v>
      </c>
      <c r="E36" s="11"/>
      <c r="F36" s="126" t="s">
        <v>309</v>
      </c>
      <c r="G36" s="93">
        <v>32700</v>
      </c>
      <c r="H36" s="44">
        <f>+Tabla134[[#This Row],[Cantidad]]*Tabla134[[#This Row],[Precio Unitario en Pesos /   €]]</f>
        <v>359700</v>
      </c>
      <c r="I36" s="44">
        <f>+Tabla134[[#This Row],[Precio Total en Pesos]]*3%</f>
        <v>10791</v>
      </c>
    </row>
    <row r="37" spans="2:9" ht="15" customHeight="1" x14ac:dyDescent="0.3">
      <c r="B37" s="3" t="s">
        <v>295</v>
      </c>
      <c r="C37" s="80">
        <v>38</v>
      </c>
      <c r="D37" s="108">
        <f>SUM(Tabla1343[[#This Row],[Columna1]:[Columna5]])</f>
        <v>38</v>
      </c>
      <c r="E37" s="11"/>
      <c r="F37" s="126" t="s">
        <v>309</v>
      </c>
      <c r="G37" s="93">
        <v>78800</v>
      </c>
      <c r="H37" s="44">
        <f>+Tabla134[[#This Row],[Cantidad]]*Tabla134[[#This Row],[Precio Unitario en Pesos /   €]]</f>
        <v>2994400</v>
      </c>
      <c r="I37" s="44">
        <f>+Tabla134[[#This Row],[Precio Total en Pesos]]*3%</f>
        <v>89832</v>
      </c>
    </row>
    <row r="38" spans="2:9" ht="15" customHeight="1" x14ac:dyDescent="0.3">
      <c r="B38" s="3" t="s">
        <v>226</v>
      </c>
      <c r="C38" s="80">
        <v>2</v>
      </c>
      <c r="D38" s="108">
        <f>SUM(Tabla1343[[#This Row],[Columna1]:[Columna5]])</f>
        <v>2</v>
      </c>
      <c r="E38" s="11"/>
      <c r="F38" s="126" t="s">
        <v>309</v>
      </c>
      <c r="G38" s="93">
        <f>+G39/2</f>
        <v>15335</v>
      </c>
      <c r="H38" s="44">
        <f>+Tabla134[[#This Row],[Cantidad]]*Tabla134[[#This Row],[Precio Unitario en Pesos /   €]]</f>
        <v>30670</v>
      </c>
      <c r="I38" s="44">
        <f>+Tabla134[[#This Row],[Precio Total en Pesos]]*3%</f>
        <v>920.1</v>
      </c>
    </row>
    <row r="39" spans="2:9" ht="15" customHeight="1" x14ac:dyDescent="0.3">
      <c r="B39" s="3" t="s">
        <v>90</v>
      </c>
      <c r="C39" s="80">
        <v>10</v>
      </c>
      <c r="D39" s="108">
        <f>SUM(Tabla1343[[#This Row],[Columna1]:[Columna5]])</f>
        <v>10</v>
      </c>
      <c r="E39" s="11"/>
      <c r="F39" s="126" t="s">
        <v>309</v>
      </c>
      <c r="G39" s="93">
        <v>30670</v>
      </c>
      <c r="H39" s="44">
        <f>+Tabla134[[#This Row],[Cantidad]]*Tabla134[[#This Row],[Precio Unitario en Pesos /   €]]</f>
        <v>306700</v>
      </c>
      <c r="I39" s="44">
        <f>+Tabla134[[#This Row],[Precio Total en Pesos]]*3%</f>
        <v>9201</v>
      </c>
    </row>
    <row r="40" spans="2:9" ht="15" customHeight="1" x14ac:dyDescent="0.3">
      <c r="B40" s="3" t="s">
        <v>97</v>
      </c>
      <c r="C40" s="80">
        <v>9</v>
      </c>
      <c r="D40" s="108">
        <f>SUM(Tabla1343[[#This Row],[Columna1]:[Columna5]])</f>
        <v>9</v>
      </c>
      <c r="E40" s="11"/>
      <c r="F40" s="92" t="s">
        <v>296</v>
      </c>
      <c r="G40" s="93">
        <v>0</v>
      </c>
      <c r="H40" s="44">
        <f>+Tabla134[[#This Row],[Cantidad]]*Tabla134[[#This Row],[Precio Unitario en Pesos /   €]]</f>
        <v>0</v>
      </c>
      <c r="I40" s="44">
        <f>+Tabla134[[#This Row],[Precio Total en Pesos]]*3%</f>
        <v>0</v>
      </c>
    </row>
    <row r="41" spans="2:9" ht="15" customHeight="1" x14ac:dyDescent="0.3">
      <c r="B41" s="3" t="s">
        <v>206</v>
      </c>
      <c r="C41" s="80">
        <v>2</v>
      </c>
      <c r="D41" s="108">
        <f>SUM(Tabla1343[[#This Row],[Columna1]:[Columna5]])</f>
        <v>2</v>
      </c>
      <c r="E41" s="11"/>
      <c r="F41" s="92" t="s">
        <v>291</v>
      </c>
      <c r="G41" s="93">
        <v>2500</v>
      </c>
      <c r="H41" s="44">
        <f>+Tabla134[[#This Row],[Cantidad]]*Tabla134[[#This Row],[Precio Unitario en Pesos /   €]]</f>
        <v>5000</v>
      </c>
      <c r="I41" s="44">
        <f>+Tabla134[[#This Row],[Precio Total en Pesos]]*3%</f>
        <v>150</v>
      </c>
    </row>
    <row r="42" spans="2:9" ht="15" customHeight="1" x14ac:dyDescent="0.3">
      <c r="B42" s="3" t="s">
        <v>125</v>
      </c>
      <c r="C42" s="80">
        <v>4</v>
      </c>
      <c r="D42" s="108">
        <f>SUM(Tabla1343[[#This Row],[Columna1]:[Columna5]])</f>
        <v>4</v>
      </c>
      <c r="E42" s="11"/>
      <c r="F42" s="93" t="s">
        <v>250</v>
      </c>
      <c r="G42" s="93">
        <v>27579</v>
      </c>
      <c r="H42" s="44">
        <f>+Tabla134[[#This Row],[Cantidad]]*Tabla134[[#This Row],[Precio Unitario en Pesos /   €]]</f>
        <v>110316</v>
      </c>
      <c r="I42" s="44">
        <f>+Tabla134[[#This Row],[Precio Total en Pesos]]*3%</f>
        <v>3309.48</v>
      </c>
    </row>
    <row r="43" spans="2:9" ht="15" customHeight="1" x14ac:dyDescent="0.3">
      <c r="B43" s="3" t="s">
        <v>249</v>
      </c>
      <c r="C43" s="80">
        <v>3</v>
      </c>
      <c r="D43" s="108">
        <f>SUM(Tabla1343[[#This Row],[Columna1]:[Columna5]])</f>
        <v>2</v>
      </c>
      <c r="E43" s="11"/>
      <c r="F43" s="93" t="s">
        <v>250</v>
      </c>
      <c r="G43" s="93">
        <v>50635</v>
      </c>
      <c r="H43" s="44">
        <f>+Tabla134[[#This Row],[Cantidad]]*Tabla134[[#This Row],[Precio Unitario en Pesos /   €]]</f>
        <v>151905</v>
      </c>
      <c r="I43" s="44">
        <f>+Tabla134[[#This Row],[Precio Total en Pesos]]*3%</f>
        <v>4557.1499999999996</v>
      </c>
    </row>
    <row r="44" spans="2:9" ht="15" customHeight="1" x14ac:dyDescent="0.3">
      <c r="B44" s="3" t="s">
        <v>127</v>
      </c>
      <c r="C44" s="80">
        <v>34</v>
      </c>
      <c r="D44" s="108">
        <f>SUM(Tabla1343[[#This Row],[Columna1]:[Columna5]])</f>
        <v>34</v>
      </c>
      <c r="E44" s="11"/>
      <c r="F44" s="93" t="s">
        <v>250</v>
      </c>
      <c r="G44" s="93">
        <v>4000</v>
      </c>
      <c r="H44" s="44">
        <f>+Tabla134[[#This Row],[Cantidad]]*Tabla134[[#This Row],[Precio Unitario en Pesos /   €]]</f>
        <v>136000</v>
      </c>
      <c r="I44" s="44">
        <f>+Tabla134[[#This Row],[Precio Total en Pesos]]*3%</f>
        <v>4080</v>
      </c>
    </row>
    <row r="45" spans="2:9" ht="15" customHeight="1" x14ac:dyDescent="0.3">
      <c r="B45" s="3" t="s">
        <v>244</v>
      </c>
      <c r="C45" s="80">
        <v>1</v>
      </c>
      <c r="D45" s="108">
        <f>SUM(Tabla1343[[#This Row],[Columna1]:[Columna5]])</f>
        <v>1</v>
      </c>
      <c r="E45" s="11"/>
      <c r="F45" s="92" t="s">
        <v>291</v>
      </c>
      <c r="G45" s="93">
        <v>8600</v>
      </c>
      <c r="H45" s="44">
        <f>+Tabla134[[#This Row],[Cantidad]]*Tabla134[[#This Row],[Precio Unitario en Pesos /   €]]</f>
        <v>8600</v>
      </c>
      <c r="I45" s="44">
        <f>+Tabla134[[#This Row],[Precio Total en Pesos]]*3%</f>
        <v>258</v>
      </c>
    </row>
    <row r="46" spans="2:9" ht="15" customHeight="1" x14ac:dyDescent="0.3">
      <c r="B46" s="3" t="s">
        <v>156</v>
      </c>
      <c r="C46" s="80">
        <v>9</v>
      </c>
      <c r="D46" s="108">
        <f>SUM(Tabla1343[[#This Row],[Columna1]:[Columna5]])</f>
        <v>9</v>
      </c>
      <c r="E46" s="11"/>
      <c r="F46" s="92" t="s">
        <v>291</v>
      </c>
      <c r="G46" s="93">
        <v>3000</v>
      </c>
      <c r="H46" s="44">
        <f>+Tabla134[[#This Row],[Cantidad]]*Tabla134[[#This Row],[Precio Unitario en Pesos /   €]]</f>
        <v>27000</v>
      </c>
      <c r="I46" s="44">
        <f>+Tabla134[[#This Row],[Precio Total en Pesos]]*3%</f>
        <v>810</v>
      </c>
    </row>
    <row r="47" spans="2:9" ht="15" customHeight="1" x14ac:dyDescent="0.3">
      <c r="B47" s="3" t="s">
        <v>147</v>
      </c>
      <c r="C47" s="80">
        <v>77</v>
      </c>
      <c r="D47" s="108">
        <f>SUM(Tabla1343[[#This Row],[Columna1]:[Columna5]])</f>
        <v>77</v>
      </c>
      <c r="E47" s="11"/>
      <c r="F47" s="92" t="s">
        <v>291</v>
      </c>
      <c r="G47" s="93">
        <v>320</v>
      </c>
      <c r="H47" s="44">
        <f>+Tabla134[[#This Row],[Cantidad]]*Tabla134[[#This Row],[Precio Unitario en Pesos /   €]]</f>
        <v>24640</v>
      </c>
      <c r="I47" s="44">
        <f>+Tabla134[[#This Row],[Precio Total en Pesos]]*3%</f>
        <v>739.19999999999993</v>
      </c>
    </row>
    <row r="48" spans="2:9" ht="15" customHeight="1" x14ac:dyDescent="0.3">
      <c r="B48" s="3" t="s">
        <v>133</v>
      </c>
      <c r="C48" s="80">
        <v>28</v>
      </c>
      <c r="D48" s="108">
        <f>SUM(Tabla1343[[#This Row],[Columna1]:[Columna5]])</f>
        <v>28</v>
      </c>
      <c r="E48" s="11"/>
      <c r="F48" s="92" t="s">
        <v>291</v>
      </c>
      <c r="G48" s="93">
        <v>422</v>
      </c>
      <c r="H48" s="44">
        <f>+Tabla134[[#This Row],[Cantidad]]*Tabla134[[#This Row],[Precio Unitario en Pesos /   €]]</f>
        <v>11816</v>
      </c>
      <c r="I48" s="44">
        <f>+Tabla134[[#This Row],[Precio Total en Pesos]]*3%</f>
        <v>354.47999999999996</v>
      </c>
    </row>
    <row r="49" spans="2:9" ht="15" customHeight="1" x14ac:dyDescent="0.3">
      <c r="B49" s="3" t="s">
        <v>134</v>
      </c>
      <c r="C49" s="80">
        <v>17</v>
      </c>
      <c r="D49" s="108">
        <f>SUM(Tabla1343[[#This Row],[Columna1]:[Columna5]])</f>
        <v>17</v>
      </c>
      <c r="E49" s="11"/>
      <c r="F49" s="92" t="s">
        <v>291</v>
      </c>
      <c r="G49" s="93">
        <v>844</v>
      </c>
      <c r="H49" s="44">
        <f>+Tabla134[[#This Row],[Cantidad]]*Tabla134[[#This Row],[Precio Unitario en Pesos /   €]]</f>
        <v>14348</v>
      </c>
      <c r="I49" s="44">
        <f>+Tabla134[[#This Row],[Precio Total en Pesos]]*3%</f>
        <v>430.44</v>
      </c>
    </row>
    <row r="50" spans="2:9" ht="15" customHeight="1" x14ac:dyDescent="0.3">
      <c r="B50" s="34" t="s">
        <v>135</v>
      </c>
      <c r="C50" s="82">
        <v>27</v>
      </c>
      <c r="D50" s="109">
        <f>SUM(Tabla1343[[#This Row],[Columna1]:[Columna5]])</f>
        <v>27</v>
      </c>
      <c r="E50" s="68"/>
      <c r="F50" s="92" t="s">
        <v>291</v>
      </c>
      <c r="G50" s="93">
        <v>1266</v>
      </c>
      <c r="H50" s="44">
        <f>+Tabla134[[#This Row],[Cantidad]]*Tabla134[[#This Row],[Precio Unitario en Pesos /   €]]</f>
        <v>34182</v>
      </c>
      <c r="I50" s="44">
        <f>+Tabla134[[#This Row],[Precio Total en Pesos]]*3%</f>
        <v>1025.46</v>
      </c>
    </row>
    <row r="51" spans="2:9" ht="15" customHeight="1" x14ac:dyDescent="0.3">
      <c r="B51" s="34" t="s">
        <v>136</v>
      </c>
      <c r="C51" s="82">
        <v>36</v>
      </c>
      <c r="D51" s="109">
        <f>SUM(Tabla1343[[#This Row],[Columna1]:[Columna5]])</f>
        <v>36</v>
      </c>
      <c r="E51" s="68"/>
      <c r="F51" s="92" t="s">
        <v>291</v>
      </c>
      <c r="G51" s="93">
        <v>1688</v>
      </c>
      <c r="H51" s="44">
        <f>+Tabla134[[#This Row],[Cantidad]]*Tabla134[[#This Row],[Precio Unitario en Pesos /   €]]</f>
        <v>60768</v>
      </c>
      <c r="I51" s="44">
        <f>+Tabla134[[#This Row],[Precio Total en Pesos]]*3%</f>
        <v>1823.04</v>
      </c>
    </row>
    <row r="52" spans="2:9" ht="15" customHeight="1" x14ac:dyDescent="0.3">
      <c r="B52" s="3" t="s">
        <v>204</v>
      </c>
      <c r="C52" s="80">
        <v>56</v>
      </c>
      <c r="D52" s="108">
        <f>SUM(Tabla1343[[#This Row],[Columna1]:[Columna5]])</f>
        <v>0</v>
      </c>
      <c r="E52" s="11"/>
      <c r="F52" s="92" t="s">
        <v>291</v>
      </c>
      <c r="G52" s="93">
        <v>800</v>
      </c>
      <c r="H52" s="44">
        <f>+Tabla134[[#This Row],[Cantidad]]*Tabla134[[#This Row],[Precio Unitario en Pesos /   €]]</f>
        <v>44800</v>
      </c>
      <c r="I52" s="44">
        <f>+Tabla134[[#This Row],[Precio Total en Pesos]]*3%</f>
        <v>1344</v>
      </c>
    </row>
    <row r="53" spans="2:9" ht="15" customHeight="1" x14ac:dyDescent="0.3">
      <c r="B53" s="3" t="s">
        <v>15</v>
      </c>
      <c r="C53" s="80">
        <v>403</v>
      </c>
      <c r="D53" s="108">
        <v>403</v>
      </c>
      <c r="E53" s="11"/>
      <c r="F53" s="93" t="s">
        <v>266</v>
      </c>
      <c r="G53" s="93">
        <v>5065</v>
      </c>
      <c r="H53" s="44">
        <f>+Tabla134[[#This Row],[Cantidad]]*Tabla134[[#This Row],[Precio Unitario en Pesos /   €]]</f>
        <v>2041195</v>
      </c>
      <c r="I53" s="44">
        <f>+Tabla134[[#This Row],[Precio Total en Pesos]]*3%</f>
        <v>61235.85</v>
      </c>
    </row>
    <row r="54" spans="2:9" ht="15" customHeight="1" x14ac:dyDescent="0.3">
      <c r="B54" s="3" t="s">
        <v>252</v>
      </c>
      <c r="C54" s="80">
        <v>16</v>
      </c>
      <c r="D54" s="108">
        <v>16</v>
      </c>
      <c r="E54" s="11"/>
      <c r="F54" s="93" t="s">
        <v>243</v>
      </c>
      <c r="G54" s="93">
        <f>+G53*60%</f>
        <v>3039</v>
      </c>
      <c r="H54" s="44">
        <f>+Tabla134[[#This Row],[Cantidad]]*Tabla134[[#This Row],[Precio Unitario en Pesos /   €]]</f>
        <v>48624</v>
      </c>
      <c r="I54" s="44">
        <f>+Tabla134[[#This Row],[Precio Total en Pesos]]*3%</f>
        <v>1458.72</v>
      </c>
    </row>
    <row r="55" spans="2:9" ht="15" customHeight="1" x14ac:dyDescent="0.3">
      <c r="B55" s="3" t="s">
        <v>140</v>
      </c>
      <c r="C55" s="80">
        <v>34</v>
      </c>
      <c r="D55" s="108">
        <f>SUM(Tabla1343[[#This Row],[Columna1]:[Columna5]])</f>
        <v>34</v>
      </c>
      <c r="E55" s="11"/>
      <c r="F55" s="92" t="s">
        <v>301</v>
      </c>
      <c r="G55" s="93">
        <v>5065</v>
      </c>
      <c r="H55" s="44">
        <f>+Tabla134[[#This Row],[Cantidad]]*Tabla134[[#This Row],[Precio Unitario en Pesos /   €]]</f>
        <v>172210</v>
      </c>
      <c r="I55" s="44">
        <f>+Tabla134[[#This Row],[Precio Total en Pesos]]*3%</f>
        <v>5166.3</v>
      </c>
    </row>
    <row r="56" spans="2:9" ht="15" customHeight="1" x14ac:dyDescent="0.3">
      <c r="B56" s="3" t="s">
        <v>121</v>
      </c>
      <c r="C56" s="80">
        <v>5</v>
      </c>
      <c r="D56" s="108">
        <f>SUM(Tabla1343[[#This Row],[Columna1]:[Columna5]])</f>
        <v>5</v>
      </c>
      <c r="E56" s="11"/>
      <c r="F56" s="92" t="s">
        <v>297</v>
      </c>
      <c r="G56" s="93">
        <v>2800</v>
      </c>
      <c r="H56" s="44">
        <f>+Tabla134[[#This Row],[Cantidad]]*Tabla134[[#This Row],[Precio Unitario en Pesos /   €]]</f>
        <v>14000</v>
      </c>
      <c r="I56" s="44">
        <f>+Tabla134[[#This Row],[Precio Total en Pesos]]*3%</f>
        <v>420</v>
      </c>
    </row>
    <row r="57" spans="2:9" ht="15" customHeight="1" x14ac:dyDescent="0.3">
      <c r="B57" s="3" t="s">
        <v>74</v>
      </c>
      <c r="C57" s="80">
        <v>58</v>
      </c>
      <c r="D57" s="108">
        <f>SUM(Tabla1343[[#This Row],[Columna1]:[Columna5]])</f>
        <v>58</v>
      </c>
      <c r="E57" s="11"/>
      <c r="F57" s="92" t="s">
        <v>291</v>
      </c>
      <c r="G57" s="93">
        <v>30000</v>
      </c>
      <c r="H57" s="44">
        <f>+Tabla134[[#This Row],[Cantidad]]*Tabla134[[#This Row],[Precio Unitario en Pesos /   €]]</f>
        <v>1740000</v>
      </c>
      <c r="I57" s="44">
        <f>+Tabla134[[#This Row],[Precio Total en Pesos]]*3%</f>
        <v>52200</v>
      </c>
    </row>
    <row r="58" spans="2:9" ht="15" customHeight="1" x14ac:dyDescent="0.3">
      <c r="B58" s="3" t="s">
        <v>88</v>
      </c>
      <c r="C58" s="80">
        <v>10</v>
      </c>
      <c r="D58" s="108">
        <f>SUM(Tabla1343[[#This Row],[Columna1]:[Columna5]])</f>
        <v>10</v>
      </c>
      <c r="E58" s="11"/>
      <c r="F58" s="92" t="s">
        <v>291</v>
      </c>
      <c r="G58" s="93">
        <f>36016-11326</f>
        <v>24690</v>
      </c>
      <c r="H58" s="44">
        <f>+Tabla134[[#This Row],[Cantidad]]*Tabla134[[#This Row],[Precio Unitario en Pesos /   €]]</f>
        <v>246900</v>
      </c>
      <c r="I58" s="44">
        <f>+Tabla134[[#This Row],[Precio Total en Pesos]]*3%</f>
        <v>7407</v>
      </c>
    </row>
    <row r="59" spans="2:9" ht="15" customHeight="1" x14ac:dyDescent="0.3">
      <c r="B59" s="34" t="s">
        <v>190</v>
      </c>
      <c r="C59" s="82">
        <v>5</v>
      </c>
      <c r="D59" s="109">
        <f>SUM(Tabla1343[[#This Row],[Columna1]:[Columna5]])</f>
        <v>5</v>
      </c>
      <c r="E59" s="68"/>
      <c r="F59" s="92" t="s">
        <v>291</v>
      </c>
      <c r="G59" s="93">
        <v>2990</v>
      </c>
      <c r="H59" s="44">
        <f>+Tabla134[[#This Row],[Cantidad]]*Tabla134[[#This Row],[Precio Unitario en Pesos /   €]]</f>
        <v>14950</v>
      </c>
      <c r="I59" s="44">
        <f>+Tabla134[[#This Row],[Precio Total en Pesos]]*3%</f>
        <v>448.5</v>
      </c>
    </row>
    <row r="60" spans="2:9" ht="15" customHeight="1" x14ac:dyDescent="0.3">
      <c r="B60" s="34" t="s">
        <v>112</v>
      </c>
      <c r="C60" s="82">
        <v>20</v>
      </c>
      <c r="D60" s="109">
        <f>SUM(Tabla1343[[#This Row],[Columna1]:[Columna5]])</f>
        <v>20</v>
      </c>
      <c r="E60" s="68"/>
      <c r="F60" s="92" t="s">
        <v>291</v>
      </c>
      <c r="G60" s="93">
        <v>38900</v>
      </c>
      <c r="H60" s="44">
        <f>+Tabla134[[#This Row],[Cantidad]]*Tabla134[[#This Row],[Precio Unitario en Pesos /   €]]</f>
        <v>778000</v>
      </c>
      <c r="I60" s="44">
        <f>+Tabla134[[#This Row],[Precio Total en Pesos]]*3%</f>
        <v>23340</v>
      </c>
    </row>
    <row r="61" spans="2:9" ht="15" customHeight="1" x14ac:dyDescent="0.3">
      <c r="B61" s="3" t="s">
        <v>153</v>
      </c>
      <c r="C61" s="80">
        <v>14</v>
      </c>
      <c r="D61" s="108">
        <f>SUM(Tabla1343[[#This Row],[Columna1]:[Columna5]])</f>
        <v>14</v>
      </c>
      <c r="E61" s="11"/>
      <c r="F61" s="92" t="s">
        <v>291</v>
      </c>
      <c r="G61" s="93">
        <v>2600</v>
      </c>
      <c r="H61" s="44">
        <f>+Tabla134[[#This Row],[Cantidad]]*Tabla134[[#This Row],[Precio Unitario en Pesos /   €]]</f>
        <v>36400</v>
      </c>
      <c r="I61" s="44">
        <f>+Tabla134[[#This Row],[Precio Total en Pesos]]*3%</f>
        <v>1092</v>
      </c>
    </row>
    <row r="62" spans="2:9" ht="15" customHeight="1" x14ac:dyDescent="0.3">
      <c r="B62" s="3" t="s">
        <v>150</v>
      </c>
      <c r="C62" s="80">
        <v>16</v>
      </c>
      <c r="D62" s="108">
        <f>SUM(Tabla1343[[#This Row],[Columna1]:[Columna5]])</f>
        <v>16</v>
      </c>
      <c r="E62" s="11"/>
      <c r="F62" s="92" t="s">
        <v>291</v>
      </c>
      <c r="G62" s="93">
        <v>2160</v>
      </c>
      <c r="H62" s="44">
        <f>+Tabla134[[#This Row],[Cantidad]]*Tabla134[[#This Row],[Precio Unitario en Pesos /   €]]</f>
        <v>34560</v>
      </c>
      <c r="I62" s="44">
        <f>+Tabla134[[#This Row],[Precio Total en Pesos]]*3%</f>
        <v>1036.8</v>
      </c>
    </row>
    <row r="63" spans="2:9" ht="15" customHeight="1" x14ac:dyDescent="0.3">
      <c r="B63" s="3" t="s">
        <v>151</v>
      </c>
      <c r="C63" s="80">
        <v>8</v>
      </c>
      <c r="D63" s="108">
        <f>SUM(Tabla1343[[#This Row],[Columna1]:[Columna5]])</f>
        <v>8</v>
      </c>
      <c r="E63" s="11"/>
      <c r="F63" s="92" t="s">
        <v>291</v>
      </c>
      <c r="G63" s="93">
        <v>2200</v>
      </c>
      <c r="H63" s="44">
        <f>+Tabla134[[#This Row],[Cantidad]]*Tabla134[[#This Row],[Precio Unitario en Pesos /   €]]</f>
        <v>17600</v>
      </c>
      <c r="I63" s="44">
        <f>+Tabla134[[#This Row],[Precio Total en Pesos]]*3%</f>
        <v>528</v>
      </c>
    </row>
    <row r="64" spans="2:9" ht="15" customHeight="1" x14ac:dyDescent="0.3">
      <c r="B64" s="3" t="s">
        <v>152</v>
      </c>
      <c r="C64" s="80">
        <v>6</v>
      </c>
      <c r="D64" s="108">
        <f>SUM(Tabla1343[[#This Row],[Columna1]:[Columna5]])</f>
        <v>6</v>
      </c>
      <c r="E64" s="11"/>
      <c r="F64" s="92" t="s">
        <v>291</v>
      </c>
      <c r="G64" s="93">
        <v>2350</v>
      </c>
      <c r="H64" s="44">
        <f>+Tabla134[[#This Row],[Cantidad]]*Tabla134[[#This Row],[Precio Unitario en Pesos /   €]]</f>
        <v>14100</v>
      </c>
      <c r="I64" s="44">
        <f>+Tabla134[[#This Row],[Precio Total en Pesos]]*3%</f>
        <v>423</v>
      </c>
    </row>
    <row r="65" spans="2:9" ht="15" customHeight="1" x14ac:dyDescent="0.3">
      <c r="B65" s="3" t="s">
        <v>246</v>
      </c>
      <c r="C65" s="80">
        <v>1</v>
      </c>
      <c r="D65" s="108">
        <f>SUM(Tabla1343[[#This Row],[Columna1]:[Columna5]])</f>
        <v>1</v>
      </c>
      <c r="E65" s="11"/>
      <c r="F65" s="92" t="s">
        <v>291</v>
      </c>
      <c r="G65" s="93">
        <f>1300*10</f>
        <v>13000</v>
      </c>
      <c r="H65" s="44">
        <f>+Tabla134[[#This Row],[Cantidad]]*Tabla134[[#This Row],[Precio Unitario en Pesos /   €]]</f>
        <v>13000</v>
      </c>
      <c r="I65" s="44">
        <f>+Tabla134[[#This Row],[Precio Total en Pesos]]*3%</f>
        <v>390</v>
      </c>
    </row>
    <row r="66" spans="2:9" ht="15" customHeight="1" x14ac:dyDescent="0.3">
      <c r="B66" s="3" t="s">
        <v>245</v>
      </c>
      <c r="C66" s="80">
        <v>1</v>
      </c>
      <c r="D66" s="108">
        <f>SUM(Tabla1343[[#This Row],[Columna1]:[Columna5]])</f>
        <v>1</v>
      </c>
      <c r="E66" s="11"/>
      <c r="F66" s="92" t="s">
        <v>291</v>
      </c>
      <c r="G66" s="93">
        <f>1300*7</f>
        <v>9100</v>
      </c>
      <c r="H66" s="44">
        <f>+Tabla134[[#This Row],[Cantidad]]*Tabla134[[#This Row],[Precio Unitario en Pesos /   €]]</f>
        <v>9100</v>
      </c>
      <c r="I66" s="44">
        <f>+Tabla134[[#This Row],[Precio Total en Pesos]]*3%</f>
        <v>273</v>
      </c>
    </row>
    <row r="67" spans="2:9" s="125" customFormat="1" ht="15" hidden="1" customHeight="1" x14ac:dyDescent="0.3">
      <c r="B67" s="119" t="s">
        <v>274</v>
      </c>
      <c r="C67" s="120">
        <v>2</v>
      </c>
      <c r="D67" s="121">
        <f>SUM(Tabla1343[[#This Row],[Columna1]:[Columna5]])</f>
        <v>0</v>
      </c>
      <c r="E67" s="122"/>
      <c r="F67" s="123" t="s">
        <v>291</v>
      </c>
      <c r="G67" s="124">
        <v>124800</v>
      </c>
      <c r="H67" s="44">
        <f>+Tabla134[[#This Row],[Cantidad]]*Tabla134[[#This Row],[Precio Unitario en Pesos /   €]]</f>
        <v>249600</v>
      </c>
      <c r="I67" s="44">
        <f>+Tabla134[[#This Row],[Precio Total en Pesos]]*3%</f>
        <v>7488</v>
      </c>
    </row>
    <row r="68" spans="2:9" ht="15" customHeight="1" x14ac:dyDescent="0.3">
      <c r="B68" s="3" t="s">
        <v>183</v>
      </c>
      <c r="C68" s="80">
        <v>1</v>
      </c>
      <c r="D68" s="108">
        <f>SUM(Tabla1343[[#This Row],[Columna1]:[Columna5]])</f>
        <v>1</v>
      </c>
      <c r="E68" s="11"/>
      <c r="F68" s="92" t="s">
        <v>291</v>
      </c>
      <c r="G68" s="93">
        <f>12*4*1300</f>
        <v>62400</v>
      </c>
      <c r="H68" s="44">
        <f>+Tabla134[[#This Row],[Cantidad]]*Tabla134[[#This Row],[Precio Unitario en Pesos /   €]]</f>
        <v>62400</v>
      </c>
      <c r="I68" s="44">
        <f>+Tabla134[[#This Row],[Precio Total en Pesos]]*3%</f>
        <v>1872</v>
      </c>
    </row>
    <row r="69" spans="2:9" ht="15" customHeight="1" x14ac:dyDescent="0.3">
      <c r="B69" s="3" t="s">
        <v>47</v>
      </c>
      <c r="C69" s="80">
        <v>4</v>
      </c>
      <c r="D69" s="108">
        <f>SUM(Tabla1343[[#This Row],[Columna1]:[Columna5]])</f>
        <v>4</v>
      </c>
      <c r="E69" s="11"/>
      <c r="F69" s="92" t="s">
        <v>291</v>
      </c>
      <c r="G69" s="93">
        <f>2100*8</f>
        <v>16800</v>
      </c>
      <c r="H69" s="44">
        <f>+Tabla134[[#This Row],[Cantidad]]*Tabla134[[#This Row],[Precio Unitario en Pesos /   €]]</f>
        <v>67200</v>
      </c>
      <c r="I69" s="44">
        <f>+Tabla134[[#This Row],[Precio Total en Pesos]]*3%</f>
        <v>2016</v>
      </c>
    </row>
    <row r="70" spans="2:9" ht="15" customHeight="1" x14ac:dyDescent="0.3">
      <c r="B70" s="34" t="s">
        <v>277</v>
      </c>
      <c r="C70" s="82">
        <v>4</v>
      </c>
      <c r="D70" s="109">
        <f>SUM(Tabla1343[[#This Row],[Columna1]:[Columna5]])</f>
        <v>4</v>
      </c>
      <c r="E70" s="68"/>
      <c r="F70" s="92" t="s">
        <v>291</v>
      </c>
      <c r="G70" s="93">
        <f>12*8*1300</f>
        <v>124800</v>
      </c>
      <c r="H70" s="44">
        <f>+Tabla134[[#This Row],[Cantidad]]*Tabla134[[#This Row],[Precio Unitario en Pesos /   €]]</f>
        <v>499200</v>
      </c>
      <c r="I70" s="44">
        <f>+Tabla134[[#This Row],[Precio Total en Pesos]]*3%</f>
        <v>14976</v>
      </c>
    </row>
    <row r="71" spans="2:9" ht="15" customHeight="1" x14ac:dyDescent="0.3">
      <c r="B71" s="3" t="s">
        <v>276</v>
      </c>
      <c r="C71" s="80">
        <v>20</v>
      </c>
      <c r="D71" s="108">
        <f>SUM(Tabla1343[[#This Row],[Columna1]:[Columna5]])</f>
        <v>20</v>
      </c>
      <c r="E71" s="11"/>
      <c r="F71" s="92" t="s">
        <v>291</v>
      </c>
      <c r="G71" s="93">
        <f>1300*12</f>
        <v>15600</v>
      </c>
      <c r="H71" s="44">
        <f>+Tabla134[[#This Row],[Cantidad]]*Tabla134[[#This Row],[Precio Unitario en Pesos /   €]]</f>
        <v>312000</v>
      </c>
      <c r="I71" s="44">
        <f>+Tabla134[[#This Row],[Precio Total en Pesos]]*3%</f>
        <v>9360</v>
      </c>
    </row>
    <row r="72" spans="2:9" ht="15" customHeight="1" x14ac:dyDescent="0.3">
      <c r="B72" s="3" t="s">
        <v>193</v>
      </c>
      <c r="C72" s="80">
        <v>3</v>
      </c>
      <c r="D72" s="108">
        <f>SUM(Tabla1343[[#This Row],[Columna1]:[Columna5]])</f>
        <v>3</v>
      </c>
      <c r="E72" s="11"/>
      <c r="F72" s="92" t="s">
        <v>291</v>
      </c>
      <c r="G72" s="93">
        <v>3100</v>
      </c>
      <c r="H72" s="44">
        <f>+Tabla134[[#This Row],[Cantidad]]*Tabla134[[#This Row],[Precio Unitario en Pesos /   €]]</f>
        <v>9300</v>
      </c>
      <c r="I72" s="44">
        <f>+Tabla134[[#This Row],[Precio Total en Pesos]]*3%</f>
        <v>279</v>
      </c>
    </row>
    <row r="73" spans="2:9" ht="15" customHeight="1" x14ac:dyDescent="0.3">
      <c r="B73" s="3" t="s">
        <v>191</v>
      </c>
      <c r="C73" s="80">
        <v>1</v>
      </c>
      <c r="D73" s="108">
        <f>SUM(Tabla1343[[#This Row],[Columna1]:[Columna5]])</f>
        <v>1</v>
      </c>
      <c r="E73" s="11"/>
      <c r="F73" s="92" t="s">
        <v>291</v>
      </c>
      <c r="G73" s="93">
        <v>1700</v>
      </c>
      <c r="H73" s="44">
        <f>+Tabla134[[#This Row],[Cantidad]]*Tabla134[[#This Row],[Precio Unitario en Pesos /   €]]</f>
        <v>1700</v>
      </c>
      <c r="I73" s="44">
        <f>+Tabla134[[#This Row],[Precio Total en Pesos]]*3%</f>
        <v>51</v>
      </c>
    </row>
    <row r="74" spans="2:9" ht="15" customHeight="1" x14ac:dyDescent="0.3">
      <c r="B74" s="3" t="s">
        <v>176</v>
      </c>
      <c r="C74" s="80">
        <v>3</v>
      </c>
      <c r="D74" s="108">
        <f>SUM(Tabla1343[[#This Row],[Columna1]:[Columna5]])</f>
        <v>3</v>
      </c>
      <c r="E74" s="11"/>
      <c r="F74" s="92" t="s">
        <v>291</v>
      </c>
      <c r="G74" s="93">
        <v>900</v>
      </c>
      <c r="H74" s="44">
        <f>+Tabla134[[#This Row],[Cantidad]]*Tabla134[[#This Row],[Precio Unitario en Pesos /   €]]</f>
        <v>2700</v>
      </c>
      <c r="I74" s="44">
        <f>+Tabla134[[#This Row],[Precio Total en Pesos]]*3%</f>
        <v>81</v>
      </c>
    </row>
    <row r="75" spans="2:9" ht="15" customHeight="1" x14ac:dyDescent="0.3">
      <c r="B75" s="3" t="s">
        <v>161</v>
      </c>
      <c r="C75" s="80">
        <v>36</v>
      </c>
      <c r="D75" s="108">
        <f>SUM(Tabla1343[[#This Row],[Columna1]:[Columna5]])</f>
        <v>36</v>
      </c>
      <c r="E75" s="11"/>
      <c r="F75" s="92" t="s">
        <v>291</v>
      </c>
      <c r="G75" s="93">
        <v>3000</v>
      </c>
      <c r="H75" s="44">
        <f>+Tabla134[[#This Row],[Cantidad]]*Tabla134[[#This Row],[Precio Unitario en Pesos /   €]]</f>
        <v>108000</v>
      </c>
      <c r="I75" s="44">
        <f>+Tabla134[[#This Row],[Precio Total en Pesos]]*3%</f>
        <v>3240</v>
      </c>
    </row>
    <row r="76" spans="2:9" ht="15" customHeight="1" x14ac:dyDescent="0.3">
      <c r="B76" s="3" t="s">
        <v>162</v>
      </c>
      <c r="C76" s="80">
        <v>27</v>
      </c>
      <c r="D76" s="108">
        <f>SUM(Tabla1343[[#This Row],[Columna1]:[Columna5]])</f>
        <v>27</v>
      </c>
      <c r="E76" s="11"/>
      <c r="F76" s="92" t="s">
        <v>291</v>
      </c>
      <c r="G76" s="93">
        <v>3000</v>
      </c>
      <c r="H76" s="44">
        <f>+Tabla134[[#This Row],[Cantidad]]*Tabla134[[#This Row],[Precio Unitario en Pesos /   €]]</f>
        <v>81000</v>
      </c>
      <c r="I76" s="44">
        <f>+Tabla134[[#This Row],[Precio Total en Pesos]]*3%</f>
        <v>2430</v>
      </c>
    </row>
    <row r="77" spans="2:9" ht="15" customHeight="1" x14ac:dyDescent="0.3">
      <c r="B77" s="34" t="s">
        <v>177</v>
      </c>
      <c r="C77" s="82">
        <v>113</v>
      </c>
      <c r="D77" s="109">
        <f>SUM(Tabla1343[[#This Row],[Columna1]:[Columna5]])</f>
        <v>113</v>
      </c>
      <c r="E77" s="68"/>
      <c r="F77" s="92" t="s">
        <v>298</v>
      </c>
      <c r="G77" s="93">
        <v>3500</v>
      </c>
      <c r="H77" s="44">
        <f>+Tabla134[[#This Row],[Cantidad]]*Tabla134[[#This Row],[Precio Unitario en Pesos /   €]]</f>
        <v>395500</v>
      </c>
      <c r="I77" s="44">
        <f>+Tabla134[[#This Row],[Precio Total en Pesos]]*3%</f>
        <v>11865</v>
      </c>
    </row>
    <row r="78" spans="2:9" ht="15" customHeight="1" x14ac:dyDescent="0.3">
      <c r="B78" s="3" t="s">
        <v>142</v>
      </c>
      <c r="C78" s="80">
        <v>18</v>
      </c>
      <c r="D78" s="108">
        <f>SUM(Tabla1343[[#This Row],[Columna1]:[Columna5]])</f>
        <v>18</v>
      </c>
      <c r="E78" s="11"/>
      <c r="F78" s="93" t="s">
        <v>250</v>
      </c>
      <c r="G78" s="93">
        <v>2500</v>
      </c>
      <c r="H78" s="44">
        <f>+Tabla134[[#This Row],[Cantidad]]*Tabla134[[#This Row],[Precio Unitario en Pesos /   €]]</f>
        <v>45000</v>
      </c>
      <c r="I78" s="44">
        <f>+Tabla134[[#This Row],[Precio Total en Pesos]]*3%</f>
        <v>1350</v>
      </c>
    </row>
    <row r="79" spans="2:9" ht="15" customHeight="1" x14ac:dyDescent="0.3">
      <c r="B79" s="3" t="s">
        <v>209</v>
      </c>
      <c r="C79" s="80">
        <v>10</v>
      </c>
      <c r="D79" s="108">
        <f>SUM(Tabla1343[[#This Row],[Columna1]:[Columna5]])</f>
        <v>10</v>
      </c>
      <c r="E79" s="11"/>
      <c r="F79" s="93" t="s">
        <v>250</v>
      </c>
      <c r="G79" s="93">
        <v>22011</v>
      </c>
      <c r="H79" s="44">
        <f>+Tabla134[[#This Row],[Cantidad]]*Tabla134[[#This Row],[Precio Unitario en Pesos /   €]]</f>
        <v>220110</v>
      </c>
      <c r="I79" s="44">
        <f>+Tabla134[[#This Row],[Precio Total en Pesos]]*3%</f>
        <v>6603.3</v>
      </c>
    </row>
    <row r="80" spans="2:9" ht="15" customHeight="1" x14ac:dyDescent="0.3">
      <c r="B80" s="3" t="s">
        <v>75</v>
      </c>
      <c r="C80" s="80">
        <f>42+12</f>
        <v>54</v>
      </c>
      <c r="D80" s="108">
        <f>SUM(Tabla1343[[#This Row],[Columna1]:[Columna5]])</f>
        <v>54</v>
      </c>
      <c r="E80" s="11"/>
      <c r="F80" s="92" t="s">
        <v>291</v>
      </c>
      <c r="G80" s="93">
        <v>2790</v>
      </c>
      <c r="H80" s="44">
        <f>+Tabla134[[#This Row],[Cantidad]]*Tabla134[[#This Row],[Precio Unitario en Pesos /   €]]</f>
        <v>150660</v>
      </c>
      <c r="I80" s="44">
        <f>+Tabla134[[#This Row],[Precio Total en Pesos]]*3%</f>
        <v>4519.8</v>
      </c>
    </row>
    <row r="81" spans="2:9" ht="15" customHeight="1" x14ac:dyDescent="0.3">
      <c r="B81" s="3" t="s">
        <v>120</v>
      </c>
      <c r="C81" s="80">
        <f>2+1+15</f>
        <v>18</v>
      </c>
      <c r="D81" s="108">
        <f>SUM(Tabla1343[[#This Row],[Columna1]:[Columna5]])</f>
        <v>18</v>
      </c>
      <c r="E81" s="11"/>
      <c r="F81" s="92" t="s">
        <v>299</v>
      </c>
      <c r="G81" s="93">
        <v>4000</v>
      </c>
      <c r="H81" s="44">
        <f>+Tabla134[[#This Row],[Cantidad]]*Tabla134[[#This Row],[Precio Unitario en Pesos /   €]]</f>
        <v>72000</v>
      </c>
      <c r="I81" s="44">
        <f>+Tabla134[[#This Row],[Precio Total en Pesos]]*3%</f>
        <v>2160</v>
      </c>
    </row>
    <row r="82" spans="2:9" ht="15" customHeight="1" x14ac:dyDescent="0.3">
      <c r="B82" s="3" t="s">
        <v>76</v>
      </c>
      <c r="C82" s="80">
        <v>30</v>
      </c>
      <c r="D82" s="108">
        <f>SUM(Tabla1343[[#This Row],[Columna1]:[Columna5]])</f>
        <v>13</v>
      </c>
      <c r="E82" s="11"/>
      <c r="F82" s="92" t="s">
        <v>291</v>
      </c>
      <c r="G82" s="93">
        <v>6716</v>
      </c>
      <c r="H82" s="44">
        <f>+Tabla134[[#This Row],[Cantidad]]*Tabla134[[#This Row],[Precio Unitario en Pesos /   €]]</f>
        <v>201480</v>
      </c>
      <c r="I82" s="44">
        <f>+Tabla134[[#This Row],[Precio Total en Pesos]]*3%</f>
        <v>6044.4</v>
      </c>
    </row>
    <row r="83" spans="2:9" ht="15" customHeight="1" x14ac:dyDescent="0.3">
      <c r="B83" s="3" t="s">
        <v>40</v>
      </c>
      <c r="C83" s="80">
        <v>2</v>
      </c>
      <c r="D83" s="108">
        <f>SUM(Tabla1343[[#This Row],[Columna1]:[Columna5]])</f>
        <v>2</v>
      </c>
      <c r="E83" s="11"/>
      <c r="F83" s="92" t="s">
        <v>291</v>
      </c>
      <c r="G83" s="93">
        <f>1800*2</f>
        <v>3600</v>
      </c>
      <c r="H83" s="44">
        <f>+Tabla134[[#This Row],[Cantidad]]*Tabla134[[#This Row],[Precio Unitario en Pesos /   €]]</f>
        <v>7200</v>
      </c>
      <c r="I83" s="44">
        <f>+Tabla134[[#This Row],[Precio Total en Pesos]]*3%</f>
        <v>216</v>
      </c>
    </row>
    <row r="84" spans="2:9" ht="15" customHeight="1" x14ac:dyDescent="0.3">
      <c r="B84" s="3" t="s">
        <v>39</v>
      </c>
      <c r="C84" s="80">
        <v>3</v>
      </c>
      <c r="D84" s="108">
        <f>SUM(Tabla1343[[#This Row],[Columna1]:[Columna5]])</f>
        <v>3</v>
      </c>
      <c r="E84" s="11"/>
      <c r="F84" s="92" t="s">
        <v>291</v>
      </c>
      <c r="G84" s="93">
        <v>3600</v>
      </c>
      <c r="H84" s="44">
        <f>+Tabla134[[#This Row],[Cantidad]]*Tabla134[[#This Row],[Precio Unitario en Pesos /   €]]</f>
        <v>10800</v>
      </c>
      <c r="I84" s="44">
        <f>+Tabla134[[#This Row],[Precio Total en Pesos]]*3%</f>
        <v>324</v>
      </c>
    </row>
    <row r="85" spans="2:9" ht="15" customHeight="1" x14ac:dyDescent="0.3">
      <c r="B85" s="3" t="s">
        <v>283</v>
      </c>
      <c r="C85" s="80">
        <v>8</v>
      </c>
      <c r="D85" s="108">
        <f>SUM(Tabla1343[[#This Row],[Columna1]:[Columna5]])</f>
        <v>8</v>
      </c>
      <c r="E85" s="11"/>
      <c r="F85" s="93" t="s">
        <v>243</v>
      </c>
      <c r="G85" s="93">
        <v>2500</v>
      </c>
      <c r="H85" s="44">
        <f>+Tabla134[[#This Row],[Cantidad]]*Tabla134[[#This Row],[Precio Unitario en Pesos /   €]]</f>
        <v>20000</v>
      </c>
      <c r="I85" s="44">
        <f>+Tabla134[[#This Row],[Precio Total en Pesos]]*3%</f>
        <v>600</v>
      </c>
    </row>
    <row r="86" spans="2:9" ht="15" customHeight="1" x14ac:dyDescent="0.3">
      <c r="B86" s="3" t="s">
        <v>203</v>
      </c>
      <c r="C86" s="80">
        <v>1</v>
      </c>
      <c r="D86" s="108">
        <f>SUM(Tabla1343[[#This Row],[Columna1]:[Columna5]])</f>
        <v>1</v>
      </c>
      <c r="E86" s="11"/>
      <c r="F86" s="92" t="s">
        <v>291</v>
      </c>
      <c r="G86" s="93">
        <v>2500</v>
      </c>
      <c r="H86" s="44">
        <f>+Tabla134[[#This Row],[Cantidad]]*Tabla134[[#This Row],[Precio Unitario en Pesos /   €]]</f>
        <v>2500</v>
      </c>
      <c r="I86" s="44">
        <f>+Tabla134[[#This Row],[Precio Total en Pesos]]*3%</f>
        <v>75</v>
      </c>
    </row>
    <row r="87" spans="2:9" ht="15" customHeight="1" x14ac:dyDescent="0.3">
      <c r="B87" s="3" t="s">
        <v>172</v>
      </c>
      <c r="C87" s="80">
        <v>6</v>
      </c>
      <c r="D87" s="108">
        <f>SUM(Tabla1343[[#This Row],[Columna1]:[Columna5]])</f>
        <v>6</v>
      </c>
      <c r="E87" s="11"/>
      <c r="F87" s="92" t="s">
        <v>290</v>
      </c>
      <c r="G87" s="93">
        <v>20000</v>
      </c>
      <c r="H87" s="44">
        <f>+Tabla134[[#This Row],[Cantidad]]*Tabla134[[#This Row],[Precio Unitario en Pesos /   €]]</f>
        <v>120000</v>
      </c>
      <c r="I87" s="44">
        <f>+Tabla134[[#This Row],[Precio Total en Pesos]]*3%</f>
        <v>3600</v>
      </c>
    </row>
    <row r="88" spans="2:9" ht="15" customHeight="1" x14ac:dyDescent="0.3">
      <c r="B88" s="3" t="s">
        <v>310</v>
      </c>
      <c r="C88" s="80">
        <v>12</v>
      </c>
      <c r="D88" s="108">
        <f>SUM(Tabla1343[[#This Row],[Columna1]:[Columna5]])</f>
        <v>4</v>
      </c>
      <c r="E88" s="11"/>
      <c r="F88" s="92" t="s">
        <v>291</v>
      </c>
      <c r="G88" s="93">
        <v>12000</v>
      </c>
      <c r="H88" s="44">
        <f>+Tabla134[[#This Row],[Cantidad]]*Tabla134[[#This Row],[Precio Unitario en Pesos /   €]]</f>
        <v>144000</v>
      </c>
      <c r="I88" s="44">
        <f>+Tabla134[[#This Row],[Precio Total en Pesos]]*3%</f>
        <v>4320</v>
      </c>
    </row>
    <row r="89" spans="2:9" ht="15" customHeight="1" x14ac:dyDescent="0.3">
      <c r="B89" s="3" t="s">
        <v>178</v>
      </c>
      <c r="C89" s="80">
        <v>1</v>
      </c>
      <c r="D89" s="108">
        <f>SUM(Tabla1343[[#This Row],[Columna1]:[Columna5]])</f>
        <v>1</v>
      </c>
      <c r="E89" s="11"/>
      <c r="F89" s="92" t="s">
        <v>291</v>
      </c>
      <c r="G89" s="93">
        <v>25620</v>
      </c>
      <c r="H89" s="44">
        <f>+Tabla134[[#This Row],[Cantidad]]*Tabla134[[#This Row],[Precio Unitario en Pesos /   €]]</f>
        <v>25620</v>
      </c>
      <c r="I89" s="44">
        <f>+Tabla134[[#This Row],[Precio Total en Pesos]]*3%</f>
        <v>768.6</v>
      </c>
    </row>
    <row r="90" spans="2:9" ht="15" customHeight="1" x14ac:dyDescent="0.3">
      <c r="B90" s="3" t="s">
        <v>180</v>
      </c>
      <c r="C90" s="80">
        <v>1</v>
      </c>
      <c r="D90" s="108">
        <f>SUM(Tabla1343[[#This Row],[Columna1]:[Columna5]])</f>
        <v>8</v>
      </c>
      <c r="E90" s="11"/>
      <c r="F90" s="92" t="s">
        <v>291</v>
      </c>
      <c r="G90" s="93">
        <v>2770</v>
      </c>
      <c r="H90" s="44">
        <f>+Tabla134[[#This Row],[Cantidad]]*Tabla134[[#This Row],[Precio Unitario en Pesos /   €]]</f>
        <v>2770</v>
      </c>
      <c r="I90" s="44">
        <f>+Tabla134[[#This Row],[Precio Total en Pesos]]*3%</f>
        <v>83.1</v>
      </c>
    </row>
    <row r="91" spans="2:9" ht="15" customHeight="1" x14ac:dyDescent="0.3">
      <c r="B91" s="3" t="s">
        <v>175</v>
      </c>
      <c r="C91" s="80">
        <v>2</v>
      </c>
      <c r="D91" s="108">
        <f>SUM(Tabla1343[[#This Row],[Columna1]:[Columna5]])</f>
        <v>1</v>
      </c>
      <c r="E91" s="11"/>
      <c r="F91" s="92" t="s">
        <v>291</v>
      </c>
      <c r="G91" s="93">
        <v>890</v>
      </c>
      <c r="H91" s="44">
        <f>+Tabla134[[#This Row],[Cantidad]]*Tabla134[[#This Row],[Precio Unitario en Pesos /   €]]</f>
        <v>1780</v>
      </c>
      <c r="I91" s="44">
        <f>+Tabla134[[#This Row],[Precio Total en Pesos]]*3%</f>
        <v>53.4</v>
      </c>
    </row>
    <row r="92" spans="2:9" ht="15" customHeight="1" x14ac:dyDescent="0.3">
      <c r="B92" s="3" t="s">
        <v>179</v>
      </c>
      <c r="C92" s="80">
        <v>6</v>
      </c>
      <c r="D92" s="108">
        <f>SUM(Tabla1343[[#This Row],[Columna1]:[Columna5]])</f>
        <v>2</v>
      </c>
      <c r="E92" s="11"/>
      <c r="F92" s="92" t="s">
        <v>291</v>
      </c>
      <c r="G92" s="93">
        <v>890</v>
      </c>
      <c r="H92" s="44">
        <f>+Tabla134[[#This Row],[Cantidad]]*Tabla134[[#This Row],[Precio Unitario en Pesos /   €]]</f>
        <v>5340</v>
      </c>
      <c r="I92" s="44">
        <f>+Tabla134[[#This Row],[Precio Total en Pesos]]*3%</f>
        <v>160.19999999999999</v>
      </c>
    </row>
    <row r="93" spans="2:9" ht="15" customHeight="1" x14ac:dyDescent="0.3">
      <c r="B93" s="3" t="s">
        <v>129</v>
      </c>
      <c r="C93" s="80">
        <v>73</v>
      </c>
      <c r="D93" s="108">
        <f>SUM(Tabla1343[[#This Row],[Columna1]:[Columna5]])</f>
        <v>6</v>
      </c>
      <c r="E93" s="11"/>
      <c r="F93" s="126" t="s">
        <v>309</v>
      </c>
      <c r="G93" s="93">
        <v>2100</v>
      </c>
      <c r="H93" s="44">
        <f>+Tabla134[[#This Row],[Cantidad]]*Tabla134[[#This Row],[Precio Unitario en Pesos /   €]]</f>
        <v>153300</v>
      </c>
      <c r="I93" s="44">
        <f>+Tabla134[[#This Row],[Precio Total en Pesos]]*3%</f>
        <v>4599</v>
      </c>
    </row>
    <row r="94" spans="2:9" ht="15" customHeight="1" x14ac:dyDescent="0.3">
      <c r="B94" s="3" t="s">
        <v>128</v>
      </c>
      <c r="C94" s="80">
        <v>46</v>
      </c>
      <c r="D94" s="108">
        <f>SUM(Tabla1343[[#This Row],[Columna1]:[Columna5]])</f>
        <v>73</v>
      </c>
      <c r="E94" s="11"/>
      <c r="F94" s="126" t="s">
        <v>309</v>
      </c>
      <c r="G94" s="93">
        <v>2800</v>
      </c>
      <c r="H94" s="44">
        <f>+Tabla134[[#This Row],[Cantidad]]*Tabla134[[#This Row],[Precio Unitario en Pesos /   €]]</f>
        <v>128800</v>
      </c>
      <c r="I94" s="44">
        <f>+Tabla134[[#This Row],[Precio Total en Pesos]]*3%</f>
        <v>3864</v>
      </c>
    </row>
    <row r="95" spans="2:9" ht="15" customHeight="1" x14ac:dyDescent="0.3">
      <c r="B95" s="3" t="s">
        <v>68</v>
      </c>
      <c r="C95" s="80">
        <v>1024</v>
      </c>
      <c r="D95" s="108">
        <f>SUM(Tabla1343[[#This Row],[Columna1]:[Columna5]])</f>
        <v>46</v>
      </c>
      <c r="E95" s="11"/>
      <c r="F95" s="126" t="s">
        <v>309</v>
      </c>
      <c r="G95" s="93">
        <v>4528</v>
      </c>
      <c r="H95" s="44">
        <f>+Tabla134[[#This Row],[Cantidad]]*Tabla134[[#This Row],[Precio Unitario en Pesos /   €]]</f>
        <v>4636672</v>
      </c>
      <c r="I95" s="44">
        <f>+Tabla134[[#This Row],[Precio Total en Pesos]]*3%</f>
        <v>139100.16</v>
      </c>
    </row>
    <row r="96" spans="2:9" ht="15" customHeight="1" x14ac:dyDescent="0.3">
      <c r="B96" s="3" t="s">
        <v>146</v>
      </c>
      <c r="C96" s="80">
        <v>2</v>
      </c>
      <c r="D96" s="108">
        <f>SUM(Tabla1343[[#This Row],[Columna1]:[Columna5]])</f>
        <v>1024</v>
      </c>
      <c r="E96" s="11"/>
      <c r="F96" s="126" t="s">
        <v>309</v>
      </c>
      <c r="G96" s="93">
        <f>+G95*2</f>
        <v>9056</v>
      </c>
      <c r="H96" s="44">
        <f>+Tabla134[[#This Row],[Cantidad]]*Tabla134[[#This Row],[Precio Unitario en Pesos /   €]]</f>
        <v>18112</v>
      </c>
      <c r="I96" s="44">
        <f>+Tabla134[[#This Row],[Precio Total en Pesos]]*3%</f>
        <v>543.36</v>
      </c>
    </row>
    <row r="97" spans="2:11" ht="15" customHeight="1" x14ac:dyDescent="0.3">
      <c r="B97" s="3" t="s">
        <v>89</v>
      </c>
      <c r="C97" s="80">
        <v>3</v>
      </c>
      <c r="D97" s="108">
        <f>SUM(Tabla1343[[#This Row],[Columna1]:[Columna5]])</f>
        <v>2</v>
      </c>
      <c r="E97" s="11"/>
      <c r="F97" s="126" t="s">
        <v>309</v>
      </c>
      <c r="G97" s="93">
        <v>19850</v>
      </c>
      <c r="H97" s="44">
        <f>+Tabla134[[#This Row],[Cantidad]]*Tabla134[[#This Row],[Precio Unitario en Pesos /   €]]</f>
        <v>59550</v>
      </c>
      <c r="I97" s="44">
        <f>+Tabla134[[#This Row],[Precio Total en Pesos]]*3%</f>
        <v>1786.5</v>
      </c>
    </row>
    <row r="98" spans="2:11" ht="15" customHeight="1" x14ac:dyDescent="0.3">
      <c r="B98" s="3" t="s">
        <v>205</v>
      </c>
      <c r="C98" s="80">
        <v>21</v>
      </c>
      <c r="D98" s="108">
        <f>SUM(Tabla1343[[#This Row],[Columna1]:[Columna5]])</f>
        <v>3</v>
      </c>
      <c r="E98" s="11"/>
      <c r="F98" s="92" t="s">
        <v>290</v>
      </c>
      <c r="G98" s="93">
        <v>150</v>
      </c>
      <c r="H98" s="44">
        <f>+Tabla134[[#This Row],[Cantidad]]*Tabla134[[#This Row],[Precio Unitario en Pesos /   €]]</f>
        <v>3150</v>
      </c>
      <c r="I98" s="44">
        <f>+Tabla134[[#This Row],[Precio Total en Pesos]]*3%</f>
        <v>94.5</v>
      </c>
    </row>
    <row r="99" spans="2:11" ht="15" customHeight="1" x14ac:dyDescent="0.3">
      <c r="B99" s="3" t="s">
        <v>254</v>
      </c>
      <c r="C99" s="80">
        <v>6</v>
      </c>
      <c r="D99" s="108">
        <f>SUM(Tabla1343[[#This Row],[Columna1]:[Columna5]])</f>
        <v>21</v>
      </c>
      <c r="E99" s="11"/>
      <c r="F99" s="92" t="s">
        <v>291</v>
      </c>
      <c r="G99" s="93">
        <v>6900</v>
      </c>
      <c r="H99" s="44">
        <f>+Tabla134[[#This Row],[Cantidad]]*Tabla134[[#This Row],[Precio Unitario en Pesos /   €]]</f>
        <v>41400</v>
      </c>
      <c r="I99" s="44">
        <f>+Tabla134[[#This Row],[Precio Total en Pesos]]*3%</f>
        <v>1242</v>
      </c>
    </row>
    <row r="100" spans="2:11" ht="15" customHeight="1" x14ac:dyDescent="0.3">
      <c r="B100" s="34" t="s">
        <v>197</v>
      </c>
      <c r="C100" s="82">
        <v>2</v>
      </c>
      <c r="D100" s="109">
        <f>SUM(Tabla1343[[#This Row],[Columna1]:[Columna5]])</f>
        <v>6</v>
      </c>
      <c r="E100" s="68"/>
      <c r="F100" s="92" t="s">
        <v>296</v>
      </c>
      <c r="G100" s="93">
        <v>0</v>
      </c>
      <c r="H100" s="44">
        <f>+Tabla134[[#This Row],[Cantidad]]*Tabla134[[#This Row],[Precio Unitario en Pesos /   €]]</f>
        <v>0</v>
      </c>
      <c r="I100" s="44">
        <f>+Tabla134[[#This Row],[Precio Total en Pesos]]*3%</f>
        <v>0</v>
      </c>
    </row>
    <row r="101" spans="2:11" ht="15" customHeight="1" x14ac:dyDescent="0.3">
      <c r="B101" s="3" t="s">
        <v>100</v>
      </c>
      <c r="C101" s="80">
        <v>6</v>
      </c>
      <c r="D101" s="108">
        <v>6</v>
      </c>
      <c r="E101" s="11"/>
      <c r="F101" s="92" t="s">
        <v>296</v>
      </c>
      <c r="G101" s="93">
        <v>0</v>
      </c>
      <c r="H101" s="44">
        <f>+Tabla134[[#This Row],[Cantidad]]*Tabla134[[#This Row],[Precio Unitario en Pesos /   €]]</f>
        <v>0</v>
      </c>
      <c r="I101" s="44">
        <f>+Tabla134[[#This Row],[Precio Total en Pesos]]*3%</f>
        <v>0</v>
      </c>
    </row>
    <row r="102" spans="2:11" ht="15" customHeight="1" x14ac:dyDescent="0.3">
      <c r="B102" s="3" t="s">
        <v>99</v>
      </c>
      <c r="C102" s="80">
        <v>7</v>
      </c>
      <c r="D102" s="108">
        <v>7</v>
      </c>
      <c r="E102" s="11"/>
      <c r="F102" s="92" t="s">
        <v>296</v>
      </c>
      <c r="G102" s="93">
        <v>0</v>
      </c>
      <c r="H102" s="44">
        <f>+Tabla134[[#This Row],[Cantidad]]*Tabla134[[#This Row],[Precio Unitario en Pesos /   €]]</f>
        <v>0</v>
      </c>
      <c r="I102" s="44">
        <f>+Tabla134[[#This Row],[Precio Total en Pesos]]*3%</f>
        <v>0</v>
      </c>
    </row>
    <row r="103" spans="2:11" ht="15" customHeight="1" x14ac:dyDescent="0.3">
      <c r="B103" s="3" t="s">
        <v>264</v>
      </c>
      <c r="C103" s="80">
        <v>8</v>
      </c>
      <c r="D103" s="108">
        <f>SUM(Tabla1343[[#This Row],[Columna1]:[Columna5]])</f>
        <v>0</v>
      </c>
      <c r="E103" s="11"/>
      <c r="F103" s="92" t="s">
        <v>296</v>
      </c>
      <c r="G103" s="93">
        <v>0</v>
      </c>
      <c r="H103" s="44">
        <f>+Tabla134[[#This Row],[Cantidad]]*Tabla134[[#This Row],[Precio Unitario en Pesos /   €]]</f>
        <v>0</v>
      </c>
      <c r="I103" s="44">
        <f>+Tabla134[[#This Row],[Precio Total en Pesos]]*3%</f>
        <v>0</v>
      </c>
    </row>
    <row r="104" spans="2:11" ht="15" customHeight="1" x14ac:dyDescent="0.3">
      <c r="B104" s="3" t="s">
        <v>93</v>
      </c>
      <c r="C104" s="80">
        <v>12</v>
      </c>
      <c r="D104" s="108">
        <f>SUM(Tabla1343[[#This Row],[Columna1]:[Columna5]])</f>
        <v>8</v>
      </c>
      <c r="E104" s="11"/>
      <c r="F104" s="92" t="s">
        <v>296</v>
      </c>
      <c r="G104" s="93">
        <v>0</v>
      </c>
      <c r="H104" s="44">
        <f>+Tabla134[[#This Row],[Cantidad]]*Tabla134[[#This Row],[Precio Unitario en Pesos /   €]]</f>
        <v>0</v>
      </c>
      <c r="I104" s="44">
        <f>+Tabla134[[#This Row],[Precio Total en Pesos]]*3%</f>
        <v>0</v>
      </c>
    </row>
    <row r="105" spans="2:11" ht="15" customHeight="1" x14ac:dyDescent="0.3">
      <c r="B105" s="3" t="s">
        <v>54</v>
      </c>
      <c r="C105" s="80">
        <v>200</v>
      </c>
      <c r="D105" s="108">
        <f>SUM(Tabla1343[[#This Row],[Columna1]:[Columna5]])</f>
        <v>12</v>
      </c>
      <c r="E105" s="11"/>
      <c r="F105" s="126" t="s">
        <v>309</v>
      </c>
      <c r="G105" s="93">
        <v>11300</v>
      </c>
      <c r="H105" s="44">
        <f>+Tabla134[[#This Row],[Cantidad]]*Tabla134[[#This Row],[Precio Unitario en Pesos /   €]]</f>
        <v>2260000</v>
      </c>
      <c r="I105" s="44">
        <f>+Tabla134[[#This Row],[Precio Total en Pesos]]*3%</f>
        <v>67800</v>
      </c>
    </row>
    <row r="106" spans="2:11" ht="15" customHeight="1" x14ac:dyDescent="0.3">
      <c r="B106" s="3" t="s">
        <v>55</v>
      </c>
      <c r="C106" s="80">
        <f>367+260</f>
        <v>627</v>
      </c>
      <c r="D106" s="108">
        <f>SUM(Tabla1343[[#This Row],[Columna1]:[Columna5]])</f>
        <v>200</v>
      </c>
      <c r="E106" s="11"/>
      <c r="F106" s="126" t="s">
        <v>309</v>
      </c>
      <c r="G106" s="93">
        <v>14800</v>
      </c>
      <c r="H106" s="44">
        <f>+Tabla134[[#This Row],[Cantidad]]*Tabla134[[#This Row],[Precio Unitario en Pesos /   €]]</f>
        <v>9279600</v>
      </c>
      <c r="I106" s="44">
        <f>+Tabla134[[#This Row],[Precio Total en Pesos]]*3%</f>
        <v>278388</v>
      </c>
      <c r="K106" t="s">
        <v>318</v>
      </c>
    </row>
    <row r="107" spans="2:11" ht="16.95" customHeight="1" x14ac:dyDescent="0.3">
      <c r="B107" s="3"/>
      <c r="C107" s="4"/>
      <c r="D107" s="10">
        <f>SUM(Tabla1343[[#This Row],[Columna1]:[Columna5]])</f>
        <v>367</v>
      </c>
      <c r="E107" s="11"/>
      <c r="F107" s="105"/>
      <c r="G107" s="105"/>
      <c r="H107" s="105"/>
      <c r="I107" s="106"/>
    </row>
    <row r="108" spans="2:11" ht="15" customHeight="1" x14ac:dyDescent="0.3">
      <c r="B108" s="48" t="s">
        <v>164</v>
      </c>
      <c r="C108" s="83">
        <v>6</v>
      </c>
      <c r="D108" s="110">
        <f>SUM(Tabla1343[[#This Row],[Columna1]:[Columna5]])</f>
        <v>0</v>
      </c>
      <c r="E108" s="50" t="s">
        <v>279</v>
      </c>
      <c r="F108" s="94" t="s">
        <v>230</v>
      </c>
      <c r="G108" s="96">
        <v>26.39</v>
      </c>
      <c r="H108" s="81">
        <f>+Tabla134[[#This Row],[Cantidad]]*Tabla134[[#This Row],[Precio Unitario en Pesos /   €]]*I$3</f>
        <v>22721.79</v>
      </c>
      <c r="I108" s="81">
        <f>+Tabla134[[#This Row],[Precio Total en Pesos]]*3%</f>
        <v>681.65369999999996</v>
      </c>
    </row>
    <row r="109" spans="2:11" ht="15" customHeight="1" x14ac:dyDescent="0.3">
      <c r="B109" s="48" t="s">
        <v>10</v>
      </c>
      <c r="C109" s="49">
        <v>301</v>
      </c>
      <c r="D109" s="111">
        <f>SUM(Tabla1343[[#This Row],[Columna1]:[Columna5]])</f>
        <v>6</v>
      </c>
      <c r="E109" s="50" t="s">
        <v>279</v>
      </c>
      <c r="F109" s="95" t="s">
        <v>230</v>
      </c>
      <c r="G109" s="97">
        <v>23.17</v>
      </c>
      <c r="H109" s="81">
        <f>+Tabla134[[#This Row],[Cantidad]]*Tabla134[[#This Row],[Precio Unitario en Pesos /   €]]*I$3</f>
        <v>1000793.395</v>
      </c>
      <c r="I109" s="81">
        <f>+Tabla134[[#This Row],[Precio Total en Pesos]]*3%</f>
        <v>30023.80185</v>
      </c>
    </row>
    <row r="110" spans="2:11" ht="15" customHeight="1" x14ac:dyDescent="0.3">
      <c r="B110" s="48" t="s">
        <v>73</v>
      </c>
      <c r="C110" s="83">
        <v>43</v>
      </c>
      <c r="D110" s="110">
        <f>SUM(Tabla1343[[#This Row],[Columna1]:[Columna5]])</f>
        <v>301</v>
      </c>
      <c r="E110" s="50" t="s">
        <v>279</v>
      </c>
      <c r="F110" s="94" t="s">
        <v>230</v>
      </c>
      <c r="G110" s="96">
        <v>109</v>
      </c>
      <c r="H110" s="81">
        <f>+Tabla134[[#This Row],[Cantidad]]*Tabla134[[#This Row],[Precio Unitario en Pesos /   €]]*I$3</f>
        <v>672584.5</v>
      </c>
      <c r="I110" s="81">
        <f>+Tabla134[[#This Row],[Precio Total en Pesos]]*3%</f>
        <v>20177.535</v>
      </c>
    </row>
    <row r="111" spans="2:11" ht="15" customHeight="1" x14ac:dyDescent="0.3">
      <c r="B111" s="48" t="s">
        <v>92</v>
      </c>
      <c r="C111" s="83">
        <v>2</v>
      </c>
      <c r="D111" s="110">
        <f>SUM(Tabla1343[[#This Row],[Columna1]:[Columna5]])</f>
        <v>43</v>
      </c>
      <c r="E111" s="50" t="s">
        <v>279</v>
      </c>
      <c r="F111" s="94" t="s">
        <v>230</v>
      </c>
      <c r="G111" s="96">
        <f>13441.35/47.3</f>
        <v>284.17230443974631</v>
      </c>
      <c r="H111" s="81">
        <f>+Tabla134[[#This Row],[Cantidad]]*Tabla134[[#This Row],[Precio Unitario en Pesos /   €]]*I$3</f>
        <v>81557.451374207187</v>
      </c>
      <c r="I111" s="81">
        <f>+Tabla134[[#This Row],[Precio Total en Pesos]]*3%</f>
        <v>2446.7235412262157</v>
      </c>
    </row>
    <row r="112" spans="2:11" ht="15" customHeight="1" x14ac:dyDescent="0.3">
      <c r="B112" s="48" t="s">
        <v>30</v>
      </c>
      <c r="C112" s="83">
        <v>311</v>
      </c>
      <c r="D112" s="110">
        <f>SUM(Tabla1343[[#This Row],[Columna1]:[Columna5]])</f>
        <v>2</v>
      </c>
      <c r="E112" s="50" t="s">
        <v>279</v>
      </c>
      <c r="F112" s="94" t="s">
        <v>230</v>
      </c>
      <c r="G112" s="96">
        <v>14.04</v>
      </c>
      <c r="H112" s="81">
        <f>+Tabla134[[#This Row],[Cantidad]]*Tabla134[[#This Row],[Precio Unitario en Pesos /   €]]*I$3</f>
        <v>626584.1399999999</v>
      </c>
      <c r="I112" s="81">
        <f>+Tabla134[[#This Row],[Precio Total en Pesos]]*3%</f>
        <v>18797.524199999996</v>
      </c>
    </row>
    <row r="113" spans="2:9" ht="15" customHeight="1" x14ac:dyDescent="0.3">
      <c r="B113" s="48" t="s">
        <v>60</v>
      </c>
      <c r="C113" s="83">
        <v>6</v>
      </c>
      <c r="D113" s="110">
        <f>SUM(Tabla1343[[#This Row],[Columna1]:[Columna5]])</f>
        <v>311</v>
      </c>
      <c r="E113" s="50" t="s">
        <v>279</v>
      </c>
      <c r="F113" s="94" t="s">
        <v>230</v>
      </c>
      <c r="G113" s="96">
        <v>32.75</v>
      </c>
      <c r="H113" s="81">
        <f>+Tabla134[[#This Row],[Cantidad]]*Tabla134[[#This Row],[Precio Unitario en Pesos /   €]]*I$3</f>
        <v>28197.75</v>
      </c>
      <c r="I113" s="81">
        <f>+Tabla134[[#This Row],[Precio Total en Pesos]]*3%</f>
        <v>845.9325</v>
      </c>
    </row>
    <row r="114" spans="2:9" ht="15" customHeight="1" x14ac:dyDescent="0.3">
      <c r="B114" s="48" t="s">
        <v>149</v>
      </c>
      <c r="C114" s="83">
        <v>13</v>
      </c>
      <c r="D114" s="110">
        <f>SUM(Tabla1343[[#This Row],[Columna1]:[Columna5]])</f>
        <v>6</v>
      </c>
      <c r="E114" s="50" t="s">
        <v>279</v>
      </c>
      <c r="F114" s="94" t="s">
        <v>230</v>
      </c>
      <c r="G114" s="96">
        <v>25.86</v>
      </c>
      <c r="H114" s="81">
        <f>+Tabla134[[#This Row],[Cantidad]]*Tabla134[[#This Row],[Precio Unitario en Pesos /   €]]*I$3</f>
        <v>48241.83</v>
      </c>
      <c r="I114" s="81">
        <f>+Tabla134[[#This Row],[Precio Total en Pesos]]*3%</f>
        <v>1447.2548999999999</v>
      </c>
    </row>
    <row r="115" spans="2:9" ht="15" customHeight="1" x14ac:dyDescent="0.3">
      <c r="B115" s="48" t="s">
        <v>256</v>
      </c>
      <c r="C115" s="83">
        <v>25</v>
      </c>
      <c r="D115" s="110">
        <f>SUM(Tabla1343[[#This Row],[Columna1]:[Columna5]])</f>
        <v>13</v>
      </c>
      <c r="E115" s="50" t="s">
        <v>279</v>
      </c>
      <c r="F115" s="94" t="s">
        <v>230</v>
      </c>
      <c r="G115" s="96"/>
      <c r="H115" s="81">
        <f>+Tabla134[[#This Row],[Cantidad]]*Tabla134[[#This Row],[Precio Unitario en Pesos /   €]]*I$3</f>
        <v>0</v>
      </c>
      <c r="I115" s="81">
        <f>+Tabla134[[#This Row],[Precio Total en Pesos]]*3%</f>
        <v>0</v>
      </c>
    </row>
    <row r="116" spans="2:9" ht="15" customHeight="1" x14ac:dyDescent="0.3">
      <c r="B116" s="48" t="s">
        <v>260</v>
      </c>
      <c r="C116" s="83">
        <v>4</v>
      </c>
      <c r="D116" s="110">
        <f>SUM(Tabla1343[[#This Row],[Columna1]:[Columna5]])</f>
        <v>25</v>
      </c>
      <c r="E116" s="50" t="s">
        <v>279</v>
      </c>
      <c r="F116" s="94" t="s">
        <v>230</v>
      </c>
      <c r="G116" s="96">
        <v>49.53</v>
      </c>
      <c r="H116" s="81">
        <f>+Tabla134[[#This Row],[Cantidad]]*Tabla134[[#This Row],[Precio Unitario en Pesos /   €]]*I$3</f>
        <v>28430.22</v>
      </c>
      <c r="I116" s="81">
        <f>+Tabla134[[#This Row],[Precio Total en Pesos]]*3%</f>
        <v>852.90660000000003</v>
      </c>
    </row>
    <row r="117" spans="2:9" ht="15" customHeight="1" x14ac:dyDescent="0.3">
      <c r="B117" s="48" t="s">
        <v>261</v>
      </c>
      <c r="C117" s="83">
        <v>111</v>
      </c>
      <c r="D117" s="110">
        <f>SUM(Tabla1343[[#This Row],[Columna1]:[Columna5]])</f>
        <v>4</v>
      </c>
      <c r="E117" s="50" t="s">
        <v>279</v>
      </c>
      <c r="F117" s="94" t="s">
        <v>230</v>
      </c>
      <c r="G117" s="96">
        <v>46.15</v>
      </c>
      <c r="H117" s="81">
        <f>+Tabla134[[#This Row],[Cantidad]]*Tabla134[[#This Row],[Precio Unitario en Pesos /   €]]*I$3</f>
        <v>735100.27499999991</v>
      </c>
      <c r="I117" s="81">
        <f>+Tabla134[[#This Row],[Precio Total en Pesos]]*3%</f>
        <v>22053.008249999995</v>
      </c>
    </row>
    <row r="118" spans="2:9" ht="15" customHeight="1" x14ac:dyDescent="0.3">
      <c r="B118" s="48" t="s">
        <v>257</v>
      </c>
      <c r="C118" s="83">
        <v>21</v>
      </c>
      <c r="D118" s="110">
        <f>SUM(Tabla1343[[#This Row],[Columna1]:[Columna5]])</f>
        <v>111</v>
      </c>
      <c r="E118" s="50" t="s">
        <v>279</v>
      </c>
      <c r="F118" s="94" t="s">
        <v>230</v>
      </c>
      <c r="G118" s="96">
        <v>55.25</v>
      </c>
      <c r="H118" s="81">
        <f>+Tabla134[[#This Row],[Cantidad]]*Tabla134[[#This Row],[Precio Unitario en Pesos /   €]]*I$3</f>
        <v>166495.875</v>
      </c>
      <c r="I118" s="81">
        <f>+Tabla134[[#This Row],[Precio Total en Pesos]]*3%</f>
        <v>4994.8762500000003</v>
      </c>
    </row>
    <row r="119" spans="2:9" ht="15" customHeight="1" x14ac:dyDescent="0.3">
      <c r="B119" s="48" t="s">
        <v>262</v>
      </c>
      <c r="C119" s="83">
        <v>725</v>
      </c>
      <c r="D119" s="110">
        <f>SUM(Tabla1343[[#This Row],[Columna1]:[Columna5]])</f>
        <v>21</v>
      </c>
      <c r="E119" s="50" t="s">
        <v>279</v>
      </c>
      <c r="F119" s="94" t="s">
        <v>230</v>
      </c>
      <c r="G119" s="96">
        <v>62.78</v>
      </c>
      <c r="H119" s="81">
        <f>+Tabla134[[#This Row],[Cantidad]]*Tabla134[[#This Row],[Precio Unitario en Pesos /   €]]*I$3</f>
        <v>6531474.25</v>
      </c>
      <c r="I119" s="81">
        <f>+Tabla134[[#This Row],[Precio Total en Pesos]]*3%</f>
        <v>195944.22749999998</v>
      </c>
    </row>
    <row r="120" spans="2:9" ht="15" customHeight="1" x14ac:dyDescent="0.3">
      <c r="B120" s="48" t="s">
        <v>258</v>
      </c>
      <c r="C120" s="83">
        <v>7</v>
      </c>
      <c r="D120" s="110">
        <f>SUM(Tabla1343[[#This Row],[Columna1]:[Columna5]])</f>
        <v>725</v>
      </c>
      <c r="E120" s="50" t="s">
        <v>279</v>
      </c>
      <c r="F120" s="94" t="s">
        <v>230</v>
      </c>
      <c r="G120" s="96"/>
      <c r="H120" s="81">
        <f>+Tabla134[[#This Row],[Cantidad]]*Tabla134[[#This Row],[Precio Unitario en Pesos /   €]]*I$3</f>
        <v>0</v>
      </c>
      <c r="I120" s="81">
        <f>+Tabla134[[#This Row],[Precio Total en Pesos]]*3%</f>
        <v>0</v>
      </c>
    </row>
    <row r="121" spans="2:9" ht="15" customHeight="1" x14ac:dyDescent="0.3">
      <c r="B121" s="48" t="s">
        <v>302</v>
      </c>
      <c r="C121" s="83">
        <v>8</v>
      </c>
      <c r="D121" s="110">
        <f>SUM(Tabla1343[[#This Row],[Columna1]:[Columna5]])</f>
        <v>7</v>
      </c>
      <c r="E121" s="50" t="s">
        <v>279</v>
      </c>
      <c r="F121" s="94" t="s">
        <v>230</v>
      </c>
      <c r="G121" s="96">
        <v>130</v>
      </c>
      <c r="H121" s="81">
        <f>+Tabla134[[#This Row],[Cantidad]]*Tabla134[[#This Row],[Precio Unitario en Pesos /   €]]*I$3</f>
        <v>149240</v>
      </c>
      <c r="I121" s="81">
        <f>+Tabla134[[#This Row],[Precio Total en Pesos]]*3%</f>
        <v>4477.2</v>
      </c>
    </row>
    <row r="122" spans="2:9" ht="15" customHeight="1" x14ac:dyDescent="0.3">
      <c r="B122" s="48" t="s">
        <v>232</v>
      </c>
      <c r="C122" s="83">
        <v>8</v>
      </c>
      <c r="D122" s="110">
        <f>SUM(Tabla1343[[#This Row],[Columna1]:[Columna5]])</f>
        <v>8</v>
      </c>
      <c r="E122" s="50" t="s">
        <v>279</v>
      </c>
      <c r="F122" s="94" t="s">
        <v>230</v>
      </c>
      <c r="G122" s="96">
        <v>150</v>
      </c>
      <c r="H122" s="81">
        <f>+Tabla134[[#This Row],[Cantidad]]*Tabla134[[#This Row],[Precio Unitario en Pesos /   €]]*I$3</f>
        <v>172200</v>
      </c>
      <c r="I122" s="81">
        <f>+Tabla134[[#This Row],[Precio Total en Pesos]]*3%</f>
        <v>5166</v>
      </c>
    </row>
    <row r="123" spans="2:9" ht="15" customHeight="1" x14ac:dyDescent="0.3">
      <c r="B123" s="48" t="s">
        <v>16</v>
      </c>
      <c r="C123" s="83">
        <v>4</v>
      </c>
      <c r="D123" s="110">
        <f>SUM(Tabla1343[[#This Row],[Columna1]:[Columna5]])</f>
        <v>8</v>
      </c>
      <c r="E123" s="50" t="s">
        <v>279</v>
      </c>
      <c r="F123" s="94" t="s">
        <v>230</v>
      </c>
      <c r="G123" s="96">
        <v>100</v>
      </c>
      <c r="H123" s="81">
        <f>+Tabla134[[#This Row],[Cantidad]]*Tabla134[[#This Row],[Precio Unitario en Pesos /   €]]*I$3</f>
        <v>57400</v>
      </c>
      <c r="I123" s="81">
        <f>+Tabla134[[#This Row],[Precio Total en Pesos]]*3%</f>
        <v>1722</v>
      </c>
    </row>
    <row r="124" spans="2:9" ht="15" customHeight="1" x14ac:dyDescent="0.3">
      <c r="B124" s="48" t="s">
        <v>107</v>
      </c>
      <c r="C124" s="83">
        <v>260</v>
      </c>
      <c r="D124" s="110">
        <f>SUM(Tabla1343[[#This Row],[Columna1]:[Columna5]])</f>
        <v>4</v>
      </c>
      <c r="E124" s="50" t="s">
        <v>279</v>
      </c>
      <c r="F124" s="94" t="s">
        <v>230</v>
      </c>
      <c r="G124" s="96">
        <v>27.84</v>
      </c>
      <c r="H124" s="81">
        <f>+Tabla134[[#This Row],[Cantidad]]*Tabla134[[#This Row],[Precio Unitario en Pesos /   €]]*I$3</f>
        <v>1038710.3999999999</v>
      </c>
      <c r="I124" s="81">
        <f>+Tabla134[[#This Row],[Precio Total en Pesos]]*3%</f>
        <v>31161.311999999994</v>
      </c>
    </row>
    <row r="125" spans="2:9" ht="15" customHeight="1" x14ac:dyDescent="0.3">
      <c r="B125" s="48" t="s">
        <v>101</v>
      </c>
      <c r="C125" s="83">
        <v>67</v>
      </c>
      <c r="D125" s="110">
        <f>SUM(Tabla1343[[#This Row],[Columna1]:[Columna5]])</f>
        <v>258</v>
      </c>
      <c r="E125" s="50" t="s">
        <v>279</v>
      </c>
      <c r="F125" s="94" t="s">
        <v>230</v>
      </c>
      <c r="G125" s="96">
        <v>33.32</v>
      </c>
      <c r="H125" s="81">
        <f>+Tabla134[[#This Row],[Cantidad]]*Tabla134[[#This Row],[Precio Unitario en Pesos /   €]]*I$3</f>
        <v>320355.14</v>
      </c>
      <c r="I125" s="81">
        <f>+Tabla134[[#This Row],[Precio Total en Pesos]]*3%</f>
        <v>9610.6542000000009</v>
      </c>
    </row>
    <row r="126" spans="2:9" ht="15" customHeight="1" x14ac:dyDescent="0.3">
      <c r="B126" s="48" t="s">
        <v>227</v>
      </c>
      <c r="C126" s="83">
        <v>1526</v>
      </c>
      <c r="D126" s="110">
        <f>SUM(Tabla1343[[#This Row],[Columna1]:[Columna5]])</f>
        <v>65</v>
      </c>
      <c r="E126" s="50" t="s">
        <v>279</v>
      </c>
      <c r="F126" s="94" t="s">
        <v>230</v>
      </c>
      <c r="G126" s="96">
        <v>52.62</v>
      </c>
      <c r="H126" s="81">
        <f>+Tabla134[[#This Row],[Cantidad]]*Tabla134[[#This Row],[Precio Unitario en Pesos /   €]]*I$3</f>
        <v>11522780.219999999</v>
      </c>
      <c r="I126" s="81">
        <f>+Tabla134[[#This Row],[Precio Total en Pesos]]*3%</f>
        <v>345683.40659999993</v>
      </c>
    </row>
    <row r="127" spans="2:9" ht="15" customHeight="1" x14ac:dyDescent="0.3">
      <c r="B127" s="48" t="s">
        <v>108</v>
      </c>
      <c r="C127" s="83">
        <v>15</v>
      </c>
      <c r="D127" s="110">
        <f>SUM(Tabla1343[[#This Row],[Columna1]:[Columna5]])</f>
        <v>1526</v>
      </c>
      <c r="E127" s="50" t="s">
        <v>279</v>
      </c>
      <c r="F127" s="94" t="s">
        <v>230</v>
      </c>
      <c r="G127" s="96">
        <v>33.32</v>
      </c>
      <c r="H127" s="81">
        <f>+Tabla134[[#This Row],[Cantidad]]*Tabla134[[#This Row],[Precio Unitario en Pesos /   €]]*I$3</f>
        <v>71721.3</v>
      </c>
      <c r="I127" s="81">
        <f>+Tabla134[[#This Row],[Precio Total en Pesos]]*3%</f>
        <v>2151.6390000000001</v>
      </c>
    </row>
    <row r="128" spans="2:9" ht="15" customHeight="1" x14ac:dyDescent="0.3">
      <c r="B128" s="48" t="s">
        <v>109</v>
      </c>
      <c r="C128" s="83">
        <v>29</v>
      </c>
      <c r="D128" s="110">
        <f>SUM(Tabla1343[[#This Row],[Columna1]:[Columna5]])</f>
        <v>15</v>
      </c>
      <c r="E128" s="50" t="s">
        <v>279</v>
      </c>
      <c r="F128" s="94" t="s">
        <v>230</v>
      </c>
      <c r="G128" s="96"/>
      <c r="H128" s="81">
        <f>+Tabla134[[#This Row],[Cantidad]]*Tabla134[[#This Row],[Precio Unitario en Pesos /   €]]*I$3</f>
        <v>0</v>
      </c>
      <c r="I128" s="81">
        <f>+Tabla134[[#This Row],[Precio Total en Pesos]]*3%</f>
        <v>0</v>
      </c>
    </row>
    <row r="129" spans="2:9" ht="15" customHeight="1" x14ac:dyDescent="0.3">
      <c r="B129" s="48" t="s">
        <v>26</v>
      </c>
      <c r="C129" s="83">
        <v>71</v>
      </c>
      <c r="D129" s="110">
        <f>SUM(Tabla1343[[#This Row],[Columna1]:[Columna5]])</f>
        <v>29</v>
      </c>
      <c r="E129" s="50" t="s">
        <v>279</v>
      </c>
      <c r="F129" s="94" t="s">
        <v>230</v>
      </c>
      <c r="G129" s="96">
        <v>78</v>
      </c>
      <c r="H129" s="81">
        <f>+Tabla134[[#This Row],[Cantidad]]*Tabla134[[#This Row],[Precio Unitario en Pesos /   €]]*I$3</f>
        <v>794703</v>
      </c>
      <c r="I129" s="81">
        <f>+Tabla134[[#This Row],[Precio Total en Pesos]]*3%</f>
        <v>23841.09</v>
      </c>
    </row>
    <row r="130" spans="2:9" ht="15" customHeight="1" x14ac:dyDescent="0.3">
      <c r="B130" s="48" t="s">
        <v>113</v>
      </c>
      <c r="C130" s="83">
        <v>9</v>
      </c>
      <c r="D130" s="110">
        <f>SUM(Tabla1343[[#This Row],[Columna1]:[Columna5]])</f>
        <v>71</v>
      </c>
      <c r="E130" s="50" t="s">
        <v>279</v>
      </c>
      <c r="F130" s="94" t="s">
        <v>230</v>
      </c>
      <c r="G130" s="96">
        <v>47.06</v>
      </c>
      <c r="H130" s="81">
        <f>+Tabla134[[#This Row],[Cantidad]]*Tabla134[[#This Row],[Precio Unitario en Pesos /   €]]*I$3</f>
        <v>60777.990000000005</v>
      </c>
      <c r="I130" s="81">
        <f>+Tabla134[[#This Row],[Precio Total en Pesos]]*3%</f>
        <v>1823.3397</v>
      </c>
    </row>
    <row r="131" spans="2:9" ht="15" customHeight="1" x14ac:dyDescent="0.3">
      <c r="B131" s="53" t="s">
        <v>111</v>
      </c>
      <c r="C131" s="84">
        <v>12</v>
      </c>
      <c r="D131" s="112">
        <f>SUM(Tabla1343[[#This Row],[Columna1]:[Columna5]])</f>
        <v>9</v>
      </c>
      <c r="E131" s="69" t="s">
        <v>279</v>
      </c>
      <c r="F131" s="94" t="s">
        <v>230</v>
      </c>
      <c r="G131" s="96"/>
      <c r="H131" s="81">
        <f>+Tabla134[[#This Row],[Cantidad]]*Tabla134[[#This Row],[Precio Unitario en Pesos /   €]]*I$3</f>
        <v>0</v>
      </c>
      <c r="I131" s="81">
        <f>+Tabla134[[#This Row],[Precio Total en Pesos]]*3%</f>
        <v>0</v>
      </c>
    </row>
    <row r="132" spans="2:9" ht="15" customHeight="1" x14ac:dyDescent="0.3">
      <c r="B132" s="48" t="s">
        <v>110</v>
      </c>
      <c r="C132" s="83">
        <v>109</v>
      </c>
      <c r="D132" s="110">
        <f>SUM(Tabla1343[[#This Row],[Columna1]:[Columna5]])</f>
        <v>12</v>
      </c>
      <c r="E132" s="50" t="s">
        <v>279</v>
      </c>
      <c r="F132" s="94" t="s">
        <v>230</v>
      </c>
      <c r="G132" s="96">
        <v>80.86</v>
      </c>
      <c r="H132" s="81">
        <f>+Tabla134[[#This Row],[Cantidad]]*Tabla134[[#This Row],[Precio Unitario en Pesos /   €]]*I$3</f>
        <v>1264771.69</v>
      </c>
      <c r="I132" s="81">
        <f>+Tabla134[[#This Row],[Precio Total en Pesos]]*3%</f>
        <v>37943.150699999998</v>
      </c>
    </row>
    <row r="133" spans="2:9" ht="15" customHeight="1" x14ac:dyDescent="0.3">
      <c r="B133" s="48" t="s">
        <v>263</v>
      </c>
      <c r="C133" s="83">
        <v>15</v>
      </c>
      <c r="D133" s="110">
        <f>SUM(Tabla1343[[#This Row],[Columna1]:[Columna5]])</f>
        <v>109</v>
      </c>
      <c r="E133" s="50" t="s">
        <v>279</v>
      </c>
      <c r="F133" s="94" t="s">
        <v>230</v>
      </c>
      <c r="G133" s="96">
        <v>97.79</v>
      </c>
      <c r="H133" s="81">
        <f>+Tabla134[[#This Row],[Cantidad]]*Tabla134[[#This Row],[Precio Unitario en Pesos /   €]]*I$3</f>
        <v>210492.97500000001</v>
      </c>
      <c r="I133" s="81">
        <f>+Tabla134[[#This Row],[Precio Total en Pesos]]*3%</f>
        <v>6314.7892499999998</v>
      </c>
    </row>
    <row r="134" spans="2:9" ht="15" customHeight="1" x14ac:dyDescent="0.3">
      <c r="B134" s="53" t="s">
        <v>163</v>
      </c>
      <c r="C134" s="84">
        <v>2</v>
      </c>
      <c r="D134" s="112">
        <f>SUM(Tabla1343[[#This Row],[Columna1]:[Columna5]])</f>
        <v>15</v>
      </c>
      <c r="E134" s="69" t="s">
        <v>279</v>
      </c>
      <c r="F134" s="94" t="s">
        <v>230</v>
      </c>
      <c r="G134" s="96">
        <v>33.54</v>
      </c>
      <c r="H134" s="81">
        <f>+Tabla134[[#This Row],[Cantidad]]*Tabla134[[#This Row],[Precio Unitario en Pesos /   €]]*I$3</f>
        <v>9625.98</v>
      </c>
      <c r="I134" s="81">
        <f>+Tabla134[[#This Row],[Precio Total en Pesos]]*3%</f>
        <v>288.77939999999995</v>
      </c>
    </row>
    <row r="135" spans="2:9" ht="15" customHeight="1" x14ac:dyDescent="0.3">
      <c r="B135" s="48" t="s">
        <v>228</v>
      </c>
      <c r="C135" s="83">
        <v>926</v>
      </c>
      <c r="D135" s="110">
        <f>SUM(Tabla1343[[#This Row],[Columna1]:[Columna5]])</f>
        <v>2</v>
      </c>
      <c r="E135" s="50" t="s">
        <v>279</v>
      </c>
      <c r="F135" s="94" t="s">
        <v>230</v>
      </c>
      <c r="G135" s="96">
        <v>29.6</v>
      </c>
      <c r="H135" s="81">
        <f>+Tabla134[[#This Row],[Cantidad]]*Tabla134[[#This Row],[Precio Unitario en Pesos /   €]]*I$3</f>
        <v>3933277.6</v>
      </c>
      <c r="I135" s="81">
        <f>+Tabla134[[#This Row],[Precio Total en Pesos]]*3%</f>
        <v>117998.32799999999</v>
      </c>
    </row>
    <row r="136" spans="2:9" ht="15" customHeight="1" x14ac:dyDescent="0.3">
      <c r="B136" s="53" t="s">
        <v>229</v>
      </c>
      <c r="C136" s="84">
        <v>56</v>
      </c>
      <c r="D136" s="112">
        <f>SUM(Tabla1343[[#This Row],[Columna1]:[Columna5]])</f>
        <v>926</v>
      </c>
      <c r="E136" s="69" t="s">
        <v>279</v>
      </c>
      <c r="F136" s="94" t="s">
        <v>230</v>
      </c>
      <c r="G136" s="96">
        <v>27.46</v>
      </c>
      <c r="H136" s="81">
        <f>+Tabla134[[#This Row],[Cantidad]]*Tabla134[[#This Row],[Precio Unitario en Pesos /   €]]*I$3</f>
        <v>220668.56</v>
      </c>
      <c r="I136" s="81">
        <f>+Tabla134[[#This Row],[Precio Total en Pesos]]*3%</f>
        <v>6620.0567999999994</v>
      </c>
    </row>
    <row r="137" spans="2:9" ht="15" customHeight="1" x14ac:dyDescent="0.3">
      <c r="B137" s="48" t="s">
        <v>235</v>
      </c>
      <c r="C137" s="83">
        <v>50</v>
      </c>
      <c r="D137" s="110">
        <f>SUM(Tabla1343[[#This Row],[Columna1]:[Columna5]])</f>
        <v>56</v>
      </c>
      <c r="E137" s="50" t="s">
        <v>279</v>
      </c>
      <c r="F137" s="94" t="s">
        <v>230</v>
      </c>
      <c r="G137" s="96">
        <v>25.86</v>
      </c>
      <c r="H137" s="81">
        <f>+Tabla134[[#This Row],[Cantidad]]*Tabla134[[#This Row],[Precio Unitario en Pesos /   €]]*I$3</f>
        <v>185545.5</v>
      </c>
      <c r="I137" s="81">
        <f>+Tabla134[[#This Row],[Precio Total en Pesos]]*3%</f>
        <v>5566.3649999999998</v>
      </c>
    </row>
    <row r="138" spans="2:9" ht="15" customHeight="1" x14ac:dyDescent="0.3">
      <c r="B138" s="48" t="s">
        <v>236</v>
      </c>
      <c r="C138" s="83">
        <v>50</v>
      </c>
      <c r="D138" s="110">
        <f>SUM(Tabla1343[[#This Row],[Columna1]:[Columna5]])</f>
        <v>50</v>
      </c>
      <c r="E138" s="50" t="s">
        <v>279</v>
      </c>
      <c r="F138" s="94" t="s">
        <v>230</v>
      </c>
      <c r="G138" s="96">
        <v>24.44</v>
      </c>
      <c r="H138" s="81">
        <f>+Tabla134[[#This Row],[Cantidad]]*Tabla134[[#This Row],[Precio Unitario en Pesos /   €]]*I$3</f>
        <v>175357</v>
      </c>
      <c r="I138" s="81">
        <f>+Tabla134[[#This Row],[Precio Total en Pesos]]*3%</f>
        <v>5260.71</v>
      </c>
    </row>
    <row r="139" spans="2:9" ht="15" customHeight="1" x14ac:dyDescent="0.3">
      <c r="B139" s="48" t="s">
        <v>105</v>
      </c>
      <c r="C139" s="83">
        <v>17</v>
      </c>
      <c r="D139" s="110">
        <f>SUM(Tabla1343[[#This Row],[Columna1]:[Columna5]])</f>
        <v>50</v>
      </c>
      <c r="E139" s="50" t="s">
        <v>279</v>
      </c>
      <c r="F139" s="94" t="s">
        <v>230</v>
      </c>
      <c r="G139" s="96">
        <v>32.75</v>
      </c>
      <c r="H139" s="81">
        <f>+Tabla134[[#This Row],[Cantidad]]*Tabla134[[#This Row],[Precio Unitario en Pesos /   €]]*I$3</f>
        <v>79893.625</v>
      </c>
      <c r="I139" s="81">
        <f>+Tabla134[[#This Row],[Precio Total en Pesos]]*3%</f>
        <v>2396.8087499999997</v>
      </c>
    </row>
    <row r="140" spans="2:9" ht="15" customHeight="1" x14ac:dyDescent="0.3">
      <c r="B140" s="48" t="s">
        <v>106</v>
      </c>
      <c r="C140" s="83">
        <v>145</v>
      </c>
      <c r="D140" s="110">
        <f>SUM(Tabla1343[[#This Row],[Columna1]:[Columna5]])</f>
        <v>17</v>
      </c>
      <c r="E140" s="50" t="s">
        <v>279</v>
      </c>
      <c r="F140" s="94" t="s">
        <v>230</v>
      </c>
      <c r="G140" s="96">
        <v>31.33</v>
      </c>
      <c r="H140" s="81">
        <f>+Tabla134[[#This Row],[Cantidad]]*Tabla134[[#This Row],[Precio Unitario en Pesos /   €]]*I$3</f>
        <v>651898.97499999998</v>
      </c>
      <c r="I140" s="81">
        <f>+Tabla134[[#This Row],[Precio Total en Pesos]]*3%</f>
        <v>19556.969249999998</v>
      </c>
    </row>
    <row r="141" spans="2:9" ht="15" customHeight="1" x14ac:dyDescent="0.3">
      <c r="B141" s="48" t="s">
        <v>144</v>
      </c>
      <c r="C141" s="83">
        <v>27</v>
      </c>
      <c r="D141" s="121">
        <f>SUM(Tabla1343[[#This Row],[Columna1]:[Columna5]])</f>
        <v>145</v>
      </c>
      <c r="E141" s="50" t="s">
        <v>279</v>
      </c>
      <c r="F141" s="94" t="s">
        <v>230</v>
      </c>
      <c r="G141" s="96">
        <v>50.05</v>
      </c>
      <c r="H141" s="81">
        <f>+Tabla134[[#This Row],[Cantidad]]*Tabla134[[#This Row],[Precio Unitario en Pesos /   €]]*I$3</f>
        <v>193918.72499999998</v>
      </c>
      <c r="I141" s="81">
        <f>+Tabla134[[#This Row],[Precio Total en Pesos]]*3%</f>
        <v>5817.5617499999989</v>
      </c>
    </row>
    <row r="142" spans="2:9" ht="15" customHeight="1" x14ac:dyDescent="0.3">
      <c r="B142" s="48" t="s">
        <v>234</v>
      </c>
      <c r="C142" s="83">
        <v>80</v>
      </c>
      <c r="D142" s="110">
        <f>SUM(Tabla1343[[#This Row],[Columna1]:[Columna5]])</f>
        <v>23</v>
      </c>
      <c r="E142" s="50" t="s">
        <v>279</v>
      </c>
      <c r="F142" s="94" t="s">
        <v>230</v>
      </c>
      <c r="G142" s="96">
        <v>32.07</v>
      </c>
      <c r="H142" s="81">
        <f>+Tabla134[[#This Row],[Cantidad]]*Tabla134[[#This Row],[Precio Unitario en Pesos /   €]]*I$3</f>
        <v>368163.6</v>
      </c>
      <c r="I142" s="81">
        <f>+Tabla134[[#This Row],[Precio Total en Pesos]]*3%</f>
        <v>11044.907999999999</v>
      </c>
    </row>
    <row r="143" spans="2:9" ht="15" customHeight="1" x14ac:dyDescent="0.3">
      <c r="B143" s="53" t="s">
        <v>102</v>
      </c>
      <c r="C143" s="84">
        <v>15</v>
      </c>
      <c r="D143" s="112">
        <f>SUM(Tabla1343[[#This Row],[Columna1]:[Columna5]])</f>
        <v>80</v>
      </c>
      <c r="E143" s="69" t="s">
        <v>279</v>
      </c>
      <c r="F143" s="94" t="s">
        <v>230</v>
      </c>
      <c r="G143" s="96">
        <v>46.94</v>
      </c>
      <c r="H143" s="81">
        <f>+Tabla134[[#This Row],[Cantidad]]*Tabla134[[#This Row],[Precio Unitario en Pesos /   €]]*I$3</f>
        <v>101038.34999999999</v>
      </c>
      <c r="I143" s="81">
        <f>+Tabla134[[#This Row],[Precio Total en Pesos]]*3%</f>
        <v>3031.1504999999997</v>
      </c>
    </row>
    <row r="144" spans="2:9" ht="15" customHeight="1" x14ac:dyDescent="0.3">
      <c r="B144" s="53" t="s">
        <v>67</v>
      </c>
      <c r="C144" s="84">
        <v>237</v>
      </c>
      <c r="D144" s="112">
        <f>SUM(Tabla1343[[#This Row],[Columna1]:[Columna5]])</f>
        <v>15</v>
      </c>
      <c r="E144" s="69" t="s">
        <v>279</v>
      </c>
      <c r="F144" s="94" t="s">
        <v>230</v>
      </c>
      <c r="G144" s="96">
        <v>121.26</v>
      </c>
      <c r="H144" s="81">
        <f>+Tabla134[[#This Row],[Cantidad]]*Tabla134[[#This Row],[Precio Unitario en Pesos /   €]]*I$3</f>
        <v>4123991.97</v>
      </c>
      <c r="I144" s="81">
        <f>+Tabla134[[#This Row],[Precio Total en Pesos]]*3%</f>
        <v>123719.7591</v>
      </c>
    </row>
    <row r="145" spans="2:9" x14ac:dyDescent="0.3">
      <c r="B145"/>
      <c r="C145"/>
      <c r="D145"/>
      <c r="F145"/>
      <c r="G145"/>
      <c r="H145"/>
      <c r="I145"/>
    </row>
    <row r="146" spans="2:9" ht="15" thickBot="1" x14ac:dyDescent="0.35"/>
    <row r="147" spans="2:9" ht="18.600000000000001" thickBot="1" x14ac:dyDescent="0.35">
      <c r="B147" s="412" t="s">
        <v>267</v>
      </c>
      <c r="C147" s="413"/>
      <c r="D147" s="413"/>
      <c r="E147" s="413"/>
      <c r="F147" s="413"/>
      <c r="G147" s="413"/>
      <c r="H147" s="413"/>
      <c r="I147" s="414"/>
    </row>
    <row r="148" spans="2:9" ht="15" thickBot="1" x14ac:dyDescent="0.35">
      <c r="B148" s="415" t="s">
        <v>289</v>
      </c>
      <c r="C148" s="416"/>
      <c r="D148" s="416"/>
      <c r="E148" s="416"/>
      <c r="F148" s="416"/>
      <c r="G148" s="416"/>
      <c r="H148" s="416"/>
      <c r="I148" s="417"/>
    </row>
    <row r="149" spans="2:9" ht="19.95" customHeight="1" thickBot="1" x14ac:dyDescent="0.35">
      <c r="B149" s="40" t="s">
        <v>0</v>
      </c>
      <c r="C149" s="41" t="s">
        <v>1</v>
      </c>
      <c r="D149" s="41"/>
      <c r="E149" s="41" t="s">
        <v>269</v>
      </c>
      <c r="F149" s="42" t="s">
        <v>225</v>
      </c>
      <c r="G149" s="42"/>
      <c r="H149" s="90" t="s">
        <v>21</v>
      </c>
      <c r="I149" s="91" t="s">
        <v>5</v>
      </c>
    </row>
    <row r="150" spans="2:9" x14ac:dyDescent="0.3">
      <c r="B150" s="70" t="s">
        <v>275</v>
      </c>
      <c r="C150" s="71">
        <v>12</v>
      </c>
      <c r="D150" s="71"/>
      <c r="E150" s="59" t="s">
        <v>278</v>
      </c>
      <c r="F150" s="60" t="s">
        <v>243</v>
      </c>
      <c r="G150" s="60"/>
      <c r="H150" s="60"/>
      <c r="I150" s="60"/>
    </row>
    <row r="151" spans="2:9" x14ac:dyDescent="0.3">
      <c r="B151" s="3" t="s">
        <v>200</v>
      </c>
      <c r="C151" s="4">
        <v>2</v>
      </c>
      <c r="D151" s="10"/>
      <c r="E151" s="61" t="s">
        <v>278</v>
      </c>
      <c r="F151" s="60"/>
      <c r="G151" s="60"/>
      <c r="H151" s="60"/>
      <c r="I151" s="60"/>
    </row>
    <row r="152" spans="2:9" x14ac:dyDescent="0.3">
      <c r="B152" s="47" t="s">
        <v>202</v>
      </c>
      <c r="C152" s="58">
        <v>2</v>
      </c>
      <c r="D152" s="114"/>
      <c r="E152" s="59" t="s">
        <v>278</v>
      </c>
      <c r="F152" s="60"/>
      <c r="G152" s="60"/>
      <c r="H152" s="60"/>
      <c r="I152" s="60"/>
    </row>
    <row r="153" spans="2:9" x14ac:dyDescent="0.3">
      <c r="B153" s="3" t="s">
        <v>201</v>
      </c>
      <c r="C153" s="4">
        <v>1</v>
      </c>
      <c r="D153" s="10"/>
      <c r="E153" s="61" t="s">
        <v>278</v>
      </c>
      <c r="F153" s="60"/>
      <c r="G153" s="60"/>
      <c r="H153" s="60"/>
      <c r="I153" s="60"/>
    </row>
    <row r="154" spans="2:9" x14ac:dyDescent="0.3">
      <c r="B154" s="47" t="s">
        <v>137</v>
      </c>
      <c r="C154" s="58">
        <v>2</v>
      </c>
      <c r="D154" s="114"/>
      <c r="E154" s="59" t="s">
        <v>278</v>
      </c>
      <c r="F154" s="60" t="s">
        <v>273</v>
      </c>
      <c r="G154" s="60"/>
      <c r="H154" s="60"/>
      <c r="I154" s="60"/>
    </row>
    <row r="155" spans="2:9" x14ac:dyDescent="0.3">
      <c r="B155" s="3" t="s">
        <v>214</v>
      </c>
      <c r="C155" s="4">
        <v>24</v>
      </c>
      <c r="D155" s="10"/>
      <c r="E155" s="61" t="s">
        <v>278</v>
      </c>
      <c r="F155" s="60" t="s">
        <v>265</v>
      </c>
      <c r="G155" s="60"/>
      <c r="H155" s="60"/>
      <c r="I155" s="60"/>
    </row>
    <row r="156" spans="2:9" x14ac:dyDescent="0.3">
      <c r="B156" s="47" t="s">
        <v>213</v>
      </c>
      <c r="C156" s="58">
        <v>8</v>
      </c>
      <c r="D156" s="114"/>
      <c r="E156" s="59" t="s">
        <v>278</v>
      </c>
      <c r="F156" s="60" t="s">
        <v>265</v>
      </c>
      <c r="G156" s="60"/>
      <c r="H156" s="60"/>
      <c r="I156" s="60"/>
    </row>
    <row r="157" spans="2:9" x14ac:dyDescent="0.3">
      <c r="B157" s="3" t="s">
        <v>126</v>
      </c>
      <c r="C157" s="4">
        <v>2</v>
      </c>
      <c r="D157" s="10"/>
      <c r="E157" s="61" t="s">
        <v>278</v>
      </c>
      <c r="F157" s="60" t="s">
        <v>270</v>
      </c>
      <c r="G157" s="60"/>
      <c r="H157" s="60"/>
      <c r="I157" s="60"/>
    </row>
    <row r="158" spans="2:9" x14ac:dyDescent="0.3">
      <c r="B158" s="47" t="s">
        <v>50</v>
      </c>
      <c r="C158" s="58">
        <v>13</v>
      </c>
      <c r="D158" s="114"/>
      <c r="E158" s="59" t="s">
        <v>278</v>
      </c>
      <c r="F158" s="60"/>
      <c r="G158" s="60"/>
      <c r="H158" s="60"/>
      <c r="I158" s="60"/>
    </row>
    <row r="159" spans="2:9" x14ac:dyDescent="0.3">
      <c r="B159" s="3" t="s">
        <v>252</v>
      </c>
      <c r="C159" s="4">
        <v>74</v>
      </c>
      <c r="D159" s="10"/>
      <c r="E159" s="61" t="s">
        <v>278</v>
      </c>
      <c r="F159" s="60" t="s">
        <v>253</v>
      </c>
      <c r="G159" s="60"/>
      <c r="H159" s="60"/>
      <c r="I159" s="60"/>
    </row>
    <row r="160" spans="2:9" x14ac:dyDescent="0.3">
      <c r="B160" s="47" t="s">
        <v>222</v>
      </c>
      <c r="C160" s="58">
        <v>2</v>
      </c>
      <c r="D160" s="114"/>
      <c r="E160" s="59" t="s">
        <v>278</v>
      </c>
      <c r="F160" s="60" t="s">
        <v>265</v>
      </c>
      <c r="G160" s="60"/>
      <c r="H160" s="60"/>
      <c r="I160" s="60"/>
    </row>
    <row r="161" spans="2:9" x14ac:dyDescent="0.3">
      <c r="B161" s="3" t="s">
        <v>223</v>
      </c>
      <c r="C161" s="4">
        <v>3</v>
      </c>
      <c r="D161" s="10"/>
      <c r="E161" s="61" t="s">
        <v>278</v>
      </c>
      <c r="F161" s="60" t="s">
        <v>265</v>
      </c>
      <c r="G161" s="60"/>
      <c r="H161" s="60"/>
      <c r="I161" s="60"/>
    </row>
    <row r="162" spans="2:9" x14ac:dyDescent="0.3">
      <c r="B162" s="47" t="s">
        <v>215</v>
      </c>
      <c r="C162" s="58">
        <v>12</v>
      </c>
      <c r="D162" s="114"/>
      <c r="E162" s="59" t="s">
        <v>278</v>
      </c>
      <c r="F162" s="60" t="s">
        <v>265</v>
      </c>
      <c r="G162" s="60"/>
      <c r="H162" s="60"/>
      <c r="I162" s="60"/>
    </row>
    <row r="163" spans="2:9" x14ac:dyDescent="0.3">
      <c r="B163" s="3" t="s">
        <v>212</v>
      </c>
      <c r="C163" s="4">
        <v>1</v>
      </c>
      <c r="D163" s="10"/>
      <c r="E163" s="61" t="s">
        <v>278</v>
      </c>
      <c r="F163" s="60" t="s">
        <v>265</v>
      </c>
      <c r="G163" s="60"/>
      <c r="H163" s="60"/>
      <c r="I163" s="60"/>
    </row>
    <row r="164" spans="2:9" x14ac:dyDescent="0.3">
      <c r="B164" s="47" t="s">
        <v>211</v>
      </c>
      <c r="C164" s="58">
        <v>1</v>
      </c>
      <c r="D164" s="114"/>
      <c r="E164" s="59" t="s">
        <v>278</v>
      </c>
      <c r="F164" s="60" t="s">
        <v>265</v>
      </c>
      <c r="G164" s="60"/>
      <c r="H164" s="60"/>
      <c r="I164" s="60"/>
    </row>
    <row r="165" spans="2:9" x14ac:dyDescent="0.3">
      <c r="B165" s="3" t="s">
        <v>94</v>
      </c>
      <c r="C165" s="4">
        <v>1</v>
      </c>
      <c r="D165" s="10"/>
      <c r="E165" s="61" t="s">
        <v>278</v>
      </c>
      <c r="F165" s="60" t="s">
        <v>272</v>
      </c>
      <c r="G165" s="60"/>
      <c r="H165" s="60"/>
      <c r="I165" s="60"/>
    </row>
    <row r="166" spans="2:9" x14ac:dyDescent="0.3">
      <c r="B166" s="47" t="s">
        <v>207</v>
      </c>
      <c r="C166" s="58">
        <v>1</v>
      </c>
      <c r="D166" s="114"/>
      <c r="E166" s="59" t="s">
        <v>278</v>
      </c>
      <c r="F166" s="60"/>
      <c r="G166" s="60"/>
      <c r="H166" s="60"/>
      <c r="I166" s="60"/>
    </row>
    <row r="167" spans="2:9" x14ac:dyDescent="0.3">
      <c r="B167" s="3" t="s">
        <v>233</v>
      </c>
      <c r="C167" s="4">
        <v>1</v>
      </c>
      <c r="D167" s="10"/>
      <c r="E167" s="61" t="s">
        <v>278</v>
      </c>
      <c r="F167" s="60" t="s">
        <v>265</v>
      </c>
      <c r="G167" s="60"/>
      <c r="H167" s="60"/>
      <c r="I167" s="60"/>
    </row>
    <row r="168" spans="2:9" x14ac:dyDescent="0.3">
      <c r="B168" s="47" t="s">
        <v>237</v>
      </c>
      <c r="C168" s="58">
        <v>1</v>
      </c>
      <c r="D168" s="114"/>
      <c r="E168" s="59" t="s">
        <v>278</v>
      </c>
      <c r="F168" s="60" t="s">
        <v>265</v>
      </c>
      <c r="G168" s="60"/>
      <c r="H168" s="60"/>
      <c r="I168" s="60"/>
    </row>
    <row r="169" spans="2:9" x14ac:dyDescent="0.3">
      <c r="B169" s="3" t="s">
        <v>238</v>
      </c>
      <c r="C169" s="4">
        <v>4</v>
      </c>
      <c r="D169" s="10"/>
      <c r="E169" s="61" t="s">
        <v>278</v>
      </c>
      <c r="F169" s="60" t="s">
        <v>265</v>
      </c>
      <c r="G169" s="60"/>
      <c r="H169" s="60"/>
      <c r="I169" s="60"/>
    </row>
    <row r="170" spans="2:9" x14ac:dyDescent="0.3">
      <c r="B170" s="62" t="s">
        <v>220</v>
      </c>
      <c r="C170" s="63">
        <v>2</v>
      </c>
      <c r="D170" s="115"/>
      <c r="E170" s="59" t="s">
        <v>278</v>
      </c>
      <c r="F170" s="64" t="s">
        <v>265</v>
      </c>
      <c r="G170" s="64"/>
      <c r="H170" s="64"/>
      <c r="I170" s="64"/>
    </row>
    <row r="171" spans="2:9" x14ac:dyDescent="0.3">
      <c r="B171" s="65" t="s">
        <v>221</v>
      </c>
      <c r="C171" s="66">
        <v>2</v>
      </c>
      <c r="D171" s="113"/>
      <c r="E171" s="61" t="s">
        <v>278</v>
      </c>
      <c r="F171" s="64" t="s">
        <v>265</v>
      </c>
      <c r="G171" s="64"/>
      <c r="H171" s="64"/>
      <c r="I171" s="64"/>
    </row>
    <row r="172" spans="2:9" x14ac:dyDescent="0.3">
      <c r="B172" s="85" t="s">
        <v>216</v>
      </c>
      <c r="C172" s="86">
        <v>8</v>
      </c>
      <c r="D172" s="116"/>
      <c r="E172" s="87" t="s">
        <v>278</v>
      </c>
      <c r="F172" s="88" t="s">
        <v>265</v>
      </c>
      <c r="G172" s="88"/>
      <c r="H172" s="88"/>
      <c r="I172" s="88"/>
    </row>
  </sheetData>
  <mergeCells count="4">
    <mergeCell ref="B2:I2"/>
    <mergeCell ref="B147:I147"/>
    <mergeCell ref="B148:I148"/>
    <mergeCell ref="B3:G3"/>
  </mergeCells>
  <pageMargins left="0.31496062992125984" right="0.11811023622047245" top="0.19685039370078741" bottom="0.19685039370078741" header="0.31496062992125984" footer="0.31496062992125984"/>
  <pageSetup scale="80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4"/>
  <sheetViews>
    <sheetView zoomScale="110" zoomScaleNormal="110" workbookViewId="0">
      <selection activeCell="B5" sqref="B5:B21"/>
    </sheetView>
  </sheetViews>
  <sheetFormatPr baseColWidth="10" defaultRowHeight="14.4" x14ac:dyDescent="0.3"/>
  <cols>
    <col min="1" max="1" width="1.6640625" customWidth="1"/>
    <col min="2" max="2" width="34.109375" style="2" bestFit="1" customWidth="1"/>
    <col min="3" max="3" width="13.6640625" style="1" customWidth="1"/>
    <col min="4" max="4" width="14" style="1" hidden="1" customWidth="1"/>
    <col min="5" max="5" width="13.6640625" customWidth="1"/>
    <col min="6" max="6" width="18" style="43" customWidth="1"/>
    <col min="7" max="7" width="15.6640625" style="43" customWidth="1"/>
    <col min="8" max="8" width="15.44140625" style="43" customWidth="1"/>
    <col min="9" max="9" width="15.6640625" style="43" customWidth="1"/>
    <col min="10" max="10" width="11.5546875" customWidth="1"/>
  </cols>
  <sheetData>
    <row r="1" spans="2:10" ht="15" thickBot="1" x14ac:dyDescent="0.35"/>
    <row r="2" spans="2:10" ht="26.25" customHeight="1" thickBot="1" x14ac:dyDescent="0.35">
      <c r="B2" s="412" t="s">
        <v>267</v>
      </c>
      <c r="C2" s="413"/>
      <c r="D2" s="413"/>
      <c r="E2" s="413"/>
      <c r="F2" s="413"/>
      <c r="G2" s="413"/>
      <c r="H2" s="413"/>
      <c r="I2" s="414"/>
    </row>
    <row r="3" spans="2:10" ht="15" customHeight="1" thickBot="1" x14ac:dyDescent="0.35">
      <c r="B3" s="415" t="s">
        <v>288</v>
      </c>
      <c r="C3" s="416"/>
      <c r="D3" s="416"/>
      <c r="E3" s="416"/>
      <c r="F3" s="416"/>
      <c r="G3" s="417"/>
      <c r="H3" s="98" t="s">
        <v>303</v>
      </c>
      <c r="I3" s="99">
        <v>143.5</v>
      </c>
    </row>
    <row r="4" spans="2:10" s="1" customFormat="1" ht="25.2" customHeight="1" thickBot="1" x14ac:dyDescent="0.35">
      <c r="B4" s="100" t="s">
        <v>0</v>
      </c>
      <c r="C4" s="101" t="s">
        <v>1</v>
      </c>
      <c r="D4" s="101" t="s">
        <v>308</v>
      </c>
      <c r="E4" s="101" t="s">
        <v>269</v>
      </c>
      <c r="F4" s="102" t="s">
        <v>225</v>
      </c>
      <c r="G4" s="103" t="s">
        <v>311</v>
      </c>
      <c r="H4" s="127" t="s">
        <v>312</v>
      </c>
      <c r="I4" s="104" t="s">
        <v>5</v>
      </c>
      <c r="J4"/>
    </row>
    <row r="5" spans="2:10" ht="15" customHeight="1" x14ac:dyDescent="0.3">
      <c r="B5" s="3" t="s">
        <v>148</v>
      </c>
      <c r="C5" s="4">
        <v>4</v>
      </c>
      <c r="D5" s="10">
        <f>SUM(Tabla1343[[#This Row],[Columna1]:[Columna5]])</f>
        <v>7</v>
      </c>
      <c r="E5" s="11"/>
      <c r="F5" s="92" t="s">
        <v>290</v>
      </c>
      <c r="G5" s="92">
        <v>60000</v>
      </c>
      <c r="H5" s="44">
        <f>+Tabla1345[[#This Row],[Cantidad]]*Tabla1345[[#This Row],[Precio Unitario en Pesos /   €]]</f>
        <v>240000</v>
      </c>
      <c r="I5" s="44">
        <f>+Tabla1345[[#This Row],[Precio Total en Pesos]]*3%</f>
        <v>7200</v>
      </c>
    </row>
    <row r="6" spans="2:10" ht="15" customHeight="1" x14ac:dyDescent="0.3">
      <c r="B6" s="3" t="s">
        <v>293</v>
      </c>
      <c r="C6" s="80">
        <v>19</v>
      </c>
      <c r="D6" s="108">
        <f>SUM(Tabla1343[[#This Row],[Columna1]:[Columna5]])</f>
        <v>4</v>
      </c>
      <c r="E6" s="11"/>
      <c r="F6" s="92" t="s">
        <v>291</v>
      </c>
      <c r="G6" s="93">
        <v>4650</v>
      </c>
      <c r="H6" s="44">
        <f>+Tabla1345[[#This Row],[Cantidad]]*Tabla1345[[#This Row],[Precio Unitario en Pesos /   €]]</f>
        <v>88350</v>
      </c>
      <c r="I6" s="44">
        <f>+Tabla1345[[#This Row],[Precio Total en Pesos]]*3%</f>
        <v>2650.5</v>
      </c>
    </row>
    <row r="7" spans="2:10" ht="15" customHeight="1" x14ac:dyDescent="0.3">
      <c r="B7" s="3" t="s">
        <v>173</v>
      </c>
      <c r="C7" s="80">
        <v>165</v>
      </c>
      <c r="D7" s="108">
        <f>SUM(Tabla1343[[#This Row],[Columna1]:[Columna5]])</f>
        <v>8</v>
      </c>
      <c r="E7" s="11"/>
      <c r="F7" s="92" t="s">
        <v>291</v>
      </c>
      <c r="G7" s="93">
        <v>580</v>
      </c>
      <c r="H7" s="44">
        <f>+Tabla1345[[#This Row],[Cantidad]]*Tabla1345[[#This Row],[Precio Unitario en Pesos /   €]]</f>
        <v>95700</v>
      </c>
      <c r="I7" s="44">
        <f>+Tabla1345[[#This Row],[Precio Total en Pesos]]*3%</f>
        <v>2871</v>
      </c>
    </row>
    <row r="8" spans="2:10" ht="15" customHeight="1" x14ac:dyDescent="0.3">
      <c r="B8" s="3" t="s">
        <v>27</v>
      </c>
      <c r="C8" s="80">
        <v>130</v>
      </c>
      <c r="D8" s="108">
        <f>SUM(Tabla1343[[#This Row],[Columna1]:[Columna5]])</f>
        <v>2</v>
      </c>
      <c r="E8" s="11"/>
      <c r="F8" s="92" t="s">
        <v>290</v>
      </c>
      <c r="G8" s="93">
        <v>100</v>
      </c>
      <c r="H8" s="44">
        <f>+Tabla1345[[#This Row],[Cantidad]]*Tabla1345[[#This Row],[Precio Unitario en Pesos /   €]]</f>
        <v>13000</v>
      </c>
      <c r="I8" s="44">
        <f>+Tabla1345[[#This Row],[Precio Total en Pesos]]*3%</f>
        <v>390</v>
      </c>
    </row>
    <row r="9" spans="2:10" ht="15" customHeight="1" x14ac:dyDescent="0.3">
      <c r="B9" s="3" t="s">
        <v>294</v>
      </c>
      <c r="C9" s="80">
        <v>4</v>
      </c>
      <c r="D9" s="108">
        <f>SUM(Tabla1343[[#This Row],[Columna1]:[Columna5]])</f>
        <v>9</v>
      </c>
      <c r="E9" s="11"/>
      <c r="F9" s="92" t="s">
        <v>291</v>
      </c>
      <c r="G9" s="93">
        <v>132000</v>
      </c>
      <c r="H9" s="44">
        <f>+Tabla1345[[#This Row],[Cantidad]]*Tabla1345[[#This Row],[Precio Unitario en Pesos /   €]]</f>
        <v>528000</v>
      </c>
      <c r="I9" s="44">
        <f>+Tabla1345[[#This Row],[Precio Total en Pesos]]*3%</f>
        <v>15840</v>
      </c>
    </row>
    <row r="10" spans="2:10" ht="15" customHeight="1" x14ac:dyDescent="0.3">
      <c r="B10" s="3" t="s">
        <v>98</v>
      </c>
      <c r="C10" s="80">
        <v>6</v>
      </c>
      <c r="D10" s="108">
        <f>SUM(Tabla1343[[#This Row],[Columna1]:[Columna5]])</f>
        <v>3</v>
      </c>
      <c r="E10" s="11"/>
      <c r="F10" s="92" t="s">
        <v>296</v>
      </c>
      <c r="G10" s="93">
        <v>0</v>
      </c>
      <c r="H10" s="44">
        <f>+Tabla1345[[#This Row],[Cantidad]]*Tabla1345[[#This Row],[Precio Unitario en Pesos /   €]]</f>
        <v>0</v>
      </c>
      <c r="I10" s="44">
        <f>+Tabla1345[[#This Row],[Precio Total en Pesos]]*3%</f>
        <v>0</v>
      </c>
    </row>
    <row r="11" spans="2:10" ht="15" customHeight="1" x14ac:dyDescent="0.3">
      <c r="B11" s="3" t="s">
        <v>95</v>
      </c>
      <c r="C11" s="80">
        <v>3</v>
      </c>
      <c r="D11" s="108">
        <f>SUM(Tabla1343[[#This Row],[Columna1]:[Columna5]])</f>
        <v>97</v>
      </c>
      <c r="E11" s="11"/>
      <c r="F11" s="92" t="s">
        <v>296</v>
      </c>
      <c r="G11" s="93">
        <v>0</v>
      </c>
      <c r="H11" s="44">
        <f>+Tabla1345[[#This Row],[Cantidad]]*Tabla1345[[#This Row],[Precio Unitario en Pesos /   €]]</f>
        <v>0</v>
      </c>
      <c r="I11" s="44">
        <f>+Tabla1345[[#This Row],[Precio Total en Pesos]]*3%</f>
        <v>0</v>
      </c>
    </row>
    <row r="12" spans="2:10" ht="15" customHeight="1" x14ac:dyDescent="0.3">
      <c r="B12" s="3" t="s">
        <v>97</v>
      </c>
      <c r="C12" s="80">
        <v>9</v>
      </c>
      <c r="D12" s="108">
        <f>SUM(Tabla1343[[#This Row],[Columna1]:[Columna5]])</f>
        <v>137</v>
      </c>
      <c r="E12" s="11"/>
      <c r="F12" s="92" t="s">
        <v>296</v>
      </c>
      <c r="G12" s="93">
        <v>0</v>
      </c>
      <c r="H12" s="44">
        <f>+Tabla1345[[#This Row],[Cantidad]]*Tabla1345[[#This Row],[Precio Unitario en Pesos /   €]]</f>
        <v>0</v>
      </c>
      <c r="I12" s="44">
        <f>+Tabla1345[[#This Row],[Precio Total en Pesos]]*3%</f>
        <v>0</v>
      </c>
    </row>
    <row r="13" spans="2:10" ht="15" customHeight="1" x14ac:dyDescent="0.3">
      <c r="B13" s="3" t="s">
        <v>125</v>
      </c>
      <c r="C13" s="80">
        <v>4</v>
      </c>
      <c r="D13" s="108">
        <f>SUM(Tabla1343[[#This Row],[Columna1]:[Columna5]])</f>
        <v>14</v>
      </c>
      <c r="E13" s="11"/>
      <c r="F13" s="93" t="s">
        <v>250</v>
      </c>
      <c r="G13" s="93">
        <v>27579</v>
      </c>
      <c r="H13" s="44">
        <f>+Tabla1345[[#This Row],[Cantidad]]*Tabla1345[[#This Row],[Precio Unitario en Pesos /   €]]</f>
        <v>110316</v>
      </c>
      <c r="I13" s="44">
        <f>+Tabla1345[[#This Row],[Precio Total en Pesos]]*3%</f>
        <v>3309.48</v>
      </c>
    </row>
    <row r="14" spans="2:10" ht="15" customHeight="1" x14ac:dyDescent="0.3">
      <c r="B14" s="3" t="s">
        <v>249</v>
      </c>
      <c r="C14" s="80">
        <v>3</v>
      </c>
      <c r="D14" s="108">
        <f>SUM(Tabla1343[[#This Row],[Columna1]:[Columna5]])</f>
        <v>136</v>
      </c>
      <c r="E14" s="11"/>
      <c r="F14" s="93" t="s">
        <v>250</v>
      </c>
      <c r="G14" s="93">
        <v>50635</v>
      </c>
      <c r="H14" s="44">
        <f>+Tabla1345[[#This Row],[Cantidad]]*Tabla1345[[#This Row],[Precio Unitario en Pesos /   €]]</f>
        <v>151905</v>
      </c>
      <c r="I14" s="44">
        <f>+Tabla1345[[#This Row],[Precio Total en Pesos]]*3%</f>
        <v>4557.1499999999996</v>
      </c>
    </row>
    <row r="15" spans="2:10" ht="15" customHeight="1" x14ac:dyDescent="0.3">
      <c r="B15" s="3" t="s">
        <v>127</v>
      </c>
      <c r="C15" s="80">
        <v>34</v>
      </c>
      <c r="D15" s="108">
        <f>SUM(Tabla1343[[#This Row],[Columna1]:[Columna5]])</f>
        <v>3</v>
      </c>
      <c r="E15" s="11"/>
      <c r="F15" s="93" t="s">
        <v>250</v>
      </c>
      <c r="G15" s="93">
        <v>4000</v>
      </c>
      <c r="H15" s="44">
        <f>+Tabla1345[[#This Row],[Cantidad]]*Tabla1345[[#This Row],[Precio Unitario en Pesos /   €]]</f>
        <v>136000</v>
      </c>
      <c r="I15" s="44">
        <f>+Tabla1345[[#This Row],[Precio Total en Pesos]]*3%</f>
        <v>4080</v>
      </c>
    </row>
    <row r="16" spans="2:10" ht="15" customHeight="1" x14ac:dyDescent="0.3">
      <c r="B16" s="3" t="s">
        <v>15</v>
      </c>
      <c r="C16" s="80">
        <v>403</v>
      </c>
      <c r="D16" s="108">
        <v>403</v>
      </c>
      <c r="E16" s="11"/>
      <c r="F16" s="93" t="s">
        <v>266</v>
      </c>
      <c r="G16" s="93">
        <v>5065</v>
      </c>
      <c r="H16" s="44">
        <f>+Tabla1345[[#This Row],[Cantidad]]*Tabla1345[[#This Row],[Precio Unitario en Pesos /   €]]</f>
        <v>2041195</v>
      </c>
      <c r="I16" s="44">
        <f>+Tabla1345[[#This Row],[Precio Total en Pesos]]*3%</f>
        <v>61235.85</v>
      </c>
    </row>
    <row r="17" spans="2:9" ht="15" customHeight="1" x14ac:dyDescent="0.3">
      <c r="B17" s="3" t="s">
        <v>252</v>
      </c>
      <c r="C17" s="80">
        <v>16</v>
      </c>
      <c r="D17" s="108">
        <v>16</v>
      </c>
      <c r="E17" s="11"/>
      <c r="F17" s="93" t="s">
        <v>243</v>
      </c>
      <c r="G17" s="93">
        <f>+G16*60%</f>
        <v>3039</v>
      </c>
      <c r="H17" s="44">
        <f>+Tabla1345[[#This Row],[Cantidad]]*Tabla1345[[#This Row],[Precio Unitario en Pesos /   €]]</f>
        <v>48624</v>
      </c>
      <c r="I17" s="44">
        <f>+Tabla1345[[#This Row],[Precio Total en Pesos]]*3%</f>
        <v>1458.72</v>
      </c>
    </row>
    <row r="18" spans="2:9" ht="15" customHeight="1" x14ac:dyDescent="0.3">
      <c r="B18" s="3" t="s">
        <v>140</v>
      </c>
      <c r="C18" s="80">
        <v>34</v>
      </c>
      <c r="D18" s="108">
        <f>SUM(Tabla1343[[#This Row],[Columna1]:[Columna5]])</f>
        <v>1</v>
      </c>
      <c r="E18" s="11"/>
      <c r="F18" s="92" t="s">
        <v>301</v>
      </c>
      <c r="G18" s="93">
        <v>5065</v>
      </c>
      <c r="H18" s="44">
        <f>+Tabla1345[[#This Row],[Cantidad]]*Tabla1345[[#This Row],[Precio Unitario en Pesos /   €]]</f>
        <v>172210</v>
      </c>
      <c r="I18" s="44">
        <f>+Tabla1345[[#This Row],[Precio Total en Pesos]]*3%</f>
        <v>5166.3</v>
      </c>
    </row>
    <row r="19" spans="2:9" ht="15" customHeight="1" x14ac:dyDescent="0.3">
      <c r="B19" s="3" t="s">
        <v>74</v>
      </c>
      <c r="C19" s="80">
        <v>58</v>
      </c>
      <c r="D19" s="108">
        <f>SUM(Tabla1343[[#This Row],[Columna1]:[Columna5]])</f>
        <v>9</v>
      </c>
      <c r="E19" s="11"/>
      <c r="F19" s="92" t="s">
        <v>291</v>
      </c>
      <c r="G19" s="93">
        <v>30000</v>
      </c>
      <c r="H19" s="44">
        <f>+Tabla1345[[#This Row],[Cantidad]]*Tabla1345[[#This Row],[Precio Unitario en Pesos /   €]]</f>
        <v>1740000</v>
      </c>
      <c r="I19" s="44">
        <f>+Tabla1345[[#This Row],[Precio Total en Pesos]]*3%</f>
        <v>52200</v>
      </c>
    </row>
    <row r="20" spans="2:9" ht="15" customHeight="1" x14ac:dyDescent="0.3">
      <c r="B20" s="34" t="s">
        <v>112</v>
      </c>
      <c r="C20" s="82">
        <v>20</v>
      </c>
      <c r="D20" s="109">
        <f>SUM(Tabla1343[[#This Row],[Columna1]:[Columna5]])</f>
        <v>15</v>
      </c>
      <c r="E20" s="68"/>
      <c r="F20" s="92" t="s">
        <v>291</v>
      </c>
      <c r="G20" s="93">
        <v>38900</v>
      </c>
      <c r="H20" s="44">
        <f>+Tabla1345[[#This Row],[Cantidad]]*Tabla1345[[#This Row],[Precio Unitario en Pesos /   €]]</f>
        <v>778000</v>
      </c>
      <c r="I20" s="44">
        <f>+Tabla1345[[#This Row],[Precio Total en Pesos]]*3%</f>
        <v>23340</v>
      </c>
    </row>
    <row r="21" spans="2:9" ht="15" customHeight="1" x14ac:dyDescent="0.3">
      <c r="B21" s="3" t="s">
        <v>246</v>
      </c>
      <c r="C21" s="80">
        <v>1</v>
      </c>
      <c r="D21" s="108">
        <f>SUM(Tabla1343[[#This Row],[Columna1]:[Columna5]])</f>
        <v>1</v>
      </c>
      <c r="E21" s="11"/>
      <c r="F21" s="92" t="s">
        <v>291</v>
      </c>
      <c r="G21" s="93">
        <f>1300*10</f>
        <v>13000</v>
      </c>
      <c r="H21" s="44">
        <f>+Tabla1345[[#This Row],[Cantidad]]*Tabla1345[[#This Row],[Precio Unitario en Pesos /   €]]</f>
        <v>13000</v>
      </c>
      <c r="I21" s="44">
        <f>+Tabla1345[[#This Row],[Precio Total en Pesos]]*3%</f>
        <v>390</v>
      </c>
    </row>
    <row r="22" spans="2:9" ht="15" customHeight="1" x14ac:dyDescent="0.3">
      <c r="B22" s="3" t="s">
        <v>245</v>
      </c>
      <c r="C22" s="80">
        <v>1</v>
      </c>
      <c r="D22" s="108">
        <f>SUM(Tabla1343[[#This Row],[Columna1]:[Columna5]])</f>
        <v>3</v>
      </c>
      <c r="E22" s="11"/>
      <c r="F22" s="92" t="s">
        <v>291</v>
      </c>
      <c r="G22" s="93">
        <f>1300*7</f>
        <v>9100</v>
      </c>
      <c r="H22" s="44">
        <f>+Tabla1345[[#This Row],[Cantidad]]*Tabla1345[[#This Row],[Precio Unitario en Pesos /   €]]</f>
        <v>9100</v>
      </c>
      <c r="I22" s="44">
        <f>+Tabla1345[[#This Row],[Precio Total en Pesos]]*3%</f>
        <v>273</v>
      </c>
    </row>
    <row r="23" spans="2:9" s="125" customFormat="1" ht="15" hidden="1" customHeight="1" x14ac:dyDescent="0.3">
      <c r="B23" s="3" t="s">
        <v>274</v>
      </c>
      <c r="C23" s="120">
        <v>2</v>
      </c>
      <c r="D23" s="121">
        <f>SUM(Tabla1343[[#This Row],[Columna1]:[Columna5]])</f>
        <v>3</v>
      </c>
      <c r="E23" s="122"/>
      <c r="F23" s="123" t="s">
        <v>291</v>
      </c>
      <c r="G23" s="124">
        <v>124800</v>
      </c>
      <c r="H23" s="44">
        <f>+Tabla1345[[#This Row],[Cantidad]]*Tabla1345[[#This Row],[Precio Unitario en Pesos /   €]]</f>
        <v>249600</v>
      </c>
      <c r="I23" s="44">
        <f>+Tabla1345[[#This Row],[Precio Total en Pesos]]*3%</f>
        <v>7488</v>
      </c>
    </row>
    <row r="24" spans="2:9" ht="15" customHeight="1" x14ac:dyDescent="0.3">
      <c r="B24" s="3" t="s">
        <v>183</v>
      </c>
      <c r="C24" s="80">
        <v>1</v>
      </c>
      <c r="D24" s="108">
        <f>SUM(Tabla1343[[#This Row],[Columna1]:[Columna5]])</f>
        <v>7</v>
      </c>
      <c r="E24" s="11"/>
      <c r="F24" s="92" t="s">
        <v>291</v>
      </c>
      <c r="G24" s="93">
        <f>12*4*1300</f>
        <v>62400</v>
      </c>
      <c r="H24" s="44">
        <f>+Tabla1345[[#This Row],[Cantidad]]*Tabla1345[[#This Row],[Precio Unitario en Pesos /   €]]</f>
        <v>62400</v>
      </c>
      <c r="I24" s="44">
        <f>+Tabla1345[[#This Row],[Precio Total en Pesos]]*3%</f>
        <v>1872</v>
      </c>
    </row>
    <row r="25" spans="2:9" ht="15" customHeight="1" x14ac:dyDescent="0.3">
      <c r="B25" s="3" t="s">
        <v>47</v>
      </c>
      <c r="C25" s="80">
        <v>4</v>
      </c>
      <c r="D25" s="108">
        <f>SUM(Tabla1343[[#This Row],[Columna1]:[Columna5]])</f>
        <v>11</v>
      </c>
      <c r="E25" s="11"/>
      <c r="F25" s="92" t="s">
        <v>291</v>
      </c>
      <c r="G25" s="93">
        <f>2100*8</f>
        <v>16800</v>
      </c>
      <c r="H25" s="44">
        <f>+Tabla1345[[#This Row],[Cantidad]]*Tabla1345[[#This Row],[Precio Unitario en Pesos /   €]]</f>
        <v>67200</v>
      </c>
      <c r="I25" s="44">
        <f>+Tabla1345[[#This Row],[Precio Total en Pesos]]*3%</f>
        <v>2016</v>
      </c>
    </row>
    <row r="26" spans="2:9" ht="15" customHeight="1" x14ac:dyDescent="0.3">
      <c r="B26" s="34" t="s">
        <v>277</v>
      </c>
      <c r="C26" s="82">
        <v>4</v>
      </c>
      <c r="D26" s="109">
        <f>SUM(Tabla1343[[#This Row],[Columna1]:[Columna5]])</f>
        <v>19</v>
      </c>
      <c r="E26" s="68"/>
      <c r="F26" s="92" t="s">
        <v>291</v>
      </c>
      <c r="G26" s="93">
        <f>12*8*1300</f>
        <v>124800</v>
      </c>
      <c r="H26" s="44">
        <f>+Tabla1345[[#This Row],[Cantidad]]*Tabla1345[[#This Row],[Precio Unitario en Pesos /   €]]</f>
        <v>499200</v>
      </c>
      <c r="I26" s="44">
        <f>+Tabla1345[[#This Row],[Precio Total en Pesos]]*3%</f>
        <v>14976</v>
      </c>
    </row>
    <row r="27" spans="2:9" ht="15" customHeight="1" x14ac:dyDescent="0.3">
      <c r="B27" s="3" t="s">
        <v>276</v>
      </c>
      <c r="C27" s="80">
        <v>20</v>
      </c>
      <c r="D27" s="108">
        <f>SUM(Tabla1343[[#This Row],[Columna1]:[Columna5]])</f>
        <v>165</v>
      </c>
      <c r="E27" s="11"/>
      <c r="F27" s="92" t="s">
        <v>291</v>
      </c>
      <c r="G27" s="93">
        <f>1300*12</f>
        <v>15600</v>
      </c>
      <c r="H27" s="44">
        <f>+Tabla1345[[#This Row],[Cantidad]]*Tabla1345[[#This Row],[Precio Unitario en Pesos /   €]]</f>
        <v>312000</v>
      </c>
      <c r="I27" s="44">
        <f>+Tabla1345[[#This Row],[Precio Total en Pesos]]*3%</f>
        <v>9360</v>
      </c>
    </row>
    <row r="28" spans="2:9" ht="15" customHeight="1" x14ac:dyDescent="0.3">
      <c r="B28" s="3" t="s">
        <v>129</v>
      </c>
      <c r="C28" s="80">
        <v>73</v>
      </c>
      <c r="D28" s="108">
        <f>SUM(Tabla1343[[#This Row],[Columna1]:[Columna5]])</f>
        <v>0</v>
      </c>
      <c r="E28" s="11"/>
      <c r="F28" s="126" t="s">
        <v>309</v>
      </c>
      <c r="G28" s="93">
        <v>2100</v>
      </c>
      <c r="H28" s="44">
        <f>+Tabla1345[[#This Row],[Cantidad]]*Tabla1345[[#This Row],[Precio Unitario en Pesos /   €]]</f>
        <v>153300</v>
      </c>
      <c r="I28" s="44">
        <f>+Tabla1345[[#This Row],[Precio Total en Pesos]]*3%</f>
        <v>4599</v>
      </c>
    </row>
    <row r="29" spans="2:9" ht="15" customHeight="1" x14ac:dyDescent="0.3">
      <c r="B29" s="3" t="s">
        <v>128</v>
      </c>
      <c r="C29" s="80">
        <v>46</v>
      </c>
      <c r="D29" s="108">
        <f>SUM(Tabla1343[[#This Row],[Columna1]:[Columna5]])</f>
        <v>1</v>
      </c>
      <c r="E29" s="11"/>
      <c r="F29" s="126" t="s">
        <v>309</v>
      </c>
      <c r="G29" s="93">
        <v>2800</v>
      </c>
      <c r="H29" s="44">
        <f>+Tabla1345[[#This Row],[Cantidad]]*Tabla1345[[#This Row],[Precio Unitario en Pesos /   €]]</f>
        <v>128800</v>
      </c>
      <c r="I29" s="44">
        <f>+Tabla1345[[#This Row],[Precio Total en Pesos]]*3%</f>
        <v>3864</v>
      </c>
    </row>
    <row r="30" spans="2:9" ht="15" customHeight="1" x14ac:dyDescent="0.3">
      <c r="B30" s="3" t="s">
        <v>68</v>
      </c>
      <c r="C30" s="80">
        <v>1024</v>
      </c>
      <c r="D30" s="108">
        <f>SUM(Tabla1343[[#This Row],[Columna1]:[Columna5]])</f>
        <v>130</v>
      </c>
      <c r="E30" s="11"/>
      <c r="F30" s="126" t="s">
        <v>309</v>
      </c>
      <c r="G30" s="93">
        <v>4528</v>
      </c>
      <c r="H30" s="44">
        <f>+Tabla1345[[#This Row],[Cantidad]]*Tabla1345[[#This Row],[Precio Unitario en Pesos /   €]]</f>
        <v>4636672</v>
      </c>
      <c r="I30" s="44">
        <f>+Tabla1345[[#This Row],[Precio Total en Pesos]]*3%</f>
        <v>139100.16</v>
      </c>
    </row>
    <row r="31" spans="2:9" ht="15" customHeight="1" x14ac:dyDescent="0.3">
      <c r="B31" s="3" t="s">
        <v>146</v>
      </c>
      <c r="C31" s="80">
        <v>2</v>
      </c>
      <c r="D31" s="108">
        <f>SUM(Tabla1343[[#This Row],[Columna1]:[Columna5]])</f>
        <v>11</v>
      </c>
      <c r="E31" s="11"/>
      <c r="F31" s="126" t="s">
        <v>309</v>
      </c>
      <c r="G31" s="93">
        <f>+G30*2</f>
        <v>9056</v>
      </c>
      <c r="H31" s="44">
        <f>+Tabla1345[[#This Row],[Cantidad]]*Tabla1345[[#This Row],[Precio Unitario en Pesos /   €]]</f>
        <v>18112</v>
      </c>
      <c r="I31" s="44">
        <f>+Tabla1345[[#This Row],[Precio Total en Pesos]]*3%</f>
        <v>543.36</v>
      </c>
    </row>
    <row r="32" spans="2:9" ht="15" customHeight="1" x14ac:dyDescent="0.3">
      <c r="B32" s="34" t="s">
        <v>197</v>
      </c>
      <c r="C32" s="82">
        <v>2</v>
      </c>
      <c r="D32" s="109">
        <f>SUM(Tabla1343[[#This Row],[Columna1]:[Columna5]])</f>
        <v>1</v>
      </c>
      <c r="E32" s="68"/>
      <c r="F32" s="92" t="s">
        <v>296</v>
      </c>
      <c r="G32" s="93">
        <v>0</v>
      </c>
      <c r="H32" s="44">
        <f>+Tabla1345[[#This Row],[Cantidad]]*Tabla1345[[#This Row],[Precio Unitario en Pesos /   €]]</f>
        <v>0</v>
      </c>
      <c r="I32" s="44">
        <f>+Tabla1345[[#This Row],[Precio Total en Pesos]]*3%</f>
        <v>0</v>
      </c>
    </row>
    <row r="33" spans="2:9" ht="15" customHeight="1" x14ac:dyDescent="0.3">
      <c r="B33" s="3" t="s">
        <v>100</v>
      </c>
      <c r="C33" s="80">
        <v>6</v>
      </c>
      <c r="D33" s="108">
        <v>6</v>
      </c>
      <c r="E33" s="11"/>
      <c r="F33" s="92" t="s">
        <v>296</v>
      </c>
      <c r="G33" s="93">
        <v>0</v>
      </c>
      <c r="H33" s="44">
        <f>+Tabla1345[[#This Row],[Cantidad]]*Tabla1345[[#This Row],[Precio Unitario en Pesos /   €]]</f>
        <v>0</v>
      </c>
      <c r="I33" s="44">
        <f>+Tabla1345[[#This Row],[Precio Total en Pesos]]*3%</f>
        <v>0</v>
      </c>
    </row>
    <row r="34" spans="2:9" ht="15" customHeight="1" x14ac:dyDescent="0.3">
      <c r="B34" s="3" t="s">
        <v>99</v>
      </c>
      <c r="C34" s="80">
        <v>7</v>
      </c>
      <c r="D34" s="108">
        <v>7</v>
      </c>
      <c r="E34" s="11"/>
      <c r="F34" s="92" t="s">
        <v>296</v>
      </c>
      <c r="G34" s="93">
        <v>0</v>
      </c>
      <c r="H34" s="44">
        <f>+Tabla1345[[#This Row],[Cantidad]]*Tabla1345[[#This Row],[Precio Unitario en Pesos /   €]]</f>
        <v>0</v>
      </c>
      <c r="I34" s="44">
        <f>+Tabla1345[[#This Row],[Precio Total en Pesos]]*3%</f>
        <v>0</v>
      </c>
    </row>
    <row r="35" spans="2:9" ht="15" customHeight="1" x14ac:dyDescent="0.3">
      <c r="B35" s="3" t="s">
        <v>264</v>
      </c>
      <c r="C35" s="80">
        <v>8</v>
      </c>
      <c r="D35" s="108">
        <f>SUM(Tabla1343[[#This Row],[Columna1]:[Columna5]])</f>
        <v>3</v>
      </c>
      <c r="E35" s="11"/>
      <c r="F35" s="92" t="s">
        <v>296</v>
      </c>
      <c r="G35" s="93">
        <v>0</v>
      </c>
      <c r="H35" s="44">
        <f>+Tabla1345[[#This Row],[Cantidad]]*Tabla1345[[#This Row],[Precio Unitario en Pesos /   €]]</f>
        <v>0</v>
      </c>
      <c r="I35" s="44">
        <f>+Tabla1345[[#This Row],[Precio Total en Pesos]]*3%</f>
        <v>0</v>
      </c>
    </row>
    <row r="36" spans="2:9" ht="15" customHeight="1" x14ac:dyDescent="0.3">
      <c r="B36" s="3" t="s">
        <v>93</v>
      </c>
      <c r="C36" s="80">
        <v>12</v>
      </c>
      <c r="D36" s="108">
        <f>SUM(Tabla1343[[#This Row],[Columna1]:[Columna5]])</f>
        <v>11</v>
      </c>
      <c r="E36" s="11"/>
      <c r="F36" s="92" t="s">
        <v>296</v>
      </c>
      <c r="G36" s="93">
        <v>0</v>
      </c>
      <c r="H36" s="44">
        <f>+Tabla1345[[#This Row],[Cantidad]]*Tabla1345[[#This Row],[Precio Unitario en Pesos /   €]]</f>
        <v>0</v>
      </c>
      <c r="I36" s="44">
        <f>+Tabla1345[[#This Row],[Precio Total en Pesos]]*3%</f>
        <v>0</v>
      </c>
    </row>
    <row r="37" spans="2:9" ht="15" customHeight="1" x14ac:dyDescent="0.3">
      <c r="B37" s="3" t="s">
        <v>54</v>
      </c>
      <c r="C37" s="80">
        <v>200</v>
      </c>
      <c r="D37" s="108">
        <f>SUM(Tabla1343[[#This Row],[Columna1]:[Columna5]])</f>
        <v>38</v>
      </c>
      <c r="E37" s="11"/>
      <c r="F37" s="126" t="s">
        <v>309</v>
      </c>
      <c r="G37" s="93">
        <v>11300</v>
      </c>
      <c r="H37" s="44">
        <f>+Tabla1345[[#This Row],[Cantidad]]*Tabla1345[[#This Row],[Precio Unitario en Pesos /   €]]</f>
        <v>2260000</v>
      </c>
      <c r="I37" s="44">
        <f>+Tabla1345[[#This Row],[Precio Total en Pesos]]*3%</f>
        <v>67800</v>
      </c>
    </row>
    <row r="38" spans="2:9" ht="15" customHeight="1" x14ac:dyDescent="0.3">
      <c r="B38" s="3" t="s">
        <v>55</v>
      </c>
      <c r="C38" s="80">
        <f>367+260</f>
        <v>627</v>
      </c>
      <c r="D38" s="108">
        <f>SUM(Tabla1343[[#This Row],[Columna1]:[Columna5]])</f>
        <v>2</v>
      </c>
      <c r="E38" s="11"/>
      <c r="F38" s="126" t="s">
        <v>309</v>
      </c>
      <c r="G38" s="93">
        <v>14800</v>
      </c>
      <c r="H38" s="44">
        <f>+Tabla1345[[#This Row],[Cantidad]]*Tabla1345[[#This Row],[Precio Unitario en Pesos /   €]]</f>
        <v>9279600</v>
      </c>
      <c r="I38" s="44">
        <f>+Tabla1345[[#This Row],[Precio Total en Pesos]]*3%</f>
        <v>278388</v>
      </c>
    </row>
    <row r="39" spans="2:9" ht="16.95" customHeight="1" x14ac:dyDescent="0.3">
      <c r="B39" s="3"/>
      <c r="C39" s="4"/>
      <c r="D39" s="10">
        <f>SUM(Tabla1343[[#This Row],[Columna1]:[Columna5]])</f>
        <v>10</v>
      </c>
      <c r="E39" s="11"/>
      <c r="F39" s="105"/>
      <c r="G39" s="105"/>
      <c r="H39" s="105"/>
      <c r="I39" s="129">
        <f>SUBTOTAL(109,I5:I38)</f>
        <v>707480.52</v>
      </c>
    </row>
    <row r="40" spans="2:9" ht="15" customHeight="1" x14ac:dyDescent="0.3">
      <c r="B40" s="48" t="s">
        <v>164</v>
      </c>
      <c r="C40" s="83">
        <v>6</v>
      </c>
      <c r="D40" s="110">
        <f>SUM(Tabla1343[[#This Row],[Columna1]:[Columna5]])</f>
        <v>9</v>
      </c>
      <c r="E40" s="50" t="s">
        <v>279</v>
      </c>
      <c r="F40" s="94" t="s">
        <v>230</v>
      </c>
      <c r="G40" s="96">
        <v>26.39</v>
      </c>
      <c r="H40" s="81">
        <f>+Tabla1345[[#This Row],[Cantidad]]*Tabla1345[[#This Row],[Precio Unitario en Pesos /   €]]*I$3</f>
        <v>22721.79</v>
      </c>
      <c r="I40" s="81">
        <f>+Tabla1345[[#This Row],[Precio Total en Pesos]]*3%</f>
        <v>681.65369999999996</v>
      </c>
    </row>
    <row r="41" spans="2:9" ht="15" customHeight="1" x14ac:dyDescent="0.3">
      <c r="B41" s="48" t="s">
        <v>10</v>
      </c>
      <c r="C41" s="49">
        <v>301</v>
      </c>
      <c r="D41" s="111">
        <f>SUM(Tabla1343[[#This Row],[Columna1]:[Columna5]])</f>
        <v>2</v>
      </c>
      <c r="E41" s="50" t="s">
        <v>279</v>
      </c>
      <c r="F41" s="95" t="s">
        <v>230</v>
      </c>
      <c r="G41" s="97">
        <v>23.17</v>
      </c>
      <c r="H41" s="81">
        <f>+Tabla1345[[#This Row],[Cantidad]]*Tabla1345[[#This Row],[Precio Unitario en Pesos /   €]]*I$3</f>
        <v>1000793.395</v>
      </c>
      <c r="I41" s="81">
        <f>+Tabla1345[[#This Row],[Precio Total en Pesos]]*3%</f>
        <v>30023.80185</v>
      </c>
    </row>
    <row r="42" spans="2:9" ht="15" customHeight="1" x14ac:dyDescent="0.3">
      <c r="B42" s="48" t="s">
        <v>73</v>
      </c>
      <c r="C42" s="83">
        <v>43</v>
      </c>
      <c r="D42" s="110">
        <f>SUM(Tabla1343[[#This Row],[Columna1]:[Columna5]])</f>
        <v>4</v>
      </c>
      <c r="E42" s="50" t="s">
        <v>279</v>
      </c>
      <c r="F42" s="94" t="s">
        <v>230</v>
      </c>
      <c r="G42" s="96">
        <v>109</v>
      </c>
      <c r="H42" s="81">
        <f>+Tabla1345[[#This Row],[Cantidad]]*Tabla1345[[#This Row],[Precio Unitario en Pesos /   €]]*I$3</f>
        <v>672584.5</v>
      </c>
      <c r="I42" s="81">
        <f>+Tabla1345[[#This Row],[Precio Total en Pesos]]*3%</f>
        <v>20177.535</v>
      </c>
    </row>
    <row r="43" spans="2:9" ht="15" customHeight="1" x14ac:dyDescent="0.3">
      <c r="B43" s="48" t="s">
        <v>92</v>
      </c>
      <c r="C43" s="83">
        <v>2</v>
      </c>
      <c r="D43" s="110">
        <f>SUM(Tabla1343[[#This Row],[Columna1]:[Columna5]])</f>
        <v>2</v>
      </c>
      <c r="E43" s="50" t="s">
        <v>279</v>
      </c>
      <c r="F43" s="94" t="s">
        <v>230</v>
      </c>
      <c r="G43" s="96">
        <f>13441.35/47.3</f>
        <v>284.17230443974631</v>
      </c>
      <c r="H43" s="81">
        <f>+Tabla1345[[#This Row],[Cantidad]]*Tabla1345[[#This Row],[Precio Unitario en Pesos /   €]]*I$3</f>
        <v>81557.451374207187</v>
      </c>
      <c r="I43" s="81">
        <f>+Tabla1345[[#This Row],[Precio Total en Pesos]]*3%</f>
        <v>2446.7235412262157</v>
      </c>
    </row>
    <row r="44" spans="2:9" ht="15" customHeight="1" x14ac:dyDescent="0.3">
      <c r="B44" s="48" t="s">
        <v>30</v>
      </c>
      <c r="C44" s="83">
        <v>311</v>
      </c>
      <c r="D44" s="110">
        <f>SUM(Tabla1343[[#This Row],[Columna1]:[Columna5]])</f>
        <v>34</v>
      </c>
      <c r="E44" s="50" t="s">
        <v>279</v>
      </c>
      <c r="F44" s="94" t="s">
        <v>230</v>
      </c>
      <c r="G44" s="96">
        <v>14.04</v>
      </c>
      <c r="H44" s="81">
        <f>+Tabla1345[[#This Row],[Cantidad]]*Tabla1345[[#This Row],[Precio Unitario en Pesos /   €]]*I$3</f>
        <v>626584.1399999999</v>
      </c>
      <c r="I44" s="81">
        <f>+Tabla1345[[#This Row],[Precio Total en Pesos]]*3%</f>
        <v>18797.524199999996</v>
      </c>
    </row>
    <row r="45" spans="2:9" ht="15" customHeight="1" x14ac:dyDescent="0.3">
      <c r="B45" s="48" t="s">
        <v>60</v>
      </c>
      <c r="C45" s="83">
        <v>6</v>
      </c>
      <c r="D45" s="110">
        <f>SUM(Tabla1343[[#This Row],[Columna1]:[Columna5]])</f>
        <v>1</v>
      </c>
      <c r="E45" s="50" t="s">
        <v>279</v>
      </c>
      <c r="F45" s="94" t="s">
        <v>230</v>
      </c>
      <c r="G45" s="96">
        <v>32.75</v>
      </c>
      <c r="H45" s="81">
        <f>+Tabla1345[[#This Row],[Cantidad]]*Tabla1345[[#This Row],[Precio Unitario en Pesos /   €]]*I$3</f>
        <v>28197.75</v>
      </c>
      <c r="I45" s="81">
        <f>+Tabla1345[[#This Row],[Precio Total en Pesos]]*3%</f>
        <v>845.9325</v>
      </c>
    </row>
    <row r="46" spans="2:9" ht="15" customHeight="1" x14ac:dyDescent="0.3">
      <c r="B46" s="48" t="s">
        <v>149</v>
      </c>
      <c r="C46" s="83">
        <v>13</v>
      </c>
      <c r="D46" s="110">
        <f>SUM(Tabla1343[[#This Row],[Columna1]:[Columna5]])</f>
        <v>9</v>
      </c>
      <c r="E46" s="50" t="s">
        <v>279</v>
      </c>
      <c r="F46" s="94" t="s">
        <v>230</v>
      </c>
      <c r="G46" s="96">
        <v>25.86</v>
      </c>
      <c r="H46" s="81">
        <f>+Tabla1345[[#This Row],[Cantidad]]*Tabla1345[[#This Row],[Precio Unitario en Pesos /   €]]*I$3</f>
        <v>48241.83</v>
      </c>
      <c r="I46" s="81">
        <f>+Tabla1345[[#This Row],[Precio Total en Pesos]]*3%</f>
        <v>1447.2548999999999</v>
      </c>
    </row>
    <row r="47" spans="2:9" ht="15" customHeight="1" x14ac:dyDescent="0.3">
      <c r="B47" s="48" t="s">
        <v>256</v>
      </c>
      <c r="C47" s="83">
        <v>25</v>
      </c>
      <c r="D47" s="110">
        <f>SUM(Tabla1343[[#This Row],[Columna1]:[Columna5]])</f>
        <v>77</v>
      </c>
      <c r="E47" s="50" t="s">
        <v>279</v>
      </c>
      <c r="F47" s="94" t="s">
        <v>230</v>
      </c>
      <c r="G47" s="96"/>
      <c r="H47" s="81">
        <f>+Tabla1345[[#This Row],[Cantidad]]*Tabla1345[[#This Row],[Precio Unitario en Pesos /   €]]*I$3</f>
        <v>0</v>
      </c>
      <c r="I47" s="81">
        <f>+Tabla1345[[#This Row],[Precio Total en Pesos]]*3%</f>
        <v>0</v>
      </c>
    </row>
    <row r="48" spans="2:9" ht="15" customHeight="1" x14ac:dyDescent="0.3">
      <c r="B48" s="48" t="s">
        <v>260</v>
      </c>
      <c r="C48" s="83">
        <v>4</v>
      </c>
      <c r="D48" s="110">
        <f>SUM(Tabla1343[[#This Row],[Columna1]:[Columna5]])</f>
        <v>28</v>
      </c>
      <c r="E48" s="50" t="s">
        <v>279</v>
      </c>
      <c r="F48" s="94" t="s">
        <v>230</v>
      </c>
      <c r="G48" s="96">
        <v>49.53</v>
      </c>
      <c r="H48" s="81">
        <f>+Tabla1345[[#This Row],[Cantidad]]*Tabla1345[[#This Row],[Precio Unitario en Pesos /   €]]*I$3</f>
        <v>28430.22</v>
      </c>
      <c r="I48" s="81">
        <f>+Tabla1345[[#This Row],[Precio Total en Pesos]]*3%</f>
        <v>852.90660000000003</v>
      </c>
    </row>
    <row r="49" spans="2:9" ht="15" customHeight="1" x14ac:dyDescent="0.3">
      <c r="B49" s="48" t="s">
        <v>261</v>
      </c>
      <c r="C49" s="83">
        <v>111</v>
      </c>
      <c r="D49" s="110">
        <f>SUM(Tabla1343[[#This Row],[Columna1]:[Columna5]])</f>
        <v>17</v>
      </c>
      <c r="E49" s="50" t="s">
        <v>279</v>
      </c>
      <c r="F49" s="94" t="s">
        <v>230</v>
      </c>
      <c r="G49" s="96">
        <v>46.15</v>
      </c>
      <c r="H49" s="81">
        <f>+Tabla1345[[#This Row],[Cantidad]]*Tabla1345[[#This Row],[Precio Unitario en Pesos /   €]]*I$3</f>
        <v>735100.27499999991</v>
      </c>
      <c r="I49" s="81">
        <f>+Tabla1345[[#This Row],[Precio Total en Pesos]]*3%</f>
        <v>22053.008249999995</v>
      </c>
    </row>
    <row r="50" spans="2:9" ht="15" customHeight="1" x14ac:dyDescent="0.3">
      <c r="B50" s="48" t="s">
        <v>257</v>
      </c>
      <c r="C50" s="83">
        <v>21</v>
      </c>
      <c r="D50" s="110">
        <f>SUM(Tabla1343[[#This Row],[Columna1]:[Columna5]])</f>
        <v>27</v>
      </c>
      <c r="E50" s="50" t="s">
        <v>279</v>
      </c>
      <c r="F50" s="94" t="s">
        <v>230</v>
      </c>
      <c r="G50" s="96">
        <v>55.25</v>
      </c>
      <c r="H50" s="81">
        <f>+Tabla1345[[#This Row],[Cantidad]]*Tabla1345[[#This Row],[Precio Unitario en Pesos /   €]]*I$3</f>
        <v>166495.875</v>
      </c>
      <c r="I50" s="81">
        <f>+Tabla1345[[#This Row],[Precio Total en Pesos]]*3%</f>
        <v>4994.8762500000003</v>
      </c>
    </row>
    <row r="51" spans="2:9" ht="15" customHeight="1" x14ac:dyDescent="0.3">
      <c r="B51" s="48" t="s">
        <v>262</v>
      </c>
      <c r="C51" s="83">
        <v>725</v>
      </c>
      <c r="D51" s="110">
        <f>SUM(Tabla1343[[#This Row],[Columna1]:[Columna5]])</f>
        <v>36</v>
      </c>
      <c r="E51" s="50" t="s">
        <v>279</v>
      </c>
      <c r="F51" s="94" t="s">
        <v>230</v>
      </c>
      <c r="G51" s="96">
        <v>62.78</v>
      </c>
      <c r="H51" s="81">
        <f>+Tabla1345[[#This Row],[Cantidad]]*Tabla1345[[#This Row],[Precio Unitario en Pesos /   €]]*I$3</f>
        <v>6531474.25</v>
      </c>
      <c r="I51" s="81">
        <f>+Tabla1345[[#This Row],[Precio Total en Pesos]]*3%</f>
        <v>195944.22749999998</v>
      </c>
    </row>
    <row r="52" spans="2:9" ht="15" customHeight="1" x14ac:dyDescent="0.3">
      <c r="B52" s="48" t="s">
        <v>258</v>
      </c>
      <c r="C52" s="83">
        <v>7</v>
      </c>
      <c r="D52" s="110">
        <f>SUM(Tabla1343[[#This Row],[Columna1]:[Columna5]])</f>
        <v>0</v>
      </c>
      <c r="E52" s="50" t="s">
        <v>279</v>
      </c>
      <c r="F52" s="94" t="s">
        <v>230</v>
      </c>
      <c r="G52" s="96"/>
      <c r="H52" s="81">
        <f>+Tabla1345[[#This Row],[Cantidad]]*Tabla1345[[#This Row],[Precio Unitario en Pesos /   €]]*I$3</f>
        <v>0</v>
      </c>
      <c r="I52" s="81">
        <f>+Tabla1345[[#This Row],[Precio Total en Pesos]]*3%</f>
        <v>0</v>
      </c>
    </row>
    <row r="53" spans="2:9" ht="15" customHeight="1" x14ac:dyDescent="0.3">
      <c r="B53" s="48" t="s">
        <v>302</v>
      </c>
      <c r="C53" s="83">
        <v>8</v>
      </c>
      <c r="D53" s="110">
        <f>SUM(Tabla1343[[#This Row],[Columna1]:[Columna5]])</f>
        <v>419</v>
      </c>
      <c r="E53" s="50" t="s">
        <v>279</v>
      </c>
      <c r="F53" s="94" t="s">
        <v>230</v>
      </c>
      <c r="G53" s="96">
        <v>130</v>
      </c>
      <c r="H53" s="81">
        <f>+Tabla1345[[#This Row],[Cantidad]]*Tabla1345[[#This Row],[Precio Unitario en Pesos /   €]]*I$3</f>
        <v>149240</v>
      </c>
      <c r="I53" s="81">
        <f>+Tabla1345[[#This Row],[Precio Total en Pesos]]*3%</f>
        <v>4477.2</v>
      </c>
    </row>
    <row r="54" spans="2:9" ht="15" customHeight="1" x14ac:dyDescent="0.3">
      <c r="B54" s="48" t="s">
        <v>232</v>
      </c>
      <c r="C54" s="83">
        <v>8</v>
      </c>
      <c r="D54" s="110">
        <f>SUM(Tabla1343[[#This Row],[Columna1]:[Columna5]])</f>
        <v>0</v>
      </c>
      <c r="E54" s="50" t="s">
        <v>279</v>
      </c>
      <c r="F54" s="94" t="s">
        <v>230</v>
      </c>
      <c r="G54" s="96">
        <v>150</v>
      </c>
      <c r="H54" s="81">
        <f>+Tabla1345[[#This Row],[Cantidad]]*Tabla1345[[#This Row],[Precio Unitario en Pesos /   €]]*I$3</f>
        <v>172200</v>
      </c>
      <c r="I54" s="81">
        <f>+Tabla1345[[#This Row],[Precio Total en Pesos]]*3%</f>
        <v>5166</v>
      </c>
    </row>
    <row r="55" spans="2:9" ht="15" customHeight="1" x14ac:dyDescent="0.3">
      <c r="B55" s="48" t="s">
        <v>16</v>
      </c>
      <c r="C55" s="83">
        <v>4</v>
      </c>
      <c r="D55" s="110">
        <f>SUM(Tabla1343[[#This Row],[Columna1]:[Columna5]])</f>
        <v>34</v>
      </c>
      <c r="E55" s="50" t="s">
        <v>279</v>
      </c>
      <c r="F55" s="94" t="s">
        <v>230</v>
      </c>
      <c r="G55" s="96">
        <v>100</v>
      </c>
      <c r="H55" s="81">
        <f>+Tabla1345[[#This Row],[Cantidad]]*Tabla1345[[#This Row],[Precio Unitario en Pesos /   €]]*I$3</f>
        <v>57400</v>
      </c>
      <c r="I55" s="81">
        <f>+Tabla1345[[#This Row],[Precio Total en Pesos]]*3%</f>
        <v>1722</v>
      </c>
    </row>
    <row r="56" spans="2:9" ht="15" customHeight="1" x14ac:dyDescent="0.3">
      <c r="B56" s="48" t="s">
        <v>107</v>
      </c>
      <c r="C56" s="83">
        <v>260</v>
      </c>
      <c r="D56" s="110">
        <f>SUM(Tabla1343[[#This Row],[Columna1]:[Columna5]])</f>
        <v>5</v>
      </c>
      <c r="E56" s="50" t="s">
        <v>279</v>
      </c>
      <c r="F56" s="94" t="s">
        <v>230</v>
      </c>
      <c r="G56" s="96">
        <v>27.84</v>
      </c>
      <c r="H56" s="81">
        <f>+Tabla1345[[#This Row],[Cantidad]]*Tabla1345[[#This Row],[Precio Unitario en Pesos /   €]]*I$3</f>
        <v>1038710.3999999999</v>
      </c>
      <c r="I56" s="81">
        <f>+Tabla1345[[#This Row],[Precio Total en Pesos]]*3%</f>
        <v>31161.311999999994</v>
      </c>
    </row>
    <row r="57" spans="2:9" ht="15" customHeight="1" x14ac:dyDescent="0.3">
      <c r="B57" s="48" t="s">
        <v>101</v>
      </c>
      <c r="C57" s="83">
        <v>67</v>
      </c>
      <c r="D57" s="110">
        <f>SUM(Tabla1343[[#This Row],[Columna1]:[Columna5]])</f>
        <v>58</v>
      </c>
      <c r="E57" s="50" t="s">
        <v>279</v>
      </c>
      <c r="F57" s="94" t="s">
        <v>230</v>
      </c>
      <c r="G57" s="96">
        <v>33.32</v>
      </c>
      <c r="H57" s="81">
        <f>+Tabla1345[[#This Row],[Cantidad]]*Tabla1345[[#This Row],[Precio Unitario en Pesos /   €]]*I$3</f>
        <v>320355.14</v>
      </c>
      <c r="I57" s="81">
        <f>+Tabla1345[[#This Row],[Precio Total en Pesos]]*3%</f>
        <v>9610.6542000000009</v>
      </c>
    </row>
    <row r="58" spans="2:9" ht="15" customHeight="1" x14ac:dyDescent="0.3">
      <c r="B58" s="48" t="s">
        <v>227</v>
      </c>
      <c r="C58" s="83">
        <v>1526</v>
      </c>
      <c r="D58" s="110">
        <f>SUM(Tabla1343[[#This Row],[Columna1]:[Columna5]])</f>
        <v>10</v>
      </c>
      <c r="E58" s="50" t="s">
        <v>279</v>
      </c>
      <c r="F58" s="94" t="s">
        <v>230</v>
      </c>
      <c r="G58" s="96">
        <v>52.62</v>
      </c>
      <c r="H58" s="81">
        <f>+Tabla1345[[#This Row],[Cantidad]]*Tabla1345[[#This Row],[Precio Unitario en Pesos /   €]]*I$3</f>
        <v>11522780.219999999</v>
      </c>
      <c r="I58" s="81">
        <f>+Tabla1345[[#This Row],[Precio Total en Pesos]]*3%</f>
        <v>345683.40659999993</v>
      </c>
    </row>
    <row r="59" spans="2:9" ht="15" customHeight="1" x14ac:dyDescent="0.3">
      <c r="B59" s="48" t="s">
        <v>108</v>
      </c>
      <c r="C59" s="83">
        <v>15</v>
      </c>
      <c r="D59" s="110">
        <f>SUM(Tabla1343[[#This Row],[Columna1]:[Columna5]])</f>
        <v>5</v>
      </c>
      <c r="E59" s="50" t="s">
        <v>279</v>
      </c>
      <c r="F59" s="94" t="s">
        <v>230</v>
      </c>
      <c r="G59" s="96">
        <v>33.32</v>
      </c>
      <c r="H59" s="81">
        <f>+Tabla1345[[#This Row],[Cantidad]]*Tabla1345[[#This Row],[Precio Unitario en Pesos /   €]]*I$3</f>
        <v>71721.3</v>
      </c>
      <c r="I59" s="81">
        <f>+Tabla1345[[#This Row],[Precio Total en Pesos]]*3%</f>
        <v>2151.6390000000001</v>
      </c>
    </row>
    <row r="60" spans="2:9" ht="15" customHeight="1" x14ac:dyDescent="0.3">
      <c r="B60" s="48" t="s">
        <v>109</v>
      </c>
      <c r="C60" s="83">
        <v>29</v>
      </c>
      <c r="D60" s="110">
        <f>SUM(Tabla1343[[#This Row],[Columna1]:[Columna5]])</f>
        <v>20</v>
      </c>
      <c r="E60" s="50" t="s">
        <v>279</v>
      </c>
      <c r="F60" s="94" t="s">
        <v>230</v>
      </c>
      <c r="G60" s="96"/>
      <c r="H60" s="81">
        <f>+Tabla1345[[#This Row],[Cantidad]]*Tabla1345[[#This Row],[Precio Unitario en Pesos /   €]]*I$3</f>
        <v>0</v>
      </c>
      <c r="I60" s="81">
        <f>+Tabla1345[[#This Row],[Precio Total en Pesos]]*3%</f>
        <v>0</v>
      </c>
    </row>
    <row r="61" spans="2:9" ht="15" customHeight="1" x14ac:dyDescent="0.3">
      <c r="B61" s="48" t="s">
        <v>26</v>
      </c>
      <c r="C61" s="83">
        <v>71</v>
      </c>
      <c r="D61" s="110">
        <f>SUM(Tabla1343[[#This Row],[Columna1]:[Columna5]])</f>
        <v>14</v>
      </c>
      <c r="E61" s="50" t="s">
        <v>279</v>
      </c>
      <c r="F61" s="94" t="s">
        <v>230</v>
      </c>
      <c r="G61" s="96">
        <v>78</v>
      </c>
      <c r="H61" s="81">
        <f>+Tabla1345[[#This Row],[Cantidad]]*Tabla1345[[#This Row],[Precio Unitario en Pesos /   €]]*I$3</f>
        <v>794703</v>
      </c>
      <c r="I61" s="81">
        <f>+Tabla1345[[#This Row],[Precio Total en Pesos]]*3%</f>
        <v>23841.09</v>
      </c>
    </row>
    <row r="62" spans="2:9" ht="15" customHeight="1" x14ac:dyDescent="0.3">
      <c r="B62" s="48" t="s">
        <v>113</v>
      </c>
      <c r="C62" s="83">
        <v>9</v>
      </c>
      <c r="D62" s="110">
        <f>SUM(Tabla1343[[#This Row],[Columna1]:[Columna5]])</f>
        <v>16</v>
      </c>
      <c r="E62" s="50" t="s">
        <v>279</v>
      </c>
      <c r="F62" s="94" t="s">
        <v>230</v>
      </c>
      <c r="G62" s="96">
        <v>47.06</v>
      </c>
      <c r="H62" s="81">
        <f>+Tabla1345[[#This Row],[Cantidad]]*Tabla1345[[#This Row],[Precio Unitario en Pesos /   €]]*I$3</f>
        <v>60777.990000000005</v>
      </c>
      <c r="I62" s="81">
        <f>+Tabla1345[[#This Row],[Precio Total en Pesos]]*3%</f>
        <v>1823.3397</v>
      </c>
    </row>
    <row r="63" spans="2:9" ht="15" customHeight="1" x14ac:dyDescent="0.3">
      <c r="B63" s="53" t="s">
        <v>111</v>
      </c>
      <c r="C63" s="84">
        <v>12</v>
      </c>
      <c r="D63" s="112">
        <f>SUM(Tabla1343[[#This Row],[Columna1]:[Columna5]])</f>
        <v>8</v>
      </c>
      <c r="E63" s="69" t="s">
        <v>279</v>
      </c>
      <c r="F63" s="94" t="s">
        <v>230</v>
      </c>
      <c r="G63" s="96"/>
      <c r="H63" s="81">
        <f>+Tabla1345[[#This Row],[Cantidad]]*Tabla1345[[#This Row],[Precio Unitario en Pesos /   €]]*I$3</f>
        <v>0</v>
      </c>
      <c r="I63" s="81">
        <f>+Tabla1345[[#This Row],[Precio Total en Pesos]]*3%</f>
        <v>0</v>
      </c>
    </row>
    <row r="64" spans="2:9" ht="15" customHeight="1" x14ac:dyDescent="0.3">
      <c r="B64" s="48" t="s">
        <v>110</v>
      </c>
      <c r="C64" s="83">
        <v>109</v>
      </c>
      <c r="D64" s="110">
        <f>SUM(Tabla1343[[#This Row],[Columna1]:[Columna5]])</f>
        <v>6</v>
      </c>
      <c r="E64" s="50" t="s">
        <v>279</v>
      </c>
      <c r="F64" s="94" t="s">
        <v>230</v>
      </c>
      <c r="G64" s="96">
        <v>80.86</v>
      </c>
      <c r="H64" s="81">
        <f>+Tabla1345[[#This Row],[Cantidad]]*Tabla1345[[#This Row],[Precio Unitario en Pesos /   €]]*I$3</f>
        <v>1264771.69</v>
      </c>
      <c r="I64" s="81">
        <f>+Tabla1345[[#This Row],[Precio Total en Pesos]]*3%</f>
        <v>37943.150699999998</v>
      </c>
    </row>
    <row r="65" spans="2:9" ht="15" customHeight="1" x14ac:dyDescent="0.3">
      <c r="B65" s="48" t="s">
        <v>263</v>
      </c>
      <c r="C65" s="83">
        <v>15</v>
      </c>
      <c r="D65" s="110">
        <f>SUM(Tabla1343[[#This Row],[Columna1]:[Columna5]])</f>
        <v>1</v>
      </c>
      <c r="E65" s="50" t="s">
        <v>279</v>
      </c>
      <c r="F65" s="94" t="s">
        <v>230</v>
      </c>
      <c r="G65" s="96">
        <v>97.79</v>
      </c>
      <c r="H65" s="81">
        <f>+Tabla1345[[#This Row],[Cantidad]]*Tabla1345[[#This Row],[Precio Unitario en Pesos /   €]]*I$3</f>
        <v>210492.97500000001</v>
      </c>
      <c r="I65" s="81">
        <f>+Tabla1345[[#This Row],[Precio Total en Pesos]]*3%</f>
        <v>6314.7892499999998</v>
      </c>
    </row>
    <row r="66" spans="2:9" ht="15" customHeight="1" x14ac:dyDescent="0.3">
      <c r="B66" s="53" t="s">
        <v>163</v>
      </c>
      <c r="C66" s="84">
        <v>2</v>
      </c>
      <c r="D66" s="112">
        <f>SUM(Tabla1343[[#This Row],[Columna1]:[Columna5]])</f>
        <v>1</v>
      </c>
      <c r="E66" s="69" t="s">
        <v>279</v>
      </c>
      <c r="F66" s="94" t="s">
        <v>230</v>
      </c>
      <c r="G66" s="96">
        <v>33.54</v>
      </c>
      <c r="H66" s="81">
        <f>+Tabla1345[[#This Row],[Cantidad]]*Tabla1345[[#This Row],[Precio Unitario en Pesos /   €]]*I$3</f>
        <v>9625.98</v>
      </c>
      <c r="I66" s="81">
        <f>+Tabla1345[[#This Row],[Precio Total en Pesos]]*3%</f>
        <v>288.77939999999995</v>
      </c>
    </row>
    <row r="67" spans="2:9" ht="15" customHeight="1" x14ac:dyDescent="0.3">
      <c r="B67" s="48" t="s">
        <v>228</v>
      </c>
      <c r="C67" s="83">
        <v>926</v>
      </c>
      <c r="D67" s="110">
        <f>SUM(Tabla1343[[#This Row],[Columna1]:[Columna5]])</f>
        <v>0</v>
      </c>
      <c r="E67" s="50" t="s">
        <v>279</v>
      </c>
      <c r="F67" s="94" t="s">
        <v>230</v>
      </c>
      <c r="G67" s="96">
        <v>29.6</v>
      </c>
      <c r="H67" s="81">
        <f>+Tabla1345[[#This Row],[Cantidad]]*Tabla1345[[#This Row],[Precio Unitario en Pesos /   €]]*I$3</f>
        <v>3933277.6</v>
      </c>
      <c r="I67" s="81">
        <f>+Tabla1345[[#This Row],[Precio Total en Pesos]]*3%</f>
        <v>117998.32799999999</v>
      </c>
    </row>
    <row r="68" spans="2:9" ht="15" customHeight="1" x14ac:dyDescent="0.3">
      <c r="B68" s="53" t="s">
        <v>229</v>
      </c>
      <c r="C68" s="84">
        <v>56</v>
      </c>
      <c r="D68" s="112">
        <f>SUM(Tabla1343[[#This Row],[Columna1]:[Columna5]])</f>
        <v>1</v>
      </c>
      <c r="E68" s="69" t="s">
        <v>279</v>
      </c>
      <c r="F68" s="94" t="s">
        <v>230</v>
      </c>
      <c r="G68" s="96">
        <v>27.46</v>
      </c>
      <c r="H68" s="81">
        <f>+Tabla1345[[#This Row],[Cantidad]]*Tabla1345[[#This Row],[Precio Unitario en Pesos /   €]]*I$3</f>
        <v>220668.56</v>
      </c>
      <c r="I68" s="81">
        <f>+Tabla1345[[#This Row],[Precio Total en Pesos]]*3%</f>
        <v>6620.0567999999994</v>
      </c>
    </row>
    <row r="69" spans="2:9" ht="15" customHeight="1" x14ac:dyDescent="0.3">
      <c r="B69" s="48" t="s">
        <v>235</v>
      </c>
      <c r="C69" s="83">
        <v>50</v>
      </c>
      <c r="D69" s="110">
        <f>SUM(Tabla1343[[#This Row],[Columna1]:[Columna5]])</f>
        <v>4</v>
      </c>
      <c r="E69" s="50" t="s">
        <v>279</v>
      </c>
      <c r="F69" s="94" t="s">
        <v>230</v>
      </c>
      <c r="G69" s="96">
        <v>25.86</v>
      </c>
      <c r="H69" s="81">
        <f>+Tabla1345[[#This Row],[Cantidad]]*Tabla1345[[#This Row],[Precio Unitario en Pesos /   €]]*I$3</f>
        <v>185545.5</v>
      </c>
      <c r="I69" s="81">
        <f>+Tabla1345[[#This Row],[Precio Total en Pesos]]*3%</f>
        <v>5566.3649999999998</v>
      </c>
    </row>
    <row r="70" spans="2:9" ht="15" customHeight="1" x14ac:dyDescent="0.3">
      <c r="B70" s="48" t="s">
        <v>236</v>
      </c>
      <c r="C70" s="83">
        <v>50</v>
      </c>
      <c r="D70" s="110">
        <f>SUM(Tabla1343[[#This Row],[Columna1]:[Columna5]])</f>
        <v>4</v>
      </c>
      <c r="E70" s="50" t="s">
        <v>279</v>
      </c>
      <c r="F70" s="94" t="s">
        <v>230</v>
      </c>
      <c r="G70" s="96">
        <v>24.44</v>
      </c>
      <c r="H70" s="81">
        <f>+Tabla1345[[#This Row],[Cantidad]]*Tabla1345[[#This Row],[Precio Unitario en Pesos /   €]]*I$3</f>
        <v>175357</v>
      </c>
      <c r="I70" s="81">
        <f>+Tabla1345[[#This Row],[Precio Total en Pesos]]*3%</f>
        <v>5260.71</v>
      </c>
    </row>
    <row r="71" spans="2:9" ht="15" customHeight="1" x14ac:dyDescent="0.3">
      <c r="B71" s="48" t="s">
        <v>105</v>
      </c>
      <c r="C71" s="83">
        <v>17</v>
      </c>
      <c r="D71" s="110">
        <f>SUM(Tabla1343[[#This Row],[Columna1]:[Columna5]])</f>
        <v>20</v>
      </c>
      <c r="E71" s="50" t="s">
        <v>279</v>
      </c>
      <c r="F71" s="94" t="s">
        <v>230</v>
      </c>
      <c r="G71" s="96">
        <v>32.75</v>
      </c>
      <c r="H71" s="81">
        <f>+Tabla1345[[#This Row],[Cantidad]]*Tabla1345[[#This Row],[Precio Unitario en Pesos /   €]]*I$3</f>
        <v>79893.625</v>
      </c>
      <c r="I71" s="81">
        <f>+Tabla1345[[#This Row],[Precio Total en Pesos]]*3%</f>
        <v>2396.8087499999997</v>
      </c>
    </row>
    <row r="72" spans="2:9" ht="15" customHeight="1" x14ac:dyDescent="0.3">
      <c r="B72" s="48" t="s">
        <v>106</v>
      </c>
      <c r="C72" s="83">
        <v>145</v>
      </c>
      <c r="D72" s="110">
        <f>SUM(Tabla1343[[#This Row],[Columna1]:[Columna5]])</f>
        <v>3</v>
      </c>
      <c r="E72" s="50" t="s">
        <v>279</v>
      </c>
      <c r="F72" s="94" t="s">
        <v>230</v>
      </c>
      <c r="G72" s="96">
        <v>31.33</v>
      </c>
      <c r="H72" s="81">
        <f>+Tabla1345[[#This Row],[Cantidad]]*Tabla1345[[#This Row],[Precio Unitario en Pesos /   €]]*I$3</f>
        <v>651898.97499999998</v>
      </c>
      <c r="I72" s="81">
        <f>+Tabla1345[[#This Row],[Precio Total en Pesos]]*3%</f>
        <v>19556.969249999998</v>
      </c>
    </row>
    <row r="73" spans="2:9" ht="15" customHeight="1" x14ac:dyDescent="0.3">
      <c r="B73" s="48" t="s">
        <v>144</v>
      </c>
      <c r="C73" s="83">
        <v>27</v>
      </c>
      <c r="D73" s="121">
        <f>SUM(Tabla1343[[#This Row],[Columna1]:[Columna5]])</f>
        <v>1</v>
      </c>
      <c r="E73" s="50" t="s">
        <v>279</v>
      </c>
      <c r="F73" s="94" t="s">
        <v>230</v>
      </c>
      <c r="G73" s="96">
        <v>50.05</v>
      </c>
      <c r="H73" s="81">
        <f>+Tabla1345[[#This Row],[Cantidad]]*Tabla1345[[#This Row],[Precio Unitario en Pesos /   €]]*I$3</f>
        <v>193918.72499999998</v>
      </c>
      <c r="I73" s="81">
        <f>+Tabla1345[[#This Row],[Precio Total en Pesos]]*3%</f>
        <v>5817.5617499999989</v>
      </c>
    </row>
    <row r="74" spans="2:9" ht="15" customHeight="1" x14ac:dyDescent="0.3">
      <c r="B74" s="48" t="s">
        <v>234</v>
      </c>
      <c r="C74" s="83">
        <v>80</v>
      </c>
      <c r="D74" s="110">
        <f>SUM(Tabla1343[[#This Row],[Columna1]:[Columna5]])</f>
        <v>3</v>
      </c>
      <c r="E74" s="50" t="s">
        <v>279</v>
      </c>
      <c r="F74" s="94" t="s">
        <v>230</v>
      </c>
      <c r="G74" s="96">
        <v>32.07</v>
      </c>
      <c r="H74" s="81">
        <f>+Tabla1345[[#This Row],[Cantidad]]*Tabla1345[[#This Row],[Precio Unitario en Pesos /   €]]*I$3</f>
        <v>368163.6</v>
      </c>
      <c r="I74" s="81">
        <f>+Tabla1345[[#This Row],[Precio Total en Pesos]]*3%</f>
        <v>11044.907999999999</v>
      </c>
    </row>
    <row r="75" spans="2:9" ht="15" customHeight="1" x14ac:dyDescent="0.3">
      <c r="B75" s="53" t="s">
        <v>102</v>
      </c>
      <c r="C75" s="84">
        <v>15</v>
      </c>
      <c r="D75" s="112">
        <f>SUM(Tabla1343[[#This Row],[Columna1]:[Columna5]])</f>
        <v>36</v>
      </c>
      <c r="E75" s="69" t="s">
        <v>279</v>
      </c>
      <c r="F75" s="94" t="s">
        <v>230</v>
      </c>
      <c r="G75" s="96">
        <v>46.94</v>
      </c>
      <c r="H75" s="81">
        <f>+Tabla1345[[#This Row],[Cantidad]]*Tabla1345[[#This Row],[Precio Unitario en Pesos /   €]]*I$3</f>
        <v>101038.34999999999</v>
      </c>
      <c r="I75" s="81">
        <f>+Tabla1345[[#This Row],[Precio Total en Pesos]]*3%</f>
        <v>3031.1504999999997</v>
      </c>
    </row>
    <row r="76" spans="2:9" ht="15" customHeight="1" x14ac:dyDescent="0.3">
      <c r="B76" s="53" t="s">
        <v>67</v>
      </c>
      <c r="C76" s="84">
        <v>237</v>
      </c>
      <c r="D76" s="112">
        <f>SUM(Tabla1343[[#This Row],[Columna1]:[Columna5]])</f>
        <v>27</v>
      </c>
      <c r="E76" s="69" t="s">
        <v>279</v>
      </c>
      <c r="F76" s="94" t="s">
        <v>230</v>
      </c>
      <c r="G76" s="96">
        <v>121.26</v>
      </c>
      <c r="H76" s="81">
        <f>+Tabla1345[[#This Row],[Cantidad]]*Tabla1345[[#This Row],[Precio Unitario en Pesos /   €]]*I$3</f>
        <v>4123991.97</v>
      </c>
      <c r="I76" s="81">
        <f>+Tabla1345[[#This Row],[Precio Total en Pesos]]*3%</f>
        <v>123719.7591</v>
      </c>
    </row>
    <row r="77" spans="2:9" ht="16.95" customHeight="1" x14ac:dyDescent="0.3">
      <c r="B77" s="3"/>
      <c r="C77" s="4"/>
      <c r="D77" s="10"/>
      <c r="E77" s="11"/>
      <c r="F77" s="105"/>
      <c r="G77" s="105"/>
      <c r="H77" s="105"/>
      <c r="I77" s="129">
        <f>SUM(I40:I76)</f>
        <v>1069461.422291226</v>
      </c>
    </row>
    <row r="78" spans="2:9" ht="15" thickBot="1" x14ac:dyDescent="0.35">
      <c r="I78" s="131"/>
    </row>
    <row r="79" spans="2:9" ht="18.600000000000001" thickBot="1" x14ac:dyDescent="0.35">
      <c r="B79" s="412" t="s">
        <v>267</v>
      </c>
      <c r="C79" s="413"/>
      <c r="D79" s="413"/>
      <c r="E79" s="413"/>
      <c r="F79" s="413"/>
      <c r="G79" s="413"/>
      <c r="H79" s="413"/>
      <c r="I79" s="414"/>
    </row>
    <row r="80" spans="2:9" ht="15" thickBot="1" x14ac:dyDescent="0.35">
      <c r="B80" s="415" t="s">
        <v>289</v>
      </c>
      <c r="C80" s="416"/>
      <c r="D80" s="416"/>
      <c r="E80" s="416"/>
      <c r="F80" s="416"/>
      <c r="G80" s="416"/>
      <c r="H80" s="416"/>
      <c r="I80" s="417"/>
    </row>
    <row r="81" spans="2:9" ht="19.95" customHeight="1" thickBot="1" x14ac:dyDescent="0.35">
      <c r="B81" s="40" t="s">
        <v>0</v>
      </c>
      <c r="C81" s="41" t="s">
        <v>1</v>
      </c>
      <c r="D81" s="41"/>
      <c r="E81" s="41" t="s">
        <v>269</v>
      </c>
      <c r="F81" s="42" t="s">
        <v>225</v>
      </c>
      <c r="G81" s="42"/>
      <c r="H81" s="90" t="s">
        <v>21</v>
      </c>
      <c r="I81" s="91" t="s">
        <v>5</v>
      </c>
    </row>
    <row r="82" spans="2:9" x14ac:dyDescent="0.3">
      <c r="B82" s="70" t="s">
        <v>275</v>
      </c>
      <c r="C82" s="71">
        <v>12</v>
      </c>
      <c r="D82" s="71"/>
      <c r="E82" s="59" t="s">
        <v>278</v>
      </c>
      <c r="F82" s="60" t="s">
        <v>243</v>
      </c>
      <c r="G82" s="60"/>
      <c r="H82" s="60"/>
      <c r="I82" s="60"/>
    </row>
    <row r="83" spans="2:9" x14ac:dyDescent="0.3">
      <c r="B83" s="3" t="s">
        <v>200</v>
      </c>
      <c r="C83" s="4">
        <v>2</v>
      </c>
      <c r="D83" s="10"/>
      <c r="E83" s="61" t="s">
        <v>278</v>
      </c>
      <c r="F83" s="60"/>
      <c r="G83" s="60"/>
      <c r="H83" s="60"/>
      <c r="I83" s="60"/>
    </row>
    <row r="84" spans="2:9" x14ac:dyDescent="0.3">
      <c r="B84" s="47" t="s">
        <v>202</v>
      </c>
      <c r="C84" s="58">
        <v>2</v>
      </c>
      <c r="D84" s="114"/>
      <c r="E84" s="59" t="s">
        <v>278</v>
      </c>
      <c r="F84" s="60"/>
      <c r="G84" s="60"/>
      <c r="H84" s="60"/>
      <c r="I84" s="60"/>
    </row>
    <row r="85" spans="2:9" x14ac:dyDescent="0.3">
      <c r="B85" s="3" t="s">
        <v>201</v>
      </c>
      <c r="C85" s="4">
        <v>1</v>
      </c>
      <c r="D85" s="10"/>
      <c r="E85" s="61" t="s">
        <v>278</v>
      </c>
      <c r="F85" s="60"/>
      <c r="G85" s="60"/>
      <c r="H85" s="60"/>
      <c r="I85" s="60"/>
    </row>
    <row r="86" spans="2:9" x14ac:dyDescent="0.3">
      <c r="B86" s="47" t="s">
        <v>137</v>
      </c>
      <c r="C86" s="58">
        <v>2</v>
      </c>
      <c r="D86" s="114"/>
      <c r="E86" s="59" t="s">
        <v>278</v>
      </c>
      <c r="F86" s="60" t="s">
        <v>273</v>
      </c>
      <c r="G86" s="60"/>
      <c r="H86" s="60"/>
      <c r="I86" s="60"/>
    </row>
    <row r="87" spans="2:9" x14ac:dyDescent="0.3">
      <c r="B87" s="3" t="s">
        <v>214</v>
      </c>
      <c r="C87" s="4">
        <v>24</v>
      </c>
      <c r="D87" s="10"/>
      <c r="E87" s="61" t="s">
        <v>278</v>
      </c>
      <c r="F87" s="60" t="s">
        <v>265</v>
      </c>
      <c r="G87" s="60"/>
      <c r="H87" s="60"/>
      <c r="I87" s="60"/>
    </row>
    <row r="88" spans="2:9" x14ac:dyDescent="0.3">
      <c r="B88" s="47" t="s">
        <v>213</v>
      </c>
      <c r="C88" s="58">
        <v>8</v>
      </c>
      <c r="D88" s="114"/>
      <c r="E88" s="59" t="s">
        <v>278</v>
      </c>
      <c r="F88" s="60" t="s">
        <v>265</v>
      </c>
      <c r="G88" s="60"/>
      <c r="H88" s="60"/>
      <c r="I88" s="60"/>
    </row>
    <row r="89" spans="2:9" x14ac:dyDescent="0.3">
      <c r="B89" s="3" t="s">
        <v>126</v>
      </c>
      <c r="C89" s="4">
        <v>2</v>
      </c>
      <c r="D89" s="10"/>
      <c r="E89" s="61" t="s">
        <v>278</v>
      </c>
      <c r="F89" s="60" t="s">
        <v>270</v>
      </c>
      <c r="G89" s="60"/>
      <c r="H89" s="60"/>
      <c r="I89" s="60"/>
    </row>
    <row r="90" spans="2:9" x14ac:dyDescent="0.3">
      <c r="B90" s="47" t="s">
        <v>50</v>
      </c>
      <c r="C90" s="58">
        <v>13</v>
      </c>
      <c r="D90" s="114"/>
      <c r="E90" s="59" t="s">
        <v>278</v>
      </c>
      <c r="F90" s="60"/>
      <c r="G90" s="60"/>
      <c r="H90" s="60"/>
      <c r="I90" s="60"/>
    </row>
    <row r="91" spans="2:9" x14ac:dyDescent="0.3">
      <c r="B91" s="3" t="s">
        <v>252</v>
      </c>
      <c r="C91" s="4">
        <v>74</v>
      </c>
      <c r="D91" s="10"/>
      <c r="E91" s="61" t="s">
        <v>278</v>
      </c>
      <c r="F91" s="60" t="s">
        <v>253</v>
      </c>
      <c r="G91" s="60"/>
      <c r="H91" s="60"/>
      <c r="I91" s="60"/>
    </row>
    <row r="92" spans="2:9" x14ac:dyDescent="0.3">
      <c r="B92" s="47" t="s">
        <v>222</v>
      </c>
      <c r="C92" s="58">
        <v>2</v>
      </c>
      <c r="D92" s="114"/>
      <c r="E92" s="59" t="s">
        <v>278</v>
      </c>
      <c r="F92" s="60" t="s">
        <v>265</v>
      </c>
      <c r="G92" s="60"/>
      <c r="H92" s="60"/>
      <c r="I92" s="60"/>
    </row>
    <row r="93" spans="2:9" x14ac:dyDescent="0.3">
      <c r="B93" s="3" t="s">
        <v>223</v>
      </c>
      <c r="C93" s="4">
        <v>3</v>
      </c>
      <c r="D93" s="10"/>
      <c r="E93" s="61" t="s">
        <v>278</v>
      </c>
      <c r="F93" s="60" t="s">
        <v>265</v>
      </c>
      <c r="G93" s="60"/>
      <c r="H93" s="60"/>
      <c r="I93" s="60"/>
    </row>
    <row r="94" spans="2:9" x14ac:dyDescent="0.3">
      <c r="B94" s="47" t="s">
        <v>215</v>
      </c>
      <c r="C94" s="58">
        <v>12</v>
      </c>
      <c r="D94" s="114"/>
      <c r="E94" s="59" t="s">
        <v>278</v>
      </c>
      <c r="F94" s="60" t="s">
        <v>265</v>
      </c>
      <c r="G94" s="60"/>
      <c r="H94" s="60"/>
      <c r="I94" s="60"/>
    </row>
    <row r="95" spans="2:9" x14ac:dyDescent="0.3">
      <c r="B95" s="3" t="s">
        <v>212</v>
      </c>
      <c r="C95" s="4">
        <v>1</v>
      </c>
      <c r="D95" s="10"/>
      <c r="E95" s="61" t="s">
        <v>278</v>
      </c>
      <c r="F95" s="60" t="s">
        <v>265</v>
      </c>
      <c r="G95" s="60"/>
      <c r="H95" s="60"/>
      <c r="I95" s="60"/>
    </row>
    <row r="96" spans="2:9" x14ac:dyDescent="0.3">
      <c r="B96" s="47" t="s">
        <v>211</v>
      </c>
      <c r="C96" s="58">
        <v>1</v>
      </c>
      <c r="D96" s="114"/>
      <c r="E96" s="59" t="s">
        <v>278</v>
      </c>
      <c r="F96" s="60" t="s">
        <v>265</v>
      </c>
      <c r="G96" s="60"/>
      <c r="H96" s="60"/>
      <c r="I96" s="60"/>
    </row>
    <row r="97" spans="2:9" x14ac:dyDescent="0.3">
      <c r="B97" s="3" t="s">
        <v>94</v>
      </c>
      <c r="C97" s="4">
        <v>1</v>
      </c>
      <c r="D97" s="10"/>
      <c r="E97" s="61" t="s">
        <v>278</v>
      </c>
      <c r="F97" s="60" t="s">
        <v>272</v>
      </c>
      <c r="G97" s="60"/>
      <c r="H97" s="60"/>
      <c r="I97" s="60"/>
    </row>
    <row r="98" spans="2:9" x14ac:dyDescent="0.3">
      <c r="B98" s="47" t="s">
        <v>207</v>
      </c>
      <c r="C98" s="58">
        <v>1</v>
      </c>
      <c r="D98" s="114"/>
      <c r="E98" s="59" t="s">
        <v>278</v>
      </c>
      <c r="F98" s="60"/>
      <c r="G98" s="60"/>
      <c r="H98" s="60"/>
      <c r="I98" s="60"/>
    </row>
    <row r="99" spans="2:9" x14ac:dyDescent="0.3">
      <c r="B99" s="3" t="s">
        <v>233</v>
      </c>
      <c r="C99" s="4">
        <v>1</v>
      </c>
      <c r="D99" s="10"/>
      <c r="E99" s="61" t="s">
        <v>278</v>
      </c>
      <c r="F99" s="60" t="s">
        <v>265</v>
      </c>
      <c r="G99" s="60"/>
      <c r="H99" s="60"/>
      <c r="I99" s="60"/>
    </row>
    <row r="100" spans="2:9" x14ac:dyDescent="0.3">
      <c r="B100" s="47" t="s">
        <v>237</v>
      </c>
      <c r="C100" s="58">
        <v>1</v>
      </c>
      <c r="D100" s="114"/>
      <c r="E100" s="59" t="s">
        <v>278</v>
      </c>
      <c r="F100" s="60" t="s">
        <v>265</v>
      </c>
      <c r="G100" s="60"/>
      <c r="H100" s="60"/>
      <c r="I100" s="60"/>
    </row>
    <row r="101" spans="2:9" x14ac:dyDescent="0.3">
      <c r="B101" s="3" t="s">
        <v>238</v>
      </c>
      <c r="C101" s="4">
        <v>4</v>
      </c>
      <c r="D101" s="10"/>
      <c r="E101" s="61" t="s">
        <v>278</v>
      </c>
      <c r="F101" s="60" t="s">
        <v>265</v>
      </c>
      <c r="G101" s="60"/>
      <c r="H101" s="60"/>
      <c r="I101" s="60"/>
    </row>
    <row r="102" spans="2:9" x14ac:dyDescent="0.3">
      <c r="B102" s="62" t="s">
        <v>220</v>
      </c>
      <c r="C102" s="63">
        <v>2</v>
      </c>
      <c r="D102" s="115"/>
      <c r="E102" s="59" t="s">
        <v>278</v>
      </c>
      <c r="F102" s="64" t="s">
        <v>265</v>
      </c>
      <c r="G102" s="64"/>
      <c r="H102" s="64"/>
      <c r="I102" s="64"/>
    </row>
    <row r="103" spans="2:9" x14ac:dyDescent="0.3">
      <c r="B103" s="65" t="s">
        <v>221</v>
      </c>
      <c r="C103" s="66">
        <v>2</v>
      </c>
      <c r="D103" s="113"/>
      <c r="E103" s="61" t="s">
        <v>278</v>
      </c>
      <c r="F103" s="64" t="s">
        <v>265</v>
      </c>
      <c r="G103" s="64"/>
      <c r="H103" s="64"/>
      <c r="I103" s="64"/>
    </row>
    <row r="104" spans="2:9" x14ac:dyDescent="0.3">
      <c r="B104" s="85" t="s">
        <v>216</v>
      </c>
      <c r="C104" s="86">
        <v>8</v>
      </c>
      <c r="D104" s="116"/>
      <c r="E104" s="87" t="s">
        <v>278</v>
      </c>
      <c r="F104" s="88" t="s">
        <v>265</v>
      </c>
      <c r="G104" s="88"/>
      <c r="H104" s="88"/>
      <c r="I104" s="88"/>
    </row>
  </sheetData>
  <mergeCells count="4">
    <mergeCell ref="B2:I2"/>
    <mergeCell ref="B3:G3"/>
    <mergeCell ref="B79:I79"/>
    <mergeCell ref="B80:I80"/>
  </mergeCells>
  <pageMargins left="0.31496062992125984" right="0.11811023622047245" top="0.19685039370078741" bottom="0.19685039370078741" header="0.31496062992125984" footer="0.31496062992125984"/>
  <pageSetup scale="80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2"/>
  <sheetViews>
    <sheetView zoomScale="110" zoomScaleNormal="110" workbookViewId="0">
      <selection activeCell="B6" sqref="B6"/>
    </sheetView>
  </sheetViews>
  <sheetFormatPr baseColWidth="10" defaultRowHeight="14.4" x14ac:dyDescent="0.3"/>
  <cols>
    <col min="1" max="1" width="1.6640625" customWidth="1"/>
    <col min="2" max="2" width="34.109375" style="2" bestFit="1" customWidth="1"/>
    <col min="3" max="3" width="13.6640625" style="1" customWidth="1"/>
    <col min="4" max="4" width="14" style="1" hidden="1" customWidth="1"/>
    <col min="5" max="5" width="13.6640625" customWidth="1"/>
    <col min="6" max="6" width="18" style="43" customWidth="1"/>
    <col min="7" max="7" width="15.6640625" style="43" customWidth="1"/>
    <col min="8" max="8" width="15.44140625" style="43" customWidth="1"/>
    <col min="9" max="9" width="15.6640625" style="43" customWidth="1"/>
    <col min="10" max="10" width="11.5546875" customWidth="1"/>
  </cols>
  <sheetData>
    <row r="1" spans="2:10" ht="15" thickBot="1" x14ac:dyDescent="0.35"/>
    <row r="2" spans="2:10" ht="26.25" customHeight="1" thickBot="1" x14ac:dyDescent="0.35">
      <c r="B2" s="412" t="s">
        <v>267</v>
      </c>
      <c r="C2" s="413"/>
      <c r="D2" s="413"/>
      <c r="E2" s="413"/>
      <c r="F2" s="413"/>
      <c r="G2" s="413"/>
      <c r="H2" s="413"/>
      <c r="I2" s="414"/>
    </row>
    <row r="3" spans="2:10" ht="15" customHeight="1" thickBot="1" x14ac:dyDescent="0.35">
      <c r="B3" s="415" t="s">
        <v>288</v>
      </c>
      <c r="C3" s="416"/>
      <c r="D3" s="416"/>
      <c r="E3" s="416"/>
      <c r="F3" s="416"/>
      <c r="G3" s="417"/>
      <c r="H3" s="98" t="s">
        <v>303</v>
      </c>
      <c r="I3" s="99">
        <v>143.5</v>
      </c>
    </row>
    <row r="4" spans="2:10" s="1" customFormat="1" ht="25.2" customHeight="1" thickBot="1" x14ac:dyDescent="0.35">
      <c r="B4" s="100" t="s">
        <v>0</v>
      </c>
      <c r="C4" s="101" t="s">
        <v>1</v>
      </c>
      <c r="D4" s="101" t="s">
        <v>308</v>
      </c>
      <c r="E4" s="101" t="s">
        <v>269</v>
      </c>
      <c r="F4" s="102" t="s">
        <v>225</v>
      </c>
      <c r="G4" s="103" t="s">
        <v>311</v>
      </c>
      <c r="H4" s="127" t="s">
        <v>312</v>
      </c>
      <c r="I4" s="104" t="s">
        <v>5</v>
      </c>
      <c r="J4"/>
    </row>
    <row r="5" spans="2:10" ht="15" customHeight="1" x14ac:dyDescent="0.3">
      <c r="B5" s="9" t="s">
        <v>210</v>
      </c>
      <c r="C5" s="10">
        <v>7</v>
      </c>
      <c r="D5" s="10">
        <f>SUM(Tabla1343[[#This Row],[Columna1]:[Columna5]])</f>
        <v>7</v>
      </c>
      <c r="E5" s="11"/>
      <c r="F5" s="44"/>
      <c r="G5" s="44"/>
      <c r="H5" s="44"/>
      <c r="I5" s="44"/>
    </row>
    <row r="6" spans="2:10" ht="15" customHeight="1" x14ac:dyDescent="0.3">
      <c r="B6" s="3" t="s">
        <v>148</v>
      </c>
      <c r="C6" s="4">
        <v>4</v>
      </c>
      <c r="D6" s="10">
        <f>SUM(Tabla1343[[#This Row],[Columna1]:[Columna5]])</f>
        <v>4</v>
      </c>
      <c r="E6" s="11"/>
      <c r="F6" s="92" t="s">
        <v>290</v>
      </c>
      <c r="G6" s="92">
        <v>60000</v>
      </c>
      <c r="H6" s="44">
        <f>+Tabla13456[[#This Row],[Cantidad]]*Tabla13456[[#This Row],[Precio Unitario en Pesos /   €]]</f>
        <v>240000</v>
      </c>
      <c r="I6" s="44">
        <f>+Tabla13456[[#This Row],[Precio Total en Pesos]]*3%</f>
        <v>7200</v>
      </c>
    </row>
    <row r="7" spans="2:10" ht="15" customHeight="1" x14ac:dyDescent="0.3">
      <c r="B7" s="3" t="s">
        <v>139</v>
      </c>
      <c r="C7" s="4">
        <v>8</v>
      </c>
      <c r="D7" s="10">
        <f>SUM(Tabla1343[[#This Row],[Columna1]:[Columna5]])</f>
        <v>8</v>
      </c>
      <c r="E7" s="11"/>
      <c r="F7" s="92"/>
      <c r="G7" s="92"/>
      <c r="H7" s="44"/>
      <c r="I7" s="44"/>
    </row>
    <row r="8" spans="2:10" ht="15" customHeight="1" x14ac:dyDescent="0.3">
      <c r="B8" s="3" t="s">
        <v>194</v>
      </c>
      <c r="C8" s="4">
        <v>2</v>
      </c>
      <c r="D8" s="10">
        <f>SUM(Tabla1343[[#This Row],[Columna1]:[Columna5]])</f>
        <v>2</v>
      </c>
      <c r="E8" s="11"/>
      <c r="F8" s="92"/>
      <c r="G8" s="92"/>
      <c r="H8" s="44"/>
      <c r="I8" s="44"/>
    </row>
    <row r="9" spans="2:10" ht="15" customHeight="1" x14ac:dyDescent="0.3">
      <c r="B9" s="3" t="s">
        <v>160</v>
      </c>
      <c r="C9" s="4">
        <v>9</v>
      </c>
      <c r="D9" s="10">
        <f>SUM(Tabla1343[[#This Row],[Columna1]:[Columna5]])</f>
        <v>9</v>
      </c>
      <c r="E9" s="11"/>
      <c r="F9" s="92"/>
      <c r="G9" s="92"/>
      <c r="H9" s="44"/>
      <c r="I9" s="44"/>
    </row>
    <row r="10" spans="2:10" ht="15" customHeight="1" x14ac:dyDescent="0.3">
      <c r="B10" s="3" t="s">
        <v>195</v>
      </c>
      <c r="C10" s="4">
        <v>3</v>
      </c>
      <c r="D10" s="10">
        <f>SUM(Tabla1343[[#This Row],[Columna1]:[Columna5]])</f>
        <v>3</v>
      </c>
      <c r="E10" s="11"/>
      <c r="F10" s="92"/>
      <c r="G10" s="92"/>
      <c r="H10" s="44"/>
      <c r="I10" s="44"/>
    </row>
    <row r="11" spans="2:10" ht="15" customHeight="1" x14ac:dyDescent="0.3">
      <c r="B11" s="3" t="s">
        <v>118</v>
      </c>
      <c r="C11" s="80">
        <v>97</v>
      </c>
      <c r="D11" s="108">
        <f>SUM(Tabla1343[[#This Row],[Columna1]:[Columna5]])</f>
        <v>97</v>
      </c>
      <c r="E11" s="11"/>
      <c r="F11" s="92"/>
      <c r="G11" s="93"/>
      <c r="H11" s="44"/>
      <c r="I11" s="44"/>
    </row>
    <row r="12" spans="2:10" ht="15" customHeight="1" x14ac:dyDescent="0.3">
      <c r="B12" s="3" t="s">
        <v>119</v>
      </c>
      <c r="C12" s="80">
        <v>137</v>
      </c>
      <c r="D12" s="108">
        <f>SUM(Tabla1343[[#This Row],[Columna1]:[Columna5]])</f>
        <v>137</v>
      </c>
      <c r="E12" s="11"/>
      <c r="F12" s="92"/>
      <c r="G12" s="93"/>
      <c r="H12" s="44"/>
      <c r="I12" s="44"/>
    </row>
    <row r="13" spans="2:10" ht="15" customHeight="1" x14ac:dyDescent="0.3">
      <c r="B13" s="3" t="s">
        <v>189</v>
      </c>
      <c r="C13" s="80">
        <v>14</v>
      </c>
      <c r="D13" s="108">
        <f>SUM(Tabla1343[[#This Row],[Columna1]:[Columna5]])</f>
        <v>14</v>
      </c>
      <c r="E13" s="11"/>
      <c r="F13" s="92"/>
      <c r="G13" s="93"/>
      <c r="H13" s="44"/>
      <c r="I13" s="44"/>
    </row>
    <row r="14" spans="2:10" ht="15" customHeight="1" x14ac:dyDescent="0.3">
      <c r="B14" s="3" t="s">
        <v>188</v>
      </c>
      <c r="C14" s="80">
        <v>136</v>
      </c>
      <c r="D14" s="108">
        <f>SUM(Tabla1343[[#This Row],[Columna1]:[Columna5]])</f>
        <v>136</v>
      </c>
      <c r="E14" s="11"/>
      <c r="F14" s="92"/>
      <c r="G14" s="93"/>
      <c r="H14" s="44"/>
      <c r="I14" s="44"/>
    </row>
    <row r="15" spans="2:10" ht="15" customHeight="1" x14ac:dyDescent="0.3">
      <c r="B15" s="3" t="s">
        <v>171</v>
      </c>
      <c r="C15" s="80">
        <v>3</v>
      </c>
      <c r="D15" s="108">
        <f>SUM(Tabla1343[[#This Row],[Columna1]:[Columna5]])</f>
        <v>3</v>
      </c>
      <c r="E15" s="11"/>
      <c r="F15" s="92"/>
      <c r="G15" s="93"/>
      <c r="H15" s="44"/>
      <c r="I15" s="44"/>
    </row>
    <row r="16" spans="2:10" ht="15" customHeight="1" x14ac:dyDescent="0.3">
      <c r="B16" s="3" t="s">
        <v>170</v>
      </c>
      <c r="C16" s="80">
        <v>7</v>
      </c>
      <c r="D16" s="108">
        <f>SUM(Tabla1343[[#This Row],[Columna1]:[Columna5]])</f>
        <v>7</v>
      </c>
      <c r="E16" s="11"/>
      <c r="F16" s="92"/>
      <c r="G16" s="93"/>
      <c r="H16" s="44"/>
      <c r="I16" s="44"/>
    </row>
    <row r="17" spans="2:9" ht="15" customHeight="1" x14ac:dyDescent="0.3">
      <c r="B17" s="3" t="s">
        <v>242</v>
      </c>
      <c r="C17" s="80">
        <v>1</v>
      </c>
      <c r="D17" s="108">
        <f>SUM(Tabla1343[[#This Row],[Columna1]:[Columna5]])</f>
        <v>1</v>
      </c>
      <c r="E17" s="11"/>
      <c r="F17" s="93"/>
      <c r="G17" s="93"/>
      <c r="H17" s="44"/>
      <c r="I17" s="44"/>
    </row>
    <row r="18" spans="2:9" ht="15" customHeight="1" x14ac:dyDescent="0.3">
      <c r="B18" s="3" t="s">
        <v>186</v>
      </c>
      <c r="C18" s="80">
        <v>1</v>
      </c>
      <c r="D18" s="108">
        <f>SUM(Tabla1343[[#This Row],[Columna1]:[Columna5]])</f>
        <v>1</v>
      </c>
      <c r="E18" s="11"/>
      <c r="F18" s="92"/>
      <c r="G18" s="93"/>
      <c r="H18" s="44"/>
      <c r="I18" s="44"/>
    </row>
    <row r="19" spans="2:9" ht="15" customHeight="1" x14ac:dyDescent="0.3">
      <c r="B19" s="34" t="s">
        <v>117</v>
      </c>
      <c r="C19" s="82">
        <v>9</v>
      </c>
      <c r="D19" s="109">
        <f>SUM(Tabla1343[[#This Row],[Columna1]:[Columna5]])</f>
        <v>9</v>
      </c>
      <c r="E19" s="68"/>
      <c r="F19" s="92"/>
      <c r="G19" s="93"/>
      <c r="H19" s="44"/>
      <c r="I19" s="44"/>
    </row>
    <row r="20" spans="2:9" ht="15" customHeight="1" x14ac:dyDescent="0.3">
      <c r="B20" s="3" t="s">
        <v>116</v>
      </c>
      <c r="C20" s="80">
        <v>15</v>
      </c>
      <c r="D20" s="108">
        <f>SUM(Tabla1343[[#This Row],[Columna1]:[Columna5]])</f>
        <v>15</v>
      </c>
      <c r="E20" s="11"/>
      <c r="F20" s="92"/>
      <c r="G20" s="93"/>
      <c r="H20" s="44"/>
      <c r="I20" s="44"/>
    </row>
    <row r="21" spans="2:9" ht="15" customHeight="1" x14ac:dyDescent="0.3">
      <c r="B21" s="3" t="s">
        <v>196</v>
      </c>
      <c r="C21" s="80">
        <v>1</v>
      </c>
      <c r="D21" s="108">
        <f>SUM(Tabla1343[[#This Row],[Columna1]:[Columna5]])</f>
        <v>1</v>
      </c>
      <c r="E21" s="11"/>
      <c r="F21" s="92"/>
      <c r="G21" s="93"/>
      <c r="H21" s="44"/>
      <c r="I21" s="44"/>
    </row>
    <row r="22" spans="2:9" ht="15" customHeight="1" x14ac:dyDescent="0.3">
      <c r="B22" s="3" t="s">
        <v>247</v>
      </c>
      <c r="C22" s="80">
        <v>3</v>
      </c>
      <c r="D22" s="108">
        <f>SUM(Tabla1343[[#This Row],[Columna1]:[Columna5]])</f>
        <v>3</v>
      </c>
      <c r="E22" s="11"/>
      <c r="F22" s="92"/>
      <c r="G22" s="93"/>
      <c r="H22" s="44"/>
      <c r="I22" s="44"/>
    </row>
    <row r="23" spans="2:9" ht="15" customHeight="1" x14ac:dyDescent="0.3">
      <c r="B23" s="3" t="s">
        <v>248</v>
      </c>
      <c r="C23" s="80">
        <v>3</v>
      </c>
      <c r="D23" s="108">
        <f>SUM(Tabla1343[[#This Row],[Columna1]:[Columna5]])</f>
        <v>3</v>
      </c>
      <c r="E23" s="11"/>
      <c r="F23" s="93"/>
      <c r="G23" s="93"/>
      <c r="H23" s="44"/>
      <c r="I23" s="44"/>
    </row>
    <row r="24" spans="2:9" ht="15" customHeight="1" x14ac:dyDescent="0.3">
      <c r="B24" s="3" t="s">
        <v>155</v>
      </c>
      <c r="C24" s="80">
        <v>7</v>
      </c>
      <c r="D24" s="108">
        <f>SUM(Tabla1343[[#This Row],[Columna1]:[Columna5]])</f>
        <v>7</v>
      </c>
      <c r="E24" s="11"/>
      <c r="F24" s="92"/>
      <c r="G24" s="93"/>
      <c r="H24" s="44"/>
      <c r="I24" s="44"/>
    </row>
    <row r="25" spans="2:9" ht="15" customHeight="1" x14ac:dyDescent="0.3">
      <c r="B25" s="3" t="s">
        <v>154</v>
      </c>
      <c r="C25" s="80">
        <v>11</v>
      </c>
      <c r="D25" s="108">
        <f>SUM(Tabla1343[[#This Row],[Columna1]:[Columna5]])</f>
        <v>11</v>
      </c>
      <c r="E25" s="11"/>
      <c r="F25" s="92"/>
      <c r="G25" s="93"/>
      <c r="H25" s="44"/>
      <c r="I25" s="44"/>
    </row>
    <row r="26" spans="2:9" ht="15" customHeight="1" x14ac:dyDescent="0.3">
      <c r="B26" s="3" t="s">
        <v>293</v>
      </c>
      <c r="C26" s="80">
        <v>19</v>
      </c>
      <c r="D26" s="108">
        <f>SUM(Tabla1343[[#This Row],[Columna1]:[Columna5]])</f>
        <v>19</v>
      </c>
      <c r="E26" s="11"/>
      <c r="F26" s="92" t="s">
        <v>291</v>
      </c>
      <c r="G26" s="93">
        <v>4650</v>
      </c>
      <c r="H26" s="44">
        <f>+Tabla13456[[#This Row],[Cantidad]]*Tabla13456[[#This Row],[Precio Unitario en Pesos /   €]]</f>
        <v>88350</v>
      </c>
      <c r="I26" s="44">
        <f>+Tabla13456[[#This Row],[Precio Total en Pesos]]*3%</f>
        <v>2650.5</v>
      </c>
    </row>
    <row r="27" spans="2:9" ht="15" customHeight="1" x14ac:dyDescent="0.3">
      <c r="B27" s="3" t="s">
        <v>173</v>
      </c>
      <c r="C27" s="80">
        <v>165</v>
      </c>
      <c r="D27" s="108">
        <f>SUM(Tabla1343[[#This Row],[Columna1]:[Columna5]])</f>
        <v>165</v>
      </c>
      <c r="E27" s="11"/>
      <c r="F27" s="92" t="s">
        <v>291</v>
      </c>
      <c r="G27" s="93">
        <v>580</v>
      </c>
      <c r="H27" s="44">
        <f>+Tabla13456[[#This Row],[Cantidad]]*Tabla13456[[#This Row],[Precio Unitario en Pesos /   €]]</f>
        <v>95700</v>
      </c>
      <c r="I27" s="44">
        <f>+Tabla13456[[#This Row],[Precio Total en Pesos]]*3%</f>
        <v>2871</v>
      </c>
    </row>
    <row r="28" spans="2:9" ht="15" customHeight="1" x14ac:dyDescent="0.3">
      <c r="B28" s="3" t="s">
        <v>181</v>
      </c>
      <c r="C28" s="80">
        <v>1</v>
      </c>
      <c r="D28" s="108">
        <v>1</v>
      </c>
      <c r="E28" s="11"/>
      <c r="F28" s="92"/>
      <c r="G28" s="93"/>
      <c r="H28" s="44"/>
      <c r="I28" s="44"/>
    </row>
    <row r="29" spans="2:9" ht="15" customHeight="1" x14ac:dyDescent="0.3">
      <c r="B29" s="3" t="s">
        <v>187</v>
      </c>
      <c r="C29" s="80">
        <v>1</v>
      </c>
      <c r="D29" s="108">
        <f>SUM(Tabla1343[[#This Row],[Columna1]:[Columna5]])</f>
        <v>1</v>
      </c>
      <c r="E29" s="11"/>
      <c r="F29" s="92"/>
      <c r="G29" s="93"/>
      <c r="H29" s="44"/>
      <c r="I29" s="44"/>
    </row>
    <row r="30" spans="2:9" ht="15" customHeight="1" x14ac:dyDescent="0.3">
      <c r="B30" s="3" t="s">
        <v>27</v>
      </c>
      <c r="C30" s="80">
        <v>130</v>
      </c>
      <c r="D30" s="108">
        <f>SUM(Tabla1343[[#This Row],[Columna1]:[Columna5]])</f>
        <v>130</v>
      </c>
      <c r="E30" s="11"/>
      <c r="F30" s="92" t="s">
        <v>290</v>
      </c>
      <c r="G30" s="93">
        <v>100</v>
      </c>
      <c r="H30" s="44">
        <f>+Tabla13456[[#This Row],[Cantidad]]*Tabla13456[[#This Row],[Precio Unitario en Pesos /   €]]</f>
        <v>13000</v>
      </c>
      <c r="I30" s="44">
        <f>+Tabla13456[[#This Row],[Precio Total en Pesos]]*3%</f>
        <v>390</v>
      </c>
    </row>
    <row r="31" spans="2:9" ht="15" customHeight="1" x14ac:dyDescent="0.3">
      <c r="B31" s="3" t="s">
        <v>42</v>
      </c>
      <c r="C31" s="80">
        <v>11</v>
      </c>
      <c r="D31" s="108">
        <f>SUM(Tabla1343[[#This Row],[Columna1]:[Columna5]])</f>
        <v>11</v>
      </c>
      <c r="E31" s="11"/>
      <c r="F31" s="92"/>
      <c r="G31" s="93"/>
      <c r="H31" s="44"/>
      <c r="I31" s="44"/>
    </row>
    <row r="32" spans="2:9" ht="15" customHeight="1" x14ac:dyDescent="0.3">
      <c r="B32" s="3" t="s">
        <v>192</v>
      </c>
      <c r="C32" s="80">
        <v>1</v>
      </c>
      <c r="D32" s="108">
        <f>SUM(Tabla1343[[#This Row],[Columna1]:[Columna5]])</f>
        <v>1</v>
      </c>
      <c r="E32" s="11"/>
      <c r="F32" s="92"/>
      <c r="G32" s="93"/>
      <c r="H32" s="44"/>
      <c r="I32" s="44"/>
    </row>
    <row r="33" spans="2:9" ht="15" customHeight="1" x14ac:dyDescent="0.3">
      <c r="B33" s="3" t="s">
        <v>294</v>
      </c>
      <c r="C33" s="80">
        <v>4</v>
      </c>
      <c r="D33" s="108">
        <f>SUM(Tabla1343[[#This Row],[Columna1]:[Columna5]])</f>
        <v>4</v>
      </c>
      <c r="E33" s="11"/>
      <c r="F33" s="92" t="s">
        <v>291</v>
      </c>
      <c r="G33" s="93">
        <v>132000</v>
      </c>
      <c r="H33" s="44">
        <f>+Tabla13456[[#This Row],[Cantidad]]*Tabla13456[[#This Row],[Precio Unitario en Pesos /   €]]</f>
        <v>528000</v>
      </c>
      <c r="I33" s="44">
        <f>+Tabla13456[[#This Row],[Precio Total en Pesos]]*3%</f>
        <v>15840</v>
      </c>
    </row>
    <row r="34" spans="2:9" ht="15" customHeight="1" x14ac:dyDescent="0.3">
      <c r="B34" s="3" t="s">
        <v>98</v>
      </c>
      <c r="C34" s="80">
        <v>6</v>
      </c>
      <c r="D34" s="108">
        <f>SUM(Tabla1343[[#This Row],[Columna1]:[Columna5]])</f>
        <v>6</v>
      </c>
      <c r="E34" s="11"/>
      <c r="F34" s="92" t="s">
        <v>296</v>
      </c>
      <c r="G34" s="93">
        <v>0</v>
      </c>
      <c r="H34" s="44">
        <f>+Tabla13456[[#This Row],[Cantidad]]*Tabla13456[[#This Row],[Precio Unitario en Pesos /   €]]</f>
        <v>0</v>
      </c>
      <c r="I34" s="44">
        <f>+Tabla13456[[#This Row],[Precio Total en Pesos]]*3%</f>
        <v>0</v>
      </c>
    </row>
    <row r="35" spans="2:9" ht="15" customHeight="1" x14ac:dyDescent="0.3">
      <c r="B35" s="3" t="s">
        <v>95</v>
      </c>
      <c r="C35" s="80">
        <v>3</v>
      </c>
      <c r="D35" s="108">
        <f>SUM(Tabla1343[[#This Row],[Columna1]:[Columna5]])</f>
        <v>3</v>
      </c>
      <c r="E35" s="11"/>
      <c r="F35" s="92" t="s">
        <v>296</v>
      </c>
      <c r="G35" s="93">
        <v>0</v>
      </c>
      <c r="H35" s="44">
        <f>+Tabla13456[[#This Row],[Cantidad]]*Tabla13456[[#This Row],[Precio Unitario en Pesos /   €]]</f>
        <v>0</v>
      </c>
      <c r="I35" s="44">
        <f>+Tabla13456[[#This Row],[Precio Total en Pesos]]*3%</f>
        <v>0</v>
      </c>
    </row>
    <row r="36" spans="2:9" ht="15" customHeight="1" x14ac:dyDescent="0.3">
      <c r="B36" s="3" t="s">
        <v>231</v>
      </c>
      <c r="C36" s="80">
        <v>11</v>
      </c>
      <c r="D36" s="108">
        <f>SUM(Tabla1343[[#This Row],[Columna1]:[Columna5]])</f>
        <v>11</v>
      </c>
      <c r="E36" s="11"/>
      <c r="F36" s="126"/>
      <c r="G36" s="93"/>
      <c r="H36" s="44"/>
      <c r="I36" s="44"/>
    </row>
    <row r="37" spans="2:9" ht="15" customHeight="1" x14ac:dyDescent="0.3">
      <c r="B37" s="3" t="s">
        <v>295</v>
      </c>
      <c r="C37" s="80">
        <v>38</v>
      </c>
      <c r="D37" s="108">
        <f>SUM(Tabla1343[[#This Row],[Columna1]:[Columna5]])</f>
        <v>38</v>
      </c>
      <c r="E37" s="11"/>
      <c r="F37" s="126"/>
      <c r="G37" s="93"/>
      <c r="H37" s="44"/>
      <c r="I37" s="44"/>
    </row>
    <row r="38" spans="2:9" ht="15" customHeight="1" x14ac:dyDescent="0.3">
      <c r="B38" s="3" t="s">
        <v>226</v>
      </c>
      <c r="C38" s="80">
        <v>2</v>
      </c>
      <c r="D38" s="108">
        <f>SUM(Tabla1343[[#This Row],[Columna1]:[Columna5]])</f>
        <v>2</v>
      </c>
      <c r="E38" s="11"/>
      <c r="F38" s="126"/>
      <c r="G38" s="93"/>
      <c r="H38" s="44"/>
      <c r="I38" s="44"/>
    </row>
    <row r="39" spans="2:9" ht="15" customHeight="1" x14ac:dyDescent="0.3">
      <c r="B39" s="3" t="s">
        <v>90</v>
      </c>
      <c r="C39" s="80">
        <v>10</v>
      </c>
      <c r="D39" s="108">
        <f>SUM(Tabla1343[[#This Row],[Columna1]:[Columna5]])</f>
        <v>10</v>
      </c>
      <c r="E39" s="11"/>
      <c r="F39" s="126"/>
      <c r="G39" s="93"/>
      <c r="H39" s="44"/>
      <c r="I39" s="44"/>
    </row>
    <row r="40" spans="2:9" ht="15" customHeight="1" x14ac:dyDescent="0.3">
      <c r="B40" s="3" t="s">
        <v>97</v>
      </c>
      <c r="C40" s="80">
        <v>9</v>
      </c>
      <c r="D40" s="108">
        <f>SUM(Tabla1343[[#This Row],[Columna1]:[Columna5]])</f>
        <v>9</v>
      </c>
      <c r="E40" s="11"/>
      <c r="F40" s="92" t="s">
        <v>296</v>
      </c>
      <c r="G40" s="93">
        <v>0</v>
      </c>
      <c r="H40" s="44">
        <f>+Tabla13456[[#This Row],[Cantidad]]*Tabla13456[[#This Row],[Precio Unitario en Pesos /   €]]</f>
        <v>0</v>
      </c>
      <c r="I40" s="44">
        <f>+Tabla13456[[#This Row],[Precio Total en Pesos]]*3%</f>
        <v>0</v>
      </c>
    </row>
    <row r="41" spans="2:9" ht="15" customHeight="1" x14ac:dyDescent="0.3">
      <c r="B41" s="3" t="s">
        <v>206</v>
      </c>
      <c r="C41" s="80">
        <v>2</v>
      </c>
      <c r="D41" s="108">
        <f>SUM(Tabla1343[[#This Row],[Columna1]:[Columna5]])</f>
        <v>2</v>
      </c>
      <c r="E41" s="11"/>
      <c r="F41" s="92"/>
      <c r="G41" s="93"/>
      <c r="H41" s="44"/>
      <c r="I41" s="44"/>
    </row>
    <row r="42" spans="2:9" ht="15" customHeight="1" x14ac:dyDescent="0.3">
      <c r="B42" s="3" t="s">
        <v>125</v>
      </c>
      <c r="C42" s="80">
        <v>4</v>
      </c>
      <c r="D42" s="108">
        <f>SUM(Tabla1343[[#This Row],[Columna1]:[Columna5]])</f>
        <v>4</v>
      </c>
      <c r="E42" s="11"/>
      <c r="F42" s="93" t="s">
        <v>250</v>
      </c>
      <c r="G42" s="93">
        <v>27579</v>
      </c>
      <c r="H42" s="44">
        <f>+Tabla13456[[#This Row],[Cantidad]]*Tabla13456[[#This Row],[Precio Unitario en Pesos /   €]]</f>
        <v>110316</v>
      </c>
      <c r="I42" s="44">
        <f>+Tabla13456[[#This Row],[Precio Total en Pesos]]*3%</f>
        <v>3309.48</v>
      </c>
    </row>
    <row r="43" spans="2:9" ht="15" customHeight="1" x14ac:dyDescent="0.3">
      <c r="B43" s="3" t="s">
        <v>249</v>
      </c>
      <c r="C43" s="80">
        <v>3</v>
      </c>
      <c r="D43" s="108">
        <f>SUM(Tabla1343[[#This Row],[Columna1]:[Columna5]])</f>
        <v>2</v>
      </c>
      <c r="E43" s="11"/>
      <c r="F43" s="93" t="s">
        <v>250</v>
      </c>
      <c r="G43" s="93">
        <v>50635</v>
      </c>
      <c r="H43" s="44">
        <f>+Tabla13456[[#This Row],[Cantidad]]*Tabla13456[[#This Row],[Precio Unitario en Pesos /   €]]</f>
        <v>151905</v>
      </c>
      <c r="I43" s="44">
        <f>+Tabla13456[[#This Row],[Precio Total en Pesos]]*3%</f>
        <v>4557.1499999999996</v>
      </c>
    </row>
    <row r="44" spans="2:9" ht="15" customHeight="1" x14ac:dyDescent="0.3">
      <c r="B44" s="3" t="s">
        <v>127</v>
      </c>
      <c r="C44" s="80">
        <v>34</v>
      </c>
      <c r="D44" s="108">
        <f>SUM(Tabla1343[[#This Row],[Columna1]:[Columna5]])</f>
        <v>34</v>
      </c>
      <c r="E44" s="11"/>
      <c r="F44" s="93" t="s">
        <v>250</v>
      </c>
      <c r="G44" s="93">
        <v>4000</v>
      </c>
      <c r="H44" s="44">
        <f>+Tabla13456[[#This Row],[Cantidad]]*Tabla13456[[#This Row],[Precio Unitario en Pesos /   €]]</f>
        <v>136000</v>
      </c>
      <c r="I44" s="44">
        <f>+Tabla13456[[#This Row],[Precio Total en Pesos]]*3%</f>
        <v>4080</v>
      </c>
    </row>
    <row r="45" spans="2:9" ht="15" customHeight="1" x14ac:dyDescent="0.3">
      <c r="B45" s="3" t="s">
        <v>244</v>
      </c>
      <c r="C45" s="80">
        <v>1</v>
      </c>
      <c r="D45" s="108">
        <f>SUM(Tabla1343[[#This Row],[Columna1]:[Columna5]])</f>
        <v>1</v>
      </c>
      <c r="E45" s="11"/>
      <c r="F45" s="92"/>
      <c r="G45" s="93"/>
      <c r="H45" s="44"/>
      <c r="I45" s="44"/>
    </row>
    <row r="46" spans="2:9" ht="15" customHeight="1" x14ac:dyDescent="0.3">
      <c r="B46" s="3" t="s">
        <v>156</v>
      </c>
      <c r="C46" s="80">
        <v>9</v>
      </c>
      <c r="D46" s="108">
        <f>SUM(Tabla1343[[#This Row],[Columna1]:[Columna5]])</f>
        <v>9</v>
      </c>
      <c r="E46" s="11"/>
      <c r="F46" s="92"/>
      <c r="G46" s="93"/>
      <c r="H46" s="44"/>
      <c r="I46" s="44"/>
    </row>
    <row r="47" spans="2:9" ht="15" customHeight="1" x14ac:dyDescent="0.3">
      <c r="B47" s="3" t="s">
        <v>147</v>
      </c>
      <c r="C47" s="80">
        <v>77</v>
      </c>
      <c r="D47" s="108">
        <f>SUM(Tabla1343[[#This Row],[Columna1]:[Columna5]])</f>
        <v>77</v>
      </c>
      <c r="E47" s="11"/>
      <c r="F47" s="92"/>
      <c r="G47" s="93"/>
      <c r="H47" s="44"/>
      <c r="I47" s="44"/>
    </row>
    <row r="48" spans="2:9" ht="15" customHeight="1" x14ac:dyDescent="0.3">
      <c r="B48" s="3" t="s">
        <v>133</v>
      </c>
      <c r="C48" s="80">
        <v>28</v>
      </c>
      <c r="D48" s="108">
        <f>SUM(Tabla1343[[#This Row],[Columna1]:[Columna5]])</f>
        <v>28</v>
      </c>
      <c r="E48" s="11"/>
      <c r="F48" s="92"/>
      <c r="G48" s="93"/>
      <c r="H48" s="44"/>
      <c r="I48" s="44"/>
    </row>
    <row r="49" spans="2:9" ht="15" customHeight="1" x14ac:dyDescent="0.3">
      <c r="B49" s="3" t="s">
        <v>134</v>
      </c>
      <c r="C49" s="80">
        <v>17</v>
      </c>
      <c r="D49" s="108">
        <f>SUM(Tabla1343[[#This Row],[Columna1]:[Columna5]])</f>
        <v>17</v>
      </c>
      <c r="E49" s="11"/>
      <c r="F49" s="92"/>
      <c r="G49" s="93"/>
      <c r="H49" s="44"/>
      <c r="I49" s="44"/>
    </row>
    <row r="50" spans="2:9" ht="15" customHeight="1" x14ac:dyDescent="0.3">
      <c r="B50" s="34" t="s">
        <v>135</v>
      </c>
      <c r="C50" s="82">
        <v>27</v>
      </c>
      <c r="D50" s="109">
        <f>SUM(Tabla1343[[#This Row],[Columna1]:[Columna5]])</f>
        <v>27</v>
      </c>
      <c r="E50" s="68"/>
      <c r="F50" s="92"/>
      <c r="G50" s="93"/>
      <c r="H50" s="44"/>
      <c r="I50" s="44"/>
    </row>
    <row r="51" spans="2:9" ht="15" customHeight="1" x14ac:dyDescent="0.3">
      <c r="B51" s="34" t="s">
        <v>136</v>
      </c>
      <c r="C51" s="82">
        <v>36</v>
      </c>
      <c r="D51" s="109">
        <f>SUM(Tabla1343[[#This Row],[Columna1]:[Columna5]])</f>
        <v>36</v>
      </c>
      <c r="E51" s="68"/>
      <c r="F51" s="92"/>
      <c r="G51" s="93"/>
      <c r="H51" s="44"/>
      <c r="I51" s="44"/>
    </row>
    <row r="52" spans="2:9" ht="15" customHeight="1" x14ac:dyDescent="0.3">
      <c r="B52" s="3" t="s">
        <v>204</v>
      </c>
      <c r="C52" s="80">
        <v>56</v>
      </c>
      <c r="D52" s="108">
        <f>SUM(Tabla1343[[#This Row],[Columna1]:[Columna5]])</f>
        <v>0</v>
      </c>
      <c r="E52" s="11"/>
      <c r="F52" s="92"/>
      <c r="G52" s="93"/>
      <c r="H52" s="44"/>
      <c r="I52" s="44"/>
    </row>
    <row r="53" spans="2:9" ht="15" customHeight="1" x14ac:dyDescent="0.3">
      <c r="B53" s="3" t="s">
        <v>15</v>
      </c>
      <c r="C53" s="80">
        <v>403</v>
      </c>
      <c r="D53" s="108">
        <v>403</v>
      </c>
      <c r="E53" s="11"/>
      <c r="F53" s="93" t="s">
        <v>266</v>
      </c>
      <c r="G53" s="93">
        <v>5065</v>
      </c>
      <c r="H53" s="44">
        <f>+Tabla13456[[#This Row],[Cantidad]]*Tabla13456[[#This Row],[Precio Unitario en Pesos /   €]]</f>
        <v>2041195</v>
      </c>
      <c r="I53" s="44">
        <f>+Tabla13456[[#This Row],[Precio Total en Pesos]]*3%</f>
        <v>61235.85</v>
      </c>
    </row>
    <row r="54" spans="2:9" ht="15" customHeight="1" x14ac:dyDescent="0.3">
      <c r="B54" s="3" t="s">
        <v>252</v>
      </c>
      <c r="C54" s="80">
        <v>16</v>
      </c>
      <c r="D54" s="108">
        <v>16</v>
      </c>
      <c r="E54" s="11"/>
      <c r="F54" s="93" t="s">
        <v>243</v>
      </c>
      <c r="G54" s="93">
        <f>+G53*60%</f>
        <v>3039</v>
      </c>
      <c r="H54" s="44">
        <f>+Tabla13456[[#This Row],[Cantidad]]*Tabla13456[[#This Row],[Precio Unitario en Pesos /   €]]</f>
        <v>48624</v>
      </c>
      <c r="I54" s="44">
        <f>+Tabla13456[[#This Row],[Precio Total en Pesos]]*3%</f>
        <v>1458.72</v>
      </c>
    </row>
    <row r="55" spans="2:9" ht="15" customHeight="1" x14ac:dyDescent="0.3">
      <c r="B55" s="3" t="s">
        <v>140</v>
      </c>
      <c r="C55" s="80">
        <v>34</v>
      </c>
      <c r="D55" s="108">
        <f>SUM(Tabla1343[[#This Row],[Columna1]:[Columna5]])</f>
        <v>34</v>
      </c>
      <c r="E55" s="11"/>
      <c r="F55" s="92" t="s">
        <v>301</v>
      </c>
      <c r="G55" s="93">
        <v>5065</v>
      </c>
      <c r="H55" s="44">
        <f>+Tabla13456[[#This Row],[Cantidad]]*Tabla13456[[#This Row],[Precio Unitario en Pesos /   €]]</f>
        <v>172210</v>
      </c>
      <c r="I55" s="44">
        <f>+Tabla13456[[#This Row],[Precio Total en Pesos]]*3%</f>
        <v>5166.3</v>
      </c>
    </row>
    <row r="56" spans="2:9" ht="15" customHeight="1" x14ac:dyDescent="0.3">
      <c r="B56" s="3" t="s">
        <v>121</v>
      </c>
      <c r="C56" s="80">
        <v>5</v>
      </c>
      <c r="D56" s="108">
        <f>SUM(Tabla1343[[#This Row],[Columna1]:[Columna5]])</f>
        <v>5</v>
      </c>
      <c r="E56" s="11"/>
      <c r="F56" s="92"/>
      <c r="G56" s="93"/>
      <c r="H56" s="44"/>
      <c r="I56" s="44"/>
    </row>
    <row r="57" spans="2:9" ht="15" customHeight="1" x14ac:dyDescent="0.3">
      <c r="B57" s="3" t="s">
        <v>74</v>
      </c>
      <c r="C57" s="80">
        <v>58</v>
      </c>
      <c r="D57" s="108">
        <f>SUM(Tabla1343[[#This Row],[Columna1]:[Columna5]])</f>
        <v>58</v>
      </c>
      <c r="E57" s="11"/>
      <c r="F57" s="92" t="s">
        <v>291</v>
      </c>
      <c r="G57" s="93">
        <v>30000</v>
      </c>
      <c r="H57" s="44">
        <f>+Tabla13456[[#This Row],[Cantidad]]*Tabla13456[[#This Row],[Precio Unitario en Pesos /   €]]</f>
        <v>1740000</v>
      </c>
      <c r="I57" s="44">
        <f>+Tabla13456[[#This Row],[Precio Total en Pesos]]*3%</f>
        <v>52200</v>
      </c>
    </row>
    <row r="58" spans="2:9" ht="15" customHeight="1" x14ac:dyDescent="0.3">
      <c r="B58" s="3" t="s">
        <v>88</v>
      </c>
      <c r="C58" s="80">
        <v>10</v>
      </c>
      <c r="D58" s="108">
        <f>SUM(Tabla1343[[#This Row],[Columna1]:[Columna5]])</f>
        <v>10</v>
      </c>
      <c r="E58" s="11"/>
      <c r="F58" s="92"/>
      <c r="G58" s="93"/>
      <c r="H58" s="44"/>
      <c r="I58" s="44"/>
    </row>
    <row r="59" spans="2:9" ht="15" customHeight="1" x14ac:dyDescent="0.3">
      <c r="B59" s="34" t="s">
        <v>190</v>
      </c>
      <c r="C59" s="82">
        <v>5</v>
      </c>
      <c r="D59" s="109">
        <f>SUM(Tabla1343[[#This Row],[Columna1]:[Columna5]])</f>
        <v>5</v>
      </c>
      <c r="E59" s="68"/>
      <c r="F59" s="92"/>
      <c r="G59" s="93"/>
      <c r="H59" s="44"/>
      <c r="I59" s="44"/>
    </row>
    <row r="60" spans="2:9" ht="15" customHeight="1" x14ac:dyDescent="0.3">
      <c r="B60" s="34" t="s">
        <v>112</v>
      </c>
      <c r="C60" s="82">
        <v>20</v>
      </c>
      <c r="D60" s="109">
        <f>SUM(Tabla1343[[#This Row],[Columna1]:[Columna5]])</f>
        <v>20</v>
      </c>
      <c r="E60" s="68"/>
      <c r="F60" s="92" t="s">
        <v>291</v>
      </c>
      <c r="G60" s="93">
        <v>38900</v>
      </c>
      <c r="H60" s="44">
        <f>+Tabla13456[[#This Row],[Cantidad]]*Tabla13456[[#This Row],[Precio Unitario en Pesos /   €]]</f>
        <v>778000</v>
      </c>
      <c r="I60" s="44">
        <f>+Tabla13456[[#This Row],[Precio Total en Pesos]]*3%</f>
        <v>23340</v>
      </c>
    </row>
    <row r="61" spans="2:9" ht="15" customHeight="1" x14ac:dyDescent="0.3">
      <c r="B61" s="3" t="s">
        <v>153</v>
      </c>
      <c r="C61" s="80">
        <v>14</v>
      </c>
      <c r="D61" s="108">
        <f>SUM(Tabla1343[[#This Row],[Columna1]:[Columna5]])</f>
        <v>14</v>
      </c>
      <c r="E61" s="11"/>
      <c r="F61" s="92"/>
      <c r="G61" s="93"/>
      <c r="H61" s="44"/>
      <c r="I61" s="44"/>
    </row>
    <row r="62" spans="2:9" ht="15" customHeight="1" x14ac:dyDescent="0.3">
      <c r="B62" s="3" t="s">
        <v>150</v>
      </c>
      <c r="C62" s="80">
        <v>16</v>
      </c>
      <c r="D62" s="108">
        <f>SUM(Tabla1343[[#This Row],[Columna1]:[Columna5]])</f>
        <v>16</v>
      </c>
      <c r="E62" s="11"/>
      <c r="F62" s="92"/>
      <c r="G62" s="93"/>
      <c r="H62" s="44"/>
      <c r="I62" s="44"/>
    </row>
    <row r="63" spans="2:9" ht="15" customHeight="1" x14ac:dyDescent="0.3">
      <c r="B63" s="3" t="s">
        <v>151</v>
      </c>
      <c r="C63" s="80">
        <v>8</v>
      </c>
      <c r="D63" s="108">
        <f>SUM(Tabla1343[[#This Row],[Columna1]:[Columna5]])</f>
        <v>8</v>
      </c>
      <c r="E63" s="11"/>
      <c r="F63" s="92"/>
      <c r="G63" s="93"/>
      <c r="H63" s="44"/>
      <c r="I63" s="44"/>
    </row>
    <row r="64" spans="2:9" ht="15" customHeight="1" x14ac:dyDescent="0.3">
      <c r="B64" s="3" t="s">
        <v>152</v>
      </c>
      <c r="C64" s="80">
        <v>6</v>
      </c>
      <c r="D64" s="108">
        <f>SUM(Tabla1343[[#This Row],[Columna1]:[Columna5]])</f>
        <v>6</v>
      </c>
      <c r="E64" s="11"/>
      <c r="F64" s="92"/>
      <c r="G64" s="93"/>
      <c r="H64" s="44"/>
      <c r="I64" s="44"/>
    </row>
    <row r="65" spans="2:9" ht="15" customHeight="1" x14ac:dyDescent="0.3">
      <c r="B65" s="3" t="s">
        <v>246</v>
      </c>
      <c r="C65" s="80">
        <v>1</v>
      </c>
      <c r="D65" s="108">
        <f>SUM(Tabla1343[[#This Row],[Columna1]:[Columna5]])</f>
        <v>1</v>
      </c>
      <c r="E65" s="11"/>
      <c r="F65" s="92" t="s">
        <v>291</v>
      </c>
      <c r="G65" s="93">
        <f>1300*10</f>
        <v>13000</v>
      </c>
      <c r="H65" s="44">
        <f>+Tabla13456[[#This Row],[Cantidad]]*Tabla13456[[#This Row],[Precio Unitario en Pesos /   €]]</f>
        <v>13000</v>
      </c>
      <c r="I65" s="44">
        <f>+Tabla13456[[#This Row],[Precio Total en Pesos]]*3%</f>
        <v>390</v>
      </c>
    </row>
    <row r="66" spans="2:9" ht="15" customHeight="1" x14ac:dyDescent="0.3">
      <c r="B66" s="3" t="s">
        <v>245</v>
      </c>
      <c r="C66" s="80">
        <v>1</v>
      </c>
      <c r="D66" s="108">
        <f>SUM(Tabla1343[[#This Row],[Columna1]:[Columna5]])</f>
        <v>1</v>
      </c>
      <c r="E66" s="11"/>
      <c r="F66" s="92" t="s">
        <v>291</v>
      </c>
      <c r="G66" s="93">
        <f>1300*7</f>
        <v>9100</v>
      </c>
      <c r="H66" s="44">
        <f>+Tabla13456[[#This Row],[Cantidad]]*Tabla13456[[#This Row],[Precio Unitario en Pesos /   €]]</f>
        <v>9100</v>
      </c>
      <c r="I66" s="44">
        <f>+Tabla13456[[#This Row],[Precio Total en Pesos]]*3%</f>
        <v>273</v>
      </c>
    </row>
    <row r="67" spans="2:9" s="125" customFormat="1" ht="15" hidden="1" customHeight="1" x14ac:dyDescent="0.3">
      <c r="B67" s="3" t="s">
        <v>274</v>
      </c>
      <c r="C67" s="120">
        <v>2</v>
      </c>
      <c r="D67" s="121">
        <f>SUM(Tabla1343[[#This Row],[Columna1]:[Columna5]])</f>
        <v>0</v>
      </c>
      <c r="E67" s="122"/>
      <c r="F67" s="123" t="s">
        <v>291</v>
      </c>
      <c r="G67" s="124">
        <v>124800</v>
      </c>
      <c r="H67" s="44">
        <f>+Tabla13456[[#This Row],[Cantidad]]*Tabla13456[[#This Row],[Precio Unitario en Pesos /   €]]</f>
        <v>249600</v>
      </c>
      <c r="I67" s="44">
        <f>+Tabla13456[[#This Row],[Precio Total en Pesos]]*3%</f>
        <v>7488</v>
      </c>
    </row>
    <row r="68" spans="2:9" ht="15" customHeight="1" x14ac:dyDescent="0.3">
      <c r="B68" s="3" t="s">
        <v>183</v>
      </c>
      <c r="C68" s="80">
        <v>1</v>
      </c>
      <c r="D68" s="108">
        <f>SUM(Tabla1343[[#This Row],[Columna1]:[Columna5]])</f>
        <v>1</v>
      </c>
      <c r="E68" s="11"/>
      <c r="F68" s="92" t="s">
        <v>291</v>
      </c>
      <c r="G68" s="93">
        <f>12*4*1300</f>
        <v>62400</v>
      </c>
      <c r="H68" s="44">
        <f>+Tabla13456[[#This Row],[Cantidad]]*Tabla13456[[#This Row],[Precio Unitario en Pesos /   €]]</f>
        <v>62400</v>
      </c>
      <c r="I68" s="44">
        <f>+Tabla13456[[#This Row],[Precio Total en Pesos]]*3%</f>
        <v>1872</v>
      </c>
    </row>
    <row r="69" spans="2:9" ht="15" customHeight="1" x14ac:dyDescent="0.3">
      <c r="B69" s="3" t="s">
        <v>47</v>
      </c>
      <c r="C69" s="80">
        <v>4</v>
      </c>
      <c r="D69" s="108">
        <f>SUM(Tabla1343[[#This Row],[Columna1]:[Columna5]])</f>
        <v>4</v>
      </c>
      <c r="E69" s="11"/>
      <c r="F69" s="92" t="s">
        <v>291</v>
      </c>
      <c r="G69" s="93">
        <f>2100*8</f>
        <v>16800</v>
      </c>
      <c r="H69" s="44">
        <f>+Tabla13456[[#This Row],[Cantidad]]*Tabla13456[[#This Row],[Precio Unitario en Pesos /   €]]</f>
        <v>67200</v>
      </c>
      <c r="I69" s="44">
        <f>+Tabla13456[[#This Row],[Precio Total en Pesos]]*3%</f>
        <v>2016</v>
      </c>
    </row>
    <row r="70" spans="2:9" ht="15" customHeight="1" x14ac:dyDescent="0.3">
      <c r="B70" s="34" t="s">
        <v>277</v>
      </c>
      <c r="C70" s="82">
        <v>4</v>
      </c>
      <c r="D70" s="109">
        <f>SUM(Tabla1343[[#This Row],[Columna1]:[Columna5]])</f>
        <v>4</v>
      </c>
      <c r="E70" s="68"/>
      <c r="F70" s="92" t="s">
        <v>291</v>
      </c>
      <c r="G70" s="93">
        <f>12*8*1300</f>
        <v>124800</v>
      </c>
      <c r="H70" s="44">
        <f>+Tabla13456[[#This Row],[Cantidad]]*Tabla13456[[#This Row],[Precio Unitario en Pesos /   €]]</f>
        <v>499200</v>
      </c>
      <c r="I70" s="44">
        <f>+Tabla13456[[#This Row],[Precio Total en Pesos]]*3%</f>
        <v>14976</v>
      </c>
    </row>
    <row r="71" spans="2:9" ht="15" customHeight="1" x14ac:dyDescent="0.3">
      <c r="B71" s="3" t="s">
        <v>276</v>
      </c>
      <c r="C71" s="80">
        <v>20</v>
      </c>
      <c r="D71" s="108">
        <f>SUM(Tabla1343[[#This Row],[Columna1]:[Columna5]])</f>
        <v>20</v>
      </c>
      <c r="E71" s="11"/>
      <c r="F71" s="92" t="s">
        <v>291</v>
      </c>
      <c r="G71" s="93">
        <f>1300*12</f>
        <v>15600</v>
      </c>
      <c r="H71" s="44">
        <f>+Tabla13456[[#This Row],[Cantidad]]*Tabla13456[[#This Row],[Precio Unitario en Pesos /   €]]</f>
        <v>312000</v>
      </c>
      <c r="I71" s="44">
        <f>+Tabla13456[[#This Row],[Precio Total en Pesos]]*3%</f>
        <v>9360</v>
      </c>
    </row>
    <row r="72" spans="2:9" ht="15" customHeight="1" x14ac:dyDescent="0.3">
      <c r="B72" s="3" t="s">
        <v>193</v>
      </c>
      <c r="C72" s="80">
        <v>3</v>
      </c>
      <c r="D72" s="108">
        <f>SUM(Tabla1343[[#This Row],[Columna1]:[Columna5]])</f>
        <v>3</v>
      </c>
      <c r="E72" s="11"/>
      <c r="F72" s="92"/>
      <c r="G72" s="93"/>
      <c r="H72" s="44"/>
      <c r="I72" s="44"/>
    </row>
    <row r="73" spans="2:9" ht="15" customHeight="1" x14ac:dyDescent="0.3">
      <c r="B73" s="3" t="s">
        <v>191</v>
      </c>
      <c r="C73" s="80">
        <v>1</v>
      </c>
      <c r="D73" s="108">
        <f>SUM(Tabla1343[[#This Row],[Columna1]:[Columna5]])</f>
        <v>1</v>
      </c>
      <c r="E73" s="11"/>
      <c r="F73" s="92"/>
      <c r="G73" s="93"/>
      <c r="H73" s="44"/>
      <c r="I73" s="44"/>
    </row>
    <row r="74" spans="2:9" ht="15" customHeight="1" x14ac:dyDescent="0.3">
      <c r="B74" s="3" t="s">
        <v>176</v>
      </c>
      <c r="C74" s="80">
        <v>3</v>
      </c>
      <c r="D74" s="108">
        <f>SUM(Tabla1343[[#This Row],[Columna1]:[Columna5]])</f>
        <v>3</v>
      </c>
      <c r="E74" s="11"/>
      <c r="F74" s="92"/>
      <c r="G74" s="93"/>
      <c r="H74" s="44"/>
      <c r="I74" s="44"/>
    </row>
    <row r="75" spans="2:9" ht="15" customHeight="1" x14ac:dyDescent="0.3">
      <c r="B75" s="3" t="s">
        <v>161</v>
      </c>
      <c r="C75" s="80">
        <v>36</v>
      </c>
      <c r="D75" s="108">
        <f>SUM(Tabla1343[[#This Row],[Columna1]:[Columna5]])</f>
        <v>36</v>
      </c>
      <c r="E75" s="11"/>
      <c r="F75" s="92"/>
      <c r="G75" s="93"/>
      <c r="H75" s="44"/>
      <c r="I75" s="44"/>
    </row>
    <row r="76" spans="2:9" ht="15" customHeight="1" x14ac:dyDescent="0.3">
      <c r="B76" s="3" t="s">
        <v>162</v>
      </c>
      <c r="C76" s="80">
        <v>27</v>
      </c>
      <c r="D76" s="108">
        <f>SUM(Tabla1343[[#This Row],[Columna1]:[Columna5]])</f>
        <v>27</v>
      </c>
      <c r="E76" s="11"/>
      <c r="F76" s="92"/>
      <c r="G76" s="93"/>
      <c r="H76" s="44"/>
      <c r="I76" s="44"/>
    </row>
    <row r="77" spans="2:9" ht="15" customHeight="1" x14ac:dyDescent="0.3">
      <c r="B77" s="34" t="s">
        <v>177</v>
      </c>
      <c r="C77" s="82">
        <v>113</v>
      </c>
      <c r="D77" s="109">
        <f>SUM(Tabla1343[[#This Row],[Columna1]:[Columna5]])</f>
        <v>113</v>
      </c>
      <c r="E77" s="68"/>
      <c r="F77" s="92"/>
      <c r="G77" s="93"/>
      <c r="H77" s="44"/>
      <c r="I77" s="44"/>
    </row>
    <row r="78" spans="2:9" ht="15" customHeight="1" x14ac:dyDescent="0.3">
      <c r="B78" s="3" t="s">
        <v>142</v>
      </c>
      <c r="C78" s="80">
        <v>18</v>
      </c>
      <c r="D78" s="108">
        <f>SUM(Tabla1343[[#This Row],[Columna1]:[Columna5]])</f>
        <v>18</v>
      </c>
      <c r="E78" s="11"/>
      <c r="F78" s="93"/>
      <c r="G78" s="93"/>
      <c r="H78" s="44"/>
      <c r="I78" s="44"/>
    </row>
    <row r="79" spans="2:9" ht="15" customHeight="1" x14ac:dyDescent="0.3">
      <c r="B79" s="3" t="s">
        <v>209</v>
      </c>
      <c r="C79" s="80">
        <v>10</v>
      </c>
      <c r="D79" s="108">
        <f>SUM(Tabla1343[[#This Row],[Columna1]:[Columna5]])</f>
        <v>10</v>
      </c>
      <c r="E79" s="11"/>
      <c r="F79" s="93"/>
      <c r="G79" s="93"/>
      <c r="H79" s="44"/>
      <c r="I79" s="44"/>
    </row>
    <row r="80" spans="2:9" ht="15" customHeight="1" x14ac:dyDescent="0.3">
      <c r="B80" s="3" t="s">
        <v>75</v>
      </c>
      <c r="C80" s="80">
        <f>42+12</f>
        <v>54</v>
      </c>
      <c r="D80" s="108">
        <f>SUM(Tabla1343[[#This Row],[Columna1]:[Columna5]])</f>
        <v>54</v>
      </c>
      <c r="E80" s="11"/>
      <c r="F80" s="92"/>
      <c r="G80" s="93"/>
      <c r="H80" s="44"/>
      <c r="I80" s="44"/>
    </row>
    <row r="81" spans="2:9" ht="15" customHeight="1" x14ac:dyDescent="0.3">
      <c r="B81" s="3" t="s">
        <v>120</v>
      </c>
      <c r="C81" s="80">
        <f>2+1+15</f>
        <v>18</v>
      </c>
      <c r="D81" s="108">
        <f>SUM(Tabla1343[[#This Row],[Columna1]:[Columna5]])</f>
        <v>18</v>
      </c>
      <c r="E81" s="11"/>
      <c r="F81" s="92"/>
      <c r="G81" s="93"/>
      <c r="H81" s="44"/>
      <c r="I81" s="44"/>
    </row>
    <row r="82" spans="2:9" ht="15" customHeight="1" x14ac:dyDescent="0.3">
      <c r="B82" s="3" t="s">
        <v>76</v>
      </c>
      <c r="C82" s="80">
        <v>30</v>
      </c>
      <c r="D82" s="108">
        <f>SUM(Tabla1343[[#This Row],[Columna1]:[Columna5]])</f>
        <v>13</v>
      </c>
      <c r="E82" s="11"/>
      <c r="F82" s="92"/>
      <c r="G82" s="93"/>
      <c r="H82" s="44"/>
      <c r="I82" s="44"/>
    </row>
    <row r="83" spans="2:9" ht="15" customHeight="1" x14ac:dyDescent="0.3">
      <c r="B83" s="3" t="s">
        <v>40</v>
      </c>
      <c r="C83" s="80">
        <v>2</v>
      </c>
      <c r="D83" s="108">
        <f>SUM(Tabla1343[[#This Row],[Columna1]:[Columna5]])</f>
        <v>2</v>
      </c>
      <c r="E83" s="11"/>
      <c r="F83" s="92"/>
      <c r="G83" s="93"/>
      <c r="H83" s="44"/>
      <c r="I83" s="44"/>
    </row>
    <row r="84" spans="2:9" ht="15" customHeight="1" x14ac:dyDescent="0.3">
      <c r="B84" s="3" t="s">
        <v>39</v>
      </c>
      <c r="C84" s="80">
        <v>3</v>
      </c>
      <c r="D84" s="108">
        <f>SUM(Tabla1343[[#This Row],[Columna1]:[Columna5]])</f>
        <v>3</v>
      </c>
      <c r="E84" s="11"/>
      <c r="F84" s="92"/>
      <c r="G84" s="93"/>
      <c r="H84" s="44"/>
      <c r="I84" s="44"/>
    </row>
    <row r="85" spans="2:9" ht="15" customHeight="1" x14ac:dyDescent="0.3">
      <c r="B85" s="3" t="s">
        <v>283</v>
      </c>
      <c r="C85" s="80">
        <v>8</v>
      </c>
      <c r="D85" s="108">
        <f>SUM(Tabla1343[[#This Row],[Columna1]:[Columna5]])</f>
        <v>8</v>
      </c>
      <c r="E85" s="11"/>
      <c r="F85" s="93"/>
      <c r="G85" s="93"/>
      <c r="H85" s="44"/>
      <c r="I85" s="44"/>
    </row>
    <row r="86" spans="2:9" ht="15" customHeight="1" x14ac:dyDescent="0.3">
      <c r="B86" s="3" t="s">
        <v>203</v>
      </c>
      <c r="C86" s="80">
        <v>1</v>
      </c>
      <c r="D86" s="108">
        <f>SUM(Tabla1343[[#This Row],[Columna1]:[Columna5]])</f>
        <v>1</v>
      </c>
      <c r="E86" s="11"/>
      <c r="F86" s="92"/>
      <c r="G86" s="93"/>
      <c r="H86" s="44"/>
      <c r="I86" s="44"/>
    </row>
    <row r="87" spans="2:9" ht="15" customHeight="1" x14ac:dyDescent="0.3">
      <c r="B87" s="3" t="s">
        <v>172</v>
      </c>
      <c r="C87" s="80">
        <v>6</v>
      </c>
      <c r="D87" s="108">
        <f>SUM(Tabla1343[[#This Row],[Columna1]:[Columna5]])</f>
        <v>6</v>
      </c>
      <c r="E87" s="11"/>
      <c r="F87" s="92"/>
      <c r="G87" s="93"/>
      <c r="H87" s="44"/>
      <c r="I87" s="44"/>
    </row>
    <row r="88" spans="2:9" ht="15" customHeight="1" x14ac:dyDescent="0.3">
      <c r="B88" s="3" t="s">
        <v>310</v>
      </c>
      <c r="C88" s="80">
        <v>12</v>
      </c>
      <c r="D88" s="108">
        <f>SUM(Tabla1343[[#This Row],[Columna1]:[Columna5]])</f>
        <v>4</v>
      </c>
      <c r="E88" s="11"/>
      <c r="F88" s="92"/>
      <c r="G88" s="93"/>
      <c r="H88" s="44"/>
      <c r="I88" s="44"/>
    </row>
    <row r="89" spans="2:9" ht="15" customHeight="1" x14ac:dyDescent="0.3">
      <c r="B89" s="3" t="s">
        <v>178</v>
      </c>
      <c r="C89" s="80">
        <v>1</v>
      </c>
      <c r="D89" s="108">
        <f>SUM(Tabla1343[[#This Row],[Columna1]:[Columna5]])</f>
        <v>1</v>
      </c>
      <c r="E89" s="11"/>
      <c r="F89" s="92"/>
      <c r="G89" s="93"/>
      <c r="H89" s="44"/>
      <c r="I89" s="44"/>
    </row>
    <row r="90" spans="2:9" ht="15" customHeight="1" x14ac:dyDescent="0.3">
      <c r="B90" s="3" t="s">
        <v>180</v>
      </c>
      <c r="C90" s="80">
        <v>1</v>
      </c>
      <c r="D90" s="108">
        <f>SUM(Tabla1343[[#This Row],[Columna1]:[Columna5]])</f>
        <v>8</v>
      </c>
      <c r="E90" s="11"/>
      <c r="F90" s="92"/>
      <c r="G90" s="93"/>
      <c r="H90" s="44"/>
      <c r="I90" s="44"/>
    </row>
    <row r="91" spans="2:9" ht="15" customHeight="1" x14ac:dyDescent="0.3">
      <c r="B91" s="3" t="s">
        <v>175</v>
      </c>
      <c r="C91" s="80">
        <v>2</v>
      </c>
      <c r="D91" s="108">
        <f>SUM(Tabla1343[[#This Row],[Columna1]:[Columna5]])</f>
        <v>1</v>
      </c>
      <c r="E91" s="11"/>
      <c r="F91" s="92"/>
      <c r="G91" s="93"/>
      <c r="H91" s="44"/>
      <c r="I91" s="44"/>
    </row>
    <row r="92" spans="2:9" ht="15" customHeight="1" x14ac:dyDescent="0.3">
      <c r="B92" s="3" t="s">
        <v>179</v>
      </c>
      <c r="C92" s="80">
        <v>6</v>
      </c>
      <c r="D92" s="108">
        <f>SUM(Tabla1343[[#This Row],[Columna1]:[Columna5]])</f>
        <v>2</v>
      </c>
      <c r="E92" s="11"/>
      <c r="F92" s="92"/>
      <c r="G92" s="93"/>
      <c r="H92" s="44"/>
      <c r="I92" s="44"/>
    </row>
    <row r="93" spans="2:9" ht="15" customHeight="1" x14ac:dyDescent="0.3">
      <c r="B93" s="3" t="s">
        <v>129</v>
      </c>
      <c r="C93" s="80">
        <v>73</v>
      </c>
      <c r="D93" s="108">
        <f>SUM(Tabla1343[[#This Row],[Columna1]:[Columna5]])</f>
        <v>6</v>
      </c>
      <c r="E93" s="11"/>
      <c r="F93" s="126" t="s">
        <v>309</v>
      </c>
      <c r="G93" s="93">
        <v>2100</v>
      </c>
      <c r="H93" s="44">
        <f>+Tabla13456[[#This Row],[Cantidad]]*Tabla13456[[#This Row],[Precio Unitario en Pesos /   €]]</f>
        <v>153300</v>
      </c>
      <c r="I93" s="44">
        <f>+Tabla13456[[#This Row],[Precio Total en Pesos]]*3%</f>
        <v>4599</v>
      </c>
    </row>
    <row r="94" spans="2:9" ht="15" customHeight="1" x14ac:dyDescent="0.3">
      <c r="B94" s="3" t="s">
        <v>128</v>
      </c>
      <c r="C94" s="80">
        <v>46</v>
      </c>
      <c r="D94" s="108">
        <f>SUM(Tabla1343[[#This Row],[Columna1]:[Columna5]])</f>
        <v>73</v>
      </c>
      <c r="E94" s="11"/>
      <c r="F94" s="126" t="s">
        <v>309</v>
      </c>
      <c r="G94" s="93">
        <v>2800</v>
      </c>
      <c r="H94" s="44">
        <f>+Tabla13456[[#This Row],[Cantidad]]*Tabla13456[[#This Row],[Precio Unitario en Pesos /   €]]</f>
        <v>128800</v>
      </c>
      <c r="I94" s="44">
        <f>+Tabla13456[[#This Row],[Precio Total en Pesos]]*3%</f>
        <v>3864</v>
      </c>
    </row>
    <row r="95" spans="2:9" ht="15" customHeight="1" x14ac:dyDescent="0.3">
      <c r="B95" s="3" t="s">
        <v>68</v>
      </c>
      <c r="C95" s="80">
        <v>1024</v>
      </c>
      <c r="D95" s="108">
        <f>SUM(Tabla1343[[#This Row],[Columna1]:[Columna5]])</f>
        <v>46</v>
      </c>
      <c r="E95" s="11"/>
      <c r="F95" s="126" t="s">
        <v>309</v>
      </c>
      <c r="G95" s="93">
        <v>4528</v>
      </c>
      <c r="H95" s="44">
        <f>+Tabla13456[[#This Row],[Cantidad]]*Tabla13456[[#This Row],[Precio Unitario en Pesos /   €]]</f>
        <v>4636672</v>
      </c>
      <c r="I95" s="44">
        <f>+Tabla13456[[#This Row],[Precio Total en Pesos]]*3%</f>
        <v>139100.16</v>
      </c>
    </row>
    <row r="96" spans="2:9" ht="15" customHeight="1" x14ac:dyDescent="0.3">
      <c r="B96" s="3" t="s">
        <v>146</v>
      </c>
      <c r="C96" s="80">
        <v>2</v>
      </c>
      <c r="D96" s="108">
        <f>SUM(Tabla1343[[#This Row],[Columna1]:[Columna5]])</f>
        <v>1024</v>
      </c>
      <c r="E96" s="11"/>
      <c r="F96" s="126" t="s">
        <v>309</v>
      </c>
      <c r="G96" s="93">
        <f>+G95*2</f>
        <v>9056</v>
      </c>
      <c r="H96" s="44">
        <f>+Tabla13456[[#This Row],[Cantidad]]*Tabla13456[[#This Row],[Precio Unitario en Pesos /   €]]</f>
        <v>18112</v>
      </c>
      <c r="I96" s="44">
        <f>+Tabla13456[[#This Row],[Precio Total en Pesos]]*3%</f>
        <v>543.36</v>
      </c>
    </row>
    <row r="97" spans="2:9" ht="15" customHeight="1" x14ac:dyDescent="0.3">
      <c r="B97" s="3" t="s">
        <v>89</v>
      </c>
      <c r="C97" s="80">
        <v>3</v>
      </c>
      <c r="D97" s="108">
        <f>SUM(Tabla1343[[#This Row],[Columna1]:[Columna5]])</f>
        <v>2</v>
      </c>
      <c r="E97" s="11"/>
      <c r="F97" s="126"/>
      <c r="G97" s="93"/>
      <c r="H97" s="44"/>
      <c r="I97" s="44"/>
    </row>
    <row r="98" spans="2:9" ht="15" customHeight="1" x14ac:dyDescent="0.3">
      <c r="B98" s="3" t="s">
        <v>205</v>
      </c>
      <c r="C98" s="80">
        <v>21</v>
      </c>
      <c r="D98" s="108">
        <f>SUM(Tabla1343[[#This Row],[Columna1]:[Columna5]])</f>
        <v>3</v>
      </c>
      <c r="E98" s="11"/>
      <c r="F98" s="92"/>
      <c r="G98" s="93"/>
      <c r="H98" s="44"/>
      <c r="I98" s="44"/>
    </row>
    <row r="99" spans="2:9" ht="15" customHeight="1" x14ac:dyDescent="0.3">
      <c r="B99" s="3" t="s">
        <v>254</v>
      </c>
      <c r="C99" s="80">
        <v>6</v>
      </c>
      <c r="D99" s="108">
        <f>SUM(Tabla1343[[#This Row],[Columna1]:[Columna5]])</f>
        <v>21</v>
      </c>
      <c r="E99" s="11"/>
      <c r="F99" s="92"/>
      <c r="G99" s="93"/>
      <c r="H99" s="44"/>
      <c r="I99" s="44"/>
    </row>
    <row r="100" spans="2:9" ht="15" customHeight="1" x14ac:dyDescent="0.3">
      <c r="B100" s="34" t="s">
        <v>197</v>
      </c>
      <c r="C100" s="82">
        <v>2</v>
      </c>
      <c r="D100" s="109">
        <f>SUM(Tabla1343[[#This Row],[Columna1]:[Columna5]])</f>
        <v>6</v>
      </c>
      <c r="E100" s="68"/>
      <c r="F100" s="92" t="s">
        <v>296</v>
      </c>
      <c r="G100" s="93">
        <v>0</v>
      </c>
      <c r="H100" s="44">
        <f>+Tabla13456[[#This Row],[Cantidad]]*Tabla13456[[#This Row],[Precio Unitario en Pesos /   €]]</f>
        <v>0</v>
      </c>
      <c r="I100" s="44">
        <f>+Tabla13456[[#This Row],[Precio Total en Pesos]]*3%</f>
        <v>0</v>
      </c>
    </row>
    <row r="101" spans="2:9" ht="15" customHeight="1" x14ac:dyDescent="0.3">
      <c r="B101" s="3" t="s">
        <v>100</v>
      </c>
      <c r="C101" s="80">
        <v>6</v>
      </c>
      <c r="D101" s="108">
        <v>6</v>
      </c>
      <c r="E101" s="11"/>
      <c r="F101" s="92" t="s">
        <v>296</v>
      </c>
      <c r="G101" s="93">
        <v>0</v>
      </c>
      <c r="H101" s="44">
        <f>+Tabla13456[[#This Row],[Cantidad]]*Tabla13456[[#This Row],[Precio Unitario en Pesos /   €]]</f>
        <v>0</v>
      </c>
      <c r="I101" s="44">
        <f>+Tabla13456[[#This Row],[Precio Total en Pesos]]*3%</f>
        <v>0</v>
      </c>
    </row>
    <row r="102" spans="2:9" ht="15" customHeight="1" x14ac:dyDescent="0.3">
      <c r="B102" s="3" t="s">
        <v>99</v>
      </c>
      <c r="C102" s="80">
        <v>7</v>
      </c>
      <c r="D102" s="108">
        <v>7</v>
      </c>
      <c r="E102" s="11"/>
      <c r="F102" s="92" t="s">
        <v>296</v>
      </c>
      <c r="G102" s="93">
        <v>0</v>
      </c>
      <c r="H102" s="44">
        <f>+Tabla13456[[#This Row],[Cantidad]]*Tabla13456[[#This Row],[Precio Unitario en Pesos /   €]]</f>
        <v>0</v>
      </c>
      <c r="I102" s="44">
        <f>+Tabla13456[[#This Row],[Precio Total en Pesos]]*3%</f>
        <v>0</v>
      </c>
    </row>
    <row r="103" spans="2:9" ht="15" customHeight="1" x14ac:dyDescent="0.3">
      <c r="B103" s="3" t="s">
        <v>264</v>
      </c>
      <c r="C103" s="80">
        <v>8</v>
      </c>
      <c r="D103" s="108">
        <f>SUM(Tabla1343[[#This Row],[Columna1]:[Columna5]])</f>
        <v>0</v>
      </c>
      <c r="E103" s="11"/>
      <c r="F103" s="92" t="s">
        <v>296</v>
      </c>
      <c r="G103" s="93">
        <v>0</v>
      </c>
      <c r="H103" s="44">
        <f>+Tabla13456[[#This Row],[Cantidad]]*Tabla13456[[#This Row],[Precio Unitario en Pesos /   €]]</f>
        <v>0</v>
      </c>
      <c r="I103" s="44">
        <f>+Tabla13456[[#This Row],[Precio Total en Pesos]]*3%</f>
        <v>0</v>
      </c>
    </row>
    <row r="104" spans="2:9" ht="15" customHeight="1" x14ac:dyDescent="0.3">
      <c r="B104" s="3" t="s">
        <v>93</v>
      </c>
      <c r="C104" s="80">
        <v>12</v>
      </c>
      <c r="D104" s="108">
        <f>SUM(Tabla1343[[#This Row],[Columna1]:[Columna5]])</f>
        <v>8</v>
      </c>
      <c r="E104" s="11"/>
      <c r="F104" s="92" t="s">
        <v>296</v>
      </c>
      <c r="G104" s="93">
        <v>0</v>
      </c>
      <c r="H104" s="44">
        <f>+Tabla13456[[#This Row],[Cantidad]]*Tabla13456[[#This Row],[Precio Unitario en Pesos /   €]]</f>
        <v>0</v>
      </c>
      <c r="I104" s="44">
        <f>+Tabla13456[[#This Row],[Precio Total en Pesos]]*3%</f>
        <v>0</v>
      </c>
    </row>
    <row r="105" spans="2:9" ht="15" customHeight="1" x14ac:dyDescent="0.3">
      <c r="B105" s="3" t="s">
        <v>54</v>
      </c>
      <c r="C105" s="80">
        <v>200</v>
      </c>
      <c r="D105" s="108">
        <f>SUM(Tabla1343[[#This Row],[Columna1]:[Columna5]])</f>
        <v>12</v>
      </c>
      <c r="E105" s="11"/>
      <c r="F105" s="126" t="s">
        <v>309</v>
      </c>
      <c r="G105" s="93">
        <v>11300</v>
      </c>
      <c r="H105" s="44">
        <f>+Tabla13456[[#This Row],[Cantidad]]*Tabla13456[[#This Row],[Precio Unitario en Pesos /   €]]</f>
        <v>2260000</v>
      </c>
      <c r="I105" s="44">
        <f>+Tabla13456[[#This Row],[Precio Total en Pesos]]*3%</f>
        <v>67800</v>
      </c>
    </row>
    <row r="106" spans="2:9" ht="15" customHeight="1" x14ac:dyDescent="0.3">
      <c r="B106" s="3" t="s">
        <v>55</v>
      </c>
      <c r="C106" s="80">
        <f>367+260</f>
        <v>627</v>
      </c>
      <c r="D106" s="108">
        <f>SUM(Tabla1343[[#This Row],[Columna1]:[Columna5]])</f>
        <v>200</v>
      </c>
      <c r="E106" s="11"/>
      <c r="F106" s="126" t="s">
        <v>309</v>
      </c>
      <c r="G106" s="93">
        <v>14800</v>
      </c>
      <c r="H106" s="44">
        <f>+Tabla13456[[#This Row],[Cantidad]]*Tabla13456[[#This Row],[Precio Unitario en Pesos /   €]]</f>
        <v>9279600</v>
      </c>
      <c r="I106" s="44">
        <f>+Tabla13456[[#This Row],[Precio Total en Pesos]]*3%</f>
        <v>278388</v>
      </c>
    </row>
    <row r="107" spans="2:9" ht="16.95" customHeight="1" x14ac:dyDescent="0.3">
      <c r="B107" s="3"/>
      <c r="C107" s="4"/>
      <c r="D107" s="10">
        <f>SUM(Tabla1343[[#This Row],[Columna1]:[Columna5]])</f>
        <v>367</v>
      </c>
      <c r="E107" s="11"/>
      <c r="F107" s="105"/>
      <c r="G107" s="105"/>
      <c r="H107" s="105"/>
      <c r="I107" s="129">
        <f>SUBTOTAL(109,I5:I106)</f>
        <v>707480.52</v>
      </c>
    </row>
    <row r="108" spans="2:9" ht="15" customHeight="1" x14ac:dyDescent="0.3">
      <c r="B108" s="48" t="s">
        <v>164</v>
      </c>
      <c r="C108" s="83">
        <v>6</v>
      </c>
      <c r="D108" s="110">
        <f>SUM(Tabla1343[[#This Row],[Columna1]:[Columna5]])</f>
        <v>0</v>
      </c>
      <c r="E108" s="50" t="s">
        <v>279</v>
      </c>
      <c r="F108" s="94" t="s">
        <v>230</v>
      </c>
      <c r="G108" s="96">
        <v>26.39</v>
      </c>
      <c r="H108" s="81">
        <f>+Tabla13456[[#This Row],[Cantidad]]*Tabla13456[[#This Row],[Precio Unitario en Pesos /   €]]*I$3</f>
        <v>22721.79</v>
      </c>
      <c r="I108" s="81">
        <f>+Tabla13456[[#This Row],[Precio Total en Pesos]]*3%</f>
        <v>681.65369999999996</v>
      </c>
    </row>
    <row r="109" spans="2:9" ht="15" customHeight="1" x14ac:dyDescent="0.3">
      <c r="B109" s="48" t="s">
        <v>10</v>
      </c>
      <c r="C109" s="49">
        <v>301</v>
      </c>
      <c r="D109" s="111">
        <f>SUM(Tabla1343[[#This Row],[Columna1]:[Columna5]])</f>
        <v>6</v>
      </c>
      <c r="E109" s="50" t="s">
        <v>279</v>
      </c>
      <c r="F109" s="95" t="s">
        <v>230</v>
      </c>
      <c r="G109" s="97">
        <v>23.17</v>
      </c>
      <c r="H109" s="81">
        <f>+Tabla13456[[#This Row],[Cantidad]]*Tabla13456[[#This Row],[Precio Unitario en Pesos /   €]]*I$3</f>
        <v>1000793.395</v>
      </c>
      <c r="I109" s="81">
        <f>+Tabla13456[[#This Row],[Precio Total en Pesos]]*3%</f>
        <v>30023.80185</v>
      </c>
    </row>
    <row r="110" spans="2:9" ht="15" customHeight="1" x14ac:dyDescent="0.3">
      <c r="B110" s="48" t="s">
        <v>73</v>
      </c>
      <c r="C110" s="83">
        <v>43</v>
      </c>
      <c r="D110" s="110">
        <f>SUM(Tabla1343[[#This Row],[Columna1]:[Columna5]])</f>
        <v>301</v>
      </c>
      <c r="E110" s="50" t="s">
        <v>279</v>
      </c>
      <c r="F110" s="94" t="s">
        <v>230</v>
      </c>
      <c r="G110" s="96">
        <v>109</v>
      </c>
      <c r="H110" s="81">
        <f>+Tabla13456[[#This Row],[Cantidad]]*Tabla13456[[#This Row],[Precio Unitario en Pesos /   €]]*I$3</f>
        <v>672584.5</v>
      </c>
      <c r="I110" s="81">
        <f>+Tabla13456[[#This Row],[Precio Total en Pesos]]*3%</f>
        <v>20177.535</v>
      </c>
    </row>
    <row r="111" spans="2:9" ht="15" customHeight="1" x14ac:dyDescent="0.3">
      <c r="B111" s="48" t="s">
        <v>92</v>
      </c>
      <c r="C111" s="83">
        <v>2</v>
      </c>
      <c r="D111" s="110">
        <f>SUM(Tabla1343[[#This Row],[Columna1]:[Columna5]])</f>
        <v>43</v>
      </c>
      <c r="E111" s="50" t="s">
        <v>279</v>
      </c>
      <c r="F111" s="94" t="s">
        <v>230</v>
      </c>
      <c r="G111" s="96">
        <f>13441.35/47.3</f>
        <v>284.17230443974631</v>
      </c>
      <c r="H111" s="81">
        <f>+Tabla13456[[#This Row],[Cantidad]]*Tabla13456[[#This Row],[Precio Unitario en Pesos /   €]]*I$3</f>
        <v>81557.451374207187</v>
      </c>
      <c r="I111" s="81">
        <f>+Tabla13456[[#This Row],[Precio Total en Pesos]]*3%</f>
        <v>2446.7235412262157</v>
      </c>
    </row>
    <row r="112" spans="2:9" ht="15" customHeight="1" x14ac:dyDescent="0.3">
      <c r="B112" s="48" t="s">
        <v>30</v>
      </c>
      <c r="C112" s="83">
        <v>311</v>
      </c>
      <c r="D112" s="110">
        <f>SUM(Tabla1343[[#This Row],[Columna1]:[Columna5]])</f>
        <v>2</v>
      </c>
      <c r="E112" s="50" t="s">
        <v>279</v>
      </c>
      <c r="F112" s="94" t="s">
        <v>230</v>
      </c>
      <c r="G112" s="96">
        <v>14.04</v>
      </c>
      <c r="H112" s="81">
        <f>+Tabla13456[[#This Row],[Cantidad]]*Tabla13456[[#This Row],[Precio Unitario en Pesos /   €]]*I$3</f>
        <v>626584.1399999999</v>
      </c>
      <c r="I112" s="81">
        <f>+Tabla13456[[#This Row],[Precio Total en Pesos]]*3%</f>
        <v>18797.524199999996</v>
      </c>
    </row>
    <row r="113" spans="2:9" ht="15" customHeight="1" x14ac:dyDescent="0.3">
      <c r="B113" s="48" t="s">
        <v>60</v>
      </c>
      <c r="C113" s="83">
        <v>6</v>
      </c>
      <c r="D113" s="110">
        <f>SUM(Tabla1343[[#This Row],[Columna1]:[Columna5]])</f>
        <v>311</v>
      </c>
      <c r="E113" s="50" t="s">
        <v>279</v>
      </c>
      <c r="F113" s="94" t="s">
        <v>230</v>
      </c>
      <c r="G113" s="96">
        <v>32.75</v>
      </c>
      <c r="H113" s="81">
        <f>+Tabla13456[[#This Row],[Cantidad]]*Tabla13456[[#This Row],[Precio Unitario en Pesos /   €]]*I$3</f>
        <v>28197.75</v>
      </c>
      <c r="I113" s="81">
        <f>+Tabla13456[[#This Row],[Precio Total en Pesos]]*3%</f>
        <v>845.9325</v>
      </c>
    </row>
    <row r="114" spans="2:9" ht="15" customHeight="1" x14ac:dyDescent="0.3">
      <c r="B114" s="48" t="s">
        <v>149</v>
      </c>
      <c r="C114" s="83">
        <v>13</v>
      </c>
      <c r="D114" s="110">
        <f>SUM(Tabla1343[[#This Row],[Columna1]:[Columna5]])</f>
        <v>6</v>
      </c>
      <c r="E114" s="50" t="s">
        <v>279</v>
      </c>
      <c r="F114" s="94" t="s">
        <v>230</v>
      </c>
      <c r="G114" s="96">
        <v>25.86</v>
      </c>
      <c r="H114" s="81">
        <f>+Tabla13456[[#This Row],[Cantidad]]*Tabla13456[[#This Row],[Precio Unitario en Pesos /   €]]*I$3</f>
        <v>48241.83</v>
      </c>
      <c r="I114" s="81">
        <f>+Tabla13456[[#This Row],[Precio Total en Pesos]]*3%</f>
        <v>1447.2548999999999</v>
      </c>
    </row>
    <row r="115" spans="2:9" ht="15" customHeight="1" x14ac:dyDescent="0.3">
      <c r="B115" s="48" t="s">
        <v>256</v>
      </c>
      <c r="C115" s="83">
        <v>25</v>
      </c>
      <c r="D115" s="110">
        <f>SUM(Tabla1343[[#This Row],[Columna1]:[Columna5]])</f>
        <v>13</v>
      </c>
      <c r="E115" s="50" t="s">
        <v>279</v>
      </c>
      <c r="F115" s="94" t="s">
        <v>230</v>
      </c>
      <c r="G115" s="96"/>
      <c r="H115" s="81">
        <f>+Tabla13456[[#This Row],[Cantidad]]*Tabla13456[[#This Row],[Precio Unitario en Pesos /   €]]*I$3</f>
        <v>0</v>
      </c>
      <c r="I115" s="81">
        <f>+Tabla13456[[#This Row],[Precio Total en Pesos]]*3%</f>
        <v>0</v>
      </c>
    </row>
    <row r="116" spans="2:9" ht="15" customHeight="1" x14ac:dyDescent="0.3">
      <c r="B116" s="48" t="s">
        <v>260</v>
      </c>
      <c r="C116" s="83">
        <v>4</v>
      </c>
      <c r="D116" s="110">
        <f>SUM(Tabla1343[[#This Row],[Columna1]:[Columna5]])</f>
        <v>25</v>
      </c>
      <c r="E116" s="50" t="s">
        <v>279</v>
      </c>
      <c r="F116" s="94" t="s">
        <v>230</v>
      </c>
      <c r="G116" s="96">
        <v>49.53</v>
      </c>
      <c r="H116" s="81">
        <f>+Tabla13456[[#This Row],[Cantidad]]*Tabla13456[[#This Row],[Precio Unitario en Pesos /   €]]*I$3</f>
        <v>28430.22</v>
      </c>
      <c r="I116" s="81">
        <f>+Tabla13456[[#This Row],[Precio Total en Pesos]]*3%</f>
        <v>852.90660000000003</v>
      </c>
    </row>
    <row r="117" spans="2:9" ht="15" customHeight="1" x14ac:dyDescent="0.3">
      <c r="B117" s="48" t="s">
        <v>261</v>
      </c>
      <c r="C117" s="83">
        <v>111</v>
      </c>
      <c r="D117" s="110">
        <f>SUM(Tabla1343[[#This Row],[Columna1]:[Columna5]])</f>
        <v>4</v>
      </c>
      <c r="E117" s="50" t="s">
        <v>279</v>
      </c>
      <c r="F117" s="94" t="s">
        <v>230</v>
      </c>
      <c r="G117" s="96">
        <v>46.15</v>
      </c>
      <c r="H117" s="81">
        <f>+Tabla13456[[#This Row],[Cantidad]]*Tabla13456[[#This Row],[Precio Unitario en Pesos /   €]]*I$3</f>
        <v>735100.27499999991</v>
      </c>
      <c r="I117" s="81">
        <f>+Tabla13456[[#This Row],[Precio Total en Pesos]]*3%</f>
        <v>22053.008249999995</v>
      </c>
    </row>
    <row r="118" spans="2:9" ht="15" customHeight="1" x14ac:dyDescent="0.3">
      <c r="B118" s="48" t="s">
        <v>257</v>
      </c>
      <c r="C118" s="83">
        <v>21</v>
      </c>
      <c r="D118" s="110">
        <f>SUM(Tabla1343[[#This Row],[Columna1]:[Columna5]])</f>
        <v>111</v>
      </c>
      <c r="E118" s="50" t="s">
        <v>279</v>
      </c>
      <c r="F118" s="94" t="s">
        <v>230</v>
      </c>
      <c r="G118" s="96">
        <v>55.25</v>
      </c>
      <c r="H118" s="81">
        <f>+Tabla13456[[#This Row],[Cantidad]]*Tabla13456[[#This Row],[Precio Unitario en Pesos /   €]]*I$3</f>
        <v>166495.875</v>
      </c>
      <c r="I118" s="81">
        <f>+Tabla13456[[#This Row],[Precio Total en Pesos]]*3%</f>
        <v>4994.8762500000003</v>
      </c>
    </row>
    <row r="119" spans="2:9" ht="15" customHeight="1" x14ac:dyDescent="0.3">
      <c r="B119" s="48" t="s">
        <v>262</v>
      </c>
      <c r="C119" s="83">
        <v>725</v>
      </c>
      <c r="D119" s="110">
        <f>SUM(Tabla1343[[#This Row],[Columna1]:[Columna5]])</f>
        <v>21</v>
      </c>
      <c r="E119" s="50" t="s">
        <v>279</v>
      </c>
      <c r="F119" s="94" t="s">
        <v>230</v>
      </c>
      <c r="G119" s="96">
        <v>62.78</v>
      </c>
      <c r="H119" s="81">
        <f>+Tabla13456[[#This Row],[Cantidad]]*Tabla13456[[#This Row],[Precio Unitario en Pesos /   €]]*I$3</f>
        <v>6531474.25</v>
      </c>
      <c r="I119" s="81">
        <f>+Tabla13456[[#This Row],[Precio Total en Pesos]]*3%</f>
        <v>195944.22749999998</v>
      </c>
    </row>
    <row r="120" spans="2:9" ht="15" customHeight="1" x14ac:dyDescent="0.3">
      <c r="B120" s="48" t="s">
        <v>258</v>
      </c>
      <c r="C120" s="83">
        <v>7</v>
      </c>
      <c r="D120" s="110">
        <f>SUM(Tabla1343[[#This Row],[Columna1]:[Columna5]])</f>
        <v>725</v>
      </c>
      <c r="E120" s="50" t="s">
        <v>279</v>
      </c>
      <c r="F120" s="94" t="s">
        <v>230</v>
      </c>
      <c r="G120" s="96"/>
      <c r="H120" s="81">
        <f>+Tabla13456[[#This Row],[Cantidad]]*Tabla13456[[#This Row],[Precio Unitario en Pesos /   €]]*I$3</f>
        <v>0</v>
      </c>
      <c r="I120" s="81">
        <f>+Tabla13456[[#This Row],[Precio Total en Pesos]]*3%</f>
        <v>0</v>
      </c>
    </row>
    <row r="121" spans="2:9" ht="15" customHeight="1" x14ac:dyDescent="0.3">
      <c r="B121" s="48" t="s">
        <v>302</v>
      </c>
      <c r="C121" s="83">
        <v>8</v>
      </c>
      <c r="D121" s="110">
        <f>SUM(Tabla1343[[#This Row],[Columna1]:[Columna5]])</f>
        <v>7</v>
      </c>
      <c r="E121" s="50" t="s">
        <v>279</v>
      </c>
      <c r="F121" s="94" t="s">
        <v>230</v>
      </c>
      <c r="G121" s="96">
        <v>130</v>
      </c>
      <c r="H121" s="81">
        <f>+Tabla13456[[#This Row],[Cantidad]]*Tabla13456[[#This Row],[Precio Unitario en Pesos /   €]]*I$3</f>
        <v>149240</v>
      </c>
      <c r="I121" s="81">
        <f>+Tabla13456[[#This Row],[Precio Total en Pesos]]*3%</f>
        <v>4477.2</v>
      </c>
    </row>
    <row r="122" spans="2:9" ht="15" customHeight="1" x14ac:dyDescent="0.3">
      <c r="B122" s="48" t="s">
        <v>232</v>
      </c>
      <c r="C122" s="83">
        <v>8</v>
      </c>
      <c r="D122" s="110">
        <f>SUM(Tabla1343[[#This Row],[Columna1]:[Columna5]])</f>
        <v>8</v>
      </c>
      <c r="E122" s="50" t="s">
        <v>279</v>
      </c>
      <c r="F122" s="94" t="s">
        <v>230</v>
      </c>
      <c r="G122" s="96">
        <v>150</v>
      </c>
      <c r="H122" s="81">
        <f>+Tabla13456[[#This Row],[Cantidad]]*Tabla13456[[#This Row],[Precio Unitario en Pesos /   €]]*I$3</f>
        <v>172200</v>
      </c>
      <c r="I122" s="81">
        <f>+Tabla13456[[#This Row],[Precio Total en Pesos]]*3%</f>
        <v>5166</v>
      </c>
    </row>
    <row r="123" spans="2:9" ht="15" customHeight="1" x14ac:dyDescent="0.3">
      <c r="B123" s="48" t="s">
        <v>16</v>
      </c>
      <c r="C123" s="83">
        <v>4</v>
      </c>
      <c r="D123" s="110">
        <f>SUM(Tabla1343[[#This Row],[Columna1]:[Columna5]])</f>
        <v>8</v>
      </c>
      <c r="E123" s="50" t="s">
        <v>279</v>
      </c>
      <c r="F123" s="94" t="s">
        <v>230</v>
      </c>
      <c r="G123" s="96">
        <v>100</v>
      </c>
      <c r="H123" s="81">
        <f>+Tabla13456[[#This Row],[Cantidad]]*Tabla13456[[#This Row],[Precio Unitario en Pesos /   €]]*I$3</f>
        <v>57400</v>
      </c>
      <c r="I123" s="81">
        <f>+Tabla13456[[#This Row],[Precio Total en Pesos]]*3%</f>
        <v>1722</v>
      </c>
    </row>
    <row r="124" spans="2:9" ht="15" customHeight="1" x14ac:dyDescent="0.3">
      <c r="B124" s="48" t="s">
        <v>107</v>
      </c>
      <c r="C124" s="83">
        <v>260</v>
      </c>
      <c r="D124" s="110">
        <f>SUM(Tabla1343[[#This Row],[Columna1]:[Columna5]])</f>
        <v>4</v>
      </c>
      <c r="E124" s="50" t="s">
        <v>279</v>
      </c>
      <c r="F124" s="94" t="s">
        <v>230</v>
      </c>
      <c r="G124" s="96">
        <v>27.84</v>
      </c>
      <c r="H124" s="81">
        <f>+Tabla13456[[#This Row],[Cantidad]]*Tabla13456[[#This Row],[Precio Unitario en Pesos /   €]]*I$3</f>
        <v>1038710.3999999999</v>
      </c>
      <c r="I124" s="81">
        <f>+Tabla13456[[#This Row],[Precio Total en Pesos]]*3%</f>
        <v>31161.311999999994</v>
      </c>
    </row>
    <row r="125" spans="2:9" ht="15" customHeight="1" x14ac:dyDescent="0.3">
      <c r="B125" s="48" t="s">
        <v>101</v>
      </c>
      <c r="C125" s="83">
        <v>67</v>
      </c>
      <c r="D125" s="110">
        <f>SUM(Tabla1343[[#This Row],[Columna1]:[Columna5]])</f>
        <v>258</v>
      </c>
      <c r="E125" s="50" t="s">
        <v>279</v>
      </c>
      <c r="F125" s="94" t="s">
        <v>230</v>
      </c>
      <c r="G125" s="96">
        <v>33.32</v>
      </c>
      <c r="H125" s="81">
        <f>+Tabla13456[[#This Row],[Cantidad]]*Tabla13456[[#This Row],[Precio Unitario en Pesos /   €]]*I$3</f>
        <v>320355.14</v>
      </c>
      <c r="I125" s="81">
        <f>+Tabla13456[[#This Row],[Precio Total en Pesos]]*3%</f>
        <v>9610.6542000000009</v>
      </c>
    </row>
    <row r="126" spans="2:9" ht="15" customHeight="1" x14ac:dyDescent="0.3">
      <c r="B126" s="48" t="s">
        <v>227</v>
      </c>
      <c r="C126" s="83">
        <v>1526</v>
      </c>
      <c r="D126" s="110">
        <f>SUM(Tabla1343[[#This Row],[Columna1]:[Columna5]])</f>
        <v>65</v>
      </c>
      <c r="E126" s="50" t="s">
        <v>279</v>
      </c>
      <c r="F126" s="94" t="s">
        <v>230</v>
      </c>
      <c r="G126" s="96">
        <v>52.62</v>
      </c>
      <c r="H126" s="81">
        <f>+Tabla13456[[#This Row],[Cantidad]]*Tabla13456[[#This Row],[Precio Unitario en Pesos /   €]]*I$3</f>
        <v>11522780.219999999</v>
      </c>
      <c r="I126" s="81">
        <f>+Tabla13456[[#This Row],[Precio Total en Pesos]]*3%</f>
        <v>345683.40659999993</v>
      </c>
    </row>
    <row r="127" spans="2:9" ht="15" customHeight="1" x14ac:dyDescent="0.3">
      <c r="B127" s="48" t="s">
        <v>108</v>
      </c>
      <c r="C127" s="83">
        <v>15</v>
      </c>
      <c r="D127" s="110">
        <f>SUM(Tabla1343[[#This Row],[Columna1]:[Columna5]])</f>
        <v>1526</v>
      </c>
      <c r="E127" s="50" t="s">
        <v>279</v>
      </c>
      <c r="F127" s="94" t="s">
        <v>230</v>
      </c>
      <c r="G127" s="96">
        <v>33.32</v>
      </c>
      <c r="H127" s="81">
        <f>+Tabla13456[[#This Row],[Cantidad]]*Tabla13456[[#This Row],[Precio Unitario en Pesos /   €]]*I$3</f>
        <v>71721.3</v>
      </c>
      <c r="I127" s="81">
        <f>+Tabla13456[[#This Row],[Precio Total en Pesos]]*3%</f>
        <v>2151.6390000000001</v>
      </c>
    </row>
    <row r="128" spans="2:9" ht="15" customHeight="1" x14ac:dyDescent="0.3">
      <c r="B128" s="48" t="s">
        <v>109</v>
      </c>
      <c r="C128" s="83">
        <v>29</v>
      </c>
      <c r="D128" s="110">
        <f>SUM(Tabla1343[[#This Row],[Columna1]:[Columna5]])</f>
        <v>15</v>
      </c>
      <c r="E128" s="50" t="s">
        <v>279</v>
      </c>
      <c r="F128" s="94" t="s">
        <v>230</v>
      </c>
      <c r="G128" s="96"/>
      <c r="H128" s="81">
        <f>+Tabla13456[[#This Row],[Cantidad]]*Tabla13456[[#This Row],[Precio Unitario en Pesos /   €]]*I$3</f>
        <v>0</v>
      </c>
      <c r="I128" s="81">
        <f>+Tabla13456[[#This Row],[Precio Total en Pesos]]*3%</f>
        <v>0</v>
      </c>
    </row>
    <row r="129" spans="2:9" ht="15" customHeight="1" x14ac:dyDescent="0.3">
      <c r="B129" s="48" t="s">
        <v>26</v>
      </c>
      <c r="C129" s="83">
        <v>71</v>
      </c>
      <c r="D129" s="110">
        <f>SUM(Tabla1343[[#This Row],[Columna1]:[Columna5]])</f>
        <v>29</v>
      </c>
      <c r="E129" s="50" t="s">
        <v>279</v>
      </c>
      <c r="F129" s="94" t="s">
        <v>230</v>
      </c>
      <c r="G129" s="96">
        <v>78</v>
      </c>
      <c r="H129" s="81">
        <f>+Tabla13456[[#This Row],[Cantidad]]*Tabla13456[[#This Row],[Precio Unitario en Pesos /   €]]*I$3</f>
        <v>794703</v>
      </c>
      <c r="I129" s="81">
        <f>+Tabla13456[[#This Row],[Precio Total en Pesos]]*3%</f>
        <v>23841.09</v>
      </c>
    </row>
    <row r="130" spans="2:9" ht="15" customHeight="1" x14ac:dyDescent="0.3">
      <c r="B130" s="48" t="s">
        <v>113</v>
      </c>
      <c r="C130" s="83">
        <v>9</v>
      </c>
      <c r="D130" s="110">
        <f>SUM(Tabla1343[[#This Row],[Columna1]:[Columna5]])</f>
        <v>71</v>
      </c>
      <c r="E130" s="50" t="s">
        <v>279</v>
      </c>
      <c r="F130" s="94" t="s">
        <v>230</v>
      </c>
      <c r="G130" s="96">
        <v>47.06</v>
      </c>
      <c r="H130" s="81">
        <f>+Tabla13456[[#This Row],[Cantidad]]*Tabla13456[[#This Row],[Precio Unitario en Pesos /   €]]*I$3</f>
        <v>60777.990000000005</v>
      </c>
      <c r="I130" s="81">
        <f>+Tabla13456[[#This Row],[Precio Total en Pesos]]*3%</f>
        <v>1823.3397</v>
      </c>
    </row>
    <row r="131" spans="2:9" ht="15" customHeight="1" x14ac:dyDescent="0.3">
      <c r="B131" s="53" t="s">
        <v>111</v>
      </c>
      <c r="C131" s="84">
        <v>12</v>
      </c>
      <c r="D131" s="112">
        <f>SUM(Tabla1343[[#This Row],[Columna1]:[Columna5]])</f>
        <v>9</v>
      </c>
      <c r="E131" s="69" t="s">
        <v>279</v>
      </c>
      <c r="F131" s="94" t="s">
        <v>230</v>
      </c>
      <c r="G131" s="96"/>
      <c r="H131" s="81">
        <f>+Tabla13456[[#This Row],[Cantidad]]*Tabla13456[[#This Row],[Precio Unitario en Pesos /   €]]*I$3</f>
        <v>0</v>
      </c>
      <c r="I131" s="81">
        <f>+Tabla13456[[#This Row],[Precio Total en Pesos]]*3%</f>
        <v>0</v>
      </c>
    </row>
    <row r="132" spans="2:9" ht="15" customHeight="1" x14ac:dyDescent="0.3">
      <c r="B132" s="48" t="s">
        <v>110</v>
      </c>
      <c r="C132" s="83">
        <v>109</v>
      </c>
      <c r="D132" s="110">
        <f>SUM(Tabla1343[[#This Row],[Columna1]:[Columna5]])</f>
        <v>12</v>
      </c>
      <c r="E132" s="50" t="s">
        <v>279</v>
      </c>
      <c r="F132" s="94" t="s">
        <v>230</v>
      </c>
      <c r="G132" s="96">
        <v>80.86</v>
      </c>
      <c r="H132" s="81">
        <f>+Tabla13456[[#This Row],[Cantidad]]*Tabla13456[[#This Row],[Precio Unitario en Pesos /   €]]*I$3</f>
        <v>1264771.69</v>
      </c>
      <c r="I132" s="81">
        <f>+Tabla13456[[#This Row],[Precio Total en Pesos]]*3%</f>
        <v>37943.150699999998</v>
      </c>
    </row>
    <row r="133" spans="2:9" ht="15" customHeight="1" x14ac:dyDescent="0.3">
      <c r="B133" s="48" t="s">
        <v>263</v>
      </c>
      <c r="C133" s="83">
        <v>15</v>
      </c>
      <c r="D133" s="110">
        <f>SUM(Tabla1343[[#This Row],[Columna1]:[Columna5]])</f>
        <v>109</v>
      </c>
      <c r="E133" s="50" t="s">
        <v>279</v>
      </c>
      <c r="F133" s="94" t="s">
        <v>230</v>
      </c>
      <c r="G133" s="96">
        <v>97.79</v>
      </c>
      <c r="H133" s="81">
        <f>+Tabla13456[[#This Row],[Cantidad]]*Tabla13456[[#This Row],[Precio Unitario en Pesos /   €]]*I$3</f>
        <v>210492.97500000001</v>
      </c>
      <c r="I133" s="81">
        <f>+Tabla13456[[#This Row],[Precio Total en Pesos]]*3%</f>
        <v>6314.7892499999998</v>
      </c>
    </row>
    <row r="134" spans="2:9" ht="15" customHeight="1" x14ac:dyDescent="0.3">
      <c r="B134" s="53" t="s">
        <v>163</v>
      </c>
      <c r="C134" s="84">
        <v>2</v>
      </c>
      <c r="D134" s="112">
        <f>SUM(Tabla1343[[#This Row],[Columna1]:[Columna5]])</f>
        <v>15</v>
      </c>
      <c r="E134" s="69" t="s">
        <v>279</v>
      </c>
      <c r="F134" s="94" t="s">
        <v>230</v>
      </c>
      <c r="G134" s="96">
        <v>33.54</v>
      </c>
      <c r="H134" s="81">
        <f>+Tabla13456[[#This Row],[Cantidad]]*Tabla13456[[#This Row],[Precio Unitario en Pesos /   €]]*I$3</f>
        <v>9625.98</v>
      </c>
      <c r="I134" s="81">
        <f>+Tabla13456[[#This Row],[Precio Total en Pesos]]*3%</f>
        <v>288.77939999999995</v>
      </c>
    </row>
    <row r="135" spans="2:9" ht="15" customHeight="1" x14ac:dyDescent="0.3">
      <c r="B135" s="48" t="s">
        <v>228</v>
      </c>
      <c r="C135" s="83">
        <v>926</v>
      </c>
      <c r="D135" s="110">
        <f>SUM(Tabla1343[[#This Row],[Columna1]:[Columna5]])</f>
        <v>2</v>
      </c>
      <c r="E135" s="50" t="s">
        <v>279</v>
      </c>
      <c r="F135" s="94" t="s">
        <v>230</v>
      </c>
      <c r="G135" s="96">
        <v>29.6</v>
      </c>
      <c r="H135" s="81">
        <f>+Tabla13456[[#This Row],[Cantidad]]*Tabla13456[[#This Row],[Precio Unitario en Pesos /   €]]*I$3</f>
        <v>3933277.6</v>
      </c>
      <c r="I135" s="81">
        <f>+Tabla13456[[#This Row],[Precio Total en Pesos]]*3%</f>
        <v>117998.32799999999</v>
      </c>
    </row>
    <row r="136" spans="2:9" ht="15" customHeight="1" x14ac:dyDescent="0.3">
      <c r="B136" s="53" t="s">
        <v>229</v>
      </c>
      <c r="C136" s="84">
        <v>56</v>
      </c>
      <c r="D136" s="112">
        <f>SUM(Tabla1343[[#This Row],[Columna1]:[Columna5]])</f>
        <v>926</v>
      </c>
      <c r="E136" s="69" t="s">
        <v>279</v>
      </c>
      <c r="F136" s="94" t="s">
        <v>230</v>
      </c>
      <c r="G136" s="96">
        <v>27.46</v>
      </c>
      <c r="H136" s="81">
        <f>+Tabla13456[[#This Row],[Cantidad]]*Tabla13456[[#This Row],[Precio Unitario en Pesos /   €]]*I$3</f>
        <v>220668.56</v>
      </c>
      <c r="I136" s="81">
        <f>+Tabla13456[[#This Row],[Precio Total en Pesos]]*3%</f>
        <v>6620.0567999999994</v>
      </c>
    </row>
    <row r="137" spans="2:9" ht="15" customHeight="1" x14ac:dyDescent="0.3">
      <c r="B137" s="48" t="s">
        <v>235</v>
      </c>
      <c r="C137" s="83">
        <v>50</v>
      </c>
      <c r="D137" s="110">
        <f>SUM(Tabla1343[[#This Row],[Columna1]:[Columna5]])</f>
        <v>56</v>
      </c>
      <c r="E137" s="50" t="s">
        <v>279</v>
      </c>
      <c r="F137" s="94" t="s">
        <v>230</v>
      </c>
      <c r="G137" s="96">
        <v>25.86</v>
      </c>
      <c r="H137" s="81">
        <f>+Tabla13456[[#This Row],[Cantidad]]*Tabla13456[[#This Row],[Precio Unitario en Pesos /   €]]*I$3</f>
        <v>185545.5</v>
      </c>
      <c r="I137" s="81">
        <f>+Tabla13456[[#This Row],[Precio Total en Pesos]]*3%</f>
        <v>5566.3649999999998</v>
      </c>
    </row>
    <row r="138" spans="2:9" ht="15" customHeight="1" x14ac:dyDescent="0.3">
      <c r="B138" s="48" t="s">
        <v>236</v>
      </c>
      <c r="C138" s="83">
        <v>50</v>
      </c>
      <c r="D138" s="110">
        <f>SUM(Tabla1343[[#This Row],[Columna1]:[Columna5]])</f>
        <v>50</v>
      </c>
      <c r="E138" s="50" t="s">
        <v>279</v>
      </c>
      <c r="F138" s="94" t="s">
        <v>230</v>
      </c>
      <c r="G138" s="96">
        <v>24.44</v>
      </c>
      <c r="H138" s="81">
        <f>+Tabla13456[[#This Row],[Cantidad]]*Tabla13456[[#This Row],[Precio Unitario en Pesos /   €]]*I$3</f>
        <v>175357</v>
      </c>
      <c r="I138" s="81">
        <f>+Tabla13456[[#This Row],[Precio Total en Pesos]]*3%</f>
        <v>5260.71</v>
      </c>
    </row>
    <row r="139" spans="2:9" ht="15" customHeight="1" x14ac:dyDescent="0.3">
      <c r="B139" s="48" t="s">
        <v>105</v>
      </c>
      <c r="C139" s="83">
        <v>17</v>
      </c>
      <c r="D139" s="110">
        <f>SUM(Tabla1343[[#This Row],[Columna1]:[Columna5]])</f>
        <v>50</v>
      </c>
      <c r="E139" s="50" t="s">
        <v>279</v>
      </c>
      <c r="F139" s="94" t="s">
        <v>230</v>
      </c>
      <c r="G139" s="96">
        <v>32.75</v>
      </c>
      <c r="H139" s="81">
        <f>+Tabla13456[[#This Row],[Cantidad]]*Tabla13456[[#This Row],[Precio Unitario en Pesos /   €]]*I$3</f>
        <v>79893.625</v>
      </c>
      <c r="I139" s="81">
        <f>+Tabla13456[[#This Row],[Precio Total en Pesos]]*3%</f>
        <v>2396.8087499999997</v>
      </c>
    </row>
    <row r="140" spans="2:9" ht="15" customHeight="1" x14ac:dyDescent="0.3">
      <c r="B140" s="48" t="s">
        <v>106</v>
      </c>
      <c r="C140" s="83">
        <v>145</v>
      </c>
      <c r="D140" s="110">
        <f>SUM(Tabla1343[[#This Row],[Columna1]:[Columna5]])</f>
        <v>17</v>
      </c>
      <c r="E140" s="50" t="s">
        <v>279</v>
      </c>
      <c r="F140" s="94" t="s">
        <v>230</v>
      </c>
      <c r="G140" s="96">
        <v>31.33</v>
      </c>
      <c r="H140" s="81">
        <f>+Tabla13456[[#This Row],[Cantidad]]*Tabla13456[[#This Row],[Precio Unitario en Pesos /   €]]*I$3</f>
        <v>651898.97499999998</v>
      </c>
      <c r="I140" s="81">
        <f>+Tabla13456[[#This Row],[Precio Total en Pesos]]*3%</f>
        <v>19556.969249999998</v>
      </c>
    </row>
    <row r="141" spans="2:9" ht="15" customHeight="1" x14ac:dyDescent="0.3">
      <c r="B141" s="48" t="s">
        <v>144</v>
      </c>
      <c r="C141" s="83">
        <v>27</v>
      </c>
      <c r="D141" s="121">
        <f>SUM(Tabla1343[[#This Row],[Columna1]:[Columna5]])</f>
        <v>145</v>
      </c>
      <c r="E141" s="50" t="s">
        <v>279</v>
      </c>
      <c r="F141" s="94" t="s">
        <v>230</v>
      </c>
      <c r="G141" s="96">
        <v>50.05</v>
      </c>
      <c r="H141" s="81">
        <f>+Tabla13456[[#This Row],[Cantidad]]*Tabla13456[[#This Row],[Precio Unitario en Pesos /   €]]*I$3</f>
        <v>193918.72499999998</v>
      </c>
      <c r="I141" s="81">
        <f>+Tabla13456[[#This Row],[Precio Total en Pesos]]*3%</f>
        <v>5817.5617499999989</v>
      </c>
    </row>
    <row r="142" spans="2:9" ht="15" customHeight="1" x14ac:dyDescent="0.3">
      <c r="B142" s="48" t="s">
        <v>234</v>
      </c>
      <c r="C142" s="83">
        <v>80</v>
      </c>
      <c r="D142" s="110">
        <f>SUM(Tabla1343[[#This Row],[Columna1]:[Columna5]])</f>
        <v>23</v>
      </c>
      <c r="E142" s="50" t="s">
        <v>279</v>
      </c>
      <c r="F142" s="94" t="s">
        <v>230</v>
      </c>
      <c r="G142" s="96">
        <v>32.07</v>
      </c>
      <c r="H142" s="81">
        <f>+Tabla13456[[#This Row],[Cantidad]]*Tabla13456[[#This Row],[Precio Unitario en Pesos /   €]]*I$3</f>
        <v>368163.6</v>
      </c>
      <c r="I142" s="81">
        <f>+Tabla13456[[#This Row],[Precio Total en Pesos]]*3%</f>
        <v>11044.907999999999</v>
      </c>
    </row>
    <row r="143" spans="2:9" ht="15" customHeight="1" x14ac:dyDescent="0.3">
      <c r="B143" s="53" t="s">
        <v>102</v>
      </c>
      <c r="C143" s="84">
        <v>15</v>
      </c>
      <c r="D143" s="112">
        <f>SUM(Tabla1343[[#This Row],[Columna1]:[Columna5]])</f>
        <v>80</v>
      </c>
      <c r="E143" s="69" t="s">
        <v>279</v>
      </c>
      <c r="F143" s="94" t="s">
        <v>230</v>
      </c>
      <c r="G143" s="96">
        <v>46.94</v>
      </c>
      <c r="H143" s="81">
        <f>+Tabla13456[[#This Row],[Cantidad]]*Tabla13456[[#This Row],[Precio Unitario en Pesos /   €]]*I$3</f>
        <v>101038.34999999999</v>
      </c>
      <c r="I143" s="81">
        <f>+Tabla13456[[#This Row],[Precio Total en Pesos]]*3%</f>
        <v>3031.1504999999997</v>
      </c>
    </row>
    <row r="144" spans="2:9" ht="15" customHeight="1" x14ac:dyDescent="0.3">
      <c r="B144" s="53" t="s">
        <v>67</v>
      </c>
      <c r="C144" s="84">
        <v>237</v>
      </c>
      <c r="D144" s="112">
        <f>SUM(Tabla1343[[#This Row],[Columna1]:[Columna5]])</f>
        <v>15</v>
      </c>
      <c r="E144" s="69" t="s">
        <v>279</v>
      </c>
      <c r="F144" s="94" t="s">
        <v>230</v>
      </c>
      <c r="G144" s="96">
        <v>121.26</v>
      </c>
      <c r="H144" s="81">
        <f>+Tabla13456[[#This Row],[Cantidad]]*Tabla13456[[#This Row],[Precio Unitario en Pesos /   €]]*I$3</f>
        <v>4123991.97</v>
      </c>
      <c r="I144" s="81">
        <f>+Tabla13456[[#This Row],[Precio Total en Pesos]]*3%</f>
        <v>123719.7591</v>
      </c>
    </row>
    <row r="145" spans="2:9" x14ac:dyDescent="0.3">
      <c r="B145"/>
      <c r="C145"/>
      <c r="D145"/>
      <c r="F145"/>
      <c r="G145"/>
      <c r="H145"/>
      <c r="I145" s="132">
        <f>SUM(I108:I144)</f>
        <v>1069461.422291226</v>
      </c>
    </row>
    <row r="146" spans="2:9" ht="15" thickBot="1" x14ac:dyDescent="0.35"/>
    <row r="147" spans="2:9" ht="18.600000000000001" thickBot="1" x14ac:dyDescent="0.35">
      <c r="B147" s="412" t="s">
        <v>267</v>
      </c>
      <c r="C147" s="413"/>
      <c r="D147" s="413"/>
      <c r="E147" s="413"/>
      <c r="F147" s="413"/>
      <c r="G147" s="413"/>
      <c r="H147" s="413"/>
      <c r="I147" s="414"/>
    </row>
    <row r="148" spans="2:9" ht="15" thickBot="1" x14ac:dyDescent="0.35">
      <c r="B148" s="415" t="s">
        <v>289</v>
      </c>
      <c r="C148" s="416"/>
      <c r="D148" s="416"/>
      <c r="E148" s="416"/>
      <c r="F148" s="416"/>
      <c r="G148" s="416"/>
      <c r="H148" s="416"/>
      <c r="I148" s="417"/>
    </row>
    <row r="149" spans="2:9" ht="19.95" customHeight="1" thickBot="1" x14ac:dyDescent="0.35">
      <c r="B149" s="40" t="s">
        <v>0</v>
      </c>
      <c r="C149" s="41" t="s">
        <v>1</v>
      </c>
      <c r="D149" s="41"/>
      <c r="E149" s="41" t="s">
        <v>269</v>
      </c>
      <c r="F149" s="42" t="s">
        <v>225</v>
      </c>
      <c r="G149" s="42"/>
      <c r="H149" s="90" t="s">
        <v>21</v>
      </c>
      <c r="I149" s="91" t="s">
        <v>5</v>
      </c>
    </row>
    <row r="150" spans="2:9" x14ac:dyDescent="0.3">
      <c r="B150" s="70" t="s">
        <v>275</v>
      </c>
      <c r="C150" s="71">
        <v>12</v>
      </c>
      <c r="D150" s="71"/>
      <c r="E150" s="59" t="s">
        <v>278</v>
      </c>
      <c r="F150" s="60" t="s">
        <v>243</v>
      </c>
      <c r="G150" s="60"/>
      <c r="H150" s="60"/>
      <c r="I150" s="60"/>
    </row>
    <row r="151" spans="2:9" x14ac:dyDescent="0.3">
      <c r="B151" s="3" t="s">
        <v>200</v>
      </c>
      <c r="C151" s="4">
        <v>2</v>
      </c>
      <c r="D151" s="10"/>
      <c r="E151" s="61" t="s">
        <v>278</v>
      </c>
      <c r="F151" s="60"/>
      <c r="G151" s="60"/>
      <c r="H151" s="60"/>
      <c r="I151" s="60"/>
    </row>
    <row r="152" spans="2:9" x14ac:dyDescent="0.3">
      <c r="B152" s="47" t="s">
        <v>202</v>
      </c>
      <c r="C152" s="58">
        <v>2</v>
      </c>
      <c r="D152" s="114"/>
      <c r="E152" s="59" t="s">
        <v>278</v>
      </c>
      <c r="F152" s="60"/>
      <c r="G152" s="60"/>
      <c r="H152" s="60"/>
      <c r="I152" s="60"/>
    </row>
    <row r="153" spans="2:9" x14ac:dyDescent="0.3">
      <c r="B153" s="3" t="s">
        <v>201</v>
      </c>
      <c r="C153" s="4">
        <v>1</v>
      </c>
      <c r="D153" s="10"/>
      <c r="E153" s="61" t="s">
        <v>278</v>
      </c>
      <c r="F153" s="60"/>
      <c r="G153" s="60"/>
      <c r="H153" s="60"/>
      <c r="I153" s="60"/>
    </row>
    <row r="154" spans="2:9" x14ac:dyDescent="0.3">
      <c r="B154" s="47" t="s">
        <v>137</v>
      </c>
      <c r="C154" s="58">
        <v>2</v>
      </c>
      <c r="D154" s="114"/>
      <c r="E154" s="59" t="s">
        <v>278</v>
      </c>
      <c r="F154" s="60" t="s">
        <v>273</v>
      </c>
      <c r="G154" s="60"/>
      <c r="H154" s="60"/>
      <c r="I154" s="60"/>
    </row>
    <row r="155" spans="2:9" x14ac:dyDescent="0.3">
      <c r="B155" s="3" t="s">
        <v>214</v>
      </c>
      <c r="C155" s="4">
        <v>24</v>
      </c>
      <c r="D155" s="10"/>
      <c r="E155" s="61" t="s">
        <v>278</v>
      </c>
      <c r="F155" s="60" t="s">
        <v>265</v>
      </c>
      <c r="G155" s="60"/>
      <c r="H155" s="60"/>
      <c r="I155" s="60"/>
    </row>
    <row r="156" spans="2:9" x14ac:dyDescent="0.3">
      <c r="B156" s="47" t="s">
        <v>213</v>
      </c>
      <c r="C156" s="58">
        <v>8</v>
      </c>
      <c r="D156" s="114"/>
      <c r="E156" s="59" t="s">
        <v>278</v>
      </c>
      <c r="F156" s="60" t="s">
        <v>265</v>
      </c>
      <c r="G156" s="60"/>
      <c r="H156" s="60"/>
      <c r="I156" s="60"/>
    </row>
    <row r="157" spans="2:9" x14ac:dyDescent="0.3">
      <c r="B157" s="3" t="s">
        <v>126</v>
      </c>
      <c r="C157" s="4">
        <v>2</v>
      </c>
      <c r="D157" s="10"/>
      <c r="E157" s="61" t="s">
        <v>278</v>
      </c>
      <c r="F157" s="60" t="s">
        <v>270</v>
      </c>
      <c r="G157" s="60"/>
      <c r="H157" s="60"/>
      <c r="I157" s="60"/>
    </row>
    <row r="158" spans="2:9" x14ac:dyDescent="0.3">
      <c r="B158" s="47" t="s">
        <v>50</v>
      </c>
      <c r="C158" s="58">
        <v>13</v>
      </c>
      <c r="D158" s="114"/>
      <c r="E158" s="59" t="s">
        <v>278</v>
      </c>
      <c r="F158" s="60"/>
      <c r="G158" s="60"/>
      <c r="H158" s="60"/>
      <c r="I158" s="60"/>
    </row>
    <row r="159" spans="2:9" x14ac:dyDescent="0.3">
      <c r="B159" s="3" t="s">
        <v>252</v>
      </c>
      <c r="C159" s="4">
        <v>74</v>
      </c>
      <c r="D159" s="10"/>
      <c r="E159" s="61" t="s">
        <v>278</v>
      </c>
      <c r="F159" s="60" t="s">
        <v>253</v>
      </c>
      <c r="G159" s="60"/>
      <c r="H159" s="60"/>
      <c r="I159" s="60"/>
    </row>
    <row r="160" spans="2:9" x14ac:dyDescent="0.3">
      <c r="B160" s="47" t="s">
        <v>222</v>
      </c>
      <c r="C160" s="58">
        <v>2</v>
      </c>
      <c r="D160" s="114"/>
      <c r="E160" s="59" t="s">
        <v>278</v>
      </c>
      <c r="F160" s="60" t="s">
        <v>265</v>
      </c>
      <c r="G160" s="60"/>
      <c r="H160" s="60"/>
      <c r="I160" s="60"/>
    </row>
    <row r="161" spans="2:9" x14ac:dyDescent="0.3">
      <c r="B161" s="3" t="s">
        <v>223</v>
      </c>
      <c r="C161" s="4">
        <v>3</v>
      </c>
      <c r="D161" s="10"/>
      <c r="E161" s="61" t="s">
        <v>278</v>
      </c>
      <c r="F161" s="60" t="s">
        <v>265</v>
      </c>
      <c r="G161" s="60"/>
      <c r="H161" s="60"/>
      <c r="I161" s="60"/>
    </row>
    <row r="162" spans="2:9" x14ac:dyDescent="0.3">
      <c r="B162" s="47" t="s">
        <v>215</v>
      </c>
      <c r="C162" s="58">
        <v>12</v>
      </c>
      <c r="D162" s="114"/>
      <c r="E162" s="59" t="s">
        <v>278</v>
      </c>
      <c r="F162" s="60" t="s">
        <v>265</v>
      </c>
      <c r="G162" s="60"/>
      <c r="H162" s="60"/>
      <c r="I162" s="60"/>
    </row>
    <row r="163" spans="2:9" x14ac:dyDescent="0.3">
      <c r="B163" s="3" t="s">
        <v>212</v>
      </c>
      <c r="C163" s="4">
        <v>1</v>
      </c>
      <c r="D163" s="10"/>
      <c r="E163" s="61" t="s">
        <v>278</v>
      </c>
      <c r="F163" s="60" t="s">
        <v>265</v>
      </c>
      <c r="G163" s="60"/>
      <c r="H163" s="60"/>
      <c r="I163" s="60"/>
    </row>
    <row r="164" spans="2:9" x14ac:dyDescent="0.3">
      <c r="B164" s="47" t="s">
        <v>211</v>
      </c>
      <c r="C164" s="58">
        <v>1</v>
      </c>
      <c r="D164" s="114"/>
      <c r="E164" s="59" t="s">
        <v>278</v>
      </c>
      <c r="F164" s="60" t="s">
        <v>265</v>
      </c>
      <c r="G164" s="60"/>
      <c r="H164" s="60"/>
      <c r="I164" s="60"/>
    </row>
    <row r="165" spans="2:9" x14ac:dyDescent="0.3">
      <c r="B165" s="3" t="s">
        <v>94</v>
      </c>
      <c r="C165" s="4">
        <v>1</v>
      </c>
      <c r="D165" s="10"/>
      <c r="E165" s="61" t="s">
        <v>278</v>
      </c>
      <c r="F165" s="60" t="s">
        <v>272</v>
      </c>
      <c r="G165" s="60"/>
      <c r="H165" s="60"/>
      <c r="I165" s="60"/>
    </row>
    <row r="166" spans="2:9" x14ac:dyDescent="0.3">
      <c r="B166" s="47" t="s">
        <v>207</v>
      </c>
      <c r="C166" s="58">
        <v>1</v>
      </c>
      <c r="D166" s="114"/>
      <c r="E166" s="59" t="s">
        <v>278</v>
      </c>
      <c r="F166" s="60"/>
      <c r="G166" s="60"/>
      <c r="H166" s="60"/>
      <c r="I166" s="60"/>
    </row>
    <row r="167" spans="2:9" x14ac:dyDescent="0.3">
      <c r="B167" s="3" t="s">
        <v>233</v>
      </c>
      <c r="C167" s="4">
        <v>1</v>
      </c>
      <c r="D167" s="10"/>
      <c r="E167" s="61" t="s">
        <v>278</v>
      </c>
      <c r="F167" s="60" t="s">
        <v>265</v>
      </c>
      <c r="G167" s="60"/>
      <c r="H167" s="60"/>
      <c r="I167" s="60"/>
    </row>
    <row r="168" spans="2:9" x14ac:dyDescent="0.3">
      <c r="B168" s="47" t="s">
        <v>237</v>
      </c>
      <c r="C168" s="58">
        <v>1</v>
      </c>
      <c r="D168" s="114"/>
      <c r="E168" s="59" t="s">
        <v>278</v>
      </c>
      <c r="F168" s="60" t="s">
        <v>265</v>
      </c>
      <c r="G168" s="60"/>
      <c r="H168" s="60"/>
      <c r="I168" s="60"/>
    </row>
    <row r="169" spans="2:9" x14ac:dyDescent="0.3">
      <c r="B169" s="3" t="s">
        <v>238</v>
      </c>
      <c r="C169" s="4">
        <v>4</v>
      </c>
      <c r="D169" s="10"/>
      <c r="E169" s="61" t="s">
        <v>278</v>
      </c>
      <c r="F169" s="60" t="s">
        <v>265</v>
      </c>
      <c r="G169" s="60"/>
      <c r="H169" s="60"/>
      <c r="I169" s="60"/>
    </row>
    <row r="170" spans="2:9" x14ac:dyDescent="0.3">
      <c r="B170" s="62" t="s">
        <v>220</v>
      </c>
      <c r="C170" s="63">
        <v>2</v>
      </c>
      <c r="D170" s="115"/>
      <c r="E170" s="59" t="s">
        <v>278</v>
      </c>
      <c r="F170" s="64" t="s">
        <v>265</v>
      </c>
      <c r="G170" s="64"/>
      <c r="H170" s="64"/>
      <c r="I170" s="64"/>
    </row>
    <row r="171" spans="2:9" x14ac:dyDescent="0.3">
      <c r="B171" s="65" t="s">
        <v>221</v>
      </c>
      <c r="C171" s="66">
        <v>2</v>
      </c>
      <c r="D171" s="113"/>
      <c r="E171" s="61" t="s">
        <v>278</v>
      </c>
      <c r="F171" s="64" t="s">
        <v>265</v>
      </c>
      <c r="G171" s="64"/>
      <c r="H171" s="64"/>
      <c r="I171" s="64"/>
    </row>
    <row r="172" spans="2:9" x14ac:dyDescent="0.3">
      <c r="B172" s="85" t="s">
        <v>216</v>
      </c>
      <c r="C172" s="86">
        <v>8</v>
      </c>
      <c r="D172" s="116"/>
      <c r="E172" s="87" t="s">
        <v>278</v>
      </c>
      <c r="F172" s="88" t="s">
        <v>265</v>
      </c>
      <c r="G172" s="88"/>
      <c r="H172" s="88"/>
      <c r="I172" s="88"/>
    </row>
  </sheetData>
  <mergeCells count="4">
    <mergeCell ref="B2:I2"/>
    <mergeCell ref="B3:G3"/>
    <mergeCell ref="B147:I147"/>
    <mergeCell ref="B148:I148"/>
  </mergeCells>
  <pageMargins left="0.31496062992125984" right="0.11811023622047245" top="0.19685039370078741" bottom="0.19685039370078741" header="0.31496062992125984" footer="0.31496062992125984"/>
  <pageSetup scale="80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4"/>
  <sheetViews>
    <sheetView zoomScale="110" zoomScaleNormal="110" workbookViewId="0">
      <selection activeCell="F88" sqref="F88"/>
    </sheetView>
  </sheetViews>
  <sheetFormatPr baseColWidth="10" defaultRowHeight="14.4" x14ac:dyDescent="0.3"/>
  <cols>
    <col min="1" max="1" width="1.6640625" customWidth="1"/>
    <col min="2" max="2" width="34.109375" style="2" bestFit="1" customWidth="1"/>
    <col min="3" max="5" width="11.5546875" customWidth="1"/>
    <col min="6" max="7" width="14" bestFit="1" customWidth="1"/>
  </cols>
  <sheetData>
    <row r="1" spans="2:8" ht="15" thickBot="1" x14ac:dyDescent="0.35"/>
    <row r="2" spans="2:8" ht="26.25" customHeight="1" thickBot="1" x14ac:dyDescent="0.35">
      <c r="B2" s="56" t="s">
        <v>267</v>
      </c>
    </row>
    <row r="3" spans="2:8" ht="15" customHeight="1" thickBot="1" x14ac:dyDescent="0.35">
      <c r="B3" s="98" t="s">
        <v>288</v>
      </c>
    </row>
    <row r="4" spans="2:8" s="1" customFormat="1" ht="25.2" customHeight="1" thickBot="1" x14ac:dyDescent="0.35">
      <c r="B4" s="100" t="s">
        <v>0</v>
      </c>
      <c r="C4" s="107" t="s">
        <v>300</v>
      </c>
      <c r="D4" s="107" t="s">
        <v>304</v>
      </c>
      <c r="E4" s="107" t="s">
        <v>305</v>
      </c>
      <c r="F4" s="107" t="s">
        <v>306</v>
      </c>
      <c r="G4" s="107" t="s">
        <v>307</v>
      </c>
      <c r="H4" s="107" t="s">
        <v>308</v>
      </c>
    </row>
    <row r="5" spans="2:8" ht="15" customHeight="1" x14ac:dyDescent="0.3">
      <c r="B5" s="9" t="s">
        <v>210</v>
      </c>
      <c r="C5" s="9">
        <v>7</v>
      </c>
      <c r="D5" s="9"/>
      <c r="E5" s="9"/>
      <c r="F5" s="9"/>
      <c r="G5" s="9"/>
      <c r="H5" s="9">
        <f>SUM(Tabla1343[[#This Row],[Columna1]:[Columna5]])</f>
        <v>7</v>
      </c>
    </row>
    <row r="6" spans="2:8" ht="15" customHeight="1" x14ac:dyDescent="0.3">
      <c r="B6" s="3" t="s">
        <v>148</v>
      </c>
      <c r="C6" s="3">
        <v>4</v>
      </c>
      <c r="D6" s="3"/>
      <c r="E6" s="3"/>
      <c r="F6" s="3"/>
      <c r="G6" s="3"/>
      <c r="H6" s="3">
        <f>SUM(Tabla1343[[#This Row],[Columna1]:[Columna5]])</f>
        <v>4</v>
      </c>
    </row>
    <row r="7" spans="2:8" ht="15" customHeight="1" x14ac:dyDescent="0.3">
      <c r="B7" s="3" t="s">
        <v>139</v>
      </c>
      <c r="C7" s="3">
        <v>8</v>
      </c>
      <c r="D7" s="3"/>
      <c r="E7" s="3"/>
      <c r="F7" s="3"/>
      <c r="G7" s="3"/>
      <c r="H7" s="3">
        <f>SUM(Tabla1343[[#This Row],[Columna1]:[Columna5]])</f>
        <v>8</v>
      </c>
    </row>
    <row r="8" spans="2:8" ht="15" customHeight="1" x14ac:dyDescent="0.3">
      <c r="B8" s="3" t="s">
        <v>194</v>
      </c>
      <c r="C8" s="3">
        <v>2</v>
      </c>
      <c r="D8" s="3"/>
      <c r="E8" s="3"/>
      <c r="F8" s="3"/>
      <c r="G8" s="3"/>
      <c r="H8" s="3">
        <f>SUM(Tabla1343[[#This Row],[Columna1]:[Columna5]])</f>
        <v>2</v>
      </c>
    </row>
    <row r="9" spans="2:8" ht="15" customHeight="1" x14ac:dyDescent="0.3">
      <c r="B9" s="3" t="s">
        <v>160</v>
      </c>
      <c r="C9" s="3">
        <v>9</v>
      </c>
      <c r="D9" s="3"/>
      <c r="E9" s="3"/>
      <c r="F9" s="3"/>
      <c r="G9" s="3"/>
      <c r="H9" s="3">
        <f>SUM(Tabla1343[[#This Row],[Columna1]:[Columna5]])</f>
        <v>9</v>
      </c>
    </row>
    <row r="10" spans="2:8" ht="15" customHeight="1" x14ac:dyDescent="0.3">
      <c r="B10" s="3" t="s">
        <v>195</v>
      </c>
      <c r="C10" s="3">
        <v>3</v>
      </c>
      <c r="D10" s="3"/>
      <c r="E10" s="3"/>
      <c r="F10" s="3"/>
      <c r="G10" s="3"/>
      <c r="H10" s="3">
        <f>SUM(Tabla1343[[#This Row],[Columna1]:[Columna5]])</f>
        <v>3</v>
      </c>
    </row>
    <row r="11" spans="2:8" ht="15" customHeight="1" x14ac:dyDescent="0.3">
      <c r="B11" s="3" t="s">
        <v>118</v>
      </c>
      <c r="C11" s="3">
        <v>97</v>
      </c>
      <c r="D11" s="3"/>
      <c r="E11" s="3"/>
      <c r="F11" s="3"/>
      <c r="G11" s="3"/>
      <c r="H11" s="3">
        <f>SUM(Tabla1343[[#This Row],[Columna1]:[Columna5]])</f>
        <v>97</v>
      </c>
    </row>
    <row r="12" spans="2:8" ht="15" customHeight="1" x14ac:dyDescent="0.3">
      <c r="B12" s="3" t="s">
        <v>119</v>
      </c>
      <c r="C12" s="3">
        <v>137</v>
      </c>
      <c r="D12" s="3"/>
      <c r="E12" s="3"/>
      <c r="F12" s="3"/>
      <c r="G12" s="3"/>
      <c r="H12" s="3">
        <f>SUM(Tabla1343[[#This Row],[Columna1]:[Columna5]])</f>
        <v>137</v>
      </c>
    </row>
    <row r="13" spans="2:8" ht="15" customHeight="1" x14ac:dyDescent="0.3">
      <c r="B13" s="3" t="s">
        <v>189</v>
      </c>
      <c r="C13" s="3">
        <v>14</v>
      </c>
      <c r="D13" s="3"/>
      <c r="E13" s="3"/>
      <c r="F13" s="3"/>
      <c r="G13" s="3"/>
      <c r="H13" s="3">
        <f>SUM(Tabla1343[[#This Row],[Columna1]:[Columna5]])</f>
        <v>14</v>
      </c>
    </row>
    <row r="14" spans="2:8" ht="15" customHeight="1" x14ac:dyDescent="0.3">
      <c r="B14" s="3" t="s">
        <v>188</v>
      </c>
      <c r="C14" s="3">
        <v>136</v>
      </c>
      <c r="D14" s="3"/>
      <c r="E14" s="3"/>
      <c r="F14" s="3"/>
      <c r="G14" s="3"/>
      <c r="H14" s="3">
        <f>SUM(Tabla1343[[#This Row],[Columna1]:[Columna5]])</f>
        <v>136</v>
      </c>
    </row>
    <row r="15" spans="2:8" ht="15" customHeight="1" x14ac:dyDescent="0.3">
      <c r="B15" s="3" t="s">
        <v>171</v>
      </c>
      <c r="C15" s="3">
        <v>3</v>
      </c>
      <c r="D15" s="3"/>
      <c r="E15" s="3"/>
      <c r="F15" s="3"/>
      <c r="G15" s="3"/>
      <c r="H15" s="3">
        <f>SUM(Tabla1343[[#This Row],[Columna1]:[Columna5]])</f>
        <v>3</v>
      </c>
    </row>
    <row r="16" spans="2:8" ht="15" customHeight="1" x14ac:dyDescent="0.3">
      <c r="B16" s="3" t="s">
        <v>170</v>
      </c>
      <c r="C16" s="3">
        <v>7</v>
      </c>
      <c r="D16" s="3"/>
      <c r="E16" s="3"/>
      <c r="F16" s="3"/>
      <c r="G16" s="3"/>
      <c r="H16" s="3">
        <f>SUM(Tabla1343[[#This Row],[Columna1]:[Columna5]])</f>
        <v>7</v>
      </c>
    </row>
    <row r="17" spans="2:8" ht="15" customHeight="1" x14ac:dyDescent="0.3">
      <c r="B17" s="3" t="s">
        <v>242</v>
      </c>
      <c r="C17" s="3">
        <v>1</v>
      </c>
      <c r="D17" s="3"/>
      <c r="E17" s="3"/>
      <c r="F17" s="3"/>
      <c r="G17" s="3"/>
      <c r="H17" s="3">
        <f>SUM(Tabla1343[[#This Row],[Columna1]:[Columna5]])</f>
        <v>1</v>
      </c>
    </row>
    <row r="18" spans="2:8" ht="15" customHeight="1" x14ac:dyDescent="0.3">
      <c r="B18" s="3" t="s">
        <v>186</v>
      </c>
      <c r="C18" s="3">
        <v>1</v>
      </c>
      <c r="D18" s="3"/>
      <c r="E18" s="3"/>
      <c r="F18" s="3"/>
      <c r="G18" s="3"/>
      <c r="H18" s="3">
        <f>SUM(Tabla1343[[#This Row],[Columna1]:[Columna5]])</f>
        <v>1</v>
      </c>
    </row>
    <row r="19" spans="2:8" ht="15" customHeight="1" x14ac:dyDescent="0.3">
      <c r="B19" s="34" t="s">
        <v>117</v>
      </c>
      <c r="C19" s="3">
        <v>7</v>
      </c>
      <c r="D19" s="3">
        <v>2</v>
      </c>
      <c r="E19" s="3"/>
      <c r="F19" s="3"/>
      <c r="G19" s="3"/>
      <c r="H19" s="3">
        <f>SUM(Tabla1343[[#This Row],[Columna1]:[Columna5]])</f>
        <v>9</v>
      </c>
    </row>
    <row r="20" spans="2:8" ht="15" customHeight="1" x14ac:dyDescent="0.3">
      <c r="B20" s="3" t="s">
        <v>116</v>
      </c>
      <c r="C20" s="3">
        <v>15</v>
      </c>
      <c r="D20" s="3"/>
      <c r="E20" s="3"/>
      <c r="F20" s="3"/>
      <c r="G20" s="3"/>
      <c r="H20" s="3">
        <f>SUM(Tabla1343[[#This Row],[Columna1]:[Columna5]])</f>
        <v>15</v>
      </c>
    </row>
    <row r="21" spans="2:8" ht="15" customHeight="1" x14ac:dyDescent="0.3">
      <c r="B21" s="3" t="s">
        <v>196</v>
      </c>
      <c r="C21" s="3">
        <v>1</v>
      </c>
      <c r="D21" s="3"/>
      <c r="E21" s="3"/>
      <c r="F21" s="3"/>
      <c r="G21" s="3"/>
      <c r="H21" s="3">
        <f>SUM(Tabla1343[[#This Row],[Columna1]:[Columna5]])</f>
        <v>1</v>
      </c>
    </row>
    <row r="22" spans="2:8" ht="15" customHeight="1" x14ac:dyDescent="0.3">
      <c r="B22" s="3" t="s">
        <v>247</v>
      </c>
      <c r="C22" s="3">
        <v>3</v>
      </c>
      <c r="D22" s="3"/>
      <c r="E22" s="3"/>
      <c r="F22" s="3"/>
      <c r="G22" s="3"/>
      <c r="H22" s="3">
        <f>SUM(Tabla1343[[#This Row],[Columna1]:[Columna5]])</f>
        <v>3</v>
      </c>
    </row>
    <row r="23" spans="2:8" ht="15" customHeight="1" x14ac:dyDescent="0.3">
      <c r="B23" s="3" t="s">
        <v>248</v>
      </c>
      <c r="C23" s="3">
        <v>3</v>
      </c>
      <c r="D23" s="3"/>
      <c r="E23" s="3"/>
      <c r="F23" s="3"/>
      <c r="G23" s="3"/>
      <c r="H23" s="3">
        <f>SUM(Tabla1343[[#This Row],[Columna1]:[Columna5]])</f>
        <v>3</v>
      </c>
    </row>
    <row r="24" spans="2:8" ht="15" customHeight="1" x14ac:dyDescent="0.3">
      <c r="B24" s="3" t="s">
        <v>155</v>
      </c>
      <c r="C24" s="3">
        <v>7</v>
      </c>
      <c r="D24" s="3"/>
      <c r="E24" s="3"/>
      <c r="F24" s="3"/>
      <c r="G24" s="3"/>
      <c r="H24" s="3">
        <f>SUM(Tabla1343[[#This Row],[Columna1]:[Columna5]])</f>
        <v>7</v>
      </c>
    </row>
    <row r="25" spans="2:8" ht="15" customHeight="1" x14ac:dyDescent="0.3">
      <c r="B25" s="3" t="s">
        <v>154</v>
      </c>
      <c r="C25" s="3">
        <v>11</v>
      </c>
      <c r="D25" s="3"/>
      <c r="E25" s="3"/>
      <c r="F25" s="3"/>
      <c r="G25" s="3"/>
      <c r="H25" s="3">
        <f>SUM(Tabla1343[[#This Row],[Columna1]:[Columna5]])</f>
        <v>11</v>
      </c>
    </row>
    <row r="26" spans="2:8" ht="15" customHeight="1" x14ac:dyDescent="0.3">
      <c r="B26" s="3" t="s">
        <v>293</v>
      </c>
      <c r="C26" s="3">
        <v>19</v>
      </c>
      <c r="D26" s="3"/>
      <c r="E26" s="3"/>
      <c r="F26" s="3"/>
      <c r="G26" s="3"/>
      <c r="H26" s="3">
        <f>SUM(Tabla1343[[#This Row],[Columna1]:[Columna5]])</f>
        <v>19</v>
      </c>
    </row>
    <row r="27" spans="2:8" ht="15" customHeight="1" x14ac:dyDescent="0.3">
      <c r="B27" s="3" t="s">
        <v>173</v>
      </c>
      <c r="C27" s="3">
        <v>165</v>
      </c>
      <c r="D27" s="3"/>
      <c r="E27" s="3"/>
      <c r="F27" s="3"/>
      <c r="G27" s="3"/>
      <c r="H27" s="3">
        <f>SUM(Tabla1343[[#This Row],[Columna1]:[Columna5]])</f>
        <v>165</v>
      </c>
    </row>
    <row r="28" spans="2:8" ht="15" customHeight="1" x14ac:dyDescent="0.3">
      <c r="B28" s="3" t="s">
        <v>181</v>
      </c>
      <c r="C28" s="3"/>
      <c r="D28" s="3"/>
      <c r="E28" s="3"/>
      <c r="F28" s="3"/>
      <c r="G28" s="3"/>
      <c r="H28" s="3">
        <f>SUM(Tabla1343[[#This Row],[Columna1]:[Columna5]])</f>
        <v>0</v>
      </c>
    </row>
    <row r="29" spans="2:8" ht="15" customHeight="1" x14ac:dyDescent="0.3">
      <c r="B29" s="3" t="s">
        <v>187</v>
      </c>
      <c r="C29" s="3">
        <v>1</v>
      </c>
      <c r="D29" s="3"/>
      <c r="E29" s="3"/>
      <c r="F29" s="3"/>
      <c r="G29" s="3"/>
      <c r="H29" s="3">
        <f>SUM(Tabla1343[[#This Row],[Columna1]:[Columna5]])</f>
        <v>1</v>
      </c>
    </row>
    <row r="30" spans="2:8" ht="15" customHeight="1" x14ac:dyDescent="0.3">
      <c r="B30" s="3" t="s">
        <v>27</v>
      </c>
      <c r="C30" s="3">
        <v>130</v>
      </c>
      <c r="D30" s="3"/>
      <c r="E30" s="3"/>
      <c r="F30" s="3"/>
      <c r="G30" s="3"/>
      <c r="H30" s="3">
        <f>SUM(Tabla1343[[#This Row],[Columna1]:[Columna5]])</f>
        <v>130</v>
      </c>
    </row>
    <row r="31" spans="2:8" ht="15" customHeight="1" x14ac:dyDescent="0.3">
      <c r="B31" s="3" t="s">
        <v>42</v>
      </c>
      <c r="C31" s="3">
        <v>10</v>
      </c>
      <c r="D31" s="3">
        <v>1</v>
      </c>
      <c r="E31" s="3"/>
      <c r="F31" s="3"/>
      <c r="G31" s="3"/>
      <c r="H31" s="3">
        <f>SUM(Tabla1343[[#This Row],[Columna1]:[Columna5]])</f>
        <v>11</v>
      </c>
    </row>
    <row r="32" spans="2:8" ht="15" customHeight="1" x14ac:dyDescent="0.3">
      <c r="B32" s="3" t="s">
        <v>192</v>
      </c>
      <c r="C32" s="3">
        <v>1</v>
      </c>
      <c r="D32" s="3"/>
      <c r="E32" s="3"/>
      <c r="F32" s="3"/>
      <c r="G32" s="3"/>
      <c r="H32" s="3">
        <f>SUM(Tabla1343[[#This Row],[Columna1]:[Columna5]])</f>
        <v>1</v>
      </c>
    </row>
    <row r="33" spans="2:8" ht="15" customHeight="1" x14ac:dyDescent="0.3">
      <c r="B33" s="3" t="s">
        <v>294</v>
      </c>
      <c r="C33" s="3">
        <v>4</v>
      </c>
      <c r="D33" s="3"/>
      <c r="E33" s="3"/>
      <c r="F33" s="3"/>
      <c r="G33" s="3"/>
      <c r="H33" s="3">
        <f>SUM(Tabla1343[[#This Row],[Columna1]:[Columna5]])</f>
        <v>4</v>
      </c>
    </row>
    <row r="34" spans="2:8" ht="15" customHeight="1" x14ac:dyDescent="0.3">
      <c r="B34" s="3" t="s">
        <v>98</v>
      </c>
      <c r="C34" s="3">
        <v>6</v>
      </c>
      <c r="D34" s="3"/>
      <c r="E34" s="3"/>
      <c r="F34" s="3"/>
      <c r="G34" s="3"/>
      <c r="H34" s="3">
        <f>SUM(Tabla1343[[#This Row],[Columna1]:[Columna5]])</f>
        <v>6</v>
      </c>
    </row>
    <row r="35" spans="2:8" ht="15" customHeight="1" x14ac:dyDescent="0.3">
      <c r="B35" s="3" t="s">
        <v>95</v>
      </c>
      <c r="C35" s="3">
        <v>3</v>
      </c>
      <c r="D35" s="3"/>
      <c r="E35" s="3"/>
      <c r="F35" s="3"/>
      <c r="G35" s="3"/>
      <c r="H35" s="3">
        <f>SUM(Tabla1343[[#This Row],[Columna1]:[Columna5]])</f>
        <v>3</v>
      </c>
    </row>
    <row r="36" spans="2:8" ht="15" customHeight="1" x14ac:dyDescent="0.3">
      <c r="B36" s="3" t="s">
        <v>231</v>
      </c>
      <c r="C36" s="3">
        <v>2</v>
      </c>
      <c r="D36" s="3">
        <v>5</v>
      </c>
      <c r="E36" s="3">
        <v>1</v>
      </c>
      <c r="F36" s="3">
        <v>1</v>
      </c>
      <c r="G36" s="3">
        <v>2</v>
      </c>
      <c r="H36" s="3">
        <f>SUM(Tabla1343[[#This Row],[Columna1]:[Columna5]])</f>
        <v>11</v>
      </c>
    </row>
    <row r="37" spans="2:8" ht="15" customHeight="1" x14ac:dyDescent="0.3">
      <c r="B37" s="3" t="s">
        <v>295</v>
      </c>
      <c r="C37" s="3">
        <v>23</v>
      </c>
      <c r="D37" s="3">
        <v>8</v>
      </c>
      <c r="E37" s="3">
        <v>4</v>
      </c>
      <c r="F37" s="3">
        <v>3</v>
      </c>
      <c r="G37" s="3"/>
      <c r="H37" s="3">
        <f>SUM(Tabla1343[[#This Row],[Columna1]:[Columna5]])</f>
        <v>38</v>
      </c>
    </row>
    <row r="38" spans="2:8" ht="15" customHeight="1" x14ac:dyDescent="0.3">
      <c r="B38" s="3" t="s">
        <v>226</v>
      </c>
      <c r="C38" s="3">
        <v>2</v>
      </c>
      <c r="D38" s="3"/>
      <c r="E38" s="3"/>
      <c r="F38" s="3"/>
      <c r="G38" s="3"/>
      <c r="H38" s="3">
        <f>SUM(Tabla1343[[#This Row],[Columna1]:[Columna5]])</f>
        <v>2</v>
      </c>
    </row>
    <row r="39" spans="2:8" ht="15" customHeight="1" x14ac:dyDescent="0.3">
      <c r="B39" s="3" t="s">
        <v>90</v>
      </c>
      <c r="C39" s="3">
        <v>3</v>
      </c>
      <c r="D39" s="3">
        <v>2</v>
      </c>
      <c r="E39" s="3">
        <v>3</v>
      </c>
      <c r="F39" s="3">
        <v>2</v>
      </c>
      <c r="G39" s="3"/>
      <c r="H39" s="3">
        <f>SUM(Tabla1343[[#This Row],[Columna1]:[Columna5]])</f>
        <v>10</v>
      </c>
    </row>
    <row r="40" spans="2:8" ht="15" customHeight="1" x14ac:dyDescent="0.3">
      <c r="B40" s="3" t="s">
        <v>97</v>
      </c>
      <c r="C40" s="3">
        <v>9</v>
      </c>
      <c r="D40" s="3"/>
      <c r="E40" s="3"/>
      <c r="F40" s="3"/>
      <c r="G40" s="3"/>
      <c r="H40" s="3">
        <f>SUM(Tabla1343[[#This Row],[Columna1]:[Columna5]])</f>
        <v>9</v>
      </c>
    </row>
    <row r="41" spans="2:8" ht="15" customHeight="1" x14ac:dyDescent="0.3">
      <c r="B41" s="3" t="s">
        <v>206</v>
      </c>
      <c r="C41" s="3">
        <v>2</v>
      </c>
      <c r="D41" s="3"/>
      <c r="E41" s="3"/>
      <c r="F41" s="3"/>
      <c r="G41" s="3"/>
      <c r="H41" s="3">
        <f>SUM(Tabla1343[[#This Row],[Columna1]:[Columna5]])</f>
        <v>2</v>
      </c>
    </row>
    <row r="42" spans="2:8" ht="15" customHeight="1" x14ac:dyDescent="0.3">
      <c r="B42" s="3" t="s">
        <v>125</v>
      </c>
      <c r="C42" s="3">
        <v>3</v>
      </c>
      <c r="D42" s="3">
        <v>1</v>
      </c>
      <c r="E42" s="3"/>
      <c r="F42" s="3"/>
      <c r="G42" s="3"/>
      <c r="H42" s="3">
        <f>SUM(Tabla1343[[#This Row],[Columna1]:[Columna5]])</f>
        <v>4</v>
      </c>
    </row>
    <row r="43" spans="2:8" ht="15" customHeight="1" x14ac:dyDescent="0.3">
      <c r="B43" s="3" t="s">
        <v>249</v>
      </c>
      <c r="C43" s="3">
        <v>1</v>
      </c>
      <c r="D43" s="3">
        <v>1</v>
      </c>
      <c r="E43" s="3"/>
      <c r="F43" s="3"/>
      <c r="G43" s="3"/>
      <c r="H43" s="3">
        <f>SUM(Tabla1343[[#This Row],[Columna1]:[Columna5]])</f>
        <v>2</v>
      </c>
    </row>
    <row r="44" spans="2:8" ht="15" customHeight="1" x14ac:dyDescent="0.3">
      <c r="B44" s="3" t="s">
        <v>127</v>
      </c>
      <c r="C44" s="3">
        <v>6</v>
      </c>
      <c r="D44" s="3">
        <v>28</v>
      </c>
      <c r="E44" s="3"/>
      <c r="F44" s="3"/>
      <c r="G44" s="3"/>
      <c r="H44" s="3">
        <f>SUM(Tabla1343[[#This Row],[Columna1]:[Columna5]])</f>
        <v>34</v>
      </c>
    </row>
    <row r="45" spans="2:8" ht="15" customHeight="1" x14ac:dyDescent="0.3">
      <c r="B45" s="3" t="s">
        <v>244</v>
      </c>
      <c r="C45" s="3">
        <v>1</v>
      </c>
      <c r="D45" s="3"/>
      <c r="E45" s="3"/>
      <c r="F45" s="3"/>
      <c r="G45" s="3"/>
      <c r="H45" s="3">
        <f>SUM(Tabla1343[[#This Row],[Columna1]:[Columna5]])</f>
        <v>1</v>
      </c>
    </row>
    <row r="46" spans="2:8" ht="15" customHeight="1" x14ac:dyDescent="0.3">
      <c r="B46" s="3" t="s">
        <v>156</v>
      </c>
      <c r="C46" s="3">
        <v>9</v>
      </c>
      <c r="D46" s="3"/>
      <c r="E46" s="3"/>
      <c r="F46" s="3"/>
      <c r="G46" s="3"/>
      <c r="H46" s="3">
        <f>SUM(Tabla1343[[#This Row],[Columna1]:[Columna5]])</f>
        <v>9</v>
      </c>
    </row>
    <row r="47" spans="2:8" ht="15" customHeight="1" x14ac:dyDescent="0.3">
      <c r="B47" s="3" t="s">
        <v>147</v>
      </c>
      <c r="C47" s="3">
        <v>50</v>
      </c>
      <c r="D47" s="3">
        <v>12</v>
      </c>
      <c r="E47" s="3">
        <v>15</v>
      </c>
      <c r="F47" s="3"/>
      <c r="G47" s="3"/>
      <c r="H47" s="3">
        <f>SUM(Tabla1343[[#This Row],[Columna1]:[Columna5]])</f>
        <v>77</v>
      </c>
    </row>
    <row r="48" spans="2:8" ht="15" customHeight="1" x14ac:dyDescent="0.3">
      <c r="B48" s="3" t="s">
        <v>133</v>
      </c>
      <c r="C48" s="3">
        <v>28</v>
      </c>
      <c r="D48" s="3"/>
      <c r="E48" s="3"/>
      <c r="F48" s="3"/>
      <c r="G48" s="3"/>
      <c r="H48" s="3">
        <f>SUM(Tabla1343[[#This Row],[Columna1]:[Columna5]])</f>
        <v>28</v>
      </c>
    </row>
    <row r="49" spans="2:8" ht="15" customHeight="1" x14ac:dyDescent="0.3">
      <c r="B49" s="3" t="s">
        <v>134</v>
      </c>
      <c r="C49" s="3">
        <v>11</v>
      </c>
      <c r="D49" s="3">
        <v>6</v>
      </c>
      <c r="E49" s="3"/>
      <c r="F49" s="3"/>
      <c r="G49" s="3"/>
      <c r="H49" s="3">
        <f>SUM(Tabla1343[[#This Row],[Columna1]:[Columna5]])</f>
        <v>17</v>
      </c>
    </row>
    <row r="50" spans="2:8" ht="15" customHeight="1" x14ac:dyDescent="0.3">
      <c r="B50" s="34" t="s">
        <v>135</v>
      </c>
      <c r="C50" s="3">
        <v>27</v>
      </c>
      <c r="D50" s="3"/>
      <c r="E50" s="3"/>
      <c r="F50" s="3"/>
      <c r="G50" s="3"/>
      <c r="H50" s="3">
        <f>SUM(Tabla1343[[#This Row],[Columna1]:[Columna5]])</f>
        <v>27</v>
      </c>
    </row>
    <row r="51" spans="2:8" ht="15" customHeight="1" x14ac:dyDescent="0.3">
      <c r="B51" s="34" t="s">
        <v>136</v>
      </c>
      <c r="C51" s="3">
        <v>28</v>
      </c>
      <c r="D51" s="3">
        <v>8</v>
      </c>
      <c r="E51" s="3"/>
      <c r="F51" s="3"/>
      <c r="G51" s="3"/>
      <c r="H51" s="3">
        <f>SUM(Tabla1343[[#This Row],[Columna1]:[Columna5]])</f>
        <v>36</v>
      </c>
    </row>
    <row r="52" spans="2:8" ht="15" customHeight="1" x14ac:dyDescent="0.3">
      <c r="B52" s="3" t="s">
        <v>204</v>
      </c>
      <c r="C52" s="3"/>
      <c r="D52" s="3"/>
      <c r="E52" s="3"/>
      <c r="F52" s="3"/>
      <c r="G52" s="3"/>
      <c r="H52" s="3">
        <f>SUM(Tabla1343[[#This Row],[Columna1]:[Columna5]])</f>
        <v>0</v>
      </c>
    </row>
    <row r="53" spans="2:8" ht="15" customHeight="1" x14ac:dyDescent="0.3">
      <c r="B53" s="3" t="s">
        <v>15</v>
      </c>
      <c r="C53" s="3">
        <v>200</v>
      </c>
      <c r="D53" s="3">
        <v>36</v>
      </c>
      <c r="E53" s="3">
        <v>167</v>
      </c>
      <c r="F53" s="3">
        <v>16</v>
      </c>
      <c r="G53" s="3"/>
      <c r="H53" s="3">
        <f>SUM(Tabla1343[[#This Row],[Columna1]:[Columna5]])</f>
        <v>419</v>
      </c>
    </row>
    <row r="54" spans="2:8" ht="15" customHeight="1" x14ac:dyDescent="0.3">
      <c r="B54" s="3" t="s">
        <v>252</v>
      </c>
      <c r="C54" s="3"/>
      <c r="D54" s="3"/>
      <c r="E54" s="3"/>
      <c r="F54" s="3"/>
      <c r="G54" s="3"/>
      <c r="H54" s="3">
        <f>SUM(Tabla1343[[#This Row],[Columna1]:[Columna5]])</f>
        <v>0</v>
      </c>
    </row>
    <row r="55" spans="2:8" ht="15" customHeight="1" x14ac:dyDescent="0.3">
      <c r="B55" s="3" t="s">
        <v>140</v>
      </c>
      <c r="C55" s="3">
        <v>34</v>
      </c>
      <c r="D55" s="3"/>
      <c r="E55" s="3"/>
      <c r="F55" s="3"/>
      <c r="G55" s="3"/>
      <c r="H55" s="3">
        <f>SUM(Tabla1343[[#This Row],[Columna1]:[Columna5]])</f>
        <v>34</v>
      </c>
    </row>
    <row r="56" spans="2:8" ht="15" customHeight="1" x14ac:dyDescent="0.3">
      <c r="B56" s="3" t="s">
        <v>121</v>
      </c>
      <c r="C56" s="3">
        <v>5</v>
      </c>
      <c r="D56" s="3"/>
      <c r="E56" s="3"/>
      <c r="F56" s="3"/>
      <c r="G56" s="3"/>
      <c r="H56" s="3">
        <f>SUM(Tabla1343[[#This Row],[Columna1]:[Columna5]])</f>
        <v>5</v>
      </c>
    </row>
    <row r="57" spans="2:8" ht="15" customHeight="1" x14ac:dyDescent="0.3">
      <c r="B57" s="3" t="s">
        <v>74</v>
      </c>
      <c r="C57" s="3">
        <v>48</v>
      </c>
      <c r="D57" s="3">
        <v>10</v>
      </c>
      <c r="E57" s="3"/>
      <c r="F57" s="3"/>
      <c r="G57" s="3"/>
      <c r="H57" s="3">
        <f>SUM(Tabla1343[[#This Row],[Columna1]:[Columna5]])</f>
        <v>58</v>
      </c>
    </row>
    <row r="58" spans="2:8" ht="15" customHeight="1" x14ac:dyDescent="0.3">
      <c r="B58" s="3" t="s">
        <v>88</v>
      </c>
      <c r="C58" s="3">
        <v>10</v>
      </c>
      <c r="D58" s="3"/>
      <c r="E58" s="3"/>
      <c r="F58" s="3"/>
      <c r="G58" s="3"/>
      <c r="H58" s="3">
        <f>SUM(Tabla1343[[#This Row],[Columna1]:[Columna5]])</f>
        <v>10</v>
      </c>
    </row>
    <row r="59" spans="2:8" ht="15" customHeight="1" x14ac:dyDescent="0.3">
      <c r="B59" s="34" t="s">
        <v>190</v>
      </c>
      <c r="C59" s="3">
        <v>5</v>
      </c>
      <c r="D59" s="3"/>
      <c r="E59" s="3"/>
      <c r="F59" s="3"/>
      <c r="G59" s="3"/>
      <c r="H59" s="3">
        <f>SUM(Tabla1343[[#This Row],[Columna1]:[Columna5]])</f>
        <v>5</v>
      </c>
    </row>
    <row r="60" spans="2:8" ht="15" customHeight="1" x14ac:dyDescent="0.3">
      <c r="B60" s="34" t="s">
        <v>112</v>
      </c>
      <c r="C60" s="3">
        <v>20</v>
      </c>
      <c r="D60" s="3"/>
      <c r="E60" s="3"/>
      <c r="F60" s="3"/>
      <c r="G60" s="3"/>
      <c r="H60" s="3">
        <f>SUM(Tabla1343[[#This Row],[Columna1]:[Columna5]])</f>
        <v>20</v>
      </c>
    </row>
    <row r="61" spans="2:8" ht="15" customHeight="1" x14ac:dyDescent="0.3">
      <c r="B61" s="3" t="s">
        <v>153</v>
      </c>
      <c r="C61" s="3">
        <v>14</v>
      </c>
      <c r="D61" s="3"/>
      <c r="E61" s="3"/>
      <c r="F61" s="3"/>
      <c r="G61" s="3"/>
      <c r="H61" s="3">
        <f>SUM(Tabla1343[[#This Row],[Columna1]:[Columna5]])</f>
        <v>14</v>
      </c>
    </row>
    <row r="62" spans="2:8" ht="15" customHeight="1" x14ac:dyDescent="0.3">
      <c r="B62" s="3" t="s">
        <v>150</v>
      </c>
      <c r="C62" s="3">
        <v>10</v>
      </c>
      <c r="D62" s="3">
        <v>6</v>
      </c>
      <c r="E62" s="3"/>
      <c r="F62" s="3"/>
      <c r="G62" s="3"/>
      <c r="H62" s="3">
        <f>SUM(Tabla1343[[#This Row],[Columna1]:[Columna5]])</f>
        <v>16</v>
      </c>
    </row>
    <row r="63" spans="2:8" ht="15" customHeight="1" x14ac:dyDescent="0.3">
      <c r="B63" s="3" t="s">
        <v>151</v>
      </c>
      <c r="C63" s="3">
        <v>8</v>
      </c>
      <c r="D63" s="3"/>
      <c r="E63" s="3"/>
      <c r="F63" s="3"/>
      <c r="G63" s="3"/>
      <c r="H63" s="3">
        <f>SUM(Tabla1343[[#This Row],[Columna1]:[Columna5]])</f>
        <v>8</v>
      </c>
    </row>
    <row r="64" spans="2:8" ht="15" customHeight="1" x14ac:dyDescent="0.3">
      <c r="B64" s="3" t="s">
        <v>152</v>
      </c>
      <c r="C64" s="3">
        <v>6</v>
      </c>
      <c r="D64" s="3"/>
      <c r="E64" s="3"/>
      <c r="F64" s="3"/>
      <c r="G64" s="3"/>
      <c r="H64" s="3">
        <f>SUM(Tabla1343[[#This Row],[Columna1]:[Columna5]])</f>
        <v>6</v>
      </c>
    </row>
    <row r="65" spans="2:8" ht="15" customHeight="1" x14ac:dyDescent="0.3">
      <c r="B65" s="3" t="s">
        <v>246</v>
      </c>
      <c r="C65" s="3">
        <v>1</v>
      </c>
      <c r="D65" s="3"/>
      <c r="E65" s="3"/>
      <c r="F65" s="3"/>
      <c r="G65" s="3"/>
      <c r="H65" s="3">
        <f>SUM(Tabla1343[[#This Row],[Columna1]:[Columna5]])</f>
        <v>1</v>
      </c>
    </row>
    <row r="66" spans="2:8" ht="15" customHeight="1" x14ac:dyDescent="0.3">
      <c r="B66" s="3" t="s">
        <v>245</v>
      </c>
      <c r="C66" s="3">
        <v>1</v>
      </c>
      <c r="D66" s="3"/>
      <c r="E66" s="3"/>
      <c r="F66" s="3"/>
      <c r="G66" s="3"/>
      <c r="H66" s="3">
        <f>SUM(Tabla1343[[#This Row],[Columna1]:[Columna5]])</f>
        <v>1</v>
      </c>
    </row>
    <row r="67" spans="2:8" ht="15" customHeight="1" x14ac:dyDescent="0.3">
      <c r="B67" s="3" t="s">
        <v>274</v>
      </c>
      <c r="C67" s="3"/>
      <c r="D67" s="3"/>
      <c r="E67" s="3"/>
      <c r="F67" s="3"/>
      <c r="G67" s="3"/>
      <c r="H67" s="3">
        <f>SUM(Tabla1343[[#This Row],[Columna1]:[Columna5]])</f>
        <v>0</v>
      </c>
    </row>
    <row r="68" spans="2:8" ht="15" customHeight="1" x14ac:dyDescent="0.3">
      <c r="B68" s="3" t="s">
        <v>183</v>
      </c>
      <c r="C68" s="3">
        <v>1</v>
      </c>
      <c r="D68" s="3"/>
      <c r="E68" s="3"/>
      <c r="F68" s="3"/>
      <c r="G68" s="3"/>
      <c r="H68" s="3">
        <f>SUM(Tabla1343[[#This Row],[Columna1]:[Columna5]])</f>
        <v>1</v>
      </c>
    </row>
    <row r="69" spans="2:8" ht="15" customHeight="1" x14ac:dyDescent="0.3">
      <c r="B69" s="3" t="s">
        <v>47</v>
      </c>
      <c r="C69" s="3">
        <v>4</v>
      </c>
      <c r="D69" s="3"/>
      <c r="E69" s="3"/>
      <c r="F69" s="3"/>
      <c r="G69" s="3"/>
      <c r="H69" s="3">
        <f>SUM(Tabla1343[[#This Row],[Columna1]:[Columna5]])</f>
        <v>4</v>
      </c>
    </row>
    <row r="70" spans="2:8" ht="15" customHeight="1" x14ac:dyDescent="0.3">
      <c r="B70" s="34" t="s">
        <v>277</v>
      </c>
      <c r="C70" s="3">
        <v>2</v>
      </c>
      <c r="D70" s="3">
        <v>2</v>
      </c>
      <c r="E70" s="3"/>
      <c r="F70" s="3"/>
      <c r="G70" s="3"/>
      <c r="H70" s="3">
        <f>SUM(Tabla1343[[#This Row],[Columna1]:[Columna5]])</f>
        <v>4</v>
      </c>
    </row>
    <row r="71" spans="2:8" ht="15" customHeight="1" x14ac:dyDescent="0.3">
      <c r="B71" s="3" t="s">
        <v>276</v>
      </c>
      <c r="C71" s="3">
        <v>20</v>
      </c>
      <c r="D71" s="3"/>
      <c r="E71" s="3"/>
      <c r="F71" s="3"/>
      <c r="G71" s="3"/>
      <c r="H71" s="3">
        <f>SUM(Tabla1343[[#This Row],[Columna1]:[Columna5]])</f>
        <v>20</v>
      </c>
    </row>
    <row r="72" spans="2:8" ht="15" customHeight="1" x14ac:dyDescent="0.3">
      <c r="B72" s="3" t="s">
        <v>193</v>
      </c>
      <c r="C72" s="3">
        <v>3</v>
      </c>
      <c r="D72" s="3"/>
      <c r="E72" s="3"/>
      <c r="F72" s="3"/>
      <c r="G72" s="3"/>
      <c r="H72" s="3">
        <f>SUM(Tabla1343[[#This Row],[Columna1]:[Columna5]])</f>
        <v>3</v>
      </c>
    </row>
    <row r="73" spans="2:8" ht="15" customHeight="1" x14ac:dyDescent="0.3">
      <c r="B73" s="3" t="s">
        <v>191</v>
      </c>
      <c r="C73" s="3">
        <v>1</v>
      </c>
      <c r="D73" s="3"/>
      <c r="E73" s="3"/>
      <c r="F73" s="3"/>
      <c r="G73" s="3"/>
      <c r="H73" s="3">
        <f>SUM(Tabla1343[[#This Row],[Columna1]:[Columna5]])</f>
        <v>1</v>
      </c>
    </row>
    <row r="74" spans="2:8" ht="15" customHeight="1" x14ac:dyDescent="0.3">
      <c r="B74" s="3" t="s">
        <v>176</v>
      </c>
      <c r="C74" s="3">
        <v>3</v>
      </c>
      <c r="D74" s="3"/>
      <c r="E74" s="3"/>
      <c r="F74" s="3"/>
      <c r="G74" s="3"/>
      <c r="H74" s="3">
        <f>SUM(Tabla1343[[#This Row],[Columna1]:[Columna5]])</f>
        <v>3</v>
      </c>
    </row>
    <row r="75" spans="2:8" ht="15" customHeight="1" x14ac:dyDescent="0.3">
      <c r="B75" s="3" t="s">
        <v>161</v>
      </c>
      <c r="C75" s="3">
        <v>36</v>
      </c>
      <c r="D75" s="3"/>
      <c r="E75" s="3"/>
      <c r="F75" s="3"/>
      <c r="G75" s="3"/>
      <c r="H75" s="3">
        <f>SUM(Tabla1343[[#This Row],[Columna1]:[Columna5]])</f>
        <v>36</v>
      </c>
    </row>
    <row r="76" spans="2:8" ht="15" customHeight="1" x14ac:dyDescent="0.3">
      <c r="B76" s="3" t="s">
        <v>162</v>
      </c>
      <c r="C76" s="3">
        <v>27</v>
      </c>
      <c r="D76" s="3"/>
      <c r="E76" s="3"/>
      <c r="F76" s="3"/>
      <c r="G76" s="3"/>
      <c r="H76" s="3">
        <f>SUM(Tabla1343[[#This Row],[Columna1]:[Columna5]])</f>
        <v>27</v>
      </c>
    </row>
    <row r="77" spans="2:8" ht="15" customHeight="1" x14ac:dyDescent="0.3">
      <c r="B77" s="34" t="s">
        <v>177</v>
      </c>
      <c r="C77" s="3">
        <v>113</v>
      </c>
      <c r="D77" s="3"/>
      <c r="E77" s="3"/>
      <c r="F77" s="3"/>
      <c r="G77" s="3"/>
      <c r="H77" s="3">
        <f>SUM(Tabla1343[[#This Row],[Columna1]:[Columna5]])</f>
        <v>113</v>
      </c>
    </row>
    <row r="78" spans="2:8" ht="15" customHeight="1" x14ac:dyDescent="0.3">
      <c r="B78" s="3" t="s">
        <v>142</v>
      </c>
      <c r="C78" s="3">
        <v>18</v>
      </c>
      <c r="D78" s="3"/>
      <c r="E78" s="3"/>
      <c r="F78" s="3"/>
      <c r="G78" s="3"/>
      <c r="H78" s="3">
        <f>SUM(Tabla1343[[#This Row],[Columna1]:[Columna5]])</f>
        <v>18</v>
      </c>
    </row>
    <row r="79" spans="2:8" ht="15" customHeight="1" x14ac:dyDescent="0.3">
      <c r="B79" s="3" t="s">
        <v>209</v>
      </c>
      <c r="C79" s="3">
        <v>10</v>
      </c>
      <c r="D79" s="3"/>
      <c r="E79" s="3"/>
      <c r="F79" s="3"/>
      <c r="G79" s="3"/>
      <c r="H79" s="3">
        <f>SUM(Tabla1343[[#This Row],[Columna1]:[Columna5]])</f>
        <v>10</v>
      </c>
    </row>
    <row r="80" spans="2:8" ht="15" customHeight="1" x14ac:dyDescent="0.3">
      <c r="B80" s="3" t="s">
        <v>75</v>
      </c>
      <c r="C80" s="3">
        <v>8</v>
      </c>
      <c r="D80" s="3">
        <v>2</v>
      </c>
      <c r="E80" s="3">
        <v>12</v>
      </c>
      <c r="F80" s="3">
        <v>32</v>
      </c>
      <c r="G80" s="3"/>
      <c r="H80" s="3">
        <f>SUM(Tabla1343[[#This Row],[Columna1]:[Columna5]])</f>
        <v>54</v>
      </c>
    </row>
    <row r="81" spans="2:8" ht="15" customHeight="1" x14ac:dyDescent="0.3">
      <c r="B81" s="3" t="s">
        <v>120</v>
      </c>
      <c r="C81" s="3">
        <v>1</v>
      </c>
      <c r="D81" s="3">
        <v>2</v>
      </c>
      <c r="E81" s="3">
        <v>15</v>
      </c>
      <c r="F81" s="3"/>
      <c r="G81" s="3"/>
      <c r="H81" s="3">
        <f>SUM(Tabla1343[[#This Row],[Columna1]:[Columna5]])</f>
        <v>18</v>
      </c>
    </row>
    <row r="82" spans="2:8" ht="15" customHeight="1" x14ac:dyDescent="0.3">
      <c r="B82" s="3" t="s">
        <v>76</v>
      </c>
      <c r="C82" s="3">
        <v>4</v>
      </c>
      <c r="D82" s="3">
        <v>2</v>
      </c>
      <c r="E82" s="3">
        <v>5</v>
      </c>
      <c r="F82" s="3">
        <v>2</v>
      </c>
      <c r="G82" s="3"/>
      <c r="H82" s="3">
        <f>SUM(Tabla1343[[#This Row],[Columna1]:[Columna5]])</f>
        <v>13</v>
      </c>
    </row>
    <row r="83" spans="2:8" ht="15" customHeight="1" x14ac:dyDescent="0.3">
      <c r="B83" s="3" t="s">
        <v>40</v>
      </c>
      <c r="C83" s="3">
        <v>2</v>
      </c>
      <c r="D83" s="3"/>
      <c r="E83" s="3"/>
      <c r="F83" s="3"/>
      <c r="G83" s="3"/>
      <c r="H83" s="3">
        <f>SUM(Tabla1343[[#This Row],[Columna1]:[Columna5]])</f>
        <v>2</v>
      </c>
    </row>
    <row r="84" spans="2:8" ht="15" customHeight="1" x14ac:dyDescent="0.3">
      <c r="B84" s="3" t="s">
        <v>39</v>
      </c>
      <c r="C84" s="3">
        <v>3</v>
      </c>
      <c r="D84" s="3"/>
      <c r="E84" s="3"/>
      <c r="F84" s="3"/>
      <c r="G84" s="3"/>
      <c r="H84" s="3">
        <f>SUM(Tabla1343[[#This Row],[Columna1]:[Columna5]])</f>
        <v>3</v>
      </c>
    </row>
    <row r="85" spans="2:8" ht="15" customHeight="1" x14ac:dyDescent="0.3">
      <c r="B85" s="3" t="s">
        <v>283</v>
      </c>
      <c r="C85" s="3">
        <v>8</v>
      </c>
      <c r="D85" s="3"/>
      <c r="E85" s="3"/>
      <c r="F85" s="3"/>
      <c r="G85" s="3"/>
      <c r="H85" s="3">
        <f>SUM(Tabla1343[[#This Row],[Columna1]:[Columna5]])</f>
        <v>8</v>
      </c>
    </row>
    <row r="86" spans="2:8" ht="15" customHeight="1" x14ac:dyDescent="0.3">
      <c r="B86" s="3" t="s">
        <v>203</v>
      </c>
      <c r="C86" s="3">
        <v>1</v>
      </c>
      <c r="D86" s="3"/>
      <c r="E86" s="3"/>
      <c r="F86" s="3"/>
      <c r="G86" s="3"/>
      <c r="H86" s="3">
        <f>SUM(Tabla1343[[#This Row],[Columna1]:[Columna5]])</f>
        <v>1</v>
      </c>
    </row>
    <row r="87" spans="2:8" ht="15" customHeight="1" x14ac:dyDescent="0.3">
      <c r="B87" s="3" t="s">
        <v>172</v>
      </c>
      <c r="C87" s="3">
        <v>6</v>
      </c>
      <c r="D87" s="3"/>
      <c r="E87" s="3"/>
      <c r="F87" s="3"/>
      <c r="G87" s="3"/>
      <c r="H87" s="3">
        <f>SUM(Tabla1343[[#This Row],[Columna1]:[Columna5]])</f>
        <v>6</v>
      </c>
    </row>
    <row r="88" spans="2:8" ht="15" customHeight="1" x14ac:dyDescent="0.3">
      <c r="B88" s="3" t="s">
        <v>157</v>
      </c>
      <c r="C88" s="3">
        <v>4</v>
      </c>
      <c r="D88" s="3"/>
      <c r="E88" s="3"/>
      <c r="F88" s="3"/>
      <c r="G88" s="3"/>
      <c r="H88" s="3">
        <f>SUM(Tabla1343[[#This Row],[Columna1]:[Columna5]])</f>
        <v>4</v>
      </c>
    </row>
    <row r="89" spans="2:8" ht="15" customHeight="1" x14ac:dyDescent="0.3">
      <c r="B89" s="3" t="s">
        <v>178</v>
      </c>
      <c r="C89" s="3">
        <v>1</v>
      </c>
      <c r="D89" s="3"/>
      <c r="E89" s="3"/>
      <c r="F89" s="3"/>
      <c r="G89" s="3"/>
      <c r="H89" s="3">
        <f>SUM(Tabla1343[[#This Row],[Columna1]:[Columna5]])</f>
        <v>1</v>
      </c>
    </row>
    <row r="90" spans="2:8" ht="15" customHeight="1" x14ac:dyDescent="0.3">
      <c r="B90" s="3" t="s">
        <v>41</v>
      </c>
      <c r="C90" s="3">
        <v>8</v>
      </c>
      <c r="D90" s="3"/>
      <c r="E90" s="3"/>
      <c r="F90" s="3"/>
      <c r="G90" s="3"/>
      <c r="H90" s="3">
        <f>SUM(Tabla1343[[#This Row],[Columna1]:[Columna5]])</f>
        <v>8</v>
      </c>
    </row>
    <row r="91" spans="2:8" ht="15" customHeight="1" x14ac:dyDescent="0.3">
      <c r="B91" s="3" t="s">
        <v>180</v>
      </c>
      <c r="C91" s="3">
        <v>1</v>
      </c>
      <c r="D91" s="3"/>
      <c r="E91" s="3"/>
      <c r="F91" s="3"/>
      <c r="G91" s="3"/>
      <c r="H91" s="3">
        <f>SUM(Tabla1343[[#This Row],[Columna1]:[Columna5]])</f>
        <v>1</v>
      </c>
    </row>
    <row r="92" spans="2:8" ht="15" customHeight="1" x14ac:dyDescent="0.3">
      <c r="B92" s="3" t="s">
        <v>175</v>
      </c>
      <c r="C92" s="3">
        <v>2</v>
      </c>
      <c r="D92" s="3"/>
      <c r="E92" s="3"/>
      <c r="F92" s="3"/>
      <c r="G92" s="3"/>
      <c r="H92" s="3">
        <f>SUM(Tabla1343[[#This Row],[Columna1]:[Columna5]])</f>
        <v>2</v>
      </c>
    </row>
    <row r="93" spans="2:8" ht="15" customHeight="1" x14ac:dyDescent="0.3">
      <c r="B93" s="3" t="s">
        <v>179</v>
      </c>
      <c r="C93" s="3">
        <v>6</v>
      </c>
      <c r="D93" s="3"/>
      <c r="E93" s="3"/>
      <c r="F93" s="3"/>
      <c r="G93" s="3"/>
      <c r="H93" s="3">
        <f>SUM(Tabla1343[[#This Row],[Columna1]:[Columna5]])</f>
        <v>6</v>
      </c>
    </row>
    <row r="94" spans="2:8" ht="15" customHeight="1" x14ac:dyDescent="0.3">
      <c r="B94" s="3" t="s">
        <v>129</v>
      </c>
      <c r="C94" s="3">
        <v>73</v>
      </c>
      <c r="D94" s="3"/>
      <c r="E94" s="3"/>
      <c r="F94" s="3"/>
      <c r="G94" s="3"/>
      <c r="H94" s="3">
        <f>SUM(Tabla1343[[#This Row],[Columna1]:[Columna5]])</f>
        <v>73</v>
      </c>
    </row>
    <row r="95" spans="2:8" ht="15" customHeight="1" x14ac:dyDescent="0.3">
      <c r="B95" s="3" t="s">
        <v>128</v>
      </c>
      <c r="C95" s="3">
        <v>46</v>
      </c>
      <c r="D95" s="3"/>
      <c r="E95" s="3"/>
      <c r="F95" s="3"/>
      <c r="G95" s="3"/>
      <c r="H95" s="3">
        <f>SUM(Tabla1343[[#This Row],[Columna1]:[Columna5]])</f>
        <v>46</v>
      </c>
    </row>
    <row r="96" spans="2:8" ht="15" customHeight="1" x14ac:dyDescent="0.3">
      <c r="B96" s="3" t="s">
        <v>68</v>
      </c>
      <c r="C96" s="3">
        <v>200</v>
      </c>
      <c r="D96" s="3">
        <v>364</v>
      </c>
      <c r="E96" s="3">
        <v>408</v>
      </c>
      <c r="F96" s="3">
        <v>28</v>
      </c>
      <c r="G96" s="3">
        <v>24</v>
      </c>
      <c r="H96" s="3">
        <f>SUM(Tabla1343[[#This Row],[Columna1]:[Columna5]])</f>
        <v>1024</v>
      </c>
    </row>
    <row r="97" spans="2:8" ht="15" customHeight="1" x14ac:dyDescent="0.3">
      <c r="B97" s="3" t="s">
        <v>146</v>
      </c>
      <c r="C97" s="3">
        <v>2</v>
      </c>
      <c r="D97" s="3"/>
      <c r="E97" s="3"/>
      <c r="F97" s="3"/>
      <c r="G97" s="3"/>
      <c r="H97" s="3">
        <f>SUM(Tabla1343[[#This Row],[Columna1]:[Columna5]])</f>
        <v>2</v>
      </c>
    </row>
    <row r="98" spans="2:8" ht="15" customHeight="1" x14ac:dyDescent="0.3">
      <c r="B98" s="3" t="s">
        <v>89</v>
      </c>
      <c r="C98" s="3">
        <v>1</v>
      </c>
      <c r="D98" s="3">
        <v>2</v>
      </c>
      <c r="E98" s="3"/>
      <c r="F98" s="3"/>
      <c r="G98" s="3"/>
      <c r="H98" s="3">
        <f>SUM(Tabla1343[[#This Row],[Columna1]:[Columna5]])</f>
        <v>3</v>
      </c>
    </row>
    <row r="99" spans="2:8" ht="15" customHeight="1" x14ac:dyDescent="0.3">
      <c r="B99" s="3" t="s">
        <v>205</v>
      </c>
      <c r="C99" s="3">
        <v>21</v>
      </c>
      <c r="D99" s="3"/>
      <c r="E99" s="3"/>
      <c r="F99" s="3"/>
      <c r="G99" s="3"/>
      <c r="H99" s="3">
        <f>SUM(Tabla1343[[#This Row],[Columna1]:[Columna5]])</f>
        <v>21</v>
      </c>
    </row>
    <row r="100" spans="2:8" ht="15" customHeight="1" x14ac:dyDescent="0.3">
      <c r="B100" s="3" t="s">
        <v>254</v>
      </c>
      <c r="C100" s="3">
        <v>6</v>
      </c>
      <c r="D100" s="3"/>
      <c r="E100" s="3"/>
      <c r="F100" s="3"/>
      <c r="G100" s="3"/>
      <c r="H100" s="3">
        <f>SUM(Tabla1343[[#This Row],[Columna1]:[Columna5]])</f>
        <v>6</v>
      </c>
    </row>
    <row r="101" spans="2:8" ht="15" customHeight="1" x14ac:dyDescent="0.3">
      <c r="B101" s="34" t="s">
        <v>197</v>
      </c>
      <c r="C101" s="3">
        <v>2</v>
      </c>
      <c r="D101" s="3"/>
      <c r="E101" s="3"/>
      <c r="F101" s="3"/>
      <c r="G101" s="3"/>
      <c r="H101" s="3">
        <f>SUM(Tabla1343[[#This Row],[Columna1]:[Columna5]])</f>
        <v>2</v>
      </c>
    </row>
    <row r="102" spans="2:8" ht="15" customHeight="1" x14ac:dyDescent="0.3">
      <c r="B102" s="3" t="s">
        <v>100</v>
      </c>
      <c r="C102" s="3"/>
      <c r="D102" s="3"/>
      <c r="E102" s="3"/>
      <c r="F102" s="3"/>
      <c r="G102" s="3"/>
      <c r="H102" s="3">
        <f>SUM(Tabla1343[[#This Row],[Columna1]:[Columna5]])</f>
        <v>0</v>
      </c>
    </row>
    <row r="103" spans="2:8" ht="15" customHeight="1" x14ac:dyDescent="0.3">
      <c r="B103" s="3" t="s">
        <v>99</v>
      </c>
      <c r="C103" s="3"/>
      <c r="D103" s="3"/>
      <c r="E103" s="3"/>
      <c r="F103" s="3"/>
      <c r="G103" s="3"/>
      <c r="H103" s="3">
        <f>SUM(Tabla1343[[#This Row],[Columna1]:[Columna5]])</f>
        <v>0</v>
      </c>
    </row>
    <row r="104" spans="2:8" ht="15" customHeight="1" x14ac:dyDescent="0.3">
      <c r="B104" s="3" t="s">
        <v>264</v>
      </c>
      <c r="C104" s="3">
        <v>8</v>
      </c>
      <c r="D104" s="3"/>
      <c r="E104" s="3"/>
      <c r="F104" s="3"/>
      <c r="G104" s="3"/>
      <c r="H104" s="3">
        <f>SUM(Tabla1343[[#This Row],[Columna1]:[Columna5]])</f>
        <v>8</v>
      </c>
    </row>
    <row r="105" spans="2:8" ht="15" customHeight="1" x14ac:dyDescent="0.3">
      <c r="B105" s="3" t="s">
        <v>93</v>
      </c>
      <c r="C105" s="3">
        <v>12</v>
      </c>
      <c r="D105" s="3"/>
      <c r="E105" s="3"/>
      <c r="F105" s="3"/>
      <c r="G105" s="3"/>
      <c r="H105" s="3">
        <f>SUM(Tabla1343[[#This Row],[Columna1]:[Columna5]])</f>
        <v>12</v>
      </c>
    </row>
    <row r="106" spans="2:8" ht="15" customHeight="1" x14ac:dyDescent="0.3">
      <c r="B106" s="3" t="s">
        <v>54</v>
      </c>
      <c r="C106" s="3">
        <v>200</v>
      </c>
      <c r="D106" s="3"/>
      <c r="E106" s="3"/>
      <c r="F106" s="3"/>
      <c r="G106" s="3"/>
      <c r="H106" s="3">
        <f>SUM(Tabla1343[[#This Row],[Columna1]:[Columna5]])</f>
        <v>200</v>
      </c>
    </row>
    <row r="107" spans="2:8" ht="15" customHeight="1" x14ac:dyDescent="0.3">
      <c r="B107" s="3" t="s">
        <v>55</v>
      </c>
      <c r="C107" s="3">
        <v>50</v>
      </c>
      <c r="D107" s="3">
        <v>142</v>
      </c>
      <c r="E107" s="3">
        <v>151</v>
      </c>
      <c r="F107" s="3">
        <v>24</v>
      </c>
      <c r="G107" s="3"/>
      <c r="H107" s="3">
        <f>SUM(Tabla1343[[#This Row],[Columna1]:[Columna5]])</f>
        <v>367</v>
      </c>
    </row>
    <row r="108" spans="2:8" ht="15" customHeight="1" x14ac:dyDescent="0.3">
      <c r="B108" s="3"/>
      <c r="C108" s="3"/>
      <c r="D108" s="3"/>
      <c r="E108" s="3"/>
      <c r="F108" s="3"/>
      <c r="G108" s="3"/>
      <c r="H108" s="3">
        <f>SUM(Tabla1343[[#This Row],[Columna1]:[Columna5]])</f>
        <v>0</v>
      </c>
    </row>
    <row r="109" spans="2:8" ht="15" customHeight="1" x14ac:dyDescent="0.3">
      <c r="B109" s="48" t="s">
        <v>164</v>
      </c>
      <c r="C109" s="3">
        <v>6</v>
      </c>
      <c r="D109" s="3"/>
      <c r="E109" s="3"/>
      <c r="F109" s="3"/>
      <c r="G109" s="3"/>
      <c r="H109" s="3">
        <f>SUM(Tabla1343[[#This Row],[Columna1]:[Columna5]])</f>
        <v>6</v>
      </c>
    </row>
    <row r="110" spans="2:8" ht="15" customHeight="1" x14ac:dyDescent="0.3">
      <c r="B110" s="48" t="s">
        <v>10</v>
      </c>
      <c r="C110" s="3">
        <v>200</v>
      </c>
      <c r="D110" s="3">
        <v>40</v>
      </c>
      <c r="E110" s="3">
        <v>55</v>
      </c>
      <c r="F110" s="3">
        <v>4</v>
      </c>
      <c r="G110" s="3">
        <v>2</v>
      </c>
      <c r="H110" s="3">
        <f>SUM(Tabla1343[[#This Row],[Columna1]:[Columna5]])</f>
        <v>301</v>
      </c>
    </row>
    <row r="111" spans="2:8" ht="15" customHeight="1" x14ac:dyDescent="0.3">
      <c r="B111" s="48" t="s">
        <v>73</v>
      </c>
      <c r="C111" s="3">
        <v>38</v>
      </c>
      <c r="D111" s="3">
        <v>5</v>
      </c>
      <c r="E111" s="3"/>
      <c r="F111" s="3"/>
      <c r="G111" s="3"/>
      <c r="H111" s="3">
        <f>SUM(Tabla1343[[#This Row],[Columna1]:[Columna5]])</f>
        <v>43</v>
      </c>
    </row>
    <row r="112" spans="2:8" ht="15" customHeight="1" x14ac:dyDescent="0.3">
      <c r="B112" s="48" t="s">
        <v>92</v>
      </c>
      <c r="C112" s="3">
        <v>2</v>
      </c>
      <c r="D112" s="3"/>
      <c r="E112" s="3"/>
      <c r="F112" s="3"/>
      <c r="G112" s="3"/>
      <c r="H112" s="3">
        <f>SUM(Tabla1343[[#This Row],[Columna1]:[Columna5]])</f>
        <v>2</v>
      </c>
    </row>
    <row r="113" spans="2:8" ht="15" customHeight="1" x14ac:dyDescent="0.3">
      <c r="B113" s="48" t="s">
        <v>30</v>
      </c>
      <c r="C113" s="3">
        <v>200</v>
      </c>
      <c r="D113" s="3">
        <v>40</v>
      </c>
      <c r="E113" s="3">
        <v>65</v>
      </c>
      <c r="F113" s="3">
        <v>4</v>
      </c>
      <c r="G113" s="3">
        <v>2</v>
      </c>
      <c r="H113" s="3">
        <f>SUM(Tabla1343[[#This Row],[Columna1]:[Columna5]])</f>
        <v>311</v>
      </c>
    </row>
    <row r="114" spans="2:8" ht="15" customHeight="1" x14ac:dyDescent="0.3">
      <c r="B114" s="48" t="s">
        <v>60</v>
      </c>
      <c r="C114" s="3">
        <v>6</v>
      </c>
      <c r="D114" s="3"/>
      <c r="E114" s="3"/>
      <c r="F114" s="3"/>
      <c r="G114" s="3"/>
      <c r="H114" s="3">
        <f>SUM(Tabla1343[[#This Row],[Columna1]:[Columna5]])</f>
        <v>6</v>
      </c>
    </row>
    <row r="115" spans="2:8" ht="15" customHeight="1" x14ac:dyDescent="0.3">
      <c r="B115" s="48" t="s">
        <v>149</v>
      </c>
      <c r="C115" s="3">
        <v>13</v>
      </c>
      <c r="D115" s="3"/>
      <c r="E115" s="3"/>
      <c r="F115" s="3"/>
      <c r="G115" s="3"/>
      <c r="H115" s="3">
        <f>SUM(Tabla1343[[#This Row],[Columna1]:[Columna5]])</f>
        <v>13</v>
      </c>
    </row>
    <row r="116" spans="2:8" ht="15" customHeight="1" x14ac:dyDescent="0.3">
      <c r="B116" s="48" t="s">
        <v>256</v>
      </c>
      <c r="C116" s="3">
        <v>25</v>
      </c>
      <c r="D116" s="3"/>
      <c r="E116" s="3"/>
      <c r="F116" s="3"/>
      <c r="G116" s="3"/>
      <c r="H116" s="3">
        <f>SUM(Tabla1343[[#This Row],[Columna1]:[Columna5]])</f>
        <v>25</v>
      </c>
    </row>
    <row r="117" spans="2:8" ht="15" customHeight="1" x14ac:dyDescent="0.3">
      <c r="B117" s="48" t="s">
        <v>260</v>
      </c>
      <c r="C117" s="3">
        <v>4</v>
      </c>
      <c r="D117" s="3"/>
      <c r="E117" s="3"/>
      <c r="F117" s="3"/>
      <c r="G117" s="3"/>
      <c r="H117" s="3">
        <f>SUM(Tabla1343[[#This Row],[Columna1]:[Columna5]])</f>
        <v>4</v>
      </c>
    </row>
    <row r="118" spans="2:8" ht="15" customHeight="1" x14ac:dyDescent="0.3">
      <c r="B118" s="48" t="s">
        <v>261</v>
      </c>
      <c r="C118" s="3">
        <v>111</v>
      </c>
      <c r="D118" s="3"/>
      <c r="E118" s="3"/>
      <c r="F118" s="3"/>
      <c r="G118" s="3"/>
      <c r="H118" s="3">
        <f>SUM(Tabla1343[[#This Row],[Columna1]:[Columna5]])</f>
        <v>111</v>
      </c>
    </row>
    <row r="119" spans="2:8" ht="15" customHeight="1" x14ac:dyDescent="0.3">
      <c r="B119" s="48" t="s">
        <v>257</v>
      </c>
      <c r="C119" s="3">
        <v>21</v>
      </c>
      <c r="D119" s="3"/>
      <c r="E119" s="3"/>
      <c r="F119" s="3"/>
      <c r="G119" s="3"/>
      <c r="H119" s="3">
        <f>SUM(Tabla1343[[#This Row],[Columna1]:[Columna5]])</f>
        <v>21</v>
      </c>
    </row>
    <row r="120" spans="2:8" ht="15" customHeight="1" x14ac:dyDescent="0.3">
      <c r="B120" s="48" t="s">
        <v>262</v>
      </c>
      <c r="C120" s="3">
        <v>360</v>
      </c>
      <c r="D120" s="3">
        <v>200</v>
      </c>
      <c r="E120" s="3">
        <v>165</v>
      </c>
      <c r="F120" s="3"/>
      <c r="G120" s="3"/>
      <c r="H120" s="3">
        <f>SUM(Tabla1343[[#This Row],[Columna1]:[Columna5]])</f>
        <v>725</v>
      </c>
    </row>
    <row r="121" spans="2:8" ht="15" customHeight="1" x14ac:dyDescent="0.3">
      <c r="B121" s="48" t="s">
        <v>258</v>
      </c>
      <c r="C121" s="3">
        <v>7</v>
      </c>
      <c r="D121" s="3"/>
      <c r="E121" s="3"/>
      <c r="F121" s="3"/>
      <c r="G121" s="3"/>
      <c r="H121" s="3">
        <f>SUM(Tabla1343[[#This Row],[Columna1]:[Columna5]])</f>
        <v>7</v>
      </c>
    </row>
    <row r="122" spans="2:8" ht="15" customHeight="1" x14ac:dyDescent="0.3">
      <c r="B122" s="48" t="s">
        <v>302</v>
      </c>
      <c r="C122" s="3">
        <v>8</v>
      </c>
      <c r="D122" s="3"/>
      <c r="E122" s="3"/>
      <c r="F122" s="3"/>
      <c r="G122" s="3"/>
      <c r="H122" s="3">
        <f>SUM(Tabla1343[[#This Row],[Columna1]:[Columna5]])</f>
        <v>8</v>
      </c>
    </row>
    <row r="123" spans="2:8" ht="15" customHeight="1" x14ac:dyDescent="0.3">
      <c r="B123" s="48" t="s">
        <v>232</v>
      </c>
      <c r="C123" s="3">
        <v>8</v>
      </c>
      <c r="D123" s="3"/>
      <c r="E123" s="3"/>
      <c r="F123" s="3"/>
      <c r="G123" s="3"/>
      <c r="H123" s="3">
        <f>SUM(Tabla1343[[#This Row],[Columna1]:[Columna5]])</f>
        <v>8</v>
      </c>
    </row>
    <row r="124" spans="2:8" ht="15" customHeight="1" x14ac:dyDescent="0.3">
      <c r="B124" s="48" t="s">
        <v>16</v>
      </c>
      <c r="C124" s="3">
        <v>4</v>
      </c>
      <c r="D124" s="3"/>
      <c r="E124" s="3"/>
      <c r="F124" s="3"/>
      <c r="G124" s="3"/>
      <c r="H124" s="3">
        <f>SUM(Tabla1343[[#This Row],[Columna1]:[Columna5]])</f>
        <v>4</v>
      </c>
    </row>
    <row r="125" spans="2:8" ht="15" customHeight="1" x14ac:dyDescent="0.3">
      <c r="B125" s="48" t="s">
        <v>107</v>
      </c>
      <c r="C125" s="3">
        <v>100</v>
      </c>
      <c r="D125" s="3">
        <v>148</v>
      </c>
      <c r="E125" s="3">
        <v>4</v>
      </c>
      <c r="F125" s="3">
        <v>6</v>
      </c>
      <c r="G125" s="3"/>
      <c r="H125" s="3">
        <f>SUM(Tabla1343[[#This Row],[Columna1]:[Columna5]])</f>
        <v>258</v>
      </c>
    </row>
    <row r="126" spans="2:8" ht="15" customHeight="1" x14ac:dyDescent="0.3">
      <c r="B126" s="48" t="s">
        <v>101</v>
      </c>
      <c r="C126" s="3">
        <v>48</v>
      </c>
      <c r="D126" s="3">
        <v>11</v>
      </c>
      <c r="E126" s="3">
        <v>6</v>
      </c>
      <c r="F126" s="3"/>
      <c r="G126" s="3"/>
      <c r="H126" s="3">
        <f>SUM(Tabla1343[[#This Row],[Columna1]:[Columna5]])</f>
        <v>65</v>
      </c>
    </row>
    <row r="127" spans="2:8" ht="15" customHeight="1" x14ac:dyDescent="0.3">
      <c r="B127" s="48" t="s">
        <v>227</v>
      </c>
      <c r="C127" s="3">
        <v>600</v>
      </c>
      <c r="D127" s="3">
        <v>901</v>
      </c>
      <c r="E127" s="3">
        <v>25</v>
      </c>
      <c r="F127" s="3"/>
      <c r="G127" s="3"/>
      <c r="H127" s="3">
        <f>SUM(Tabla1343[[#This Row],[Columna1]:[Columna5]])</f>
        <v>1526</v>
      </c>
    </row>
    <row r="128" spans="2:8" ht="15" customHeight="1" x14ac:dyDescent="0.3">
      <c r="B128" s="48" t="s">
        <v>108</v>
      </c>
      <c r="C128" s="3">
        <v>15</v>
      </c>
      <c r="D128" s="3"/>
      <c r="E128" s="3"/>
      <c r="F128" s="3"/>
      <c r="G128" s="3"/>
      <c r="H128" s="3">
        <f>SUM(Tabla1343[[#This Row],[Columna1]:[Columna5]])</f>
        <v>15</v>
      </c>
    </row>
    <row r="129" spans="2:8" ht="15" customHeight="1" x14ac:dyDescent="0.3">
      <c r="B129" s="48" t="s">
        <v>109</v>
      </c>
      <c r="C129" s="3">
        <v>29</v>
      </c>
      <c r="D129" s="3"/>
      <c r="E129" s="3"/>
      <c r="F129" s="3"/>
      <c r="G129" s="3"/>
      <c r="H129" s="3">
        <f>SUM(Tabla1343[[#This Row],[Columna1]:[Columna5]])</f>
        <v>29</v>
      </c>
    </row>
    <row r="130" spans="2:8" ht="15" customHeight="1" x14ac:dyDescent="0.3">
      <c r="B130" s="48" t="s">
        <v>26</v>
      </c>
      <c r="C130" s="3">
        <v>40</v>
      </c>
      <c r="D130" s="3">
        <v>31</v>
      </c>
      <c r="E130" s="3"/>
      <c r="F130" s="3"/>
      <c r="G130" s="3"/>
      <c r="H130" s="3">
        <f>SUM(Tabla1343[[#This Row],[Columna1]:[Columna5]])</f>
        <v>71</v>
      </c>
    </row>
    <row r="131" spans="2:8" ht="15" customHeight="1" x14ac:dyDescent="0.3">
      <c r="B131" s="48" t="s">
        <v>113</v>
      </c>
      <c r="C131" s="3">
        <v>9</v>
      </c>
      <c r="D131" s="3"/>
      <c r="E131" s="3"/>
      <c r="F131" s="3"/>
      <c r="G131" s="3"/>
      <c r="H131" s="3">
        <f>SUM(Tabla1343[[#This Row],[Columna1]:[Columna5]])</f>
        <v>9</v>
      </c>
    </row>
    <row r="132" spans="2:8" ht="15" customHeight="1" x14ac:dyDescent="0.3">
      <c r="B132" s="53" t="s">
        <v>111</v>
      </c>
      <c r="C132" s="3">
        <v>12</v>
      </c>
      <c r="D132" s="3"/>
      <c r="E132" s="3"/>
      <c r="F132" s="3"/>
      <c r="G132" s="3"/>
      <c r="H132" s="3">
        <f>SUM(Tabla1343[[#This Row],[Columna1]:[Columna5]])</f>
        <v>12</v>
      </c>
    </row>
    <row r="133" spans="2:8" ht="15" customHeight="1" x14ac:dyDescent="0.3">
      <c r="B133" s="48" t="s">
        <v>110</v>
      </c>
      <c r="C133" s="3">
        <v>50</v>
      </c>
      <c r="D133" s="3">
        <v>59</v>
      </c>
      <c r="E133" s="3"/>
      <c r="F133" s="3"/>
      <c r="G133" s="3"/>
      <c r="H133" s="3">
        <f>SUM(Tabla1343[[#This Row],[Columna1]:[Columna5]])</f>
        <v>109</v>
      </c>
    </row>
    <row r="134" spans="2:8" ht="15" customHeight="1" x14ac:dyDescent="0.3">
      <c r="B134" s="48" t="s">
        <v>263</v>
      </c>
      <c r="C134" s="3">
        <v>15</v>
      </c>
      <c r="D134" s="3"/>
      <c r="E134" s="3"/>
      <c r="F134" s="3"/>
      <c r="G134" s="3"/>
      <c r="H134" s="3">
        <f>SUM(Tabla1343[[#This Row],[Columna1]:[Columna5]])</f>
        <v>15</v>
      </c>
    </row>
    <row r="135" spans="2:8" ht="15" customHeight="1" x14ac:dyDescent="0.3">
      <c r="B135" s="53" t="s">
        <v>163</v>
      </c>
      <c r="C135" s="3">
        <v>2</v>
      </c>
      <c r="D135" s="3"/>
      <c r="E135" s="3"/>
      <c r="F135" s="3"/>
      <c r="G135" s="3"/>
      <c r="H135" s="3">
        <f>SUM(Tabla1343[[#This Row],[Columna1]:[Columna5]])</f>
        <v>2</v>
      </c>
    </row>
    <row r="136" spans="2:8" ht="15" customHeight="1" x14ac:dyDescent="0.3">
      <c r="B136" s="48" t="s">
        <v>228</v>
      </c>
      <c r="C136" s="3">
        <v>500</v>
      </c>
      <c r="D136" s="3">
        <v>419</v>
      </c>
      <c r="E136" s="3">
        <v>7</v>
      </c>
      <c r="F136" s="3"/>
      <c r="G136" s="3"/>
      <c r="H136" s="3">
        <f>SUM(Tabla1343[[#This Row],[Columna1]:[Columna5]])</f>
        <v>926</v>
      </c>
    </row>
    <row r="137" spans="2:8" ht="15" customHeight="1" x14ac:dyDescent="0.3">
      <c r="B137" s="53" t="s">
        <v>229</v>
      </c>
      <c r="C137" s="3"/>
      <c r="D137" s="3">
        <v>1</v>
      </c>
      <c r="E137" s="3">
        <v>55</v>
      </c>
      <c r="F137" s="3"/>
      <c r="G137" s="3"/>
      <c r="H137" s="3">
        <f>SUM(Tabla1343[[#This Row],[Columna1]:[Columna5]])</f>
        <v>56</v>
      </c>
    </row>
    <row r="138" spans="2:8" ht="15" customHeight="1" x14ac:dyDescent="0.3">
      <c r="B138" s="48" t="s">
        <v>235</v>
      </c>
      <c r="C138" s="3">
        <v>50</v>
      </c>
      <c r="D138" s="3"/>
      <c r="E138" s="3"/>
      <c r="F138" s="3"/>
      <c r="G138" s="3"/>
      <c r="H138" s="3">
        <f>SUM(Tabla1343[[#This Row],[Columna1]:[Columna5]])</f>
        <v>50</v>
      </c>
    </row>
    <row r="139" spans="2:8" ht="15" customHeight="1" x14ac:dyDescent="0.3">
      <c r="B139" s="48" t="s">
        <v>236</v>
      </c>
      <c r="C139" s="3">
        <v>50</v>
      </c>
      <c r="D139" s="3"/>
      <c r="E139" s="3"/>
      <c r="F139" s="3"/>
      <c r="G139" s="3"/>
      <c r="H139" s="3">
        <f>SUM(Tabla1343[[#This Row],[Columna1]:[Columna5]])</f>
        <v>50</v>
      </c>
    </row>
    <row r="140" spans="2:8" ht="15" customHeight="1" x14ac:dyDescent="0.3">
      <c r="B140" s="48" t="s">
        <v>105</v>
      </c>
      <c r="C140" s="3">
        <v>17</v>
      </c>
      <c r="D140" s="3"/>
      <c r="E140" s="3"/>
      <c r="F140" s="3"/>
      <c r="G140" s="3"/>
      <c r="H140" s="3">
        <f>SUM(Tabla1343[[#This Row],[Columna1]:[Columna5]])</f>
        <v>17</v>
      </c>
    </row>
    <row r="141" spans="2:8" ht="15" customHeight="1" x14ac:dyDescent="0.3">
      <c r="B141" s="48" t="s">
        <v>106</v>
      </c>
      <c r="C141" s="3">
        <v>34</v>
      </c>
      <c r="D141" s="3">
        <v>99</v>
      </c>
      <c r="E141" s="3">
        <v>4</v>
      </c>
      <c r="F141" s="3">
        <v>4</v>
      </c>
      <c r="G141" s="3">
        <v>4</v>
      </c>
      <c r="H141" s="3">
        <f>SUM(Tabla1343[[#This Row],[Columna1]:[Columna5]])</f>
        <v>145</v>
      </c>
    </row>
    <row r="142" spans="2:8" ht="15" customHeight="1" x14ac:dyDescent="0.3">
      <c r="B142" s="48" t="s">
        <v>144</v>
      </c>
      <c r="C142" s="3">
        <v>15</v>
      </c>
      <c r="D142" s="3">
        <v>4</v>
      </c>
      <c r="E142" s="3">
        <v>4</v>
      </c>
      <c r="F142" s="3"/>
      <c r="G142" s="3"/>
      <c r="H142" s="3">
        <f>SUM(Tabla1343[[#This Row],[Columna1]:[Columna5]])</f>
        <v>23</v>
      </c>
    </row>
    <row r="143" spans="2:8" ht="15" customHeight="1" x14ac:dyDescent="0.3">
      <c r="B143" s="48" t="s">
        <v>234</v>
      </c>
      <c r="C143" s="3">
        <v>80</v>
      </c>
      <c r="D143" s="3"/>
      <c r="E143" s="3"/>
      <c r="F143" s="3"/>
      <c r="G143" s="3"/>
      <c r="H143" s="3">
        <f>SUM(Tabla1343[[#This Row],[Columna1]:[Columna5]])</f>
        <v>80</v>
      </c>
    </row>
    <row r="144" spans="2:8" ht="15" customHeight="1" x14ac:dyDescent="0.3">
      <c r="B144" s="53" t="s">
        <v>102</v>
      </c>
      <c r="C144" s="3">
        <v>13</v>
      </c>
      <c r="D144" s="3">
        <v>2</v>
      </c>
      <c r="E144" s="3"/>
      <c r="F144" s="3"/>
      <c r="G144" s="3"/>
      <c r="H144" s="3">
        <f>SUM(Tabla1343[[#This Row],[Columna1]:[Columna5]])</f>
        <v>15</v>
      </c>
    </row>
    <row r="145" spans="2:8" ht="15" customHeight="1" x14ac:dyDescent="0.3">
      <c r="B145" s="53" t="s">
        <v>67</v>
      </c>
      <c r="C145" s="34">
        <v>100</v>
      </c>
      <c r="D145" s="34">
        <v>123</v>
      </c>
      <c r="E145" s="34">
        <v>14</v>
      </c>
      <c r="F145" s="34"/>
      <c r="G145" s="34"/>
      <c r="H145" s="34">
        <f>SUM(Tabla1343[[#This Row],[Columna1]:[Columna5]])</f>
        <v>237</v>
      </c>
    </row>
    <row r="146" spans="2:8" x14ac:dyDescent="0.3">
      <c r="B146" s="34"/>
      <c r="C146" s="34"/>
      <c r="D146" s="34"/>
      <c r="E146" s="34"/>
      <c r="F146" s="34"/>
      <c r="G146" s="34"/>
      <c r="H146" s="34"/>
    </row>
    <row r="148" spans="2:8" ht="15" thickBot="1" x14ac:dyDescent="0.35"/>
    <row r="149" spans="2:8" ht="18.600000000000001" thickBot="1" x14ac:dyDescent="0.35">
      <c r="B149" s="56" t="s">
        <v>267</v>
      </c>
    </row>
    <row r="150" spans="2:8" ht="15" thickBot="1" x14ac:dyDescent="0.35">
      <c r="B150" s="57" t="s">
        <v>289</v>
      </c>
    </row>
    <row r="151" spans="2:8" ht="19.95" customHeight="1" thickBot="1" x14ac:dyDescent="0.35">
      <c r="B151" s="40" t="s">
        <v>0</v>
      </c>
    </row>
    <row r="152" spans="2:8" x14ac:dyDescent="0.3">
      <c r="B152" s="70" t="s">
        <v>275</v>
      </c>
      <c r="C152">
        <v>12</v>
      </c>
    </row>
    <row r="153" spans="2:8" x14ac:dyDescent="0.3">
      <c r="B153" s="3" t="s">
        <v>200</v>
      </c>
      <c r="C153">
        <v>100</v>
      </c>
    </row>
    <row r="154" spans="2:8" x14ac:dyDescent="0.3">
      <c r="B154" s="47" t="s">
        <v>202</v>
      </c>
      <c r="C154">
        <v>2</v>
      </c>
    </row>
    <row r="155" spans="2:8" x14ac:dyDescent="0.3">
      <c r="B155" s="3" t="s">
        <v>201</v>
      </c>
      <c r="C155">
        <v>1</v>
      </c>
    </row>
    <row r="156" spans="2:8" x14ac:dyDescent="0.3">
      <c r="B156" s="47" t="s">
        <v>137</v>
      </c>
      <c r="C156">
        <v>2</v>
      </c>
    </row>
    <row r="157" spans="2:8" x14ac:dyDescent="0.3">
      <c r="B157" s="3" t="s">
        <v>214</v>
      </c>
      <c r="C157">
        <v>24</v>
      </c>
    </row>
    <row r="158" spans="2:8" x14ac:dyDescent="0.3">
      <c r="B158" s="47" t="s">
        <v>213</v>
      </c>
      <c r="C158">
        <v>8</v>
      </c>
    </row>
    <row r="159" spans="2:8" x14ac:dyDescent="0.3">
      <c r="B159" s="3" t="s">
        <v>126</v>
      </c>
      <c r="C159">
        <v>2</v>
      </c>
    </row>
    <row r="160" spans="2:8" x14ac:dyDescent="0.3">
      <c r="B160" s="47" t="s">
        <v>50</v>
      </c>
      <c r="C160">
        <v>13</v>
      </c>
    </row>
    <row r="161" spans="2:3" x14ac:dyDescent="0.3">
      <c r="B161" s="3" t="s">
        <v>252</v>
      </c>
      <c r="C161">
        <v>74</v>
      </c>
    </row>
    <row r="162" spans="2:3" x14ac:dyDescent="0.3">
      <c r="B162" s="47" t="s">
        <v>222</v>
      </c>
      <c r="C162">
        <v>2</v>
      </c>
    </row>
    <row r="163" spans="2:3" x14ac:dyDescent="0.3">
      <c r="B163" s="3" t="s">
        <v>223</v>
      </c>
      <c r="C163">
        <v>3</v>
      </c>
    </row>
    <row r="164" spans="2:3" x14ac:dyDescent="0.3">
      <c r="B164" s="47" t="s">
        <v>215</v>
      </c>
      <c r="C164">
        <v>12</v>
      </c>
    </row>
    <row r="165" spans="2:3" x14ac:dyDescent="0.3">
      <c r="B165" s="3" t="s">
        <v>212</v>
      </c>
      <c r="C165">
        <v>1</v>
      </c>
    </row>
    <row r="166" spans="2:3" x14ac:dyDescent="0.3">
      <c r="B166" s="47" t="s">
        <v>211</v>
      </c>
      <c r="C166">
        <v>1</v>
      </c>
    </row>
    <row r="167" spans="2:3" x14ac:dyDescent="0.3">
      <c r="B167" s="3" t="s">
        <v>94</v>
      </c>
      <c r="C167">
        <v>1</v>
      </c>
    </row>
    <row r="168" spans="2:3" x14ac:dyDescent="0.3">
      <c r="B168" s="47" t="s">
        <v>207</v>
      </c>
      <c r="C168">
        <v>1</v>
      </c>
    </row>
    <row r="169" spans="2:3" x14ac:dyDescent="0.3">
      <c r="B169" s="3" t="s">
        <v>233</v>
      </c>
      <c r="C169">
        <v>1</v>
      </c>
    </row>
    <row r="170" spans="2:3" x14ac:dyDescent="0.3">
      <c r="B170" s="47" t="s">
        <v>237</v>
      </c>
      <c r="C170">
        <v>1</v>
      </c>
    </row>
    <row r="171" spans="2:3" x14ac:dyDescent="0.3">
      <c r="B171" s="3" t="s">
        <v>238</v>
      </c>
      <c r="C171">
        <v>4</v>
      </c>
    </row>
    <row r="172" spans="2:3" x14ac:dyDescent="0.3">
      <c r="B172" s="62" t="s">
        <v>220</v>
      </c>
      <c r="C172">
        <v>2</v>
      </c>
    </row>
    <row r="173" spans="2:3" x14ac:dyDescent="0.3">
      <c r="B173" s="65" t="s">
        <v>221</v>
      </c>
      <c r="C173">
        <v>2</v>
      </c>
    </row>
    <row r="174" spans="2:3" x14ac:dyDescent="0.3">
      <c r="B174" s="85" t="s">
        <v>216</v>
      </c>
      <c r="C174">
        <v>8</v>
      </c>
    </row>
  </sheetData>
  <pageMargins left="0.31496062992125984" right="0.11811023622047245" top="0.19685039370078741" bottom="0.19685039370078741" header="0.31496062992125984" footer="0.31496062992125984"/>
  <pageSetup scale="85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3"/>
  <sheetViews>
    <sheetView topLeftCell="A146" zoomScaleNormal="100" workbookViewId="0">
      <selection activeCell="E72" sqref="E72"/>
    </sheetView>
  </sheetViews>
  <sheetFormatPr baseColWidth="10" defaultRowHeight="14.4" x14ac:dyDescent="0.3"/>
  <cols>
    <col min="1" max="1" width="1.6640625" customWidth="1"/>
    <col min="2" max="2" width="34.109375" style="2" bestFit="1" customWidth="1"/>
    <col min="3" max="3" width="13.6640625" style="1" customWidth="1"/>
    <col min="4" max="4" width="14" style="1" hidden="1" customWidth="1"/>
    <col min="5" max="5" width="13.6640625" customWidth="1"/>
    <col min="6" max="6" width="18" style="43" customWidth="1"/>
    <col min="7" max="7" width="15.6640625" style="43" customWidth="1"/>
    <col min="8" max="8" width="15.44140625" style="43" customWidth="1"/>
    <col min="9" max="9" width="15.6640625" style="43" customWidth="1"/>
    <col min="10" max="10" width="11.5546875" customWidth="1"/>
  </cols>
  <sheetData>
    <row r="1" spans="2:10" ht="15" thickBot="1" x14ac:dyDescent="0.35"/>
    <row r="2" spans="2:10" ht="26.25" customHeight="1" thickBot="1" x14ac:dyDescent="0.35">
      <c r="B2" s="412" t="s">
        <v>267</v>
      </c>
      <c r="C2" s="413"/>
      <c r="D2" s="413"/>
      <c r="E2" s="413"/>
      <c r="F2" s="413"/>
      <c r="G2" s="413"/>
      <c r="H2" s="413"/>
      <c r="I2" s="414"/>
    </row>
    <row r="3" spans="2:10" ht="15" customHeight="1" thickBot="1" x14ac:dyDescent="0.35">
      <c r="B3" s="415" t="s">
        <v>288</v>
      </c>
      <c r="C3" s="416"/>
      <c r="D3" s="416"/>
      <c r="E3" s="416"/>
      <c r="F3" s="416"/>
      <c r="G3" s="417"/>
      <c r="H3" s="98" t="s">
        <v>303</v>
      </c>
      <c r="I3" s="99">
        <v>143.5</v>
      </c>
    </row>
    <row r="4" spans="2:10" s="1" customFormat="1" ht="25.2" customHeight="1" thickBot="1" x14ac:dyDescent="0.35">
      <c r="B4" s="100" t="s">
        <v>0</v>
      </c>
      <c r="C4" s="101" t="s">
        <v>1</v>
      </c>
      <c r="D4" s="101" t="s">
        <v>308</v>
      </c>
      <c r="E4" s="101" t="s">
        <v>269</v>
      </c>
      <c r="F4" s="102" t="s">
        <v>225</v>
      </c>
      <c r="G4" s="103" t="s">
        <v>311</v>
      </c>
      <c r="H4" s="127" t="s">
        <v>312</v>
      </c>
      <c r="I4" s="104" t="s">
        <v>5</v>
      </c>
      <c r="J4"/>
    </row>
    <row r="5" spans="2:10" ht="15" customHeight="1" x14ac:dyDescent="0.3">
      <c r="B5" s="9" t="s">
        <v>210</v>
      </c>
      <c r="C5" s="10">
        <v>7</v>
      </c>
      <c r="D5" s="10">
        <f>SUM(Tabla1343[[#This Row],[Columna1]:[Columna5]])</f>
        <v>7</v>
      </c>
      <c r="E5" s="11" t="s">
        <v>313</v>
      </c>
      <c r="F5" s="44" t="s">
        <v>290</v>
      </c>
      <c r="G5" s="44">
        <v>28500</v>
      </c>
      <c r="H5" s="44">
        <f>+Tabla1347[[#This Row],[Cantidad]]*Tabla1347[[#This Row],[Precio Unitario en Pesos /   €]]</f>
        <v>199500</v>
      </c>
      <c r="I5" s="44">
        <f>+Tabla1347[[#This Row],[Precio Total en Pesos]]*3%</f>
        <v>5985</v>
      </c>
    </row>
    <row r="6" spans="2:10" ht="15" customHeight="1" x14ac:dyDescent="0.3">
      <c r="B6" s="136" t="s">
        <v>148</v>
      </c>
      <c r="C6" s="138">
        <v>4</v>
      </c>
      <c r="D6" s="46">
        <f>SUM(Tabla1343[[#This Row],[Columna1]:[Columna5]])</f>
        <v>4</v>
      </c>
      <c r="E6" s="139" t="s">
        <v>314</v>
      </c>
      <c r="F6" s="146" t="s">
        <v>290</v>
      </c>
      <c r="G6" s="146">
        <v>60000</v>
      </c>
      <c r="H6" s="141">
        <f>+Tabla1347[[#This Row],[Cantidad]]*Tabla1347[[#This Row],[Precio Unitario en Pesos /   €]]</f>
        <v>240000</v>
      </c>
      <c r="I6" s="141">
        <f>+Tabla1347[[#This Row],[Precio Total en Pesos]]*3%</f>
        <v>7200</v>
      </c>
    </row>
    <row r="7" spans="2:10" ht="15" customHeight="1" x14ac:dyDescent="0.3">
      <c r="B7" s="3" t="s">
        <v>139</v>
      </c>
      <c r="C7" s="4">
        <v>8</v>
      </c>
      <c r="D7" s="10">
        <f>SUM(Tabla1343[[#This Row],[Columna1]:[Columna5]])</f>
        <v>8</v>
      </c>
      <c r="E7" s="11" t="s">
        <v>317</v>
      </c>
      <c r="F7" s="92" t="s">
        <v>291</v>
      </c>
      <c r="G7" s="92">
        <v>7300</v>
      </c>
      <c r="H7" s="44">
        <f>+Tabla1347[[#This Row],[Cantidad]]*Tabla1347[[#This Row],[Precio Unitario en Pesos /   €]]</f>
        <v>58400</v>
      </c>
      <c r="I7" s="44">
        <f>+Tabla1347[[#This Row],[Precio Total en Pesos]]*3%</f>
        <v>1752</v>
      </c>
    </row>
    <row r="8" spans="2:10" ht="15" customHeight="1" x14ac:dyDescent="0.3">
      <c r="B8" s="3" t="s">
        <v>194</v>
      </c>
      <c r="C8" s="4">
        <v>2</v>
      </c>
      <c r="D8" s="10">
        <f>SUM(Tabla1343[[#This Row],[Columna1]:[Columna5]])</f>
        <v>2</v>
      </c>
      <c r="E8" s="11" t="s">
        <v>313</v>
      </c>
      <c r="F8" s="92" t="s">
        <v>291</v>
      </c>
      <c r="G8" s="92">
        <v>16620</v>
      </c>
      <c r="H8" s="44">
        <f>+Tabla1347[[#This Row],[Cantidad]]*Tabla1347[[#This Row],[Precio Unitario en Pesos /   €]]</f>
        <v>33240</v>
      </c>
      <c r="I8" s="44">
        <f>+Tabla1347[[#This Row],[Precio Total en Pesos]]*3%</f>
        <v>997.19999999999993</v>
      </c>
    </row>
    <row r="9" spans="2:10" ht="15" customHeight="1" x14ac:dyDescent="0.3">
      <c r="B9" s="3" t="s">
        <v>160</v>
      </c>
      <c r="C9" s="4">
        <v>9</v>
      </c>
      <c r="D9" s="10">
        <f>SUM(Tabla1343[[#This Row],[Columna1]:[Columna5]])</f>
        <v>9</v>
      </c>
      <c r="E9" s="11" t="s">
        <v>313</v>
      </c>
      <c r="F9" s="92" t="s">
        <v>250</v>
      </c>
      <c r="G9" s="92">
        <v>4838</v>
      </c>
      <c r="H9" s="44">
        <f>+Tabla1347[[#This Row],[Cantidad]]*Tabla1347[[#This Row],[Precio Unitario en Pesos /   €]]</f>
        <v>43542</v>
      </c>
      <c r="I9" s="44">
        <f>+Tabla1347[[#This Row],[Precio Total en Pesos]]*3%</f>
        <v>1306.26</v>
      </c>
    </row>
    <row r="10" spans="2:10" ht="15" customHeight="1" x14ac:dyDescent="0.3">
      <c r="B10" s="3" t="s">
        <v>195</v>
      </c>
      <c r="C10" s="4">
        <v>3</v>
      </c>
      <c r="D10" s="10">
        <f>SUM(Tabla1343[[#This Row],[Columna1]:[Columna5]])</f>
        <v>3</v>
      </c>
      <c r="E10" s="11" t="s">
        <v>313</v>
      </c>
      <c r="F10" s="92" t="s">
        <v>291</v>
      </c>
      <c r="G10" s="92">
        <v>7500</v>
      </c>
      <c r="H10" s="44">
        <f>+Tabla1347[[#This Row],[Cantidad]]*Tabla1347[[#This Row],[Precio Unitario en Pesos /   €]]</f>
        <v>22500</v>
      </c>
      <c r="I10" s="44">
        <f>+Tabla1347[[#This Row],[Precio Total en Pesos]]*3%</f>
        <v>675</v>
      </c>
    </row>
    <row r="11" spans="2:10" ht="15" customHeight="1" x14ac:dyDescent="0.3">
      <c r="B11" s="3" t="s">
        <v>118</v>
      </c>
      <c r="C11" s="80">
        <v>97</v>
      </c>
      <c r="D11" s="108">
        <f>SUM(Tabla1343[[#This Row],[Columna1]:[Columna5]])</f>
        <v>97</v>
      </c>
      <c r="E11" s="11" t="s">
        <v>313</v>
      </c>
      <c r="F11" s="92" t="s">
        <v>291</v>
      </c>
      <c r="G11" s="93">
        <v>370</v>
      </c>
      <c r="H11" s="44">
        <f>+Tabla1347[[#This Row],[Cantidad]]*Tabla1347[[#This Row],[Precio Unitario en Pesos /   €]]</f>
        <v>35890</v>
      </c>
      <c r="I11" s="44">
        <f>+Tabla1347[[#This Row],[Precio Total en Pesos]]*3%</f>
        <v>1076.7</v>
      </c>
    </row>
    <row r="12" spans="2:10" ht="15" customHeight="1" x14ac:dyDescent="0.3">
      <c r="B12" s="3" t="s">
        <v>119</v>
      </c>
      <c r="C12" s="80">
        <v>137</v>
      </c>
      <c r="D12" s="108">
        <f>SUM(Tabla1343[[#This Row],[Columna1]:[Columna5]])</f>
        <v>137</v>
      </c>
      <c r="E12" s="11" t="s">
        <v>313</v>
      </c>
      <c r="F12" s="92" t="s">
        <v>291</v>
      </c>
      <c r="G12" s="93">
        <v>400</v>
      </c>
      <c r="H12" s="44">
        <f>+Tabla1347[[#This Row],[Cantidad]]*Tabla1347[[#This Row],[Precio Unitario en Pesos /   €]]</f>
        <v>54800</v>
      </c>
      <c r="I12" s="44">
        <f>+Tabla1347[[#This Row],[Precio Total en Pesos]]*3%</f>
        <v>1644</v>
      </c>
    </row>
    <row r="13" spans="2:10" ht="15" customHeight="1" x14ac:dyDescent="0.3">
      <c r="B13" s="3" t="s">
        <v>189</v>
      </c>
      <c r="C13" s="80">
        <v>14</v>
      </c>
      <c r="D13" s="108">
        <f>SUM(Tabla1343[[#This Row],[Columna1]:[Columna5]])</f>
        <v>14</v>
      </c>
      <c r="E13" s="11" t="s">
        <v>313</v>
      </c>
      <c r="F13" s="92" t="s">
        <v>291</v>
      </c>
      <c r="G13" s="93">
        <v>80</v>
      </c>
      <c r="H13" s="44">
        <f>+Tabla1347[[#This Row],[Cantidad]]*Tabla1347[[#This Row],[Precio Unitario en Pesos /   €]]</f>
        <v>1120</v>
      </c>
      <c r="I13" s="44">
        <f>+Tabla1347[[#This Row],[Precio Total en Pesos]]*3%</f>
        <v>33.6</v>
      </c>
    </row>
    <row r="14" spans="2:10" ht="15" customHeight="1" x14ac:dyDescent="0.3">
      <c r="B14" s="3" t="s">
        <v>188</v>
      </c>
      <c r="C14" s="80">
        <v>136</v>
      </c>
      <c r="D14" s="108">
        <f>SUM(Tabla1343[[#This Row],[Columna1]:[Columna5]])</f>
        <v>136</v>
      </c>
      <c r="E14" s="11" t="s">
        <v>313</v>
      </c>
      <c r="F14" s="92" t="s">
        <v>291</v>
      </c>
      <c r="G14" s="93">
        <v>170</v>
      </c>
      <c r="H14" s="44">
        <f>+Tabla1347[[#This Row],[Cantidad]]*Tabla1347[[#This Row],[Precio Unitario en Pesos /   €]]</f>
        <v>23120</v>
      </c>
      <c r="I14" s="44">
        <f>+Tabla1347[[#This Row],[Precio Total en Pesos]]*3%</f>
        <v>693.6</v>
      </c>
    </row>
    <row r="15" spans="2:10" ht="15" customHeight="1" x14ac:dyDescent="0.3">
      <c r="B15" s="3" t="s">
        <v>171</v>
      </c>
      <c r="C15" s="80">
        <v>3</v>
      </c>
      <c r="D15" s="108">
        <f>SUM(Tabla1343[[#This Row],[Columna1]:[Columna5]])</f>
        <v>3</v>
      </c>
      <c r="E15" s="11" t="s">
        <v>313</v>
      </c>
      <c r="F15" s="92" t="s">
        <v>291</v>
      </c>
      <c r="G15" s="93">
        <v>44000</v>
      </c>
      <c r="H15" s="44">
        <f>+Tabla1347[[#This Row],[Cantidad]]*Tabla1347[[#This Row],[Precio Unitario en Pesos /   €]]</f>
        <v>132000</v>
      </c>
      <c r="I15" s="44">
        <f>+Tabla1347[[#This Row],[Precio Total en Pesos]]*3%</f>
        <v>3960</v>
      </c>
    </row>
    <row r="16" spans="2:10" ht="15" customHeight="1" x14ac:dyDescent="0.3">
      <c r="B16" s="3" t="s">
        <v>170</v>
      </c>
      <c r="C16" s="80">
        <v>7</v>
      </c>
      <c r="D16" s="108">
        <f>SUM(Tabla1343[[#This Row],[Columna1]:[Columna5]])</f>
        <v>7</v>
      </c>
      <c r="E16" s="11" t="s">
        <v>313</v>
      </c>
      <c r="F16" s="92" t="s">
        <v>291</v>
      </c>
      <c r="G16" s="93">
        <v>8250</v>
      </c>
      <c r="H16" s="44">
        <f>+Tabla1347[[#This Row],[Cantidad]]*Tabla1347[[#This Row],[Precio Unitario en Pesos /   €]]</f>
        <v>57750</v>
      </c>
      <c r="I16" s="44">
        <f>+Tabla1347[[#This Row],[Precio Total en Pesos]]*3%</f>
        <v>1732.5</v>
      </c>
    </row>
    <row r="17" spans="2:9" ht="15" customHeight="1" x14ac:dyDescent="0.3">
      <c r="B17" s="3" t="s">
        <v>242</v>
      </c>
      <c r="C17" s="80">
        <v>1</v>
      </c>
      <c r="D17" s="108">
        <f>SUM(Tabla1343[[#This Row],[Columna1]:[Columna5]])</f>
        <v>1</v>
      </c>
      <c r="E17" s="11" t="s">
        <v>315</v>
      </c>
      <c r="F17" s="93" t="s">
        <v>241</v>
      </c>
      <c r="G17" s="93">
        <v>3500</v>
      </c>
      <c r="H17" s="44">
        <f>+Tabla1347[[#This Row],[Cantidad]]*Tabla1347[[#This Row],[Precio Unitario en Pesos /   €]]</f>
        <v>3500</v>
      </c>
      <c r="I17" s="44">
        <f>+Tabla1347[[#This Row],[Precio Total en Pesos]]*3%</f>
        <v>105</v>
      </c>
    </row>
    <row r="18" spans="2:9" ht="15" customHeight="1" x14ac:dyDescent="0.3">
      <c r="B18" s="3" t="s">
        <v>186</v>
      </c>
      <c r="C18" s="80">
        <v>1</v>
      </c>
      <c r="D18" s="108">
        <f>SUM(Tabla1343[[#This Row],[Columna1]:[Columna5]])</f>
        <v>1</v>
      </c>
      <c r="E18" s="11" t="s">
        <v>317</v>
      </c>
      <c r="F18" s="92" t="s">
        <v>291</v>
      </c>
      <c r="G18" s="93">
        <v>27500</v>
      </c>
      <c r="H18" s="44">
        <f>+Tabla1347[[#This Row],[Cantidad]]*Tabla1347[[#This Row],[Precio Unitario en Pesos /   €]]</f>
        <v>27500</v>
      </c>
      <c r="I18" s="44">
        <f>+Tabla1347[[#This Row],[Precio Total en Pesos]]*3%</f>
        <v>825</v>
      </c>
    </row>
    <row r="19" spans="2:9" ht="15" customHeight="1" x14ac:dyDescent="0.3">
      <c r="B19" s="34" t="s">
        <v>117</v>
      </c>
      <c r="C19" s="82">
        <v>9</v>
      </c>
      <c r="D19" s="109">
        <f>SUM(Tabla1343[[#This Row],[Columna1]:[Columna5]])</f>
        <v>9</v>
      </c>
      <c r="E19" s="68" t="s">
        <v>313</v>
      </c>
      <c r="F19" s="92" t="s">
        <v>291</v>
      </c>
      <c r="G19" s="93">
        <v>3900</v>
      </c>
      <c r="H19" s="44">
        <f>+Tabla1347[[#This Row],[Cantidad]]*Tabla1347[[#This Row],[Precio Unitario en Pesos /   €]]</f>
        <v>35100</v>
      </c>
      <c r="I19" s="44">
        <f>+Tabla1347[[#This Row],[Precio Total en Pesos]]*3%</f>
        <v>1053</v>
      </c>
    </row>
    <row r="20" spans="2:9" ht="15" customHeight="1" x14ac:dyDescent="0.3">
      <c r="B20" s="3" t="s">
        <v>116</v>
      </c>
      <c r="C20" s="80">
        <v>15</v>
      </c>
      <c r="D20" s="108">
        <f>SUM(Tabla1343[[#This Row],[Columna1]:[Columna5]])</f>
        <v>15</v>
      </c>
      <c r="E20" s="11" t="s">
        <v>313</v>
      </c>
      <c r="F20" s="92" t="s">
        <v>291</v>
      </c>
      <c r="G20" s="93">
        <v>7800</v>
      </c>
      <c r="H20" s="44">
        <f>+Tabla1347[[#This Row],[Cantidad]]*Tabla1347[[#This Row],[Precio Unitario en Pesos /   €]]</f>
        <v>117000</v>
      </c>
      <c r="I20" s="44">
        <f>+Tabla1347[[#This Row],[Precio Total en Pesos]]*3%</f>
        <v>3510</v>
      </c>
    </row>
    <row r="21" spans="2:9" ht="15" customHeight="1" x14ac:dyDescent="0.3">
      <c r="B21" s="3" t="s">
        <v>196</v>
      </c>
      <c r="C21" s="80">
        <v>1</v>
      </c>
      <c r="D21" s="108">
        <f>SUM(Tabla1343[[#This Row],[Columna1]:[Columna5]])</f>
        <v>1</v>
      </c>
      <c r="E21" s="11" t="s">
        <v>313</v>
      </c>
      <c r="F21" s="92" t="s">
        <v>290</v>
      </c>
      <c r="G21" s="93">
        <v>4290</v>
      </c>
      <c r="H21" s="44">
        <f>+Tabla1347[[#This Row],[Cantidad]]*Tabla1347[[#This Row],[Precio Unitario en Pesos /   €]]</f>
        <v>4290</v>
      </c>
      <c r="I21" s="44">
        <f>+Tabla1347[[#This Row],[Precio Total en Pesos]]*3%</f>
        <v>128.69999999999999</v>
      </c>
    </row>
    <row r="22" spans="2:9" ht="15" customHeight="1" x14ac:dyDescent="0.3">
      <c r="B22" s="3" t="s">
        <v>247</v>
      </c>
      <c r="C22" s="80">
        <v>3</v>
      </c>
      <c r="D22" s="108">
        <f>SUM(Tabla1343[[#This Row],[Columna1]:[Columna5]])</f>
        <v>3</v>
      </c>
      <c r="E22" s="11" t="s">
        <v>317</v>
      </c>
      <c r="F22" s="92" t="s">
        <v>292</v>
      </c>
      <c r="G22" s="93">
        <v>118000</v>
      </c>
      <c r="H22" s="44">
        <f>+Tabla1347[[#This Row],[Cantidad]]*Tabla1347[[#This Row],[Precio Unitario en Pesos /   €]]</f>
        <v>354000</v>
      </c>
      <c r="I22" s="44">
        <f>+Tabla1347[[#This Row],[Precio Total en Pesos]]*3%</f>
        <v>10620</v>
      </c>
    </row>
    <row r="23" spans="2:9" ht="15" customHeight="1" x14ac:dyDescent="0.3">
      <c r="B23" s="3" t="s">
        <v>248</v>
      </c>
      <c r="C23" s="80">
        <v>3</v>
      </c>
      <c r="D23" s="108">
        <f>SUM(Tabla1343[[#This Row],[Columna1]:[Columna5]])</f>
        <v>3</v>
      </c>
      <c r="E23" s="11" t="s">
        <v>317</v>
      </c>
      <c r="F23" s="93" t="str">
        <f>+F22</f>
        <v>4,5 x 3,0mts</v>
      </c>
      <c r="G23" s="93">
        <f>+G22</f>
        <v>118000</v>
      </c>
      <c r="H23" s="44">
        <f>+Tabla1347[[#This Row],[Cantidad]]*Tabla1347[[#This Row],[Precio Unitario en Pesos /   €]]</f>
        <v>354000</v>
      </c>
      <c r="I23" s="44">
        <f>+Tabla1347[[#This Row],[Precio Total en Pesos]]*3%</f>
        <v>10620</v>
      </c>
    </row>
    <row r="24" spans="2:9" ht="15" customHeight="1" x14ac:dyDescent="0.3">
      <c r="B24" s="3" t="s">
        <v>155</v>
      </c>
      <c r="C24" s="80">
        <v>7</v>
      </c>
      <c r="D24" s="108">
        <f>SUM(Tabla1343[[#This Row],[Columna1]:[Columna5]])</f>
        <v>7</v>
      </c>
      <c r="E24" s="11" t="s">
        <v>317</v>
      </c>
      <c r="F24" s="92" t="s">
        <v>291</v>
      </c>
      <c r="G24" s="93">
        <v>5000</v>
      </c>
      <c r="H24" s="44">
        <f>+Tabla1347[[#This Row],[Cantidad]]*Tabla1347[[#This Row],[Precio Unitario en Pesos /   €]]</f>
        <v>35000</v>
      </c>
      <c r="I24" s="44">
        <f>+Tabla1347[[#This Row],[Precio Total en Pesos]]*3%</f>
        <v>1050</v>
      </c>
    </row>
    <row r="25" spans="2:9" ht="15" customHeight="1" x14ac:dyDescent="0.3">
      <c r="B25" s="3" t="s">
        <v>154</v>
      </c>
      <c r="C25" s="80">
        <v>11</v>
      </c>
      <c r="D25" s="108">
        <f>SUM(Tabla1343[[#This Row],[Columna1]:[Columna5]])</f>
        <v>11</v>
      </c>
      <c r="E25" s="11" t="s">
        <v>313</v>
      </c>
      <c r="F25" s="92" t="s">
        <v>291</v>
      </c>
      <c r="G25" s="93">
        <v>600</v>
      </c>
      <c r="H25" s="44">
        <f>+Tabla1347[[#This Row],[Cantidad]]*Tabla1347[[#This Row],[Precio Unitario en Pesos /   €]]</f>
        <v>6600</v>
      </c>
      <c r="I25" s="44">
        <f>+Tabla1347[[#This Row],[Precio Total en Pesos]]*3%</f>
        <v>198</v>
      </c>
    </row>
    <row r="26" spans="2:9" ht="15" customHeight="1" x14ac:dyDescent="0.3">
      <c r="B26" s="136" t="s">
        <v>293</v>
      </c>
      <c r="C26" s="137">
        <v>19</v>
      </c>
      <c r="D26" s="121">
        <f>SUM(Tabla1343[[#This Row],[Columna1]:[Columna5]])</f>
        <v>19</v>
      </c>
      <c r="E26" s="139" t="s">
        <v>314</v>
      </c>
      <c r="F26" s="146" t="s">
        <v>291</v>
      </c>
      <c r="G26" s="140">
        <v>4650</v>
      </c>
      <c r="H26" s="141">
        <f>+Tabla1347[[#This Row],[Cantidad]]*Tabla1347[[#This Row],[Precio Unitario en Pesos /   €]]</f>
        <v>88350</v>
      </c>
      <c r="I26" s="141">
        <f>+Tabla1347[[#This Row],[Precio Total en Pesos]]*3%</f>
        <v>2650.5</v>
      </c>
    </row>
    <row r="27" spans="2:9" ht="15" customHeight="1" x14ac:dyDescent="0.3">
      <c r="B27" s="136" t="s">
        <v>173</v>
      </c>
      <c r="C27" s="137">
        <v>165</v>
      </c>
      <c r="D27" s="121">
        <f>SUM(Tabla1343[[#This Row],[Columna1]:[Columna5]])</f>
        <v>165</v>
      </c>
      <c r="E27" s="139" t="s">
        <v>314</v>
      </c>
      <c r="F27" s="146" t="s">
        <v>291</v>
      </c>
      <c r="G27" s="140">
        <v>580</v>
      </c>
      <c r="H27" s="141">
        <f>+Tabla1347[[#This Row],[Cantidad]]*Tabla1347[[#This Row],[Precio Unitario en Pesos /   €]]</f>
        <v>95700</v>
      </c>
      <c r="I27" s="141">
        <f>+Tabla1347[[#This Row],[Precio Total en Pesos]]*3%</f>
        <v>2871</v>
      </c>
    </row>
    <row r="28" spans="2:9" ht="15" customHeight="1" x14ac:dyDescent="0.3">
      <c r="B28" s="3" t="s">
        <v>181</v>
      </c>
      <c r="C28" s="80">
        <v>1</v>
      </c>
      <c r="D28" s="108">
        <v>1</v>
      </c>
      <c r="E28" s="11" t="s">
        <v>317</v>
      </c>
      <c r="F28" s="92" t="s">
        <v>291</v>
      </c>
      <c r="G28" s="93">
        <v>73000</v>
      </c>
      <c r="H28" s="44">
        <f>+Tabla1347[[#This Row],[Cantidad]]*Tabla1347[[#This Row],[Precio Unitario en Pesos /   €]]</f>
        <v>73000</v>
      </c>
      <c r="I28" s="44">
        <f>+Tabla1347[[#This Row],[Precio Total en Pesos]]*3%</f>
        <v>2190</v>
      </c>
    </row>
    <row r="29" spans="2:9" ht="15" customHeight="1" x14ac:dyDescent="0.3">
      <c r="B29" s="3" t="s">
        <v>187</v>
      </c>
      <c r="C29" s="80">
        <v>1</v>
      </c>
      <c r="D29" s="108">
        <f>SUM(Tabla1343[[#This Row],[Columna1]:[Columna5]])</f>
        <v>1</v>
      </c>
      <c r="E29" s="11" t="s">
        <v>317</v>
      </c>
      <c r="F29" s="92" t="s">
        <v>291</v>
      </c>
      <c r="G29" s="93">
        <v>13000</v>
      </c>
      <c r="H29" s="44">
        <f>+Tabla1347[[#This Row],[Cantidad]]*Tabla1347[[#This Row],[Precio Unitario en Pesos /   €]]</f>
        <v>13000</v>
      </c>
      <c r="I29" s="44">
        <f>+Tabla1347[[#This Row],[Precio Total en Pesos]]*3%</f>
        <v>390</v>
      </c>
    </row>
    <row r="30" spans="2:9" ht="15" customHeight="1" x14ac:dyDescent="0.3">
      <c r="B30" s="136" t="s">
        <v>27</v>
      </c>
      <c r="C30" s="137">
        <v>130</v>
      </c>
      <c r="D30" s="121">
        <f>SUM(Tabla1343[[#This Row],[Columna1]:[Columna5]])</f>
        <v>130</v>
      </c>
      <c r="E30" s="139" t="s">
        <v>314</v>
      </c>
      <c r="F30" s="146" t="s">
        <v>290</v>
      </c>
      <c r="G30" s="140">
        <v>100</v>
      </c>
      <c r="H30" s="141">
        <f>+Tabla1347[[#This Row],[Cantidad]]*Tabla1347[[#This Row],[Precio Unitario en Pesos /   €]]</f>
        <v>13000</v>
      </c>
      <c r="I30" s="141">
        <f>+Tabla1347[[#This Row],[Precio Total en Pesos]]*3%</f>
        <v>390</v>
      </c>
    </row>
    <row r="31" spans="2:9" ht="15" customHeight="1" x14ac:dyDescent="0.3">
      <c r="B31" s="3" t="s">
        <v>42</v>
      </c>
      <c r="C31" s="80">
        <v>11</v>
      </c>
      <c r="D31" s="108">
        <f>SUM(Tabla1343[[#This Row],[Columna1]:[Columna5]])</f>
        <v>11</v>
      </c>
      <c r="E31" s="11" t="s">
        <v>317</v>
      </c>
      <c r="F31" s="92" t="s">
        <v>291</v>
      </c>
      <c r="G31" s="93">
        <v>23500</v>
      </c>
      <c r="H31" s="44">
        <f>+Tabla1347[[#This Row],[Cantidad]]*Tabla1347[[#This Row],[Precio Unitario en Pesos /   €]]</f>
        <v>258500</v>
      </c>
      <c r="I31" s="44">
        <f>+Tabla1347[[#This Row],[Precio Total en Pesos]]*3%</f>
        <v>7755</v>
      </c>
    </row>
    <row r="32" spans="2:9" ht="15" customHeight="1" x14ac:dyDescent="0.3">
      <c r="B32" s="3" t="s">
        <v>192</v>
      </c>
      <c r="C32" s="80">
        <v>1</v>
      </c>
      <c r="D32" s="108">
        <f>SUM(Tabla1343[[#This Row],[Columna1]:[Columna5]])</f>
        <v>1</v>
      </c>
      <c r="E32" s="11" t="s">
        <v>315</v>
      </c>
      <c r="F32" s="92" t="s">
        <v>290</v>
      </c>
      <c r="G32" s="93">
        <v>500</v>
      </c>
      <c r="H32" s="44">
        <f>+Tabla1347[[#This Row],[Cantidad]]*Tabla1347[[#This Row],[Precio Unitario en Pesos /   €]]</f>
        <v>500</v>
      </c>
      <c r="I32" s="44">
        <f>+Tabla1347[[#This Row],[Precio Total en Pesos]]*3%</f>
        <v>15</v>
      </c>
    </row>
    <row r="33" spans="2:9" ht="15" customHeight="1" x14ac:dyDescent="0.3">
      <c r="B33" s="136" t="s">
        <v>294</v>
      </c>
      <c r="C33" s="137">
        <v>4</v>
      </c>
      <c r="D33" s="121">
        <f>SUM(Tabla1343[[#This Row],[Columna1]:[Columna5]])</f>
        <v>4</v>
      </c>
      <c r="E33" s="139" t="s">
        <v>314</v>
      </c>
      <c r="F33" s="146" t="s">
        <v>291</v>
      </c>
      <c r="G33" s="140">
        <v>132000</v>
      </c>
      <c r="H33" s="141">
        <f>+Tabla1347[[#This Row],[Cantidad]]*Tabla1347[[#This Row],[Precio Unitario en Pesos /   €]]</f>
        <v>528000</v>
      </c>
      <c r="I33" s="141">
        <f>+Tabla1347[[#This Row],[Precio Total en Pesos]]*3%</f>
        <v>15840</v>
      </c>
    </row>
    <row r="34" spans="2:9" ht="15" customHeight="1" x14ac:dyDescent="0.3">
      <c r="B34" s="136" t="s">
        <v>98</v>
      </c>
      <c r="C34" s="137">
        <v>6</v>
      </c>
      <c r="D34" s="121">
        <f>SUM(Tabla1343[[#This Row],[Columna1]:[Columna5]])</f>
        <v>6</v>
      </c>
      <c r="E34" s="139" t="s">
        <v>314</v>
      </c>
      <c r="F34" s="146" t="s">
        <v>296</v>
      </c>
      <c r="G34" s="140">
        <v>0</v>
      </c>
      <c r="H34" s="141">
        <f>+Tabla1347[[#This Row],[Cantidad]]*Tabla1347[[#This Row],[Precio Unitario en Pesos /   €]]</f>
        <v>0</v>
      </c>
      <c r="I34" s="141">
        <f>+Tabla1347[[#This Row],[Precio Total en Pesos]]*3%</f>
        <v>0</v>
      </c>
    </row>
    <row r="35" spans="2:9" ht="15" customHeight="1" x14ac:dyDescent="0.3">
      <c r="B35" s="136" t="s">
        <v>95</v>
      </c>
      <c r="C35" s="137">
        <v>3</v>
      </c>
      <c r="D35" s="121">
        <f>SUM(Tabla1343[[#This Row],[Columna1]:[Columna5]])</f>
        <v>3</v>
      </c>
      <c r="E35" s="139" t="s">
        <v>314</v>
      </c>
      <c r="F35" s="146" t="s">
        <v>296</v>
      </c>
      <c r="G35" s="140">
        <v>0</v>
      </c>
      <c r="H35" s="141">
        <f>+Tabla1347[[#This Row],[Cantidad]]*Tabla1347[[#This Row],[Precio Unitario en Pesos /   €]]</f>
        <v>0</v>
      </c>
      <c r="I35" s="141">
        <f>+Tabla1347[[#This Row],[Precio Total en Pesos]]*3%</f>
        <v>0</v>
      </c>
    </row>
    <row r="36" spans="2:9" ht="15" customHeight="1" x14ac:dyDescent="0.3">
      <c r="B36" s="3" t="s">
        <v>231</v>
      </c>
      <c r="C36" s="80">
        <v>11</v>
      </c>
      <c r="D36" s="108">
        <f>SUM(Tabla1343[[#This Row],[Columna1]:[Columna5]])</f>
        <v>11</v>
      </c>
      <c r="E36" s="11" t="s">
        <v>317</v>
      </c>
      <c r="F36" s="126" t="s">
        <v>309</v>
      </c>
      <c r="G36" s="93">
        <v>32700</v>
      </c>
      <c r="H36" s="44">
        <f>+Tabla1347[[#This Row],[Cantidad]]*Tabla1347[[#This Row],[Precio Unitario en Pesos /   €]]</f>
        <v>359700</v>
      </c>
      <c r="I36" s="44">
        <f>+Tabla1347[[#This Row],[Precio Total en Pesos]]*3%</f>
        <v>10791</v>
      </c>
    </row>
    <row r="37" spans="2:9" ht="15" customHeight="1" x14ac:dyDescent="0.3">
      <c r="B37" s="3" t="s">
        <v>295</v>
      </c>
      <c r="C37" s="80">
        <v>38</v>
      </c>
      <c r="D37" s="108">
        <f>SUM(Tabla1343[[#This Row],[Columna1]:[Columna5]])</f>
        <v>38</v>
      </c>
      <c r="E37" s="11" t="s">
        <v>317</v>
      </c>
      <c r="F37" s="126" t="s">
        <v>309</v>
      </c>
      <c r="G37" s="93">
        <v>78800</v>
      </c>
      <c r="H37" s="44">
        <f>+Tabla1347[[#This Row],[Cantidad]]*Tabla1347[[#This Row],[Precio Unitario en Pesos /   €]]</f>
        <v>2994400</v>
      </c>
      <c r="I37" s="44">
        <f>+Tabla1347[[#This Row],[Precio Total en Pesos]]*3%</f>
        <v>89832</v>
      </c>
    </row>
    <row r="38" spans="2:9" ht="15" customHeight="1" x14ac:dyDescent="0.3">
      <c r="B38" s="3" t="s">
        <v>226</v>
      </c>
      <c r="C38" s="80">
        <v>2</v>
      </c>
      <c r="D38" s="108">
        <f>SUM(Tabla1343[[#This Row],[Columna1]:[Columna5]])</f>
        <v>2</v>
      </c>
      <c r="E38" s="11" t="s">
        <v>317</v>
      </c>
      <c r="F38" s="126" t="s">
        <v>309</v>
      </c>
      <c r="G38" s="93">
        <f>+G39/2</f>
        <v>15335</v>
      </c>
      <c r="H38" s="44">
        <f>+Tabla1347[[#This Row],[Cantidad]]*Tabla1347[[#This Row],[Precio Unitario en Pesos /   €]]</f>
        <v>30670</v>
      </c>
      <c r="I38" s="44">
        <f>+Tabla1347[[#This Row],[Precio Total en Pesos]]*3%</f>
        <v>920.1</v>
      </c>
    </row>
    <row r="39" spans="2:9" ht="15" customHeight="1" x14ac:dyDescent="0.3">
      <c r="B39" s="3" t="s">
        <v>90</v>
      </c>
      <c r="C39" s="80">
        <v>10</v>
      </c>
      <c r="D39" s="108">
        <f>SUM(Tabla1343[[#This Row],[Columna1]:[Columna5]])</f>
        <v>10</v>
      </c>
      <c r="E39" s="11" t="s">
        <v>317</v>
      </c>
      <c r="F39" s="126" t="s">
        <v>309</v>
      </c>
      <c r="G39" s="93">
        <v>30670</v>
      </c>
      <c r="H39" s="44">
        <f>+Tabla1347[[#This Row],[Cantidad]]*Tabla1347[[#This Row],[Precio Unitario en Pesos /   €]]</f>
        <v>306700</v>
      </c>
      <c r="I39" s="44">
        <f>+Tabla1347[[#This Row],[Precio Total en Pesos]]*3%</f>
        <v>9201</v>
      </c>
    </row>
    <row r="40" spans="2:9" ht="15" customHeight="1" x14ac:dyDescent="0.3">
      <c r="B40" s="136" t="s">
        <v>97</v>
      </c>
      <c r="C40" s="137">
        <v>9</v>
      </c>
      <c r="D40" s="121">
        <f>SUM(Tabla1343[[#This Row],[Columna1]:[Columna5]])</f>
        <v>9</v>
      </c>
      <c r="E40" s="139" t="s">
        <v>314</v>
      </c>
      <c r="F40" s="146" t="s">
        <v>296</v>
      </c>
      <c r="G40" s="140">
        <v>0</v>
      </c>
      <c r="H40" s="141">
        <f>+Tabla1347[[#This Row],[Cantidad]]*Tabla1347[[#This Row],[Precio Unitario en Pesos /   €]]</f>
        <v>0</v>
      </c>
      <c r="I40" s="141">
        <f>+Tabla1347[[#This Row],[Precio Total en Pesos]]*3%</f>
        <v>0</v>
      </c>
    </row>
    <row r="41" spans="2:9" ht="15" customHeight="1" x14ac:dyDescent="0.3">
      <c r="B41" s="3" t="s">
        <v>206</v>
      </c>
      <c r="C41" s="80">
        <v>2</v>
      </c>
      <c r="D41" s="108">
        <f>SUM(Tabla1343[[#This Row],[Columna1]:[Columna5]])</f>
        <v>2</v>
      </c>
      <c r="E41" s="11" t="s">
        <v>315</v>
      </c>
      <c r="F41" s="92" t="s">
        <v>291</v>
      </c>
      <c r="G41" s="93">
        <v>2500</v>
      </c>
      <c r="H41" s="44">
        <f>+Tabla1347[[#This Row],[Cantidad]]*Tabla1347[[#This Row],[Precio Unitario en Pesos /   €]]</f>
        <v>5000</v>
      </c>
      <c r="I41" s="44">
        <f>+Tabla1347[[#This Row],[Precio Total en Pesos]]*3%</f>
        <v>150</v>
      </c>
    </row>
    <row r="42" spans="2:9" ht="15" customHeight="1" x14ac:dyDescent="0.3">
      <c r="B42" s="136" t="s">
        <v>125</v>
      </c>
      <c r="C42" s="137">
        <v>4</v>
      </c>
      <c r="D42" s="121">
        <f>SUM(Tabla1343[[#This Row],[Columna1]:[Columna5]])</f>
        <v>4</v>
      </c>
      <c r="E42" s="139" t="s">
        <v>314</v>
      </c>
      <c r="F42" s="140" t="s">
        <v>250</v>
      </c>
      <c r="G42" s="140">
        <v>27579</v>
      </c>
      <c r="H42" s="141">
        <f>+Tabla1347[[#This Row],[Cantidad]]*Tabla1347[[#This Row],[Precio Unitario en Pesos /   €]]</f>
        <v>110316</v>
      </c>
      <c r="I42" s="141">
        <f>+Tabla1347[[#This Row],[Precio Total en Pesos]]*3%</f>
        <v>3309.48</v>
      </c>
    </row>
    <row r="43" spans="2:9" ht="15" customHeight="1" x14ac:dyDescent="0.3">
      <c r="B43" s="136" t="s">
        <v>249</v>
      </c>
      <c r="C43" s="137">
        <v>3</v>
      </c>
      <c r="D43" s="121">
        <f>SUM(Tabla1343[[#This Row],[Columna1]:[Columna5]])</f>
        <v>2</v>
      </c>
      <c r="E43" s="139" t="s">
        <v>314</v>
      </c>
      <c r="F43" s="140" t="s">
        <v>250</v>
      </c>
      <c r="G43" s="140">
        <v>50635</v>
      </c>
      <c r="H43" s="141">
        <f>+Tabla1347[[#This Row],[Cantidad]]*Tabla1347[[#This Row],[Precio Unitario en Pesos /   €]]</f>
        <v>151905</v>
      </c>
      <c r="I43" s="141">
        <f>+Tabla1347[[#This Row],[Precio Total en Pesos]]*3%</f>
        <v>4557.1499999999996</v>
      </c>
    </row>
    <row r="44" spans="2:9" ht="15" customHeight="1" x14ac:dyDescent="0.3">
      <c r="B44" s="136" t="s">
        <v>127</v>
      </c>
      <c r="C44" s="137">
        <v>34</v>
      </c>
      <c r="D44" s="121">
        <f>SUM(Tabla1343[[#This Row],[Columna1]:[Columna5]])</f>
        <v>34</v>
      </c>
      <c r="E44" s="139" t="s">
        <v>314</v>
      </c>
      <c r="F44" s="140" t="s">
        <v>250</v>
      </c>
      <c r="G44" s="140">
        <v>4000</v>
      </c>
      <c r="H44" s="141">
        <f>+Tabla1347[[#This Row],[Cantidad]]*Tabla1347[[#This Row],[Precio Unitario en Pesos /   €]]</f>
        <v>136000</v>
      </c>
      <c r="I44" s="141">
        <f>+Tabla1347[[#This Row],[Precio Total en Pesos]]*3%</f>
        <v>4080</v>
      </c>
    </row>
    <row r="45" spans="2:9" ht="15" customHeight="1" x14ac:dyDescent="0.3">
      <c r="B45" s="3" t="s">
        <v>244</v>
      </c>
      <c r="C45" s="80">
        <v>1</v>
      </c>
      <c r="D45" s="108">
        <f>SUM(Tabla1343[[#This Row],[Columna1]:[Columna5]])</f>
        <v>1</v>
      </c>
      <c r="E45" s="11" t="s">
        <v>313</v>
      </c>
      <c r="F45" s="92" t="s">
        <v>291</v>
      </c>
      <c r="G45" s="93">
        <v>8600</v>
      </c>
      <c r="H45" s="44">
        <f>+Tabla1347[[#This Row],[Cantidad]]*Tabla1347[[#This Row],[Precio Unitario en Pesos /   €]]</f>
        <v>8600</v>
      </c>
      <c r="I45" s="44">
        <f>+Tabla1347[[#This Row],[Precio Total en Pesos]]*3%</f>
        <v>258</v>
      </c>
    </row>
    <row r="46" spans="2:9" ht="15" customHeight="1" x14ac:dyDescent="0.3">
      <c r="B46" s="3" t="s">
        <v>156</v>
      </c>
      <c r="C46" s="80">
        <v>9</v>
      </c>
      <c r="D46" s="108">
        <f>SUM(Tabla1343[[#This Row],[Columna1]:[Columna5]])</f>
        <v>9</v>
      </c>
      <c r="E46" s="11" t="s">
        <v>313</v>
      </c>
      <c r="F46" s="92" t="s">
        <v>291</v>
      </c>
      <c r="G46" s="93">
        <v>3000</v>
      </c>
      <c r="H46" s="44">
        <f>+Tabla1347[[#This Row],[Cantidad]]*Tabla1347[[#This Row],[Precio Unitario en Pesos /   €]]</f>
        <v>27000</v>
      </c>
      <c r="I46" s="44">
        <f>+Tabla1347[[#This Row],[Precio Total en Pesos]]*3%</f>
        <v>810</v>
      </c>
    </row>
    <row r="47" spans="2:9" ht="15" customHeight="1" x14ac:dyDescent="0.3">
      <c r="B47" s="3" t="s">
        <v>147</v>
      </c>
      <c r="C47" s="80">
        <v>77</v>
      </c>
      <c r="D47" s="108">
        <f>SUM(Tabla1343[[#This Row],[Columna1]:[Columna5]])</f>
        <v>77</v>
      </c>
      <c r="E47" s="11" t="s">
        <v>313</v>
      </c>
      <c r="F47" s="92" t="s">
        <v>291</v>
      </c>
      <c r="G47" s="93">
        <v>320</v>
      </c>
      <c r="H47" s="44">
        <f>+Tabla1347[[#This Row],[Cantidad]]*Tabla1347[[#This Row],[Precio Unitario en Pesos /   €]]</f>
        <v>24640</v>
      </c>
      <c r="I47" s="44">
        <f>+Tabla1347[[#This Row],[Precio Total en Pesos]]*3%</f>
        <v>739.19999999999993</v>
      </c>
    </row>
    <row r="48" spans="2:9" ht="15" customHeight="1" x14ac:dyDescent="0.3">
      <c r="B48" s="3" t="s">
        <v>133</v>
      </c>
      <c r="C48" s="80">
        <v>28</v>
      </c>
      <c r="D48" s="108">
        <f>SUM(Tabla1343[[#This Row],[Columna1]:[Columna5]])</f>
        <v>28</v>
      </c>
      <c r="E48" s="11" t="s">
        <v>313</v>
      </c>
      <c r="F48" s="92" t="s">
        <v>291</v>
      </c>
      <c r="G48" s="93">
        <v>422</v>
      </c>
      <c r="H48" s="44">
        <f>+Tabla1347[[#This Row],[Cantidad]]*Tabla1347[[#This Row],[Precio Unitario en Pesos /   €]]</f>
        <v>11816</v>
      </c>
      <c r="I48" s="44">
        <f>+Tabla1347[[#This Row],[Precio Total en Pesos]]*3%</f>
        <v>354.47999999999996</v>
      </c>
    </row>
    <row r="49" spans="2:9" ht="15" customHeight="1" x14ac:dyDescent="0.3">
      <c r="B49" s="3" t="s">
        <v>134</v>
      </c>
      <c r="C49" s="80">
        <v>17</v>
      </c>
      <c r="D49" s="108">
        <f>SUM(Tabla1343[[#This Row],[Columna1]:[Columna5]])</f>
        <v>17</v>
      </c>
      <c r="E49" s="11" t="s">
        <v>313</v>
      </c>
      <c r="F49" s="92" t="s">
        <v>291</v>
      </c>
      <c r="G49" s="93">
        <v>844</v>
      </c>
      <c r="H49" s="44">
        <f>+Tabla1347[[#This Row],[Cantidad]]*Tabla1347[[#This Row],[Precio Unitario en Pesos /   €]]</f>
        <v>14348</v>
      </c>
      <c r="I49" s="44">
        <f>+Tabla1347[[#This Row],[Precio Total en Pesos]]*3%</f>
        <v>430.44</v>
      </c>
    </row>
    <row r="50" spans="2:9" ht="15" customHeight="1" x14ac:dyDescent="0.3">
      <c r="B50" s="34" t="s">
        <v>135</v>
      </c>
      <c r="C50" s="82">
        <v>27</v>
      </c>
      <c r="D50" s="109">
        <f>SUM(Tabla1343[[#This Row],[Columna1]:[Columna5]])</f>
        <v>27</v>
      </c>
      <c r="E50" s="11" t="s">
        <v>313</v>
      </c>
      <c r="F50" s="92" t="s">
        <v>291</v>
      </c>
      <c r="G50" s="93">
        <v>1266</v>
      </c>
      <c r="H50" s="44">
        <f>+Tabla1347[[#This Row],[Cantidad]]*Tabla1347[[#This Row],[Precio Unitario en Pesos /   €]]</f>
        <v>34182</v>
      </c>
      <c r="I50" s="44">
        <f>+Tabla1347[[#This Row],[Precio Total en Pesos]]*3%</f>
        <v>1025.46</v>
      </c>
    </row>
    <row r="51" spans="2:9" ht="15" customHeight="1" x14ac:dyDescent="0.3">
      <c r="B51" s="34" t="s">
        <v>136</v>
      </c>
      <c r="C51" s="82">
        <v>36</v>
      </c>
      <c r="D51" s="109">
        <f>SUM(Tabla1343[[#This Row],[Columna1]:[Columna5]])</f>
        <v>36</v>
      </c>
      <c r="E51" s="11" t="s">
        <v>313</v>
      </c>
      <c r="F51" s="92" t="s">
        <v>291</v>
      </c>
      <c r="G51" s="93">
        <v>1688</v>
      </c>
      <c r="H51" s="44">
        <f>+Tabla1347[[#This Row],[Cantidad]]*Tabla1347[[#This Row],[Precio Unitario en Pesos /   €]]</f>
        <v>60768</v>
      </c>
      <c r="I51" s="44">
        <f>+Tabla1347[[#This Row],[Precio Total en Pesos]]*3%</f>
        <v>1823.04</v>
      </c>
    </row>
    <row r="52" spans="2:9" ht="15" customHeight="1" x14ac:dyDescent="0.3">
      <c r="B52" s="3" t="s">
        <v>204</v>
      </c>
      <c r="C52" s="80">
        <v>56</v>
      </c>
      <c r="D52" s="108">
        <f>SUM(Tabla1343[[#This Row],[Columna1]:[Columna5]])</f>
        <v>0</v>
      </c>
      <c r="E52" s="11" t="s">
        <v>313</v>
      </c>
      <c r="F52" s="92" t="s">
        <v>291</v>
      </c>
      <c r="G52" s="93">
        <v>800</v>
      </c>
      <c r="H52" s="44">
        <f>+Tabla1347[[#This Row],[Cantidad]]*Tabla1347[[#This Row],[Precio Unitario en Pesos /   €]]</f>
        <v>44800</v>
      </c>
      <c r="I52" s="44">
        <f>+Tabla1347[[#This Row],[Precio Total en Pesos]]*3%</f>
        <v>1344</v>
      </c>
    </row>
    <row r="53" spans="2:9" ht="15" customHeight="1" x14ac:dyDescent="0.3">
      <c r="B53" s="136" t="s">
        <v>15</v>
      </c>
      <c r="C53" s="137">
        <v>403</v>
      </c>
      <c r="D53" s="121">
        <v>403</v>
      </c>
      <c r="E53" s="139" t="s">
        <v>314</v>
      </c>
      <c r="F53" s="140" t="s">
        <v>266</v>
      </c>
      <c r="G53" s="140">
        <v>5065</v>
      </c>
      <c r="H53" s="141">
        <f>+Tabla1347[[#This Row],[Cantidad]]*Tabla1347[[#This Row],[Precio Unitario en Pesos /   €]]</f>
        <v>2041195</v>
      </c>
      <c r="I53" s="141">
        <f>+Tabla1347[[#This Row],[Precio Total en Pesos]]*3%</f>
        <v>61235.85</v>
      </c>
    </row>
    <row r="54" spans="2:9" ht="15" customHeight="1" x14ac:dyDescent="0.3">
      <c r="B54" s="136" t="s">
        <v>252</v>
      </c>
      <c r="C54" s="137">
        <v>16</v>
      </c>
      <c r="D54" s="121">
        <v>16</v>
      </c>
      <c r="E54" s="139" t="s">
        <v>314</v>
      </c>
      <c r="F54" s="140" t="s">
        <v>243</v>
      </c>
      <c r="G54" s="140">
        <f>+G53*60%</f>
        <v>3039</v>
      </c>
      <c r="H54" s="141">
        <f>+Tabla1347[[#This Row],[Cantidad]]*Tabla1347[[#This Row],[Precio Unitario en Pesos /   €]]</f>
        <v>48624</v>
      </c>
      <c r="I54" s="141">
        <f>+Tabla1347[[#This Row],[Precio Total en Pesos]]*3%</f>
        <v>1458.72</v>
      </c>
    </row>
    <row r="55" spans="2:9" ht="15" customHeight="1" x14ac:dyDescent="0.3">
      <c r="B55" s="136" t="s">
        <v>140</v>
      </c>
      <c r="C55" s="137">
        <v>34</v>
      </c>
      <c r="D55" s="121">
        <f>SUM(Tabla1343[[#This Row],[Columna1]:[Columna5]])</f>
        <v>34</v>
      </c>
      <c r="E55" s="139" t="s">
        <v>314</v>
      </c>
      <c r="F55" s="146" t="s">
        <v>301</v>
      </c>
      <c r="G55" s="140">
        <v>5065</v>
      </c>
      <c r="H55" s="141">
        <f>+Tabla1347[[#This Row],[Cantidad]]*Tabla1347[[#This Row],[Precio Unitario en Pesos /   €]]</f>
        <v>172210</v>
      </c>
      <c r="I55" s="141">
        <f>+Tabla1347[[#This Row],[Precio Total en Pesos]]*3%</f>
        <v>5166.3</v>
      </c>
    </row>
    <row r="56" spans="2:9" ht="15" customHeight="1" x14ac:dyDescent="0.3">
      <c r="B56" s="3" t="s">
        <v>121</v>
      </c>
      <c r="C56" s="80">
        <v>5</v>
      </c>
      <c r="D56" s="108">
        <f>SUM(Tabla1343[[#This Row],[Columna1]:[Columna5]])</f>
        <v>5</v>
      </c>
      <c r="E56" s="11" t="s">
        <v>313</v>
      </c>
      <c r="F56" s="92" t="s">
        <v>297</v>
      </c>
      <c r="G56" s="93">
        <v>2800</v>
      </c>
      <c r="H56" s="44">
        <f>+Tabla1347[[#This Row],[Cantidad]]*Tabla1347[[#This Row],[Precio Unitario en Pesos /   €]]</f>
        <v>14000</v>
      </c>
      <c r="I56" s="44">
        <f>+Tabla1347[[#This Row],[Precio Total en Pesos]]*3%</f>
        <v>420</v>
      </c>
    </row>
    <row r="57" spans="2:9" ht="15" customHeight="1" x14ac:dyDescent="0.3">
      <c r="B57" s="136" t="s">
        <v>74</v>
      </c>
      <c r="C57" s="137">
        <v>58</v>
      </c>
      <c r="D57" s="121">
        <f>SUM(Tabla1343[[#This Row],[Columna1]:[Columna5]])</f>
        <v>58</v>
      </c>
      <c r="E57" s="139" t="s">
        <v>314</v>
      </c>
      <c r="F57" s="146" t="s">
        <v>291</v>
      </c>
      <c r="G57" s="140">
        <v>30000</v>
      </c>
      <c r="H57" s="141">
        <f>+Tabla1347[[#This Row],[Cantidad]]*Tabla1347[[#This Row],[Precio Unitario en Pesos /   €]]</f>
        <v>1740000</v>
      </c>
      <c r="I57" s="141">
        <f>+Tabla1347[[#This Row],[Precio Total en Pesos]]*3%</f>
        <v>52200</v>
      </c>
    </row>
    <row r="58" spans="2:9" ht="15" customHeight="1" x14ac:dyDescent="0.3">
      <c r="B58" s="136" t="s">
        <v>88</v>
      </c>
      <c r="C58" s="137">
        <v>10</v>
      </c>
      <c r="D58" s="121">
        <f>SUM(Tabla1343[[#This Row],[Columna1]:[Columna5]])</f>
        <v>10</v>
      </c>
      <c r="E58" s="139" t="s">
        <v>314</v>
      </c>
      <c r="F58" s="146" t="s">
        <v>291</v>
      </c>
      <c r="G58" s="140">
        <f>36016-11326</f>
        <v>24690</v>
      </c>
      <c r="H58" s="141">
        <f>+Tabla1347[[#This Row],[Cantidad]]*Tabla1347[[#This Row],[Precio Unitario en Pesos /   €]]</f>
        <v>246900</v>
      </c>
      <c r="I58" s="141">
        <f>+Tabla1347[[#This Row],[Precio Total en Pesos]]*3%</f>
        <v>7407</v>
      </c>
    </row>
    <row r="59" spans="2:9" ht="15" customHeight="1" x14ac:dyDescent="0.3">
      <c r="B59" s="34" t="s">
        <v>190</v>
      </c>
      <c r="C59" s="82">
        <v>5</v>
      </c>
      <c r="D59" s="109">
        <f>SUM(Tabla1343[[#This Row],[Columna1]:[Columna5]])</f>
        <v>5</v>
      </c>
      <c r="E59" s="68" t="s">
        <v>313</v>
      </c>
      <c r="F59" s="92" t="s">
        <v>291</v>
      </c>
      <c r="G59" s="93">
        <v>2990</v>
      </c>
      <c r="H59" s="44">
        <f>+Tabla1347[[#This Row],[Cantidad]]*Tabla1347[[#This Row],[Precio Unitario en Pesos /   €]]</f>
        <v>14950</v>
      </c>
      <c r="I59" s="44">
        <f>+Tabla1347[[#This Row],[Precio Total en Pesos]]*3%</f>
        <v>448.5</v>
      </c>
    </row>
    <row r="60" spans="2:9" ht="15" customHeight="1" x14ac:dyDescent="0.3">
      <c r="B60" s="143" t="s">
        <v>112</v>
      </c>
      <c r="C60" s="144">
        <v>20</v>
      </c>
      <c r="D60" s="135">
        <f>SUM(Tabla1343[[#This Row],[Columna1]:[Columna5]])</f>
        <v>20</v>
      </c>
      <c r="E60" s="145" t="s">
        <v>314</v>
      </c>
      <c r="F60" s="146" t="s">
        <v>291</v>
      </c>
      <c r="G60" s="140">
        <v>38900</v>
      </c>
      <c r="H60" s="141">
        <f>+Tabla1347[[#This Row],[Cantidad]]*Tabla1347[[#This Row],[Precio Unitario en Pesos /   €]]</f>
        <v>778000</v>
      </c>
      <c r="I60" s="141">
        <f>+Tabla1347[[#This Row],[Precio Total en Pesos]]*3%</f>
        <v>23340</v>
      </c>
    </row>
    <row r="61" spans="2:9" ht="15" customHeight="1" x14ac:dyDescent="0.3">
      <c r="B61" s="3" t="s">
        <v>153</v>
      </c>
      <c r="C61" s="80">
        <v>14</v>
      </c>
      <c r="D61" s="108">
        <f>SUM(Tabla1343[[#This Row],[Columna1]:[Columna5]])</f>
        <v>14</v>
      </c>
      <c r="E61" s="11" t="s">
        <v>313</v>
      </c>
      <c r="F61" s="92" t="s">
        <v>291</v>
      </c>
      <c r="G61" s="93">
        <v>2600</v>
      </c>
      <c r="H61" s="44">
        <f>+Tabla1347[[#This Row],[Cantidad]]*Tabla1347[[#This Row],[Precio Unitario en Pesos /   €]]</f>
        <v>36400</v>
      </c>
      <c r="I61" s="44">
        <f>+Tabla1347[[#This Row],[Precio Total en Pesos]]*3%</f>
        <v>1092</v>
      </c>
    </row>
    <row r="62" spans="2:9" ht="15" customHeight="1" x14ac:dyDescent="0.3">
      <c r="B62" s="3" t="s">
        <v>150</v>
      </c>
      <c r="C62" s="80">
        <v>16</v>
      </c>
      <c r="D62" s="108">
        <f>SUM(Tabla1343[[#This Row],[Columna1]:[Columna5]])</f>
        <v>16</v>
      </c>
      <c r="E62" s="11" t="s">
        <v>317</v>
      </c>
      <c r="F62" s="92" t="s">
        <v>291</v>
      </c>
      <c r="G62" s="93">
        <v>2160</v>
      </c>
      <c r="H62" s="44">
        <f>+Tabla1347[[#This Row],[Cantidad]]*Tabla1347[[#This Row],[Precio Unitario en Pesos /   €]]</f>
        <v>34560</v>
      </c>
      <c r="I62" s="44">
        <f>+Tabla1347[[#This Row],[Precio Total en Pesos]]*3%</f>
        <v>1036.8</v>
      </c>
    </row>
    <row r="63" spans="2:9" ht="15" customHeight="1" x14ac:dyDescent="0.3">
      <c r="B63" s="3" t="s">
        <v>151</v>
      </c>
      <c r="C63" s="80">
        <v>8</v>
      </c>
      <c r="D63" s="108">
        <f>SUM(Tabla1343[[#This Row],[Columna1]:[Columna5]])</f>
        <v>8</v>
      </c>
      <c r="E63" s="11" t="s">
        <v>317</v>
      </c>
      <c r="F63" s="92" t="s">
        <v>291</v>
      </c>
      <c r="G63" s="93">
        <v>2200</v>
      </c>
      <c r="H63" s="44">
        <f>+Tabla1347[[#This Row],[Cantidad]]*Tabla1347[[#This Row],[Precio Unitario en Pesos /   €]]</f>
        <v>17600</v>
      </c>
      <c r="I63" s="44">
        <f>+Tabla1347[[#This Row],[Precio Total en Pesos]]*3%</f>
        <v>528</v>
      </c>
    </row>
    <row r="64" spans="2:9" ht="15" customHeight="1" x14ac:dyDescent="0.3">
      <c r="B64" s="3" t="s">
        <v>152</v>
      </c>
      <c r="C64" s="80">
        <v>6</v>
      </c>
      <c r="D64" s="108">
        <f>SUM(Tabla1343[[#This Row],[Columna1]:[Columna5]])</f>
        <v>6</v>
      </c>
      <c r="E64" s="11" t="s">
        <v>317</v>
      </c>
      <c r="F64" s="92" t="s">
        <v>291</v>
      </c>
      <c r="G64" s="93">
        <v>2350</v>
      </c>
      <c r="H64" s="44">
        <f>+Tabla1347[[#This Row],[Cantidad]]*Tabla1347[[#This Row],[Precio Unitario en Pesos /   €]]</f>
        <v>14100</v>
      </c>
      <c r="I64" s="44">
        <f>+Tabla1347[[#This Row],[Precio Total en Pesos]]*3%</f>
        <v>423</v>
      </c>
    </row>
    <row r="65" spans="2:9" ht="15" customHeight="1" x14ac:dyDescent="0.3">
      <c r="B65" s="136" t="s">
        <v>246</v>
      </c>
      <c r="C65" s="137">
        <v>1</v>
      </c>
      <c r="D65" s="121">
        <f>SUM(Tabla1343[[#This Row],[Columna1]:[Columna5]])</f>
        <v>1</v>
      </c>
      <c r="E65" s="139" t="s">
        <v>314</v>
      </c>
      <c r="F65" s="146" t="s">
        <v>291</v>
      </c>
      <c r="G65" s="140">
        <f>1300*10</f>
        <v>13000</v>
      </c>
      <c r="H65" s="141">
        <f>+Tabla1347[[#This Row],[Cantidad]]*Tabla1347[[#This Row],[Precio Unitario en Pesos /   €]]</f>
        <v>13000</v>
      </c>
      <c r="I65" s="141">
        <f>+Tabla1347[[#This Row],[Precio Total en Pesos]]*3%</f>
        <v>390</v>
      </c>
    </row>
    <row r="66" spans="2:9" ht="15" customHeight="1" x14ac:dyDescent="0.3">
      <c r="B66" s="136" t="s">
        <v>245</v>
      </c>
      <c r="C66" s="137">
        <v>1</v>
      </c>
      <c r="D66" s="121">
        <f>SUM(Tabla1343[[#This Row],[Columna1]:[Columna5]])</f>
        <v>1</v>
      </c>
      <c r="E66" s="139" t="s">
        <v>314</v>
      </c>
      <c r="F66" s="146" t="s">
        <v>291</v>
      </c>
      <c r="G66" s="140">
        <f>1300*7</f>
        <v>9100</v>
      </c>
      <c r="H66" s="141">
        <f>+Tabla1347[[#This Row],[Cantidad]]*Tabla1347[[#This Row],[Precio Unitario en Pesos /   €]]</f>
        <v>9100</v>
      </c>
      <c r="I66" s="141">
        <f>+Tabla1347[[#This Row],[Precio Total en Pesos]]*3%</f>
        <v>273</v>
      </c>
    </row>
    <row r="67" spans="2:9" ht="15" customHeight="1" x14ac:dyDescent="0.3">
      <c r="B67" s="136" t="s">
        <v>183</v>
      </c>
      <c r="C67" s="137">
        <v>1</v>
      </c>
      <c r="D67" s="121">
        <f>SUM(Tabla1343[[#This Row],[Columna1]:[Columna5]])</f>
        <v>0</v>
      </c>
      <c r="E67" s="139" t="s">
        <v>314</v>
      </c>
      <c r="F67" s="146" t="s">
        <v>291</v>
      </c>
      <c r="G67" s="140">
        <f>12*4*1300</f>
        <v>62400</v>
      </c>
      <c r="H67" s="141">
        <f>+Tabla1347[[#This Row],[Cantidad]]*Tabla1347[[#This Row],[Precio Unitario en Pesos /   €]]</f>
        <v>62400</v>
      </c>
      <c r="I67" s="141">
        <f>+Tabla1347[[#This Row],[Precio Total en Pesos]]*3%</f>
        <v>1872</v>
      </c>
    </row>
    <row r="68" spans="2:9" ht="15" customHeight="1" x14ac:dyDescent="0.3">
      <c r="B68" s="136" t="s">
        <v>47</v>
      </c>
      <c r="C68" s="137">
        <v>4</v>
      </c>
      <c r="D68" s="121">
        <f>SUM(Tabla1343[[#This Row],[Columna1]:[Columna5]])</f>
        <v>1</v>
      </c>
      <c r="E68" s="139" t="s">
        <v>314</v>
      </c>
      <c r="F68" s="146" t="s">
        <v>291</v>
      </c>
      <c r="G68" s="140">
        <f>2100*8</f>
        <v>16800</v>
      </c>
      <c r="H68" s="141">
        <f>+Tabla1347[[#This Row],[Cantidad]]*Tabla1347[[#This Row],[Precio Unitario en Pesos /   €]]</f>
        <v>67200</v>
      </c>
      <c r="I68" s="141">
        <f>+Tabla1347[[#This Row],[Precio Total en Pesos]]*3%</f>
        <v>2016</v>
      </c>
    </row>
    <row r="69" spans="2:9" ht="15" customHeight="1" x14ac:dyDescent="0.3">
      <c r="B69" s="143" t="s">
        <v>277</v>
      </c>
      <c r="C69" s="144">
        <v>4</v>
      </c>
      <c r="D69" s="135">
        <f>SUM(Tabla1343[[#This Row],[Columna1]:[Columna5]])</f>
        <v>4</v>
      </c>
      <c r="E69" s="139" t="s">
        <v>314</v>
      </c>
      <c r="F69" s="146" t="s">
        <v>291</v>
      </c>
      <c r="G69" s="140">
        <f>12*8*1300</f>
        <v>124800</v>
      </c>
      <c r="H69" s="141">
        <f>+Tabla1347[[#This Row],[Cantidad]]*Tabla1347[[#This Row],[Precio Unitario en Pesos /   €]]</f>
        <v>499200</v>
      </c>
      <c r="I69" s="141">
        <f>+Tabla1347[[#This Row],[Precio Total en Pesos]]*3%</f>
        <v>14976</v>
      </c>
    </row>
    <row r="70" spans="2:9" ht="15" customHeight="1" x14ac:dyDescent="0.3">
      <c r="B70" s="136" t="s">
        <v>276</v>
      </c>
      <c r="C70" s="137">
        <v>20</v>
      </c>
      <c r="D70" s="121">
        <f>SUM(Tabla1343[[#This Row],[Columna1]:[Columna5]])</f>
        <v>4</v>
      </c>
      <c r="E70" s="139" t="s">
        <v>314</v>
      </c>
      <c r="F70" s="146" t="s">
        <v>291</v>
      </c>
      <c r="G70" s="140">
        <f>1300*12</f>
        <v>15600</v>
      </c>
      <c r="H70" s="141">
        <f>+Tabla1347[[#This Row],[Cantidad]]*Tabla1347[[#This Row],[Precio Unitario en Pesos /   €]]</f>
        <v>312000</v>
      </c>
      <c r="I70" s="141">
        <f>+Tabla1347[[#This Row],[Precio Total en Pesos]]*3%</f>
        <v>9360</v>
      </c>
    </row>
    <row r="71" spans="2:9" ht="15" customHeight="1" x14ac:dyDescent="0.3">
      <c r="B71" s="3" t="s">
        <v>193</v>
      </c>
      <c r="C71" s="80">
        <v>3</v>
      </c>
      <c r="D71" s="108">
        <f>SUM(Tabla1343[[#This Row],[Columna1]:[Columna5]])</f>
        <v>20</v>
      </c>
      <c r="E71" s="11" t="s">
        <v>313</v>
      </c>
      <c r="F71" s="92" t="s">
        <v>291</v>
      </c>
      <c r="G71" s="93">
        <v>3100</v>
      </c>
      <c r="H71" s="44">
        <f>+Tabla1347[[#This Row],[Cantidad]]*Tabla1347[[#This Row],[Precio Unitario en Pesos /   €]]</f>
        <v>9300</v>
      </c>
      <c r="I71" s="44">
        <f>+Tabla1347[[#This Row],[Precio Total en Pesos]]*3%</f>
        <v>279</v>
      </c>
    </row>
    <row r="72" spans="2:9" ht="15" customHeight="1" x14ac:dyDescent="0.3">
      <c r="B72" s="3" t="s">
        <v>191</v>
      </c>
      <c r="C72" s="80">
        <v>1</v>
      </c>
      <c r="D72" s="108">
        <f>SUM(Tabla1343[[#This Row],[Columna1]:[Columna5]])</f>
        <v>3</v>
      </c>
      <c r="E72" s="11" t="s">
        <v>315</v>
      </c>
      <c r="F72" s="92" t="s">
        <v>291</v>
      </c>
      <c r="G72" s="93">
        <v>1700</v>
      </c>
      <c r="H72" s="44">
        <f>+Tabla1347[[#This Row],[Cantidad]]*Tabla1347[[#This Row],[Precio Unitario en Pesos /   €]]</f>
        <v>1700</v>
      </c>
      <c r="I72" s="44">
        <f>+Tabla1347[[#This Row],[Precio Total en Pesos]]*3%</f>
        <v>51</v>
      </c>
    </row>
    <row r="73" spans="2:9" ht="15" customHeight="1" x14ac:dyDescent="0.3">
      <c r="B73" s="3" t="s">
        <v>176</v>
      </c>
      <c r="C73" s="80">
        <v>3</v>
      </c>
      <c r="D73" s="108">
        <f>SUM(Tabla1343[[#This Row],[Columna1]:[Columna5]])</f>
        <v>1</v>
      </c>
      <c r="E73" s="11" t="s">
        <v>313</v>
      </c>
      <c r="F73" s="92" t="s">
        <v>291</v>
      </c>
      <c r="G73" s="93">
        <v>900</v>
      </c>
      <c r="H73" s="44">
        <f>+Tabla1347[[#This Row],[Cantidad]]*Tabla1347[[#This Row],[Precio Unitario en Pesos /   €]]</f>
        <v>2700</v>
      </c>
      <c r="I73" s="44">
        <f>+Tabla1347[[#This Row],[Precio Total en Pesos]]*3%</f>
        <v>81</v>
      </c>
    </row>
    <row r="74" spans="2:9" ht="15" customHeight="1" x14ac:dyDescent="0.3">
      <c r="B74" s="3" t="s">
        <v>161</v>
      </c>
      <c r="C74" s="80">
        <v>36</v>
      </c>
      <c r="D74" s="108">
        <f>SUM(Tabla1343[[#This Row],[Columna1]:[Columna5]])</f>
        <v>3</v>
      </c>
      <c r="E74" s="11" t="s">
        <v>313</v>
      </c>
      <c r="F74" s="92" t="s">
        <v>291</v>
      </c>
      <c r="G74" s="93">
        <v>3000</v>
      </c>
      <c r="H74" s="44">
        <f>+Tabla1347[[#This Row],[Cantidad]]*Tabla1347[[#This Row],[Precio Unitario en Pesos /   €]]</f>
        <v>108000</v>
      </c>
      <c r="I74" s="44">
        <f>+Tabla1347[[#This Row],[Precio Total en Pesos]]*3%</f>
        <v>3240</v>
      </c>
    </row>
    <row r="75" spans="2:9" ht="15" customHeight="1" x14ac:dyDescent="0.3">
      <c r="B75" s="3" t="s">
        <v>162</v>
      </c>
      <c r="C75" s="80">
        <v>27</v>
      </c>
      <c r="D75" s="108">
        <f>SUM(Tabla1343[[#This Row],[Columna1]:[Columna5]])</f>
        <v>36</v>
      </c>
      <c r="E75" s="11" t="s">
        <v>313</v>
      </c>
      <c r="F75" s="92" t="s">
        <v>291</v>
      </c>
      <c r="G75" s="93">
        <v>3000</v>
      </c>
      <c r="H75" s="44">
        <f>+Tabla1347[[#This Row],[Cantidad]]*Tabla1347[[#This Row],[Precio Unitario en Pesos /   €]]</f>
        <v>81000</v>
      </c>
      <c r="I75" s="44">
        <f>+Tabla1347[[#This Row],[Precio Total en Pesos]]*3%</f>
        <v>2430</v>
      </c>
    </row>
    <row r="76" spans="2:9" ht="15" customHeight="1" x14ac:dyDescent="0.3">
      <c r="B76" s="34" t="s">
        <v>177</v>
      </c>
      <c r="C76" s="82">
        <v>113</v>
      </c>
      <c r="D76" s="109">
        <f>SUM(Tabla1343[[#This Row],[Columna1]:[Columna5]])</f>
        <v>27</v>
      </c>
      <c r="E76" s="68" t="s">
        <v>313</v>
      </c>
      <c r="F76" s="92" t="s">
        <v>298</v>
      </c>
      <c r="G76" s="93">
        <v>3500</v>
      </c>
      <c r="H76" s="44">
        <f>+Tabla1347[[#This Row],[Cantidad]]*Tabla1347[[#This Row],[Precio Unitario en Pesos /   €]]</f>
        <v>395500</v>
      </c>
      <c r="I76" s="44">
        <f>+Tabla1347[[#This Row],[Precio Total en Pesos]]*3%</f>
        <v>11865</v>
      </c>
    </row>
    <row r="77" spans="2:9" ht="15" customHeight="1" x14ac:dyDescent="0.3">
      <c r="B77" s="3" t="s">
        <v>142</v>
      </c>
      <c r="C77" s="80">
        <v>18</v>
      </c>
      <c r="D77" s="108">
        <f>SUM(Tabla1343[[#This Row],[Columna1]:[Columna5]])</f>
        <v>113</v>
      </c>
      <c r="E77" s="11" t="s">
        <v>313</v>
      </c>
      <c r="F77" s="93" t="s">
        <v>250</v>
      </c>
      <c r="G77" s="93">
        <v>2500</v>
      </c>
      <c r="H77" s="44">
        <f>+Tabla1347[[#This Row],[Cantidad]]*Tabla1347[[#This Row],[Precio Unitario en Pesos /   €]]</f>
        <v>45000</v>
      </c>
      <c r="I77" s="44">
        <f>+Tabla1347[[#This Row],[Precio Total en Pesos]]*3%</f>
        <v>1350</v>
      </c>
    </row>
    <row r="78" spans="2:9" ht="15" customHeight="1" x14ac:dyDescent="0.3">
      <c r="B78" s="3" t="s">
        <v>209</v>
      </c>
      <c r="C78" s="80">
        <v>10</v>
      </c>
      <c r="D78" s="108">
        <f>SUM(Tabla1343[[#This Row],[Columna1]:[Columna5]])</f>
        <v>18</v>
      </c>
      <c r="E78" s="11" t="s">
        <v>313</v>
      </c>
      <c r="F78" s="93" t="s">
        <v>250</v>
      </c>
      <c r="G78" s="93">
        <v>22011</v>
      </c>
      <c r="H78" s="44">
        <f>+Tabla1347[[#This Row],[Cantidad]]*Tabla1347[[#This Row],[Precio Unitario en Pesos /   €]]</f>
        <v>220110</v>
      </c>
      <c r="I78" s="44">
        <f>+Tabla1347[[#This Row],[Precio Total en Pesos]]*3%</f>
        <v>6603.3</v>
      </c>
    </row>
    <row r="79" spans="2:9" ht="15" customHeight="1" x14ac:dyDescent="0.3">
      <c r="B79" s="3" t="s">
        <v>75</v>
      </c>
      <c r="C79" s="80">
        <f>42+12</f>
        <v>54</v>
      </c>
      <c r="D79" s="108">
        <f>SUM(Tabla1343[[#This Row],[Columna1]:[Columna5]])</f>
        <v>10</v>
      </c>
      <c r="E79" s="11" t="s">
        <v>317</v>
      </c>
      <c r="F79" s="92" t="s">
        <v>291</v>
      </c>
      <c r="G79" s="93">
        <v>2790</v>
      </c>
      <c r="H79" s="44">
        <f>+Tabla1347[[#This Row],[Cantidad]]*Tabla1347[[#This Row],[Precio Unitario en Pesos /   €]]</f>
        <v>150660</v>
      </c>
      <c r="I79" s="44">
        <f>+Tabla1347[[#This Row],[Precio Total en Pesos]]*3%</f>
        <v>4519.8</v>
      </c>
    </row>
    <row r="80" spans="2:9" ht="15" customHeight="1" x14ac:dyDescent="0.3">
      <c r="B80" s="3" t="s">
        <v>120</v>
      </c>
      <c r="C80" s="80">
        <f>2+1+15</f>
        <v>18</v>
      </c>
      <c r="D80" s="108">
        <f>SUM(Tabla1343[[#This Row],[Columna1]:[Columna5]])</f>
        <v>54</v>
      </c>
      <c r="E80" s="11" t="s">
        <v>317</v>
      </c>
      <c r="F80" s="92" t="s">
        <v>299</v>
      </c>
      <c r="G80" s="93">
        <v>4000</v>
      </c>
      <c r="H80" s="44">
        <f>+Tabla1347[[#This Row],[Cantidad]]*Tabla1347[[#This Row],[Precio Unitario en Pesos /   €]]</f>
        <v>72000</v>
      </c>
      <c r="I80" s="44">
        <f>+Tabla1347[[#This Row],[Precio Total en Pesos]]*3%</f>
        <v>2160</v>
      </c>
    </row>
    <row r="81" spans="2:9" ht="15" customHeight="1" x14ac:dyDescent="0.3">
      <c r="B81" s="3" t="s">
        <v>76</v>
      </c>
      <c r="C81" s="80">
        <v>30</v>
      </c>
      <c r="D81" s="108">
        <f>SUM(Tabla1343[[#This Row],[Columna1]:[Columna5]])</f>
        <v>18</v>
      </c>
      <c r="E81" s="11" t="s">
        <v>317</v>
      </c>
      <c r="F81" s="92" t="s">
        <v>291</v>
      </c>
      <c r="G81" s="93">
        <v>6716</v>
      </c>
      <c r="H81" s="44">
        <f>+Tabla1347[[#This Row],[Cantidad]]*Tabla1347[[#This Row],[Precio Unitario en Pesos /   €]]</f>
        <v>201480</v>
      </c>
      <c r="I81" s="44">
        <f>+Tabla1347[[#This Row],[Precio Total en Pesos]]*3%</f>
        <v>6044.4</v>
      </c>
    </row>
    <row r="82" spans="2:9" ht="15" customHeight="1" x14ac:dyDescent="0.3">
      <c r="B82" s="3" t="s">
        <v>40</v>
      </c>
      <c r="C82" s="80">
        <v>2</v>
      </c>
      <c r="D82" s="108">
        <f>SUM(Tabla1343[[#This Row],[Columna1]:[Columna5]])</f>
        <v>13</v>
      </c>
      <c r="E82" s="11" t="s">
        <v>317</v>
      </c>
      <c r="F82" s="92" t="s">
        <v>291</v>
      </c>
      <c r="G82" s="93">
        <f>1800*2</f>
        <v>3600</v>
      </c>
      <c r="H82" s="44">
        <f>+Tabla1347[[#This Row],[Cantidad]]*Tabla1347[[#This Row],[Precio Unitario en Pesos /   €]]</f>
        <v>7200</v>
      </c>
      <c r="I82" s="44">
        <f>+Tabla1347[[#This Row],[Precio Total en Pesos]]*3%</f>
        <v>216</v>
      </c>
    </row>
    <row r="83" spans="2:9" ht="15" customHeight="1" x14ac:dyDescent="0.3">
      <c r="B83" s="3" t="s">
        <v>39</v>
      </c>
      <c r="C83" s="80">
        <v>3</v>
      </c>
      <c r="D83" s="108">
        <f>SUM(Tabla1343[[#This Row],[Columna1]:[Columna5]])</f>
        <v>2</v>
      </c>
      <c r="E83" s="11" t="s">
        <v>317</v>
      </c>
      <c r="F83" s="92" t="s">
        <v>291</v>
      </c>
      <c r="G83" s="93">
        <v>3600</v>
      </c>
      <c r="H83" s="44">
        <f>+Tabla1347[[#This Row],[Cantidad]]*Tabla1347[[#This Row],[Precio Unitario en Pesos /   €]]</f>
        <v>10800</v>
      </c>
      <c r="I83" s="44">
        <f>+Tabla1347[[#This Row],[Precio Total en Pesos]]*3%</f>
        <v>324</v>
      </c>
    </row>
    <row r="84" spans="2:9" ht="15" customHeight="1" x14ac:dyDescent="0.3">
      <c r="B84" s="136" t="s">
        <v>283</v>
      </c>
      <c r="C84" s="137">
        <v>8</v>
      </c>
      <c r="D84" s="108">
        <f>SUM(Tabla1343[[#This Row],[Columna1]:[Columna5]])</f>
        <v>3</v>
      </c>
      <c r="E84" s="139" t="s">
        <v>314</v>
      </c>
      <c r="F84" s="140" t="s">
        <v>243</v>
      </c>
      <c r="G84" s="140">
        <v>2500</v>
      </c>
      <c r="H84" s="141">
        <f>+Tabla1347[[#This Row],[Cantidad]]*Tabla1347[[#This Row],[Precio Unitario en Pesos /   €]]</f>
        <v>20000</v>
      </c>
      <c r="I84" s="141">
        <f>+Tabla1347[[#This Row],[Precio Total en Pesos]]*3%</f>
        <v>600</v>
      </c>
    </row>
    <row r="85" spans="2:9" ht="15" customHeight="1" x14ac:dyDescent="0.3">
      <c r="B85" s="3" t="s">
        <v>203</v>
      </c>
      <c r="C85" s="80">
        <v>1</v>
      </c>
      <c r="D85" s="108">
        <f>SUM(Tabla1343[[#This Row],[Columna1]:[Columna5]])</f>
        <v>8</v>
      </c>
      <c r="E85" s="11" t="s">
        <v>313</v>
      </c>
      <c r="F85" s="92" t="s">
        <v>291</v>
      </c>
      <c r="G85" s="93">
        <v>2500</v>
      </c>
      <c r="H85" s="44">
        <f>+Tabla1347[[#This Row],[Cantidad]]*Tabla1347[[#This Row],[Precio Unitario en Pesos /   €]]</f>
        <v>2500</v>
      </c>
      <c r="I85" s="44">
        <f>+Tabla1347[[#This Row],[Precio Total en Pesos]]*3%</f>
        <v>75</v>
      </c>
    </row>
    <row r="86" spans="2:9" ht="15" customHeight="1" x14ac:dyDescent="0.3">
      <c r="B86" s="3" t="s">
        <v>172</v>
      </c>
      <c r="C86" s="80">
        <v>6</v>
      </c>
      <c r="D86" s="108">
        <f>SUM(Tabla1343[[#This Row],[Columna1]:[Columna5]])</f>
        <v>1</v>
      </c>
      <c r="E86" s="11" t="s">
        <v>313</v>
      </c>
      <c r="F86" s="92" t="s">
        <v>290</v>
      </c>
      <c r="G86" s="93">
        <v>20000</v>
      </c>
      <c r="H86" s="44">
        <f>+Tabla1347[[#This Row],[Cantidad]]*Tabla1347[[#This Row],[Precio Unitario en Pesos /   €]]</f>
        <v>120000</v>
      </c>
      <c r="I86" s="44">
        <f>+Tabla1347[[#This Row],[Precio Total en Pesos]]*3%</f>
        <v>3600</v>
      </c>
    </row>
    <row r="87" spans="2:9" ht="15" customHeight="1" x14ac:dyDescent="0.3">
      <c r="B87" s="3" t="s">
        <v>310</v>
      </c>
      <c r="C87" s="80">
        <v>12</v>
      </c>
      <c r="D87" s="108">
        <f>SUM(Tabla1343[[#This Row],[Columna1]:[Columna5]])</f>
        <v>6</v>
      </c>
      <c r="E87" s="11" t="s">
        <v>313</v>
      </c>
      <c r="F87" s="92" t="s">
        <v>291</v>
      </c>
      <c r="G87" s="93">
        <v>12000</v>
      </c>
      <c r="H87" s="44">
        <f>+Tabla1347[[#This Row],[Cantidad]]*Tabla1347[[#This Row],[Precio Unitario en Pesos /   €]]</f>
        <v>144000</v>
      </c>
      <c r="I87" s="44">
        <f>+Tabla1347[[#This Row],[Precio Total en Pesos]]*3%</f>
        <v>4320</v>
      </c>
    </row>
    <row r="88" spans="2:9" ht="15" customHeight="1" x14ac:dyDescent="0.3">
      <c r="B88" s="3" t="s">
        <v>178</v>
      </c>
      <c r="C88" s="80">
        <v>1</v>
      </c>
      <c r="D88" s="108">
        <f>SUM(Tabla1343[[#This Row],[Columna1]:[Columna5]])</f>
        <v>4</v>
      </c>
      <c r="E88" s="11" t="s">
        <v>313</v>
      </c>
      <c r="F88" s="92" t="s">
        <v>291</v>
      </c>
      <c r="G88" s="93">
        <v>25620</v>
      </c>
      <c r="H88" s="44">
        <f>+Tabla1347[[#This Row],[Cantidad]]*Tabla1347[[#This Row],[Precio Unitario en Pesos /   €]]</f>
        <v>25620</v>
      </c>
      <c r="I88" s="44">
        <f>+Tabla1347[[#This Row],[Precio Total en Pesos]]*3%</f>
        <v>768.6</v>
      </c>
    </row>
    <row r="89" spans="2:9" ht="15" customHeight="1" x14ac:dyDescent="0.3">
      <c r="B89" s="3" t="s">
        <v>180</v>
      </c>
      <c r="C89" s="80">
        <v>1</v>
      </c>
      <c r="D89" s="108">
        <f>SUM(Tabla1343[[#This Row],[Columna1]:[Columna5]])</f>
        <v>1</v>
      </c>
      <c r="E89" s="11" t="s">
        <v>313</v>
      </c>
      <c r="F89" s="92" t="s">
        <v>291</v>
      </c>
      <c r="G89" s="93">
        <v>2770</v>
      </c>
      <c r="H89" s="44">
        <f>+Tabla1347[[#This Row],[Cantidad]]*Tabla1347[[#This Row],[Precio Unitario en Pesos /   €]]</f>
        <v>2770</v>
      </c>
      <c r="I89" s="44">
        <f>+Tabla1347[[#This Row],[Precio Total en Pesos]]*3%</f>
        <v>83.1</v>
      </c>
    </row>
    <row r="90" spans="2:9" ht="15" customHeight="1" x14ac:dyDescent="0.3">
      <c r="B90" s="3" t="s">
        <v>175</v>
      </c>
      <c r="C90" s="80">
        <v>2</v>
      </c>
      <c r="D90" s="108">
        <f>SUM(Tabla1343[[#This Row],[Columna1]:[Columna5]])</f>
        <v>8</v>
      </c>
      <c r="E90" s="11" t="s">
        <v>313</v>
      </c>
      <c r="F90" s="92" t="s">
        <v>291</v>
      </c>
      <c r="G90" s="93">
        <v>890</v>
      </c>
      <c r="H90" s="44">
        <f>+Tabla1347[[#This Row],[Cantidad]]*Tabla1347[[#This Row],[Precio Unitario en Pesos /   €]]</f>
        <v>1780</v>
      </c>
      <c r="I90" s="44">
        <f>+Tabla1347[[#This Row],[Precio Total en Pesos]]*3%</f>
        <v>53.4</v>
      </c>
    </row>
    <row r="91" spans="2:9" ht="15" customHeight="1" x14ac:dyDescent="0.3">
      <c r="B91" s="3" t="s">
        <v>179</v>
      </c>
      <c r="C91" s="80">
        <v>6</v>
      </c>
      <c r="D91" s="108">
        <f>SUM(Tabla1343[[#This Row],[Columna1]:[Columna5]])</f>
        <v>1</v>
      </c>
      <c r="E91" s="11" t="s">
        <v>313</v>
      </c>
      <c r="F91" s="92" t="s">
        <v>291</v>
      </c>
      <c r="G91" s="93">
        <v>890</v>
      </c>
      <c r="H91" s="44">
        <f>+Tabla1347[[#This Row],[Cantidad]]*Tabla1347[[#This Row],[Precio Unitario en Pesos /   €]]</f>
        <v>5340</v>
      </c>
      <c r="I91" s="44">
        <f>+Tabla1347[[#This Row],[Precio Total en Pesos]]*3%</f>
        <v>160.19999999999999</v>
      </c>
    </row>
    <row r="92" spans="2:9" ht="15" customHeight="1" x14ac:dyDescent="0.3">
      <c r="B92" s="136" t="s">
        <v>129</v>
      </c>
      <c r="C92" s="137">
        <v>73</v>
      </c>
      <c r="D92" s="108">
        <f>SUM(Tabla1343[[#This Row],[Columna1]:[Columna5]])</f>
        <v>2</v>
      </c>
      <c r="E92" s="139" t="s">
        <v>314</v>
      </c>
      <c r="F92" s="142" t="s">
        <v>309</v>
      </c>
      <c r="G92" s="140">
        <v>2100</v>
      </c>
      <c r="H92" s="141">
        <f>+Tabla1347[[#This Row],[Cantidad]]*Tabla1347[[#This Row],[Precio Unitario en Pesos /   €]]</f>
        <v>153300</v>
      </c>
      <c r="I92" s="141">
        <f>+Tabla1347[[#This Row],[Precio Total en Pesos]]*3%</f>
        <v>4599</v>
      </c>
    </row>
    <row r="93" spans="2:9" ht="15" customHeight="1" x14ac:dyDescent="0.3">
      <c r="B93" s="136" t="s">
        <v>128</v>
      </c>
      <c r="C93" s="137">
        <v>46</v>
      </c>
      <c r="D93" s="108">
        <f>SUM(Tabla1343[[#This Row],[Columna1]:[Columna5]])</f>
        <v>6</v>
      </c>
      <c r="E93" s="139" t="s">
        <v>314</v>
      </c>
      <c r="F93" s="142" t="s">
        <v>309</v>
      </c>
      <c r="G93" s="140">
        <v>2800</v>
      </c>
      <c r="H93" s="141">
        <f>+Tabla1347[[#This Row],[Cantidad]]*Tabla1347[[#This Row],[Precio Unitario en Pesos /   €]]</f>
        <v>128800</v>
      </c>
      <c r="I93" s="141">
        <f>+Tabla1347[[#This Row],[Precio Total en Pesos]]*3%</f>
        <v>3864</v>
      </c>
    </row>
    <row r="94" spans="2:9" ht="15" customHeight="1" x14ac:dyDescent="0.3">
      <c r="B94" s="136" t="s">
        <v>68</v>
      </c>
      <c r="C94" s="137">
        <v>1024</v>
      </c>
      <c r="D94" s="108">
        <f>SUM(Tabla1343[[#This Row],[Columna1]:[Columna5]])</f>
        <v>73</v>
      </c>
      <c r="E94" s="139" t="s">
        <v>314</v>
      </c>
      <c r="F94" s="142" t="s">
        <v>309</v>
      </c>
      <c r="G94" s="140">
        <v>4528</v>
      </c>
      <c r="H94" s="141">
        <f>+Tabla1347[[#This Row],[Cantidad]]*Tabla1347[[#This Row],[Precio Unitario en Pesos /   €]]</f>
        <v>4636672</v>
      </c>
      <c r="I94" s="141">
        <f>+Tabla1347[[#This Row],[Precio Total en Pesos]]*3%</f>
        <v>139100.16</v>
      </c>
    </row>
    <row r="95" spans="2:9" ht="15" customHeight="1" x14ac:dyDescent="0.3">
      <c r="B95" s="136" t="s">
        <v>146</v>
      </c>
      <c r="C95" s="137">
        <v>2</v>
      </c>
      <c r="D95" s="108">
        <f>SUM(Tabla1343[[#This Row],[Columna1]:[Columna5]])</f>
        <v>46</v>
      </c>
      <c r="E95" s="139" t="s">
        <v>314</v>
      </c>
      <c r="F95" s="142" t="s">
        <v>309</v>
      </c>
      <c r="G95" s="140">
        <f>+G94*2</f>
        <v>9056</v>
      </c>
      <c r="H95" s="141">
        <f>+Tabla1347[[#This Row],[Cantidad]]*Tabla1347[[#This Row],[Precio Unitario en Pesos /   €]]</f>
        <v>18112</v>
      </c>
      <c r="I95" s="141">
        <f>+Tabla1347[[#This Row],[Precio Total en Pesos]]*3%</f>
        <v>543.36</v>
      </c>
    </row>
    <row r="96" spans="2:9" ht="15" customHeight="1" x14ac:dyDescent="0.3">
      <c r="B96" s="3" t="s">
        <v>89</v>
      </c>
      <c r="C96" s="80">
        <v>3</v>
      </c>
      <c r="D96" s="108">
        <f>SUM(Tabla1343[[#This Row],[Columna1]:[Columna5]])</f>
        <v>1024</v>
      </c>
      <c r="E96" s="11" t="s">
        <v>313</v>
      </c>
      <c r="F96" s="126" t="s">
        <v>309</v>
      </c>
      <c r="G96" s="93">
        <v>19850</v>
      </c>
      <c r="H96" s="44">
        <f>+Tabla1347[[#This Row],[Cantidad]]*Tabla1347[[#This Row],[Precio Unitario en Pesos /   €]]</f>
        <v>59550</v>
      </c>
      <c r="I96" s="44">
        <f>+Tabla1347[[#This Row],[Precio Total en Pesos]]*3%</f>
        <v>1786.5</v>
      </c>
    </row>
    <row r="97" spans="2:9" ht="15" customHeight="1" x14ac:dyDescent="0.3">
      <c r="B97" s="3" t="s">
        <v>205</v>
      </c>
      <c r="C97" s="80">
        <v>21</v>
      </c>
      <c r="D97" s="108">
        <f>SUM(Tabla1343[[#This Row],[Columna1]:[Columna5]])</f>
        <v>2</v>
      </c>
      <c r="E97" s="11" t="s">
        <v>313</v>
      </c>
      <c r="F97" s="92" t="s">
        <v>290</v>
      </c>
      <c r="G97" s="93">
        <v>150</v>
      </c>
      <c r="H97" s="44">
        <f>+Tabla1347[[#This Row],[Cantidad]]*Tabla1347[[#This Row],[Precio Unitario en Pesos /   €]]</f>
        <v>3150</v>
      </c>
      <c r="I97" s="44">
        <f>+Tabla1347[[#This Row],[Precio Total en Pesos]]*3%</f>
        <v>94.5</v>
      </c>
    </row>
    <row r="98" spans="2:9" ht="15" customHeight="1" x14ac:dyDescent="0.3">
      <c r="B98" s="3" t="s">
        <v>254</v>
      </c>
      <c r="C98" s="80">
        <v>6</v>
      </c>
      <c r="D98" s="108">
        <f>SUM(Tabla1343[[#This Row],[Columna1]:[Columna5]])</f>
        <v>3</v>
      </c>
      <c r="E98" s="11" t="s">
        <v>313</v>
      </c>
      <c r="F98" s="92" t="s">
        <v>291</v>
      </c>
      <c r="G98" s="93">
        <v>6900</v>
      </c>
      <c r="H98" s="44">
        <f>+Tabla1347[[#This Row],[Cantidad]]*Tabla1347[[#This Row],[Precio Unitario en Pesos /   €]]</f>
        <v>41400</v>
      </c>
      <c r="I98" s="44">
        <f>+Tabla1347[[#This Row],[Precio Total en Pesos]]*3%</f>
        <v>1242</v>
      </c>
    </row>
    <row r="99" spans="2:9" ht="15" customHeight="1" x14ac:dyDescent="0.3">
      <c r="B99" s="143" t="s">
        <v>197</v>
      </c>
      <c r="C99" s="144">
        <v>2</v>
      </c>
      <c r="D99" s="109">
        <f>SUM(Tabla1343[[#This Row],[Columna1]:[Columna5]])</f>
        <v>21</v>
      </c>
      <c r="E99" s="145" t="s">
        <v>314</v>
      </c>
      <c r="F99" s="146" t="s">
        <v>296</v>
      </c>
      <c r="G99" s="140">
        <v>0</v>
      </c>
      <c r="H99" s="141">
        <f>+Tabla1347[[#This Row],[Cantidad]]*Tabla1347[[#This Row],[Precio Unitario en Pesos /   €]]</f>
        <v>0</v>
      </c>
      <c r="I99" s="141">
        <f>+Tabla1347[[#This Row],[Precio Total en Pesos]]*3%</f>
        <v>0</v>
      </c>
    </row>
    <row r="100" spans="2:9" ht="15" customHeight="1" x14ac:dyDescent="0.3">
      <c r="B100" s="136" t="s">
        <v>100</v>
      </c>
      <c r="C100" s="137">
        <v>6</v>
      </c>
      <c r="D100" s="108">
        <v>6</v>
      </c>
      <c r="E100" s="145" t="s">
        <v>314</v>
      </c>
      <c r="F100" s="146" t="s">
        <v>296</v>
      </c>
      <c r="G100" s="140">
        <v>0</v>
      </c>
      <c r="H100" s="141">
        <f>+Tabla1347[[#This Row],[Cantidad]]*Tabla1347[[#This Row],[Precio Unitario en Pesos /   €]]</f>
        <v>0</v>
      </c>
      <c r="I100" s="141">
        <f>+Tabla1347[[#This Row],[Precio Total en Pesos]]*3%</f>
        <v>0</v>
      </c>
    </row>
    <row r="101" spans="2:9" ht="15" customHeight="1" x14ac:dyDescent="0.3">
      <c r="B101" s="136" t="s">
        <v>99</v>
      </c>
      <c r="C101" s="137">
        <v>7</v>
      </c>
      <c r="D101" s="108">
        <v>7</v>
      </c>
      <c r="E101" s="145" t="s">
        <v>314</v>
      </c>
      <c r="F101" s="146" t="s">
        <v>296</v>
      </c>
      <c r="G101" s="140">
        <v>0</v>
      </c>
      <c r="H101" s="141">
        <f>+Tabla1347[[#This Row],[Cantidad]]*Tabla1347[[#This Row],[Precio Unitario en Pesos /   €]]</f>
        <v>0</v>
      </c>
      <c r="I101" s="141">
        <f>+Tabla1347[[#This Row],[Precio Total en Pesos]]*3%</f>
        <v>0</v>
      </c>
    </row>
    <row r="102" spans="2:9" ht="15" customHeight="1" x14ac:dyDescent="0.3">
      <c r="B102" s="136" t="s">
        <v>264</v>
      </c>
      <c r="C102" s="137">
        <v>8</v>
      </c>
      <c r="D102" s="108">
        <f>SUM(Tabla1343[[#This Row],[Columna1]:[Columna5]])</f>
        <v>0</v>
      </c>
      <c r="E102" s="145" t="s">
        <v>314</v>
      </c>
      <c r="F102" s="146" t="s">
        <v>296</v>
      </c>
      <c r="G102" s="140">
        <v>0</v>
      </c>
      <c r="H102" s="141">
        <f>+Tabla1347[[#This Row],[Cantidad]]*Tabla1347[[#This Row],[Precio Unitario en Pesos /   €]]</f>
        <v>0</v>
      </c>
      <c r="I102" s="141">
        <f>+Tabla1347[[#This Row],[Precio Total en Pesos]]*3%</f>
        <v>0</v>
      </c>
    </row>
    <row r="103" spans="2:9" ht="15" customHeight="1" x14ac:dyDescent="0.3">
      <c r="B103" s="136" t="s">
        <v>93</v>
      </c>
      <c r="C103" s="137">
        <v>12</v>
      </c>
      <c r="D103" s="108">
        <f>SUM(Tabla1343[[#This Row],[Columna1]:[Columna5]])</f>
        <v>0</v>
      </c>
      <c r="E103" s="145" t="s">
        <v>314</v>
      </c>
      <c r="F103" s="146" t="s">
        <v>296</v>
      </c>
      <c r="G103" s="140">
        <v>0</v>
      </c>
      <c r="H103" s="141">
        <f>+Tabla1347[[#This Row],[Cantidad]]*Tabla1347[[#This Row],[Precio Unitario en Pesos /   €]]</f>
        <v>0</v>
      </c>
      <c r="I103" s="141">
        <f>+Tabla1347[[#This Row],[Precio Total en Pesos]]*3%</f>
        <v>0</v>
      </c>
    </row>
    <row r="104" spans="2:9" ht="15" customHeight="1" x14ac:dyDescent="0.3">
      <c r="B104" s="136" t="s">
        <v>54</v>
      </c>
      <c r="C104" s="137">
        <v>200</v>
      </c>
      <c r="D104" s="108">
        <f>SUM(Tabla1343[[#This Row],[Columna1]:[Columna5]])</f>
        <v>8</v>
      </c>
      <c r="E104" s="145" t="s">
        <v>314</v>
      </c>
      <c r="F104" s="142" t="s">
        <v>309</v>
      </c>
      <c r="G104" s="140">
        <v>11300</v>
      </c>
      <c r="H104" s="141">
        <f>+Tabla1347[[#This Row],[Cantidad]]*Tabla1347[[#This Row],[Precio Unitario en Pesos /   €]]</f>
        <v>2260000</v>
      </c>
      <c r="I104" s="141">
        <f>+Tabla1347[[#This Row],[Precio Total en Pesos]]*3%</f>
        <v>67800</v>
      </c>
    </row>
    <row r="105" spans="2:9" ht="15" customHeight="1" x14ac:dyDescent="0.3">
      <c r="B105" s="136" t="s">
        <v>55</v>
      </c>
      <c r="C105" s="137">
        <f>367+260</f>
        <v>627</v>
      </c>
      <c r="D105" s="108">
        <f>SUM(Tabla1343[[#This Row],[Columna1]:[Columna5]])</f>
        <v>12</v>
      </c>
      <c r="E105" s="145" t="s">
        <v>314</v>
      </c>
      <c r="F105" s="142" t="s">
        <v>309</v>
      </c>
      <c r="G105" s="140">
        <v>14800</v>
      </c>
      <c r="H105" s="141">
        <f>+Tabla1347[[#This Row],[Cantidad]]*Tabla1347[[#This Row],[Precio Unitario en Pesos /   €]]</f>
        <v>9279600</v>
      </c>
      <c r="I105" s="141">
        <f>+Tabla1347[[#This Row],[Precio Total en Pesos]]*3%</f>
        <v>278388</v>
      </c>
    </row>
    <row r="106" spans="2:9" ht="15" customHeight="1" x14ac:dyDescent="0.3">
      <c r="B106" s="3" t="s">
        <v>316</v>
      </c>
      <c r="C106" s="80">
        <v>3</v>
      </c>
      <c r="D106" s="108">
        <f>SUM(Tabla1343[[#This Row],[Columna1]:[Columna5]])</f>
        <v>200</v>
      </c>
      <c r="E106" s="68" t="s">
        <v>313</v>
      </c>
      <c r="F106" s="92" t="s">
        <v>290</v>
      </c>
      <c r="G106" s="93"/>
      <c r="H106" s="44">
        <f>+Tabla1347[[#This Row],[Cantidad]]*Tabla1347[[#This Row],[Precio Unitario en Pesos /   €]]</f>
        <v>0</v>
      </c>
      <c r="I106" s="44">
        <f>+Tabla1347[[#This Row],[Precio Total en Pesos]]*3%</f>
        <v>0</v>
      </c>
    </row>
    <row r="107" spans="2:9" ht="16.95" customHeight="1" x14ac:dyDescent="0.3">
      <c r="B107" s="3"/>
      <c r="C107" s="4"/>
      <c r="D107" s="10">
        <f>SUM(Tabla1343[[#This Row],[Columna1]:[Columna5]])</f>
        <v>367</v>
      </c>
      <c r="E107" s="11"/>
      <c r="F107" s="105"/>
      <c r="G107" s="105"/>
      <c r="H107" s="105"/>
      <c r="I107" s="106">
        <f>SUBTOTAL(109,I5:I106)</f>
        <v>946776.89999999991</v>
      </c>
    </row>
    <row r="108" spans="2:9" ht="16.95" customHeight="1" x14ac:dyDescent="0.3">
      <c r="B108" s="3"/>
      <c r="C108" s="130"/>
      <c r="D108" s="128">
        <f>SUM(Tabla1343[[#This Row],[Columna1]:[Columna5]])</f>
        <v>0</v>
      </c>
      <c r="E108" s="11"/>
      <c r="F108" s="154"/>
      <c r="G108" s="154"/>
      <c r="H108" s="154"/>
      <c r="I108" s="106"/>
    </row>
    <row r="109" spans="2:9" ht="15" customHeight="1" x14ac:dyDescent="0.3">
      <c r="B109" s="48" t="s">
        <v>164</v>
      </c>
      <c r="C109" s="83">
        <v>6</v>
      </c>
      <c r="D109" s="110">
        <f>SUM(Tabla1343[[#This Row],[Columna1]:[Columna5]])</f>
        <v>6</v>
      </c>
      <c r="E109" s="50" t="s">
        <v>279</v>
      </c>
      <c r="F109" s="94" t="s">
        <v>230</v>
      </c>
      <c r="G109" s="96">
        <v>39.65</v>
      </c>
      <c r="H109" s="81">
        <f>+Tabla1347[[#This Row],[Cantidad]]*Tabla1347[[#This Row],[Precio Unitario en Pesos /   €]]*I$3</f>
        <v>34138.649999999994</v>
      </c>
      <c r="I109" s="81">
        <f>SUM(H109)</f>
        <v>34138.649999999994</v>
      </c>
    </row>
    <row r="110" spans="2:9" ht="15" customHeight="1" x14ac:dyDescent="0.3">
      <c r="B110" s="48" t="s">
        <v>10</v>
      </c>
      <c r="C110" s="49">
        <v>301</v>
      </c>
      <c r="D110" s="111">
        <f>SUM(Tabla1343[[#This Row],[Columna1]:[Columna5]])</f>
        <v>301</v>
      </c>
      <c r="E110" s="50" t="s">
        <v>279</v>
      </c>
      <c r="F110" s="95" t="s">
        <v>230</v>
      </c>
      <c r="G110" s="97">
        <v>28.34</v>
      </c>
      <c r="H110" s="81">
        <f>+Tabla1347[[#This Row],[Cantidad]]*Tabla1347[[#This Row],[Precio Unitario en Pesos /   €]]*I$3</f>
        <v>1224103.79</v>
      </c>
      <c r="I110" s="81">
        <f>+Tabla1347[[#This Row],[Precio Total en Pesos]]*3%</f>
        <v>36723.113700000002</v>
      </c>
    </row>
    <row r="111" spans="2:9" ht="15" customHeight="1" x14ac:dyDescent="0.3">
      <c r="B111" s="48" t="s">
        <v>73</v>
      </c>
      <c r="C111" s="83">
        <v>43</v>
      </c>
      <c r="D111" s="110">
        <f>SUM(Tabla1343[[#This Row],[Columna1]:[Columna5]])</f>
        <v>43</v>
      </c>
      <c r="E111" s="50" t="s">
        <v>279</v>
      </c>
      <c r="F111" s="94" t="s">
        <v>230</v>
      </c>
      <c r="G111" s="96"/>
      <c r="H111" s="81">
        <f>+Tabla1347[[#This Row],[Cantidad]]*Tabla1347[[#This Row],[Precio Unitario en Pesos /   €]]*I$3</f>
        <v>0</v>
      </c>
      <c r="I111" s="81">
        <f>+Tabla1347[[#This Row],[Precio Total en Pesos]]*3%</f>
        <v>0</v>
      </c>
    </row>
    <row r="112" spans="2:9" ht="15" customHeight="1" x14ac:dyDescent="0.3">
      <c r="B112" s="48" t="s">
        <v>92</v>
      </c>
      <c r="C112" s="83">
        <v>2</v>
      </c>
      <c r="D112" s="110">
        <f>SUM(Tabla1343[[#This Row],[Columna1]:[Columna5]])</f>
        <v>2</v>
      </c>
      <c r="E112" s="50" t="s">
        <v>279</v>
      </c>
      <c r="F112" s="94" t="s">
        <v>230</v>
      </c>
      <c r="G112" s="96"/>
      <c r="H112" s="81">
        <f>+Tabla1347[[#This Row],[Cantidad]]*Tabla1347[[#This Row],[Precio Unitario en Pesos /   €]]*I$3</f>
        <v>0</v>
      </c>
      <c r="I112" s="81">
        <f>+Tabla1347[[#This Row],[Precio Total en Pesos]]*3%</f>
        <v>0</v>
      </c>
    </row>
    <row r="113" spans="2:9" ht="15" customHeight="1" x14ac:dyDescent="0.3">
      <c r="B113" s="48" t="s">
        <v>30</v>
      </c>
      <c r="C113" s="83">
        <v>311</v>
      </c>
      <c r="D113" s="110">
        <f>SUM(Tabla1343[[#This Row],[Columna1]:[Columna5]])</f>
        <v>311</v>
      </c>
      <c r="E113" s="50" t="s">
        <v>279</v>
      </c>
      <c r="F113" s="94" t="s">
        <v>230</v>
      </c>
      <c r="G113" s="96">
        <v>19.89</v>
      </c>
      <c r="H113" s="81">
        <f>+Tabla1347[[#This Row],[Cantidad]]*Tabla1347[[#This Row],[Precio Unitario en Pesos /   €]]*I$3</f>
        <v>887660.86499999999</v>
      </c>
      <c r="I113" s="81">
        <f>+Tabla1347[[#This Row],[Precio Total en Pesos]]*3%</f>
        <v>26629.825949999999</v>
      </c>
    </row>
    <row r="114" spans="2:9" ht="15" customHeight="1" x14ac:dyDescent="0.3">
      <c r="B114" s="48" t="s">
        <v>60</v>
      </c>
      <c r="C114" s="83">
        <v>6</v>
      </c>
      <c r="D114" s="110">
        <f>SUM(Tabla1343[[#This Row],[Columna1]:[Columna5]])</f>
        <v>6</v>
      </c>
      <c r="E114" s="50" t="s">
        <v>279</v>
      </c>
      <c r="F114" s="94" t="s">
        <v>230</v>
      </c>
      <c r="G114" s="96"/>
      <c r="H114" s="81">
        <f>+Tabla1347[[#This Row],[Cantidad]]*Tabla1347[[#This Row],[Precio Unitario en Pesos /   €]]*I$3</f>
        <v>0</v>
      </c>
      <c r="I114" s="81">
        <f>+Tabla1347[[#This Row],[Precio Total en Pesos]]*3%</f>
        <v>0</v>
      </c>
    </row>
    <row r="115" spans="2:9" ht="15" customHeight="1" x14ac:dyDescent="0.3">
      <c r="B115" s="48" t="s">
        <v>149</v>
      </c>
      <c r="C115" s="83">
        <v>13</v>
      </c>
      <c r="D115" s="110">
        <f>SUM(Tabla1343[[#This Row],[Columna1]:[Columna5]])</f>
        <v>13</v>
      </c>
      <c r="E115" s="50" t="s">
        <v>279</v>
      </c>
      <c r="F115" s="94" t="s">
        <v>230</v>
      </c>
      <c r="G115" s="96"/>
      <c r="H115" s="81">
        <f>+Tabla1347[[#This Row],[Cantidad]]*Tabla1347[[#This Row],[Precio Unitario en Pesos /   €]]*I$3</f>
        <v>0</v>
      </c>
      <c r="I115" s="81">
        <f>+Tabla1347[[#This Row],[Precio Total en Pesos]]*3%</f>
        <v>0</v>
      </c>
    </row>
    <row r="116" spans="2:9" ht="15" customHeight="1" x14ac:dyDescent="0.3">
      <c r="B116" s="48" t="s">
        <v>256</v>
      </c>
      <c r="C116" s="83">
        <v>25</v>
      </c>
      <c r="D116" s="110">
        <f>SUM(Tabla1343[[#This Row],[Columna1]:[Columna5]])</f>
        <v>25</v>
      </c>
      <c r="E116" s="50" t="s">
        <v>279</v>
      </c>
      <c r="F116" s="94" t="s">
        <v>230</v>
      </c>
      <c r="G116" s="96"/>
      <c r="H116" s="81">
        <f>+Tabla1347[[#This Row],[Cantidad]]*Tabla1347[[#This Row],[Precio Unitario en Pesos /   €]]*I$3</f>
        <v>0</v>
      </c>
      <c r="I116" s="81">
        <f>+Tabla1347[[#This Row],[Precio Total en Pesos]]*3%</f>
        <v>0</v>
      </c>
    </row>
    <row r="117" spans="2:9" ht="15" customHeight="1" x14ac:dyDescent="0.3">
      <c r="B117" s="48" t="s">
        <v>260</v>
      </c>
      <c r="C117" s="83">
        <v>4</v>
      </c>
      <c r="D117" s="110">
        <f>SUM(Tabla1343[[#This Row],[Columna1]:[Columna5]])</f>
        <v>4</v>
      </c>
      <c r="E117" s="50" t="s">
        <v>279</v>
      </c>
      <c r="F117" s="94" t="s">
        <v>230</v>
      </c>
      <c r="G117" s="96">
        <v>70.59</v>
      </c>
      <c r="H117" s="81">
        <f>+Tabla1347[[#This Row],[Cantidad]]*Tabla1347[[#This Row],[Precio Unitario en Pesos /   €]]*I$3</f>
        <v>40518.660000000003</v>
      </c>
      <c r="I117" s="81">
        <f>+Tabla1347[[#This Row],[Precio Total en Pesos]]*3%</f>
        <v>1215.5598</v>
      </c>
    </row>
    <row r="118" spans="2:9" ht="15" customHeight="1" x14ac:dyDescent="0.3">
      <c r="B118" s="48" t="s">
        <v>261</v>
      </c>
      <c r="C118" s="83">
        <v>111</v>
      </c>
      <c r="D118" s="110">
        <f>SUM(Tabla1343[[#This Row],[Columna1]:[Columna5]])</f>
        <v>111</v>
      </c>
      <c r="E118" s="50" t="s">
        <v>279</v>
      </c>
      <c r="F118" s="94" t="s">
        <v>230</v>
      </c>
      <c r="G118" s="96">
        <v>65.650000000000006</v>
      </c>
      <c r="H118" s="81">
        <f>+Tabla1347[[#This Row],[Cantidad]]*Tabla1347[[#This Row],[Precio Unitario en Pesos /   €]]*I$3</f>
        <v>1045706.025</v>
      </c>
      <c r="I118" s="81">
        <f>+Tabla1347[[#This Row],[Precio Total en Pesos]]*3%</f>
        <v>31371.18075</v>
      </c>
    </row>
    <row r="119" spans="2:9" ht="15" customHeight="1" x14ac:dyDescent="0.3">
      <c r="B119" s="48" t="s">
        <v>257</v>
      </c>
      <c r="C119" s="83">
        <v>21</v>
      </c>
      <c r="D119" s="110">
        <f>SUM(Tabla1343[[#This Row],[Columna1]:[Columna5]])</f>
        <v>21</v>
      </c>
      <c r="E119" s="50" t="s">
        <v>279</v>
      </c>
      <c r="F119" s="94" t="s">
        <v>230</v>
      </c>
      <c r="G119" s="96"/>
      <c r="H119" s="81">
        <f>+Tabla1347[[#This Row],[Cantidad]]*Tabla1347[[#This Row],[Precio Unitario en Pesos /   €]]*I$3</f>
        <v>0</v>
      </c>
      <c r="I119" s="81">
        <f>+Tabla1347[[#This Row],[Precio Total en Pesos]]*3%</f>
        <v>0</v>
      </c>
    </row>
    <row r="120" spans="2:9" ht="15" customHeight="1" x14ac:dyDescent="0.3">
      <c r="B120" s="48" t="s">
        <v>262</v>
      </c>
      <c r="C120" s="83">
        <v>725</v>
      </c>
      <c r="D120" s="110">
        <f>SUM(Tabla1343[[#This Row],[Columna1]:[Columna5]])</f>
        <v>725</v>
      </c>
      <c r="E120" s="50" t="s">
        <v>279</v>
      </c>
      <c r="F120" s="94" t="s">
        <v>230</v>
      </c>
      <c r="G120" s="96"/>
      <c r="H120" s="81">
        <f>+Tabla1347[[#This Row],[Cantidad]]*Tabla1347[[#This Row],[Precio Unitario en Pesos /   €]]*I$3</f>
        <v>0</v>
      </c>
      <c r="I120" s="81">
        <f>+Tabla1347[[#This Row],[Precio Total en Pesos]]*3%</f>
        <v>0</v>
      </c>
    </row>
    <row r="121" spans="2:9" ht="15" customHeight="1" x14ac:dyDescent="0.3">
      <c r="B121" s="48" t="s">
        <v>258</v>
      </c>
      <c r="C121" s="83">
        <v>7</v>
      </c>
      <c r="D121" s="110">
        <f>SUM(Tabla1343[[#This Row],[Columna1]:[Columna5]])</f>
        <v>7</v>
      </c>
      <c r="E121" s="50" t="s">
        <v>279</v>
      </c>
      <c r="F121" s="94" t="s">
        <v>230</v>
      </c>
      <c r="G121" s="96"/>
      <c r="H121" s="81">
        <f>+Tabla1347[[#This Row],[Cantidad]]*Tabla1347[[#This Row],[Precio Unitario en Pesos /   €]]*I$3</f>
        <v>0</v>
      </c>
      <c r="I121" s="81">
        <f>+Tabla1347[[#This Row],[Precio Total en Pesos]]*3%</f>
        <v>0</v>
      </c>
    </row>
    <row r="122" spans="2:9" ht="15" customHeight="1" x14ac:dyDescent="0.3">
      <c r="B122" s="48" t="s">
        <v>302</v>
      </c>
      <c r="C122" s="83">
        <v>8</v>
      </c>
      <c r="D122" s="110">
        <f>SUM(Tabla1343[[#This Row],[Columna1]:[Columna5]])</f>
        <v>8</v>
      </c>
      <c r="E122" s="50" t="s">
        <v>279</v>
      </c>
      <c r="F122" s="94" t="s">
        <v>230</v>
      </c>
      <c r="G122" s="96"/>
      <c r="H122" s="81">
        <f>+Tabla1347[[#This Row],[Cantidad]]*Tabla1347[[#This Row],[Precio Unitario en Pesos /   €]]*I$3</f>
        <v>0</v>
      </c>
      <c r="I122" s="81">
        <f>+Tabla1347[[#This Row],[Precio Total en Pesos]]*3%</f>
        <v>0</v>
      </c>
    </row>
    <row r="123" spans="2:9" ht="15" customHeight="1" x14ac:dyDescent="0.3">
      <c r="B123" s="48" t="s">
        <v>232</v>
      </c>
      <c r="C123" s="83">
        <v>8</v>
      </c>
      <c r="D123" s="110">
        <f>SUM(Tabla1343[[#This Row],[Columna1]:[Columna5]])</f>
        <v>8</v>
      </c>
      <c r="E123" s="50" t="s">
        <v>279</v>
      </c>
      <c r="F123" s="94" t="s">
        <v>230</v>
      </c>
      <c r="G123" s="96"/>
      <c r="H123" s="81">
        <f>+Tabla1347[[#This Row],[Cantidad]]*Tabla1347[[#This Row],[Precio Unitario en Pesos /   €]]*I$3</f>
        <v>0</v>
      </c>
      <c r="I123" s="81">
        <f>+Tabla1347[[#This Row],[Precio Total en Pesos]]*3%</f>
        <v>0</v>
      </c>
    </row>
    <row r="124" spans="2:9" ht="15" customHeight="1" x14ac:dyDescent="0.3">
      <c r="B124" s="48" t="s">
        <v>16</v>
      </c>
      <c r="C124" s="83">
        <v>4</v>
      </c>
      <c r="D124" s="110">
        <f>SUM(Tabla1343[[#This Row],[Columna1]:[Columna5]])</f>
        <v>4</v>
      </c>
      <c r="E124" s="50" t="s">
        <v>279</v>
      </c>
      <c r="F124" s="94" t="s">
        <v>230</v>
      </c>
      <c r="G124" s="96"/>
      <c r="H124" s="81">
        <f>+Tabla1347[[#This Row],[Cantidad]]*Tabla1347[[#This Row],[Precio Unitario en Pesos /   €]]*I$3</f>
        <v>0</v>
      </c>
      <c r="I124" s="81">
        <f>+Tabla1347[[#This Row],[Precio Total en Pesos]]*3%</f>
        <v>0</v>
      </c>
    </row>
    <row r="125" spans="2:9" ht="15" customHeight="1" x14ac:dyDescent="0.3">
      <c r="B125" s="48" t="s">
        <v>107</v>
      </c>
      <c r="C125" s="83">
        <v>260</v>
      </c>
      <c r="D125" s="110">
        <f>SUM(Tabla1343[[#This Row],[Columna1]:[Columna5]])</f>
        <v>258</v>
      </c>
      <c r="E125" s="50" t="s">
        <v>279</v>
      </c>
      <c r="F125" s="94" t="s">
        <v>230</v>
      </c>
      <c r="G125" s="96"/>
      <c r="H125" s="81">
        <f>+Tabla1347[[#This Row],[Cantidad]]*Tabla1347[[#This Row],[Precio Unitario en Pesos /   €]]*I$3</f>
        <v>0</v>
      </c>
      <c r="I125" s="81">
        <f>+Tabla1347[[#This Row],[Precio Total en Pesos]]*3%</f>
        <v>0</v>
      </c>
    </row>
    <row r="126" spans="2:9" ht="15" customHeight="1" x14ac:dyDescent="0.3">
      <c r="B126" s="48" t="s">
        <v>101</v>
      </c>
      <c r="C126" s="83">
        <v>67</v>
      </c>
      <c r="D126" s="110">
        <f>SUM(Tabla1343[[#This Row],[Columna1]:[Columna5]])</f>
        <v>65</v>
      </c>
      <c r="E126" s="50" t="s">
        <v>279</v>
      </c>
      <c r="F126" s="94" t="s">
        <v>230</v>
      </c>
      <c r="G126" s="96"/>
      <c r="H126" s="81">
        <f>+Tabla1347[[#This Row],[Cantidad]]*Tabla1347[[#This Row],[Precio Unitario en Pesos /   €]]*I$3</f>
        <v>0</v>
      </c>
      <c r="I126" s="81">
        <f>+Tabla1347[[#This Row],[Precio Total en Pesos]]*3%</f>
        <v>0</v>
      </c>
    </row>
    <row r="127" spans="2:9" ht="15" customHeight="1" x14ac:dyDescent="0.3">
      <c r="B127" s="48" t="s">
        <v>227</v>
      </c>
      <c r="C127" s="83">
        <v>1526</v>
      </c>
      <c r="D127" s="110">
        <f>SUM(Tabla1343[[#This Row],[Columna1]:[Columna5]])</f>
        <v>1526</v>
      </c>
      <c r="E127" s="50" t="s">
        <v>279</v>
      </c>
      <c r="F127" s="94" t="s">
        <v>230</v>
      </c>
      <c r="G127" s="96"/>
      <c r="H127" s="81">
        <f>+Tabla1347[[#This Row],[Cantidad]]*Tabla1347[[#This Row],[Precio Unitario en Pesos /   €]]*I$3</f>
        <v>0</v>
      </c>
      <c r="I127" s="81">
        <f>+Tabla1347[[#This Row],[Precio Total en Pesos]]*3%</f>
        <v>0</v>
      </c>
    </row>
    <row r="128" spans="2:9" ht="15" customHeight="1" x14ac:dyDescent="0.3">
      <c r="B128" s="48" t="s">
        <v>108</v>
      </c>
      <c r="C128" s="83">
        <v>15</v>
      </c>
      <c r="D128" s="110">
        <f>SUM(Tabla1343[[#This Row],[Columna1]:[Columna5]])</f>
        <v>15</v>
      </c>
      <c r="E128" s="50" t="s">
        <v>279</v>
      </c>
      <c r="F128" s="94" t="s">
        <v>230</v>
      </c>
      <c r="G128" s="96"/>
      <c r="H128" s="81">
        <f>+Tabla1347[[#This Row],[Cantidad]]*Tabla1347[[#This Row],[Precio Unitario en Pesos /   €]]*I$3</f>
        <v>0</v>
      </c>
      <c r="I128" s="81">
        <f>+Tabla1347[[#This Row],[Precio Total en Pesos]]*3%</f>
        <v>0</v>
      </c>
    </row>
    <row r="129" spans="2:9" ht="15" customHeight="1" x14ac:dyDescent="0.3">
      <c r="B129" s="48" t="s">
        <v>109</v>
      </c>
      <c r="C129" s="83">
        <v>29</v>
      </c>
      <c r="D129" s="110">
        <f>SUM(Tabla1343[[#This Row],[Columna1]:[Columna5]])</f>
        <v>29</v>
      </c>
      <c r="E129" s="50" t="s">
        <v>279</v>
      </c>
      <c r="F129" s="94" t="s">
        <v>230</v>
      </c>
      <c r="G129" s="96"/>
      <c r="H129" s="81">
        <f>+Tabla1347[[#This Row],[Cantidad]]*Tabla1347[[#This Row],[Precio Unitario en Pesos /   €]]*I$3</f>
        <v>0</v>
      </c>
      <c r="I129" s="81">
        <f>+Tabla1347[[#This Row],[Precio Total en Pesos]]*3%</f>
        <v>0</v>
      </c>
    </row>
    <row r="130" spans="2:9" ht="15" customHeight="1" x14ac:dyDescent="0.3">
      <c r="B130" s="48" t="s">
        <v>26</v>
      </c>
      <c r="C130" s="83">
        <v>71</v>
      </c>
      <c r="D130" s="110">
        <f>SUM(Tabla1343[[#This Row],[Columna1]:[Columna5]])</f>
        <v>71</v>
      </c>
      <c r="E130" s="50" t="s">
        <v>279</v>
      </c>
      <c r="F130" s="94" t="s">
        <v>230</v>
      </c>
      <c r="G130" s="96"/>
      <c r="H130" s="81">
        <f>+Tabla1347[[#This Row],[Cantidad]]*Tabla1347[[#This Row],[Precio Unitario en Pesos /   €]]*I$3</f>
        <v>0</v>
      </c>
      <c r="I130" s="81">
        <f>+Tabla1347[[#This Row],[Precio Total en Pesos]]*3%</f>
        <v>0</v>
      </c>
    </row>
    <row r="131" spans="2:9" ht="15" customHeight="1" x14ac:dyDescent="0.3">
      <c r="B131" s="48" t="s">
        <v>113</v>
      </c>
      <c r="C131" s="83">
        <v>9</v>
      </c>
      <c r="D131" s="110">
        <f>SUM(Tabla1343[[#This Row],[Columna1]:[Columna5]])</f>
        <v>9</v>
      </c>
      <c r="E131" s="50" t="s">
        <v>279</v>
      </c>
      <c r="F131" s="94" t="s">
        <v>230</v>
      </c>
      <c r="G131" s="96"/>
      <c r="H131" s="81">
        <f>+Tabla1347[[#This Row],[Cantidad]]*Tabla1347[[#This Row],[Precio Unitario en Pesos /   €]]*I$3</f>
        <v>0</v>
      </c>
      <c r="I131" s="81">
        <f>+Tabla1347[[#This Row],[Precio Total en Pesos]]*3%</f>
        <v>0</v>
      </c>
    </row>
    <row r="132" spans="2:9" ht="15" customHeight="1" x14ac:dyDescent="0.3">
      <c r="B132" s="53" t="s">
        <v>111</v>
      </c>
      <c r="C132" s="84">
        <v>12</v>
      </c>
      <c r="D132" s="112">
        <f>SUM(Tabla1343[[#This Row],[Columna1]:[Columna5]])</f>
        <v>12</v>
      </c>
      <c r="E132" s="69" t="s">
        <v>279</v>
      </c>
      <c r="F132" s="94" t="s">
        <v>230</v>
      </c>
      <c r="G132" s="96"/>
      <c r="H132" s="81">
        <f>+Tabla1347[[#This Row],[Cantidad]]*Tabla1347[[#This Row],[Precio Unitario en Pesos /   €]]*I$3</f>
        <v>0</v>
      </c>
      <c r="I132" s="81">
        <f>+Tabla1347[[#This Row],[Precio Total en Pesos]]*3%</f>
        <v>0</v>
      </c>
    </row>
    <row r="133" spans="2:9" ht="15" customHeight="1" x14ac:dyDescent="0.3">
      <c r="B133" s="48" t="s">
        <v>110</v>
      </c>
      <c r="C133" s="83">
        <v>109</v>
      </c>
      <c r="D133" s="110">
        <f>SUM(Tabla1343[[#This Row],[Columna1]:[Columna5]])</f>
        <v>109</v>
      </c>
      <c r="E133" s="50" t="s">
        <v>279</v>
      </c>
      <c r="F133" s="94" t="s">
        <v>230</v>
      </c>
      <c r="G133" s="96"/>
      <c r="H133" s="81">
        <f>+Tabla1347[[#This Row],[Cantidad]]*Tabla1347[[#This Row],[Precio Unitario en Pesos /   €]]*I$3</f>
        <v>0</v>
      </c>
      <c r="I133" s="81">
        <f>+Tabla1347[[#This Row],[Precio Total en Pesos]]*3%</f>
        <v>0</v>
      </c>
    </row>
    <row r="134" spans="2:9" ht="15" customHeight="1" x14ac:dyDescent="0.3">
      <c r="B134" s="48" t="s">
        <v>263</v>
      </c>
      <c r="C134" s="83">
        <v>15</v>
      </c>
      <c r="D134" s="110">
        <f>SUM(Tabla1343[[#This Row],[Columna1]:[Columna5]])</f>
        <v>15</v>
      </c>
      <c r="E134" s="50" t="s">
        <v>279</v>
      </c>
      <c r="F134" s="94" t="s">
        <v>230</v>
      </c>
      <c r="G134" s="96"/>
      <c r="H134" s="81">
        <f>+Tabla1347[[#This Row],[Cantidad]]*Tabla1347[[#This Row],[Precio Unitario en Pesos /   €]]*I$3</f>
        <v>0</v>
      </c>
      <c r="I134" s="81">
        <f>+Tabla1347[[#This Row],[Precio Total en Pesos]]*3%</f>
        <v>0</v>
      </c>
    </row>
    <row r="135" spans="2:9" ht="15" customHeight="1" x14ac:dyDescent="0.3">
      <c r="B135" s="53" t="s">
        <v>163</v>
      </c>
      <c r="C135" s="84">
        <v>2</v>
      </c>
      <c r="D135" s="112">
        <f>SUM(Tabla1343[[#This Row],[Columna1]:[Columna5]])</f>
        <v>2</v>
      </c>
      <c r="E135" s="69" t="s">
        <v>279</v>
      </c>
      <c r="F135" s="94" t="s">
        <v>230</v>
      </c>
      <c r="G135" s="96"/>
      <c r="H135" s="81">
        <f>+Tabla1347[[#This Row],[Cantidad]]*Tabla1347[[#This Row],[Precio Unitario en Pesos /   €]]*I$3</f>
        <v>0</v>
      </c>
      <c r="I135" s="81">
        <f>+Tabla1347[[#This Row],[Precio Total en Pesos]]*3%</f>
        <v>0</v>
      </c>
    </row>
    <row r="136" spans="2:9" ht="15" customHeight="1" x14ac:dyDescent="0.3">
      <c r="B136" s="48" t="s">
        <v>228</v>
      </c>
      <c r="C136" s="83">
        <v>926</v>
      </c>
      <c r="D136" s="110">
        <f>SUM(Tabla1343[[#This Row],[Columna1]:[Columna5]])</f>
        <v>926</v>
      </c>
      <c r="E136" s="50" t="s">
        <v>279</v>
      </c>
      <c r="F136" s="94" t="s">
        <v>230</v>
      </c>
      <c r="G136" s="96"/>
      <c r="H136" s="81">
        <f>+Tabla1347[[#This Row],[Cantidad]]*Tabla1347[[#This Row],[Precio Unitario en Pesos /   €]]*I$3</f>
        <v>0</v>
      </c>
      <c r="I136" s="81">
        <f>+Tabla1347[[#This Row],[Precio Total en Pesos]]*3%</f>
        <v>0</v>
      </c>
    </row>
    <row r="137" spans="2:9" ht="15" customHeight="1" x14ac:dyDescent="0.3">
      <c r="B137" s="53" t="s">
        <v>229</v>
      </c>
      <c r="C137" s="84">
        <v>56</v>
      </c>
      <c r="D137" s="112">
        <f>SUM(Tabla1343[[#This Row],[Columna1]:[Columna5]])</f>
        <v>56</v>
      </c>
      <c r="E137" s="69" t="s">
        <v>279</v>
      </c>
      <c r="F137" s="94" t="s">
        <v>230</v>
      </c>
      <c r="G137" s="96"/>
      <c r="H137" s="81">
        <f>+Tabla1347[[#This Row],[Cantidad]]*Tabla1347[[#This Row],[Precio Unitario en Pesos /   €]]*I$3</f>
        <v>0</v>
      </c>
      <c r="I137" s="81">
        <f>+Tabla1347[[#This Row],[Precio Total en Pesos]]*3%</f>
        <v>0</v>
      </c>
    </row>
    <row r="138" spans="2:9" ht="15" customHeight="1" x14ac:dyDescent="0.3">
      <c r="B138" s="48" t="s">
        <v>235</v>
      </c>
      <c r="C138" s="83">
        <v>50</v>
      </c>
      <c r="D138" s="110">
        <f>SUM(Tabla1343[[#This Row],[Columna1]:[Columna5]])</f>
        <v>50</v>
      </c>
      <c r="E138" s="50" t="s">
        <v>279</v>
      </c>
      <c r="F138" s="94" t="s">
        <v>230</v>
      </c>
      <c r="G138" s="96"/>
      <c r="H138" s="81">
        <f>+Tabla1347[[#This Row],[Cantidad]]*Tabla1347[[#This Row],[Precio Unitario en Pesos /   €]]*I$3</f>
        <v>0</v>
      </c>
      <c r="I138" s="81">
        <f>+Tabla1347[[#This Row],[Precio Total en Pesos]]*3%</f>
        <v>0</v>
      </c>
    </row>
    <row r="139" spans="2:9" ht="15" customHeight="1" x14ac:dyDescent="0.3">
      <c r="B139" s="48" t="s">
        <v>236</v>
      </c>
      <c r="C139" s="83">
        <v>50</v>
      </c>
      <c r="D139" s="110">
        <f>SUM(Tabla1343[[#This Row],[Columna1]:[Columna5]])</f>
        <v>50</v>
      </c>
      <c r="E139" s="50" t="s">
        <v>279</v>
      </c>
      <c r="F139" s="94" t="s">
        <v>230</v>
      </c>
      <c r="G139" s="96"/>
      <c r="H139" s="81">
        <f>+Tabla1347[[#This Row],[Cantidad]]*Tabla1347[[#This Row],[Precio Unitario en Pesos /   €]]*I$3</f>
        <v>0</v>
      </c>
      <c r="I139" s="81">
        <f>+Tabla1347[[#This Row],[Precio Total en Pesos]]*3%</f>
        <v>0</v>
      </c>
    </row>
    <row r="140" spans="2:9" ht="15" customHeight="1" x14ac:dyDescent="0.3">
      <c r="B140" s="48" t="s">
        <v>105</v>
      </c>
      <c r="C140" s="83">
        <v>17</v>
      </c>
      <c r="D140" s="110">
        <f>SUM(Tabla1343[[#This Row],[Columna1]:[Columna5]])</f>
        <v>17</v>
      </c>
      <c r="E140" s="50" t="s">
        <v>279</v>
      </c>
      <c r="F140" s="94" t="s">
        <v>230</v>
      </c>
      <c r="G140" s="96"/>
      <c r="H140" s="81">
        <f>+Tabla1347[[#This Row],[Cantidad]]*Tabla1347[[#This Row],[Precio Unitario en Pesos /   €]]*I$3</f>
        <v>0</v>
      </c>
      <c r="I140" s="81">
        <f>+Tabla1347[[#This Row],[Precio Total en Pesos]]*3%</f>
        <v>0</v>
      </c>
    </row>
    <row r="141" spans="2:9" ht="15" customHeight="1" x14ac:dyDescent="0.3">
      <c r="B141" s="48" t="s">
        <v>106</v>
      </c>
      <c r="C141" s="83">
        <v>145</v>
      </c>
      <c r="D141" s="110">
        <f>SUM(Tabla1343[[#This Row],[Columna1]:[Columna5]])</f>
        <v>145</v>
      </c>
      <c r="E141" s="50" t="s">
        <v>279</v>
      </c>
      <c r="F141" s="94" t="s">
        <v>230</v>
      </c>
      <c r="G141" s="96"/>
      <c r="H141" s="81">
        <f>+Tabla1347[[#This Row],[Cantidad]]*Tabla1347[[#This Row],[Precio Unitario en Pesos /   €]]*I$3</f>
        <v>0</v>
      </c>
      <c r="I141" s="81">
        <f>+Tabla1347[[#This Row],[Precio Total en Pesos]]*3%</f>
        <v>0</v>
      </c>
    </row>
    <row r="142" spans="2:9" ht="15" customHeight="1" x14ac:dyDescent="0.3">
      <c r="B142" s="48" t="s">
        <v>144</v>
      </c>
      <c r="C142" s="83">
        <v>27</v>
      </c>
      <c r="D142" s="121">
        <f>SUM(Tabla1343[[#This Row],[Columna1]:[Columna5]])</f>
        <v>23</v>
      </c>
      <c r="E142" s="50" t="s">
        <v>279</v>
      </c>
      <c r="F142" s="94" t="s">
        <v>230</v>
      </c>
      <c r="G142" s="96"/>
      <c r="H142" s="81">
        <f>+Tabla1347[[#This Row],[Cantidad]]*Tabla1347[[#This Row],[Precio Unitario en Pesos /   €]]*I$3</f>
        <v>0</v>
      </c>
      <c r="I142" s="81">
        <f>+Tabla1347[[#This Row],[Precio Total en Pesos]]*3%</f>
        <v>0</v>
      </c>
    </row>
    <row r="143" spans="2:9" ht="15" customHeight="1" x14ac:dyDescent="0.3">
      <c r="B143" s="48" t="s">
        <v>234</v>
      </c>
      <c r="C143" s="83">
        <v>80</v>
      </c>
      <c r="D143" s="110">
        <f>SUM(Tabla1343[[#This Row],[Columna1]:[Columna5]])</f>
        <v>80</v>
      </c>
      <c r="E143" s="50" t="s">
        <v>279</v>
      </c>
      <c r="F143" s="94" t="s">
        <v>230</v>
      </c>
      <c r="G143" s="96"/>
      <c r="H143" s="81">
        <f>+Tabla1347[[#This Row],[Cantidad]]*Tabla1347[[#This Row],[Precio Unitario en Pesos /   €]]*I$3</f>
        <v>0</v>
      </c>
      <c r="I143" s="81">
        <f>+Tabla1347[[#This Row],[Precio Total en Pesos]]*3%</f>
        <v>0</v>
      </c>
    </row>
    <row r="144" spans="2:9" ht="15" customHeight="1" x14ac:dyDescent="0.3">
      <c r="B144" s="53" t="s">
        <v>102</v>
      </c>
      <c r="C144" s="84">
        <v>15</v>
      </c>
      <c r="D144" s="112">
        <f>SUM(Tabla1343[[#This Row],[Columna1]:[Columna5]])</f>
        <v>15</v>
      </c>
      <c r="E144" s="69" t="s">
        <v>279</v>
      </c>
      <c r="F144" s="94" t="s">
        <v>230</v>
      </c>
      <c r="G144" s="96"/>
      <c r="H144" s="81">
        <f>+Tabla1347[[#This Row],[Cantidad]]*Tabla1347[[#This Row],[Precio Unitario en Pesos /   €]]*I$3</f>
        <v>0</v>
      </c>
      <c r="I144" s="81">
        <f>+Tabla1347[[#This Row],[Precio Total en Pesos]]*3%</f>
        <v>0</v>
      </c>
    </row>
    <row r="145" spans="2:10" ht="15" customHeight="1" x14ac:dyDescent="0.3">
      <c r="B145" s="53" t="s">
        <v>67</v>
      </c>
      <c r="C145" s="84">
        <v>237</v>
      </c>
      <c r="D145" s="112">
        <f>SUM(Tabla1343[[#This Row],[Columna1]:[Columna5]])</f>
        <v>237</v>
      </c>
      <c r="E145" s="69" t="s">
        <v>279</v>
      </c>
      <c r="F145" s="94" t="s">
        <v>230</v>
      </c>
      <c r="G145" s="96"/>
      <c r="H145" s="81">
        <f>+Tabla1347[[#This Row],[Cantidad]]*Tabla1347[[#This Row],[Precio Unitario en Pesos /   €]]*I$3</f>
        <v>0</v>
      </c>
      <c r="I145" s="81">
        <f>+Tabla1347[[#This Row],[Precio Total en Pesos]]*3%</f>
        <v>0</v>
      </c>
    </row>
    <row r="146" spans="2:10" x14ac:dyDescent="0.3">
      <c r="B146"/>
      <c r="C146"/>
      <c r="D146"/>
      <c r="F146"/>
      <c r="G146"/>
      <c r="H146" s="133"/>
      <c r="I146" s="134">
        <f>SUBTOTAL(109,Tabla1347[Valor Alquiler CBA 3%])</f>
        <v>1076855.2301999999</v>
      </c>
    </row>
    <row r="147" spans="2:10" ht="15" thickBot="1" x14ac:dyDescent="0.35"/>
    <row r="148" spans="2:10" ht="18.600000000000001" thickBot="1" x14ac:dyDescent="0.35">
      <c r="B148" s="412" t="s">
        <v>267</v>
      </c>
      <c r="C148" s="413"/>
      <c r="D148" s="413"/>
      <c r="E148" s="413"/>
      <c r="F148" s="413"/>
      <c r="G148" s="413"/>
      <c r="H148" s="413"/>
      <c r="I148" s="414"/>
    </row>
    <row r="149" spans="2:10" ht="15" thickBot="1" x14ac:dyDescent="0.35">
      <c r="B149" s="418" t="s">
        <v>289</v>
      </c>
      <c r="C149" s="419"/>
      <c r="D149" s="419"/>
      <c r="E149" s="419"/>
      <c r="F149" s="419"/>
      <c r="G149" s="419"/>
      <c r="H149" s="419"/>
      <c r="I149" s="420"/>
    </row>
    <row r="150" spans="2:10" s="1" customFormat="1" ht="28.5" customHeight="1" thickBot="1" x14ac:dyDescent="0.35">
      <c r="B150" s="100" t="s">
        <v>0</v>
      </c>
      <c r="C150" s="101" t="s">
        <v>1</v>
      </c>
      <c r="D150" s="101" t="s">
        <v>308</v>
      </c>
      <c r="E150" s="101" t="s">
        <v>269</v>
      </c>
      <c r="F150" s="102" t="s">
        <v>225</v>
      </c>
      <c r="G150" s="103" t="s">
        <v>311</v>
      </c>
      <c r="H150" s="127" t="s">
        <v>312</v>
      </c>
      <c r="I150" s="104" t="s">
        <v>5</v>
      </c>
      <c r="J150"/>
    </row>
    <row r="151" spans="2:10" x14ac:dyDescent="0.3">
      <c r="B151" s="70" t="s">
        <v>275</v>
      </c>
      <c r="C151" s="71">
        <v>12</v>
      </c>
      <c r="D151" s="71"/>
      <c r="E151" s="59" t="s">
        <v>315</v>
      </c>
      <c r="F151" s="60" t="s">
        <v>243</v>
      </c>
      <c r="G151" s="60"/>
      <c r="H151" s="60"/>
      <c r="I151" s="60"/>
    </row>
    <row r="152" spans="2:10" x14ac:dyDescent="0.3">
      <c r="B152" s="117" t="s">
        <v>200</v>
      </c>
      <c r="C152" s="118">
        <v>2</v>
      </c>
      <c r="D152" s="10"/>
      <c r="E152" s="148" t="s">
        <v>313</v>
      </c>
      <c r="F152" s="60"/>
      <c r="G152" s="60"/>
      <c r="H152" s="60"/>
      <c r="I152" s="60"/>
    </row>
    <row r="153" spans="2:10" x14ac:dyDescent="0.3">
      <c r="B153" s="47" t="s">
        <v>202</v>
      </c>
      <c r="C153" s="58">
        <v>2</v>
      </c>
      <c r="D153" s="114"/>
      <c r="E153" s="59" t="s">
        <v>315</v>
      </c>
      <c r="F153" s="60"/>
      <c r="G153" s="60"/>
      <c r="H153" s="60"/>
      <c r="I153" s="60"/>
    </row>
    <row r="154" spans="2:10" x14ac:dyDescent="0.3">
      <c r="B154" s="47" t="s">
        <v>201</v>
      </c>
      <c r="C154" s="58">
        <v>1</v>
      </c>
      <c r="D154" s="114"/>
      <c r="E154" s="59" t="s">
        <v>315</v>
      </c>
      <c r="F154" s="60"/>
      <c r="G154" s="60"/>
      <c r="H154" s="60"/>
      <c r="I154" s="60"/>
    </row>
    <row r="155" spans="2:10" x14ac:dyDescent="0.3">
      <c r="B155" s="47" t="s">
        <v>137</v>
      </c>
      <c r="C155" s="58">
        <v>2</v>
      </c>
      <c r="D155" s="114"/>
      <c r="E155" s="59" t="s">
        <v>315</v>
      </c>
      <c r="F155" s="60" t="s">
        <v>273</v>
      </c>
      <c r="G155" s="60"/>
      <c r="H155" s="60"/>
      <c r="I155" s="60"/>
    </row>
    <row r="156" spans="2:10" x14ac:dyDescent="0.3">
      <c r="B156" s="117" t="s">
        <v>214</v>
      </c>
      <c r="C156" s="118">
        <v>24</v>
      </c>
      <c r="D156" s="10"/>
      <c r="E156" s="148" t="s">
        <v>313</v>
      </c>
      <c r="F156" s="60" t="s">
        <v>265</v>
      </c>
      <c r="G156" s="60"/>
      <c r="H156" s="60"/>
      <c r="I156" s="60"/>
    </row>
    <row r="157" spans="2:10" x14ac:dyDescent="0.3">
      <c r="B157" s="117" t="s">
        <v>213</v>
      </c>
      <c r="C157" s="118">
        <v>8</v>
      </c>
      <c r="D157" s="10"/>
      <c r="E157" s="148" t="s">
        <v>313</v>
      </c>
      <c r="F157" s="60" t="s">
        <v>265</v>
      </c>
      <c r="G157" s="60"/>
      <c r="H157" s="60"/>
      <c r="I157" s="60"/>
    </row>
    <row r="158" spans="2:10" x14ac:dyDescent="0.3">
      <c r="B158" s="117" t="s">
        <v>126</v>
      </c>
      <c r="C158" s="118">
        <v>2</v>
      </c>
      <c r="D158" s="10"/>
      <c r="E158" s="148" t="s">
        <v>313</v>
      </c>
      <c r="F158" s="60" t="s">
        <v>270</v>
      </c>
      <c r="G158" s="60"/>
      <c r="H158" s="60"/>
      <c r="I158" s="60"/>
    </row>
    <row r="159" spans="2:10" x14ac:dyDescent="0.3">
      <c r="B159" s="47" t="s">
        <v>50</v>
      </c>
      <c r="C159" s="58">
        <v>13</v>
      </c>
      <c r="D159" s="114"/>
      <c r="E159" s="59" t="s">
        <v>315</v>
      </c>
      <c r="F159" s="60"/>
      <c r="G159" s="60"/>
      <c r="H159" s="60"/>
      <c r="I159" s="60"/>
    </row>
    <row r="160" spans="2:10" x14ac:dyDescent="0.3">
      <c r="B160" s="117" t="s">
        <v>252</v>
      </c>
      <c r="C160" s="118">
        <v>74</v>
      </c>
      <c r="D160" s="10"/>
      <c r="E160" s="148" t="s">
        <v>313</v>
      </c>
      <c r="F160" s="60" t="s">
        <v>253</v>
      </c>
      <c r="G160" s="60"/>
      <c r="H160" s="60"/>
      <c r="I160" s="60"/>
    </row>
    <row r="161" spans="2:9" x14ac:dyDescent="0.3">
      <c r="B161" s="117" t="s">
        <v>222</v>
      </c>
      <c r="C161" s="118">
        <v>2</v>
      </c>
      <c r="D161" s="114"/>
      <c r="E161" s="148" t="s">
        <v>313</v>
      </c>
      <c r="F161" s="60" t="s">
        <v>265</v>
      </c>
      <c r="G161" s="60"/>
      <c r="H161" s="60"/>
      <c r="I161" s="60"/>
    </row>
    <row r="162" spans="2:9" x14ac:dyDescent="0.3">
      <c r="B162" s="117" t="s">
        <v>223</v>
      </c>
      <c r="C162" s="118">
        <v>3</v>
      </c>
      <c r="D162" s="10"/>
      <c r="E162" s="148" t="s">
        <v>313</v>
      </c>
      <c r="F162" s="60" t="s">
        <v>265</v>
      </c>
      <c r="G162" s="60"/>
      <c r="H162" s="60"/>
      <c r="I162" s="60"/>
    </row>
    <row r="163" spans="2:9" x14ac:dyDescent="0.3">
      <c r="B163" s="117" t="s">
        <v>215</v>
      </c>
      <c r="C163" s="118">
        <v>12</v>
      </c>
      <c r="D163" s="114"/>
      <c r="E163" s="148" t="s">
        <v>313</v>
      </c>
      <c r="F163" s="60" t="s">
        <v>265</v>
      </c>
      <c r="G163" s="60"/>
      <c r="H163" s="60"/>
      <c r="I163" s="60"/>
    </row>
    <row r="164" spans="2:9" x14ac:dyDescent="0.3">
      <c r="B164" s="117" t="s">
        <v>212</v>
      </c>
      <c r="C164" s="118">
        <v>1</v>
      </c>
      <c r="D164" s="10"/>
      <c r="E164" s="148" t="s">
        <v>313</v>
      </c>
      <c r="F164" s="60" t="s">
        <v>265</v>
      </c>
      <c r="G164" s="60"/>
      <c r="H164" s="60"/>
      <c r="I164" s="60"/>
    </row>
    <row r="165" spans="2:9" x14ac:dyDescent="0.3">
      <c r="B165" s="117" t="s">
        <v>211</v>
      </c>
      <c r="C165" s="118">
        <v>1</v>
      </c>
      <c r="D165" s="114"/>
      <c r="E165" s="148" t="s">
        <v>313</v>
      </c>
      <c r="F165" s="60" t="s">
        <v>265</v>
      </c>
      <c r="G165" s="60"/>
      <c r="H165" s="60"/>
      <c r="I165" s="60"/>
    </row>
    <row r="166" spans="2:9" x14ac:dyDescent="0.3">
      <c r="B166" s="117" t="s">
        <v>94</v>
      </c>
      <c r="C166" s="118">
        <v>1</v>
      </c>
      <c r="D166" s="10"/>
      <c r="E166" s="148" t="s">
        <v>313</v>
      </c>
      <c r="F166" s="60" t="s">
        <v>272</v>
      </c>
      <c r="G166" s="60"/>
      <c r="H166" s="60"/>
      <c r="I166" s="60"/>
    </row>
    <row r="167" spans="2:9" x14ac:dyDescent="0.3">
      <c r="B167" s="47" t="s">
        <v>207</v>
      </c>
      <c r="C167" s="58">
        <v>1</v>
      </c>
      <c r="D167" s="114"/>
      <c r="E167" s="59" t="s">
        <v>315</v>
      </c>
      <c r="F167" s="60"/>
      <c r="G167" s="60"/>
      <c r="H167" s="60"/>
      <c r="I167" s="60"/>
    </row>
    <row r="168" spans="2:9" x14ac:dyDescent="0.3">
      <c r="B168" s="117" t="s">
        <v>233</v>
      </c>
      <c r="C168" s="118">
        <v>1</v>
      </c>
      <c r="D168" s="10"/>
      <c r="E168" s="148" t="s">
        <v>313</v>
      </c>
      <c r="F168" s="60" t="s">
        <v>265</v>
      </c>
      <c r="G168" s="60"/>
      <c r="H168" s="60"/>
      <c r="I168" s="60"/>
    </row>
    <row r="169" spans="2:9" x14ac:dyDescent="0.3">
      <c r="B169" s="117" t="s">
        <v>237</v>
      </c>
      <c r="C169" s="118">
        <v>1</v>
      </c>
      <c r="D169" s="114"/>
      <c r="E169" s="148" t="s">
        <v>313</v>
      </c>
      <c r="F169" s="60" t="s">
        <v>265</v>
      </c>
      <c r="G169" s="60"/>
      <c r="H169" s="60"/>
      <c r="I169" s="60"/>
    </row>
    <row r="170" spans="2:9" x14ac:dyDescent="0.3">
      <c r="B170" s="117" t="s">
        <v>238</v>
      </c>
      <c r="C170" s="118">
        <v>4</v>
      </c>
      <c r="D170" s="10"/>
      <c r="E170" s="148" t="s">
        <v>313</v>
      </c>
      <c r="F170" s="60" t="s">
        <v>265</v>
      </c>
      <c r="G170" s="60"/>
      <c r="H170" s="60"/>
      <c r="I170" s="60"/>
    </row>
    <row r="171" spans="2:9" x14ac:dyDescent="0.3">
      <c r="B171" s="149" t="s">
        <v>220</v>
      </c>
      <c r="C171" s="150">
        <v>2</v>
      </c>
      <c r="D171" s="115"/>
      <c r="E171" s="148" t="s">
        <v>313</v>
      </c>
      <c r="F171" s="64" t="s">
        <v>265</v>
      </c>
      <c r="G171" s="64"/>
      <c r="H171" s="64"/>
      <c r="I171" s="64"/>
    </row>
    <row r="172" spans="2:9" x14ac:dyDescent="0.3">
      <c r="B172" s="149" t="s">
        <v>221</v>
      </c>
      <c r="C172" s="150">
        <v>2</v>
      </c>
      <c r="D172" s="113"/>
      <c r="E172" s="148" t="s">
        <v>313</v>
      </c>
      <c r="F172" s="64" t="s">
        <v>265</v>
      </c>
      <c r="G172" s="64"/>
      <c r="H172" s="64"/>
      <c r="I172" s="64"/>
    </row>
    <row r="173" spans="2:9" x14ac:dyDescent="0.3">
      <c r="B173" s="151" t="s">
        <v>216</v>
      </c>
      <c r="C173" s="152">
        <v>8</v>
      </c>
      <c r="D173" s="115"/>
      <c r="E173" s="153" t="s">
        <v>313</v>
      </c>
      <c r="F173" s="147" t="s">
        <v>265</v>
      </c>
      <c r="G173" s="147"/>
      <c r="H173" s="147"/>
      <c r="I173" s="147"/>
    </row>
  </sheetData>
  <mergeCells count="4">
    <mergeCell ref="B2:I2"/>
    <mergeCell ref="B3:G3"/>
    <mergeCell ref="B148:I148"/>
    <mergeCell ref="B149:I149"/>
  </mergeCells>
  <pageMargins left="0.31496062992125984" right="0.11811023622047245" top="0.19685039370078741" bottom="0.19685039370078741" header="0.31496062992125984" footer="0.31496062992125984"/>
  <pageSetup scale="80" orientation="portrait" r:id="rId1"/>
  <tableParts count="2"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5"/>
  <sheetViews>
    <sheetView topLeftCell="A148" zoomScaleNormal="100" workbookViewId="0">
      <selection activeCell="L7" sqref="L7"/>
    </sheetView>
  </sheetViews>
  <sheetFormatPr baseColWidth="10" defaultRowHeight="14.4" x14ac:dyDescent="0.3"/>
  <cols>
    <col min="1" max="1" width="1.6640625" customWidth="1"/>
    <col min="2" max="2" width="34.109375" style="2" bestFit="1" customWidth="1"/>
    <col min="3" max="3" width="13.6640625" style="1" customWidth="1"/>
    <col min="4" max="4" width="14" style="1" hidden="1" customWidth="1"/>
    <col min="5" max="5" width="13.6640625" hidden="1" customWidth="1"/>
    <col min="6" max="6" width="18" style="43" customWidth="1"/>
    <col min="7" max="7" width="18.5546875" style="43" customWidth="1"/>
    <col min="8" max="8" width="19" style="43" customWidth="1"/>
    <col min="9" max="9" width="18.5546875" style="43" customWidth="1"/>
    <col min="10" max="10" width="11.5546875" customWidth="1"/>
  </cols>
  <sheetData>
    <row r="1" spans="2:10" ht="26.25" customHeight="1" thickBot="1" x14ac:dyDescent="0.35">
      <c r="B1" s="412" t="s">
        <v>320</v>
      </c>
      <c r="C1" s="413"/>
      <c r="D1" s="413"/>
      <c r="E1" s="413"/>
      <c r="F1" s="413"/>
      <c r="G1" s="413"/>
      <c r="H1" s="413"/>
      <c r="I1" s="414"/>
    </row>
    <row r="2" spans="2:10" ht="15" customHeight="1" thickBot="1" x14ac:dyDescent="0.35">
      <c r="B2" s="415" t="s">
        <v>321</v>
      </c>
      <c r="C2" s="416"/>
      <c r="D2" s="416"/>
      <c r="E2" s="416"/>
      <c r="F2" s="416"/>
      <c r="G2" s="417"/>
      <c r="H2" s="98" t="s">
        <v>323</v>
      </c>
      <c r="I2" s="99">
        <v>150</v>
      </c>
    </row>
    <row r="3" spans="2:10" s="1" customFormat="1" ht="25.2" customHeight="1" thickBot="1" x14ac:dyDescent="0.35">
      <c r="B3" s="100" t="s">
        <v>0</v>
      </c>
      <c r="C3" s="101" t="s">
        <v>1</v>
      </c>
      <c r="D3" s="101" t="s">
        <v>308</v>
      </c>
      <c r="E3" s="101" t="s">
        <v>269</v>
      </c>
      <c r="F3" s="102" t="s">
        <v>225</v>
      </c>
      <c r="G3" s="103" t="s">
        <v>311</v>
      </c>
      <c r="H3" s="127" t="s">
        <v>312</v>
      </c>
      <c r="I3" s="104" t="s">
        <v>5</v>
      </c>
      <c r="J3"/>
    </row>
    <row r="4" spans="2:10" ht="15" customHeight="1" x14ac:dyDescent="0.3">
      <c r="B4" s="155" t="s">
        <v>210</v>
      </c>
      <c r="C4" s="156">
        <v>7</v>
      </c>
      <c r="D4" s="156" t="e">
        <f>SUM(Tabla1343[[#This Row],[Columna1]:[Columna5]])</f>
        <v>#VALUE!</v>
      </c>
      <c r="E4" s="157" t="s">
        <v>313</v>
      </c>
      <c r="F4" s="158" t="s">
        <v>290</v>
      </c>
      <c r="G4" s="158">
        <v>25000</v>
      </c>
      <c r="H4" s="158">
        <f>+Tabla13478[[#This Row],[Cantidad]]*Tabla13478[[#This Row],[Precio Unitario en Pesos /   €]]</f>
        <v>175000</v>
      </c>
      <c r="I4" s="158">
        <f>+Tabla13478[[#This Row],[Precio Total en Pesos]]*3%</f>
        <v>5250</v>
      </c>
    </row>
    <row r="5" spans="2:10" ht="15" customHeight="1" x14ac:dyDescent="0.3">
      <c r="B5" s="159" t="s">
        <v>148</v>
      </c>
      <c r="C5" s="160">
        <v>4</v>
      </c>
      <c r="D5" s="156">
        <f>SUM(Tabla1343[[#This Row],[Columna1]:[Columna5]])</f>
        <v>7</v>
      </c>
      <c r="E5" s="157" t="s">
        <v>314</v>
      </c>
      <c r="F5" s="105" t="s">
        <v>290</v>
      </c>
      <c r="G5" s="105">
        <v>48000</v>
      </c>
      <c r="H5" s="158">
        <f>+Tabla13478[[#This Row],[Cantidad]]*Tabla13478[[#This Row],[Precio Unitario en Pesos /   €]]</f>
        <v>192000</v>
      </c>
      <c r="I5" s="158">
        <f>+Tabla13478[[#This Row],[Precio Total en Pesos]]*3%</f>
        <v>5760</v>
      </c>
    </row>
    <row r="6" spans="2:10" ht="15" customHeight="1" x14ac:dyDescent="0.3">
      <c r="B6" s="159" t="s">
        <v>139</v>
      </c>
      <c r="C6" s="160">
        <v>8</v>
      </c>
      <c r="D6" s="156">
        <f>SUM(Tabla1343[[#This Row],[Columna1]:[Columna5]])</f>
        <v>4</v>
      </c>
      <c r="E6" s="157" t="s">
        <v>317</v>
      </c>
      <c r="F6" s="105" t="s">
        <v>291</v>
      </c>
      <c r="G6" s="105">
        <v>7300</v>
      </c>
      <c r="H6" s="158">
        <f>+Tabla13478[[#This Row],[Cantidad]]*Tabla13478[[#This Row],[Precio Unitario en Pesos /   €]]</f>
        <v>58400</v>
      </c>
      <c r="I6" s="158">
        <f>+Tabla13478[[#This Row],[Precio Total en Pesos]]*3%</f>
        <v>1752</v>
      </c>
    </row>
    <row r="7" spans="2:10" ht="15" customHeight="1" x14ac:dyDescent="0.3">
      <c r="B7" s="159" t="s">
        <v>194</v>
      </c>
      <c r="C7" s="160">
        <v>2</v>
      </c>
      <c r="D7" s="156">
        <f>SUM(Tabla1343[[#This Row],[Columna1]:[Columna5]])</f>
        <v>8</v>
      </c>
      <c r="E7" s="157" t="s">
        <v>313</v>
      </c>
      <c r="F7" s="105" t="s">
        <v>291</v>
      </c>
      <c r="G7" s="105">
        <v>13500</v>
      </c>
      <c r="H7" s="158">
        <f>+Tabla13478[[#This Row],[Cantidad]]*Tabla13478[[#This Row],[Precio Unitario en Pesos /   €]]</f>
        <v>27000</v>
      </c>
      <c r="I7" s="158">
        <f>+Tabla13478[[#This Row],[Precio Total en Pesos]]*3%</f>
        <v>810</v>
      </c>
    </row>
    <row r="8" spans="2:10" ht="15" customHeight="1" x14ac:dyDescent="0.3">
      <c r="B8" s="159" t="s">
        <v>160</v>
      </c>
      <c r="C8" s="160">
        <v>9</v>
      </c>
      <c r="D8" s="156">
        <f>SUM(Tabla1343[[#This Row],[Columna1]:[Columna5]])</f>
        <v>2</v>
      </c>
      <c r="E8" s="157" t="s">
        <v>313</v>
      </c>
      <c r="F8" s="105" t="s">
        <v>250</v>
      </c>
      <c r="G8" s="105">
        <v>4838</v>
      </c>
      <c r="H8" s="158">
        <f>+Tabla13478[[#This Row],[Cantidad]]*Tabla13478[[#This Row],[Precio Unitario en Pesos /   €]]</f>
        <v>43542</v>
      </c>
      <c r="I8" s="158">
        <f>+Tabla13478[[#This Row],[Precio Total en Pesos]]*3%</f>
        <v>1306.26</v>
      </c>
    </row>
    <row r="9" spans="2:10" ht="15" customHeight="1" x14ac:dyDescent="0.3">
      <c r="B9" s="159" t="s">
        <v>195</v>
      </c>
      <c r="C9" s="160">
        <v>3</v>
      </c>
      <c r="D9" s="156">
        <f>SUM(Tabla1343[[#This Row],[Columna1]:[Columna5]])</f>
        <v>9</v>
      </c>
      <c r="E9" s="157" t="s">
        <v>313</v>
      </c>
      <c r="F9" s="105" t="s">
        <v>291</v>
      </c>
      <c r="G9" s="105">
        <v>6000</v>
      </c>
      <c r="H9" s="158">
        <f>+Tabla13478[[#This Row],[Cantidad]]*Tabla13478[[#This Row],[Precio Unitario en Pesos /   €]]</f>
        <v>18000</v>
      </c>
      <c r="I9" s="158">
        <f>+Tabla13478[[#This Row],[Precio Total en Pesos]]*3%</f>
        <v>540</v>
      </c>
    </row>
    <row r="10" spans="2:10" ht="15" customHeight="1" x14ac:dyDescent="0.3">
      <c r="B10" s="159" t="s">
        <v>118</v>
      </c>
      <c r="C10" s="161">
        <v>97</v>
      </c>
      <c r="D10" s="162">
        <f>SUM(Tabla1343[[#This Row],[Columna1]:[Columna5]])</f>
        <v>3</v>
      </c>
      <c r="E10" s="157" t="s">
        <v>313</v>
      </c>
      <c r="F10" s="105" t="s">
        <v>291</v>
      </c>
      <c r="G10" s="163">
        <v>290</v>
      </c>
      <c r="H10" s="158">
        <f>+Tabla13478[[#This Row],[Cantidad]]*Tabla13478[[#This Row],[Precio Unitario en Pesos /   €]]</f>
        <v>28130</v>
      </c>
      <c r="I10" s="158">
        <f>+Tabla13478[[#This Row],[Precio Total en Pesos]]*3%</f>
        <v>843.9</v>
      </c>
    </row>
    <row r="11" spans="2:10" ht="15" customHeight="1" x14ac:dyDescent="0.3">
      <c r="B11" s="159" t="s">
        <v>119</v>
      </c>
      <c r="C11" s="161">
        <v>137</v>
      </c>
      <c r="D11" s="162">
        <f>SUM(Tabla1343[[#This Row],[Columna1]:[Columna5]])</f>
        <v>97</v>
      </c>
      <c r="E11" s="157" t="s">
        <v>313</v>
      </c>
      <c r="F11" s="105" t="s">
        <v>291</v>
      </c>
      <c r="G11" s="163">
        <v>320</v>
      </c>
      <c r="H11" s="158">
        <f>+Tabla13478[[#This Row],[Cantidad]]*Tabla13478[[#This Row],[Precio Unitario en Pesos /   €]]</f>
        <v>43840</v>
      </c>
      <c r="I11" s="158">
        <f>+Tabla13478[[#This Row],[Precio Total en Pesos]]*3%</f>
        <v>1315.2</v>
      </c>
    </row>
    <row r="12" spans="2:10" ht="15" customHeight="1" x14ac:dyDescent="0.3">
      <c r="B12" s="159" t="s">
        <v>189</v>
      </c>
      <c r="C12" s="161">
        <v>14</v>
      </c>
      <c r="D12" s="162">
        <f>SUM(Tabla1343[[#This Row],[Columna1]:[Columna5]])</f>
        <v>137</v>
      </c>
      <c r="E12" s="157" t="s">
        <v>313</v>
      </c>
      <c r="F12" s="105" t="s">
        <v>291</v>
      </c>
      <c r="G12" s="163">
        <v>80</v>
      </c>
      <c r="H12" s="158">
        <f>+Tabla13478[[#This Row],[Cantidad]]*Tabla13478[[#This Row],[Precio Unitario en Pesos /   €]]</f>
        <v>1120</v>
      </c>
      <c r="I12" s="158">
        <f>+Tabla13478[[#This Row],[Precio Total en Pesos]]*3%</f>
        <v>33.6</v>
      </c>
    </row>
    <row r="13" spans="2:10" ht="15" customHeight="1" x14ac:dyDescent="0.3">
      <c r="B13" s="159" t="s">
        <v>188</v>
      </c>
      <c r="C13" s="161">
        <v>136</v>
      </c>
      <c r="D13" s="162">
        <f>SUM(Tabla1343[[#This Row],[Columna1]:[Columna5]])</f>
        <v>14</v>
      </c>
      <c r="E13" s="157" t="s">
        <v>313</v>
      </c>
      <c r="F13" s="105" t="s">
        <v>291</v>
      </c>
      <c r="G13" s="163">
        <v>170</v>
      </c>
      <c r="H13" s="158">
        <f>+Tabla13478[[#This Row],[Cantidad]]*Tabla13478[[#This Row],[Precio Unitario en Pesos /   €]]</f>
        <v>23120</v>
      </c>
      <c r="I13" s="158">
        <f>+Tabla13478[[#This Row],[Precio Total en Pesos]]*3%</f>
        <v>693.6</v>
      </c>
    </row>
    <row r="14" spans="2:10" ht="15" customHeight="1" x14ac:dyDescent="0.3">
      <c r="B14" s="159" t="s">
        <v>171</v>
      </c>
      <c r="C14" s="161">
        <v>3</v>
      </c>
      <c r="D14" s="162">
        <f>SUM(Tabla1343[[#This Row],[Columna1]:[Columna5]])</f>
        <v>136</v>
      </c>
      <c r="E14" s="157" t="s">
        <v>313</v>
      </c>
      <c r="F14" s="105" t="s">
        <v>291</v>
      </c>
      <c r="G14" s="163">
        <v>12000</v>
      </c>
      <c r="H14" s="158">
        <f>+Tabla13478[[#This Row],[Cantidad]]*Tabla13478[[#This Row],[Precio Unitario en Pesos /   €]]</f>
        <v>36000</v>
      </c>
      <c r="I14" s="158">
        <f>+Tabla13478[[#This Row],[Precio Total en Pesos]]*3%</f>
        <v>1080</v>
      </c>
    </row>
    <row r="15" spans="2:10" ht="15" customHeight="1" x14ac:dyDescent="0.3">
      <c r="B15" s="159" t="s">
        <v>170</v>
      </c>
      <c r="C15" s="161">
        <v>7</v>
      </c>
      <c r="D15" s="162">
        <f>SUM(Tabla1343[[#This Row],[Columna1]:[Columna5]])</f>
        <v>3</v>
      </c>
      <c r="E15" s="157" t="s">
        <v>313</v>
      </c>
      <c r="F15" s="105" t="s">
        <v>291</v>
      </c>
      <c r="G15" s="163">
        <v>2500</v>
      </c>
      <c r="H15" s="158">
        <f>+Tabla13478[[#This Row],[Cantidad]]*Tabla13478[[#This Row],[Precio Unitario en Pesos /   €]]</f>
        <v>17500</v>
      </c>
      <c r="I15" s="158">
        <f>+Tabla13478[[#This Row],[Precio Total en Pesos]]*3%</f>
        <v>525</v>
      </c>
    </row>
    <row r="16" spans="2:10" x14ac:dyDescent="0.3">
      <c r="B16" s="136" t="s">
        <v>242</v>
      </c>
      <c r="C16" s="137">
        <v>1</v>
      </c>
      <c r="D16" s="185">
        <f>SUM(Tabla1343[[#This Row],[Columna1]:[Columna5]])</f>
        <v>7</v>
      </c>
      <c r="E16" s="139" t="s">
        <v>315</v>
      </c>
      <c r="F16" s="146" t="s">
        <v>319</v>
      </c>
      <c r="G16" s="140">
        <v>0</v>
      </c>
      <c r="H16" s="141">
        <f>+Tabla13478[[#This Row],[Cantidad]]*Tabla13478[[#This Row],[Precio Unitario en Pesos /   €]]</f>
        <v>0</v>
      </c>
      <c r="I16" s="141">
        <f>+Tabla13478[[#This Row],[Precio Total en Pesos]]*3%</f>
        <v>0</v>
      </c>
    </row>
    <row r="17" spans="2:9" ht="15" customHeight="1" x14ac:dyDescent="0.3">
      <c r="B17" s="159" t="s">
        <v>186</v>
      </c>
      <c r="C17" s="161">
        <v>1</v>
      </c>
      <c r="D17" s="162">
        <f>SUM(Tabla1343[[#This Row],[Columna1]:[Columna5]])</f>
        <v>1</v>
      </c>
      <c r="E17" s="157" t="s">
        <v>317</v>
      </c>
      <c r="F17" s="105" t="s">
        <v>291</v>
      </c>
      <c r="G17" s="163">
        <v>18000</v>
      </c>
      <c r="H17" s="158">
        <f>+Tabla13478[[#This Row],[Cantidad]]*Tabla13478[[#This Row],[Precio Unitario en Pesos /   €]]</f>
        <v>18000</v>
      </c>
      <c r="I17" s="158">
        <f>+Tabla13478[[#This Row],[Precio Total en Pesos]]*3%</f>
        <v>540</v>
      </c>
    </row>
    <row r="18" spans="2:9" ht="15" customHeight="1" x14ac:dyDescent="0.3">
      <c r="B18" s="164" t="s">
        <v>117</v>
      </c>
      <c r="C18" s="165">
        <v>9</v>
      </c>
      <c r="D18" s="166">
        <f>SUM(Tabla1343[[#This Row],[Columna1]:[Columna5]])</f>
        <v>1</v>
      </c>
      <c r="E18" s="167" t="s">
        <v>313</v>
      </c>
      <c r="F18" s="105" t="s">
        <v>291</v>
      </c>
      <c r="G18" s="163">
        <v>3900</v>
      </c>
      <c r="H18" s="158">
        <f>+Tabla13478[[#This Row],[Cantidad]]*Tabla13478[[#This Row],[Precio Unitario en Pesos /   €]]</f>
        <v>35100</v>
      </c>
      <c r="I18" s="158">
        <f>+Tabla13478[[#This Row],[Precio Total en Pesos]]*3%</f>
        <v>1053</v>
      </c>
    </row>
    <row r="19" spans="2:9" ht="15" customHeight="1" x14ac:dyDescent="0.3">
      <c r="B19" s="159" t="s">
        <v>116</v>
      </c>
      <c r="C19" s="161">
        <v>15</v>
      </c>
      <c r="D19" s="162">
        <f>SUM(Tabla1343[[#This Row],[Columna1]:[Columna5]])</f>
        <v>9</v>
      </c>
      <c r="E19" s="157" t="s">
        <v>313</v>
      </c>
      <c r="F19" s="105" t="s">
        <v>291</v>
      </c>
      <c r="G19" s="163">
        <v>7200</v>
      </c>
      <c r="H19" s="158">
        <f>+Tabla13478[[#This Row],[Cantidad]]*Tabla13478[[#This Row],[Precio Unitario en Pesos /   €]]</f>
        <v>108000</v>
      </c>
      <c r="I19" s="158">
        <f>+Tabla13478[[#This Row],[Precio Total en Pesos]]*3%</f>
        <v>3240</v>
      </c>
    </row>
    <row r="20" spans="2:9" ht="15" customHeight="1" x14ac:dyDescent="0.3">
      <c r="B20" s="159" t="s">
        <v>196</v>
      </c>
      <c r="C20" s="161">
        <v>1</v>
      </c>
      <c r="D20" s="162">
        <f>SUM(Tabla1343[[#This Row],[Columna1]:[Columna5]])</f>
        <v>15</v>
      </c>
      <c r="E20" s="157" t="s">
        <v>313</v>
      </c>
      <c r="F20" s="105" t="s">
        <v>290</v>
      </c>
      <c r="G20" s="163">
        <v>4290</v>
      </c>
      <c r="H20" s="158">
        <f>+Tabla13478[[#This Row],[Cantidad]]*Tabla13478[[#This Row],[Precio Unitario en Pesos /   €]]</f>
        <v>4290</v>
      </c>
      <c r="I20" s="158">
        <f>+Tabla13478[[#This Row],[Precio Total en Pesos]]*3%</f>
        <v>128.69999999999999</v>
      </c>
    </row>
    <row r="21" spans="2:9" ht="15" customHeight="1" x14ac:dyDescent="0.3">
      <c r="B21" s="159" t="s">
        <v>247</v>
      </c>
      <c r="C21" s="161">
        <v>3</v>
      </c>
      <c r="D21" s="162">
        <f>SUM(Tabla1343[[#This Row],[Columna1]:[Columna5]])</f>
        <v>1</v>
      </c>
      <c r="E21" s="157" t="s">
        <v>317</v>
      </c>
      <c r="F21" s="105" t="s">
        <v>292</v>
      </c>
      <c r="G21" s="163">
        <v>68000</v>
      </c>
      <c r="H21" s="158">
        <f>+Tabla13478[[#This Row],[Cantidad]]*Tabla13478[[#This Row],[Precio Unitario en Pesos /   €]]</f>
        <v>204000</v>
      </c>
      <c r="I21" s="158">
        <f>+Tabla13478[[#This Row],[Precio Total en Pesos]]*3%</f>
        <v>6120</v>
      </c>
    </row>
    <row r="22" spans="2:9" ht="15" customHeight="1" x14ac:dyDescent="0.3">
      <c r="B22" s="159" t="s">
        <v>248</v>
      </c>
      <c r="C22" s="161">
        <v>3</v>
      </c>
      <c r="D22" s="162">
        <f>SUM(Tabla1343[[#This Row],[Columna1]:[Columna5]])</f>
        <v>3</v>
      </c>
      <c r="E22" s="157" t="s">
        <v>317</v>
      </c>
      <c r="F22" s="163" t="str">
        <f>+F21</f>
        <v>4,5 x 3,0mts</v>
      </c>
      <c r="G22" s="105">
        <v>85000</v>
      </c>
      <c r="H22" s="158">
        <f>+Tabla13478[[#This Row],[Cantidad]]*Tabla13478[[#This Row],[Precio Unitario en Pesos /   €]]</f>
        <v>255000</v>
      </c>
      <c r="I22" s="158">
        <f>+Tabla13478[[#This Row],[Precio Total en Pesos]]*3%</f>
        <v>7650</v>
      </c>
    </row>
    <row r="23" spans="2:9" ht="15" customHeight="1" x14ac:dyDescent="0.3">
      <c r="B23" s="159" t="s">
        <v>155</v>
      </c>
      <c r="C23" s="161">
        <v>7</v>
      </c>
      <c r="D23" s="162">
        <f>SUM(Tabla1343[[#This Row],[Columna1]:[Columna5]])</f>
        <v>3</v>
      </c>
      <c r="E23" s="157" t="s">
        <v>317</v>
      </c>
      <c r="F23" s="105" t="s">
        <v>291</v>
      </c>
      <c r="G23" s="163">
        <v>5000</v>
      </c>
      <c r="H23" s="158">
        <f>+Tabla13478[[#This Row],[Cantidad]]*Tabla13478[[#This Row],[Precio Unitario en Pesos /   €]]</f>
        <v>35000</v>
      </c>
      <c r="I23" s="158">
        <f>+Tabla13478[[#This Row],[Precio Total en Pesos]]*3%</f>
        <v>1050</v>
      </c>
    </row>
    <row r="24" spans="2:9" ht="15" customHeight="1" x14ac:dyDescent="0.3">
      <c r="B24" s="159" t="s">
        <v>154</v>
      </c>
      <c r="C24" s="161">
        <v>11</v>
      </c>
      <c r="D24" s="162">
        <f>SUM(Tabla1343[[#This Row],[Columna1]:[Columna5]])</f>
        <v>7</v>
      </c>
      <c r="E24" s="157" t="s">
        <v>313</v>
      </c>
      <c r="F24" s="105" t="s">
        <v>291</v>
      </c>
      <c r="G24" s="163">
        <v>600</v>
      </c>
      <c r="H24" s="158">
        <f>+Tabla13478[[#This Row],[Cantidad]]*Tabla13478[[#This Row],[Precio Unitario en Pesos /   €]]</f>
        <v>6600</v>
      </c>
      <c r="I24" s="158">
        <f>+Tabla13478[[#This Row],[Precio Total en Pesos]]*3%</f>
        <v>198</v>
      </c>
    </row>
    <row r="25" spans="2:9" ht="15" customHeight="1" x14ac:dyDescent="0.3">
      <c r="B25" s="159" t="s">
        <v>293</v>
      </c>
      <c r="C25" s="161">
        <v>19</v>
      </c>
      <c r="D25" s="162">
        <f>SUM(Tabla1343[[#This Row],[Columna1]:[Columna5]])</f>
        <v>11</v>
      </c>
      <c r="E25" s="157" t="s">
        <v>314</v>
      </c>
      <c r="F25" s="105" t="s">
        <v>291</v>
      </c>
      <c r="G25" s="163">
        <v>4650</v>
      </c>
      <c r="H25" s="158">
        <f>+Tabla13478[[#This Row],[Cantidad]]*Tabla13478[[#This Row],[Precio Unitario en Pesos /   €]]</f>
        <v>88350</v>
      </c>
      <c r="I25" s="158">
        <f>+Tabla13478[[#This Row],[Precio Total en Pesos]]*3%</f>
        <v>2650.5</v>
      </c>
    </row>
    <row r="26" spans="2:9" ht="15" customHeight="1" x14ac:dyDescent="0.3">
      <c r="B26" s="159" t="s">
        <v>173</v>
      </c>
      <c r="C26" s="161">
        <v>165</v>
      </c>
      <c r="D26" s="162">
        <f>SUM(Tabla1343[[#This Row],[Columna1]:[Columna5]])</f>
        <v>19</v>
      </c>
      <c r="E26" s="157" t="s">
        <v>314</v>
      </c>
      <c r="F26" s="105" t="s">
        <v>291</v>
      </c>
      <c r="G26" s="163">
        <v>580</v>
      </c>
      <c r="H26" s="158">
        <f>+Tabla13478[[#This Row],[Cantidad]]*Tabla13478[[#This Row],[Precio Unitario en Pesos /   €]]</f>
        <v>95700</v>
      </c>
      <c r="I26" s="158">
        <f>+Tabla13478[[#This Row],[Precio Total en Pesos]]*3%</f>
        <v>2871</v>
      </c>
    </row>
    <row r="27" spans="2:9" ht="15" customHeight="1" x14ac:dyDescent="0.3">
      <c r="B27" s="159" t="s">
        <v>181</v>
      </c>
      <c r="C27" s="161">
        <v>1</v>
      </c>
      <c r="D27" s="162">
        <v>1</v>
      </c>
      <c r="E27" s="157" t="s">
        <v>317</v>
      </c>
      <c r="F27" s="105" t="s">
        <v>291</v>
      </c>
      <c r="G27" s="163">
        <v>57000</v>
      </c>
      <c r="H27" s="158">
        <f>+Tabla13478[[#This Row],[Cantidad]]*Tabla13478[[#This Row],[Precio Unitario en Pesos /   €]]</f>
        <v>57000</v>
      </c>
      <c r="I27" s="158">
        <f>+Tabla13478[[#This Row],[Precio Total en Pesos]]*3%</f>
        <v>1710</v>
      </c>
    </row>
    <row r="28" spans="2:9" ht="15" customHeight="1" x14ac:dyDescent="0.3">
      <c r="B28" s="159" t="s">
        <v>187</v>
      </c>
      <c r="C28" s="161">
        <v>1</v>
      </c>
      <c r="D28" s="162">
        <f>SUM(Tabla1343[[#This Row],[Columna1]:[Columna5]])</f>
        <v>0</v>
      </c>
      <c r="E28" s="157" t="s">
        <v>317</v>
      </c>
      <c r="F28" s="105" t="s">
        <v>291</v>
      </c>
      <c r="G28" s="163">
        <v>11000</v>
      </c>
      <c r="H28" s="158">
        <f>+Tabla13478[[#This Row],[Cantidad]]*Tabla13478[[#This Row],[Precio Unitario en Pesos /   €]]</f>
        <v>11000</v>
      </c>
      <c r="I28" s="158">
        <f>+Tabla13478[[#This Row],[Precio Total en Pesos]]*3%</f>
        <v>330</v>
      </c>
    </row>
    <row r="29" spans="2:9" ht="15" customHeight="1" x14ac:dyDescent="0.3">
      <c r="B29" s="159" t="s">
        <v>27</v>
      </c>
      <c r="C29" s="161">
        <v>130</v>
      </c>
      <c r="D29" s="162">
        <f>SUM(Tabla1343[[#This Row],[Columna1]:[Columna5]])</f>
        <v>1</v>
      </c>
      <c r="E29" s="157" t="s">
        <v>314</v>
      </c>
      <c r="F29" s="105" t="s">
        <v>290</v>
      </c>
      <c r="G29" s="163">
        <v>100</v>
      </c>
      <c r="H29" s="158">
        <f>+Tabla13478[[#This Row],[Cantidad]]*Tabla13478[[#This Row],[Precio Unitario en Pesos /   €]]</f>
        <v>13000</v>
      </c>
      <c r="I29" s="158">
        <f>+Tabla13478[[#This Row],[Precio Total en Pesos]]*3%</f>
        <v>390</v>
      </c>
    </row>
    <row r="30" spans="2:9" ht="15" customHeight="1" x14ac:dyDescent="0.3">
      <c r="B30" s="159" t="s">
        <v>42</v>
      </c>
      <c r="C30" s="161">
        <v>11</v>
      </c>
      <c r="D30" s="162">
        <f>SUM(Tabla1343[[#This Row],[Columna1]:[Columna5]])</f>
        <v>130</v>
      </c>
      <c r="E30" s="157" t="s">
        <v>317</v>
      </c>
      <c r="F30" s="105" t="s">
        <v>291</v>
      </c>
      <c r="G30" s="163">
        <v>5000</v>
      </c>
      <c r="H30" s="158">
        <f>+Tabla13478[[#This Row],[Cantidad]]*Tabla13478[[#This Row],[Precio Unitario en Pesos /   €]]</f>
        <v>55000</v>
      </c>
      <c r="I30" s="158">
        <f>+Tabla13478[[#This Row],[Precio Total en Pesos]]*3%</f>
        <v>1650</v>
      </c>
    </row>
    <row r="31" spans="2:9" x14ac:dyDescent="0.3">
      <c r="B31" s="136" t="s">
        <v>192</v>
      </c>
      <c r="C31" s="137">
        <v>1</v>
      </c>
      <c r="D31" s="185">
        <f>SUM(Tabla1343[[#This Row],[Columna1]:[Columna5]])</f>
        <v>11</v>
      </c>
      <c r="E31" s="139" t="s">
        <v>315</v>
      </c>
      <c r="F31" s="146" t="s">
        <v>319</v>
      </c>
      <c r="G31" s="140">
        <v>0</v>
      </c>
      <c r="H31" s="141">
        <f>+Tabla13478[[#This Row],[Cantidad]]*Tabla13478[[#This Row],[Precio Unitario en Pesos /   €]]</f>
        <v>0</v>
      </c>
      <c r="I31" s="141">
        <f>+Tabla13478[[#This Row],[Precio Total en Pesos]]*3%</f>
        <v>0</v>
      </c>
    </row>
    <row r="32" spans="2:9" ht="15" customHeight="1" x14ac:dyDescent="0.3">
      <c r="B32" s="159" t="s">
        <v>294</v>
      </c>
      <c r="C32" s="161">
        <v>4</v>
      </c>
      <c r="D32" s="162">
        <f>SUM(Tabla1343[[#This Row],[Columna1]:[Columna5]])</f>
        <v>1</v>
      </c>
      <c r="E32" s="157" t="s">
        <v>314</v>
      </c>
      <c r="F32" s="105" t="s">
        <v>291</v>
      </c>
      <c r="G32" s="163">
        <v>115000</v>
      </c>
      <c r="H32" s="158">
        <f>+Tabla13478[[#This Row],[Cantidad]]*Tabla13478[[#This Row],[Precio Unitario en Pesos /   €]]</f>
        <v>460000</v>
      </c>
      <c r="I32" s="158">
        <f>+Tabla13478[[#This Row],[Precio Total en Pesos]]*3%</f>
        <v>13800</v>
      </c>
    </row>
    <row r="33" spans="2:9" ht="15" customHeight="1" x14ac:dyDescent="0.3">
      <c r="B33" s="159" t="s">
        <v>98</v>
      </c>
      <c r="C33" s="161">
        <v>6</v>
      </c>
      <c r="D33" s="162">
        <f>SUM(Tabla1343[[#This Row],[Columna1]:[Columna5]])</f>
        <v>4</v>
      </c>
      <c r="E33" s="157" t="s">
        <v>314</v>
      </c>
      <c r="F33" s="105" t="s">
        <v>296</v>
      </c>
      <c r="G33" s="163">
        <v>20000</v>
      </c>
      <c r="H33" s="158">
        <f>+Tabla13478[[#This Row],[Cantidad]]*Tabla13478[[#This Row],[Precio Unitario en Pesos /   €]]</f>
        <v>120000</v>
      </c>
      <c r="I33" s="158">
        <f>+Tabla13478[[#This Row],[Precio Total en Pesos]]*3%</f>
        <v>3600</v>
      </c>
    </row>
    <row r="34" spans="2:9" ht="15" customHeight="1" x14ac:dyDescent="0.3">
      <c r="B34" s="159" t="s">
        <v>95</v>
      </c>
      <c r="C34" s="161">
        <v>3</v>
      </c>
      <c r="D34" s="162">
        <f>SUM(Tabla1343[[#This Row],[Columna1]:[Columna5]])</f>
        <v>6</v>
      </c>
      <c r="E34" s="157" t="s">
        <v>314</v>
      </c>
      <c r="F34" s="105" t="s">
        <v>296</v>
      </c>
      <c r="G34" s="163">
        <v>25000</v>
      </c>
      <c r="H34" s="158">
        <f>+Tabla13478[[#This Row],[Cantidad]]*Tabla13478[[#This Row],[Precio Unitario en Pesos /   €]]</f>
        <v>75000</v>
      </c>
      <c r="I34" s="158">
        <f>+Tabla13478[[#This Row],[Precio Total en Pesos]]*3%</f>
        <v>2250</v>
      </c>
    </row>
    <row r="35" spans="2:9" ht="15" customHeight="1" x14ac:dyDescent="0.3">
      <c r="B35" s="159" t="s">
        <v>231</v>
      </c>
      <c r="C35" s="161">
        <v>12</v>
      </c>
      <c r="D35" s="162">
        <f>SUM(Tabla1343[[#This Row],[Columna1]:[Columna5]])</f>
        <v>3</v>
      </c>
      <c r="E35" s="157" t="s">
        <v>317</v>
      </c>
      <c r="F35" s="168" t="s">
        <v>309</v>
      </c>
      <c r="G35" s="163">
        <v>21000</v>
      </c>
      <c r="H35" s="158">
        <f>+Tabla13478[[#This Row],[Cantidad]]*Tabla13478[[#This Row],[Precio Unitario en Pesos /   €]]</f>
        <v>252000</v>
      </c>
      <c r="I35" s="158">
        <f>+Tabla13478[[#This Row],[Precio Total en Pesos]]*3%</f>
        <v>7560</v>
      </c>
    </row>
    <row r="36" spans="2:9" ht="15" customHeight="1" x14ac:dyDescent="0.3">
      <c r="B36" s="159" t="s">
        <v>295</v>
      </c>
      <c r="C36" s="161">
        <v>38</v>
      </c>
      <c r="D36" s="162">
        <f>SUM(Tabla1343[[#This Row],[Columna1]:[Columna5]])</f>
        <v>11</v>
      </c>
      <c r="E36" s="157" t="s">
        <v>317</v>
      </c>
      <c r="F36" s="168" t="s">
        <v>309</v>
      </c>
      <c r="G36" s="163">
        <v>48000</v>
      </c>
      <c r="H36" s="158">
        <f>+Tabla13478[[#This Row],[Cantidad]]*Tabla13478[[#This Row],[Precio Unitario en Pesos /   €]]</f>
        <v>1824000</v>
      </c>
      <c r="I36" s="158">
        <f>+Tabla13478[[#This Row],[Precio Total en Pesos]]*3%</f>
        <v>54720</v>
      </c>
    </row>
    <row r="37" spans="2:9" ht="15" customHeight="1" x14ac:dyDescent="0.3">
      <c r="B37" s="159" t="s">
        <v>226</v>
      </c>
      <c r="C37" s="161">
        <v>2</v>
      </c>
      <c r="D37" s="162">
        <f>SUM(Tabla1343[[#This Row],[Columna1]:[Columna5]])</f>
        <v>38</v>
      </c>
      <c r="E37" s="157" t="s">
        <v>317</v>
      </c>
      <c r="F37" s="168" t="s">
        <v>309</v>
      </c>
      <c r="G37" s="163">
        <v>12000</v>
      </c>
      <c r="H37" s="158">
        <f>+Tabla13478[[#This Row],[Cantidad]]*Tabla13478[[#This Row],[Precio Unitario en Pesos /   €]]</f>
        <v>24000</v>
      </c>
      <c r="I37" s="158">
        <f>+Tabla13478[[#This Row],[Precio Total en Pesos]]*3%</f>
        <v>720</v>
      </c>
    </row>
    <row r="38" spans="2:9" ht="15" customHeight="1" x14ac:dyDescent="0.3">
      <c r="B38" s="159" t="s">
        <v>90</v>
      </c>
      <c r="C38" s="161">
        <v>10</v>
      </c>
      <c r="D38" s="162">
        <f>SUM(Tabla1343[[#This Row],[Columna1]:[Columna5]])</f>
        <v>2</v>
      </c>
      <c r="E38" s="157" t="s">
        <v>317</v>
      </c>
      <c r="F38" s="168" t="s">
        <v>309</v>
      </c>
      <c r="G38" s="163">
        <v>22000</v>
      </c>
      <c r="H38" s="158">
        <f>+Tabla13478[[#This Row],[Cantidad]]*Tabla13478[[#This Row],[Precio Unitario en Pesos /   €]]</f>
        <v>220000</v>
      </c>
      <c r="I38" s="158">
        <f>+Tabla13478[[#This Row],[Precio Total en Pesos]]*3%</f>
        <v>6600</v>
      </c>
    </row>
    <row r="39" spans="2:9" ht="15" customHeight="1" x14ac:dyDescent="0.3">
      <c r="B39" s="159" t="s">
        <v>97</v>
      </c>
      <c r="C39" s="161">
        <v>9</v>
      </c>
      <c r="D39" s="162">
        <f>SUM(Tabla1343[[#This Row],[Columna1]:[Columna5]])</f>
        <v>10</v>
      </c>
      <c r="E39" s="157" t="s">
        <v>314</v>
      </c>
      <c r="F39" s="105" t="s">
        <v>296</v>
      </c>
      <c r="G39" s="163">
        <v>20000</v>
      </c>
      <c r="H39" s="158">
        <f>+Tabla13478[[#This Row],[Cantidad]]*Tabla13478[[#This Row],[Precio Unitario en Pesos /   €]]</f>
        <v>180000</v>
      </c>
      <c r="I39" s="158">
        <f>+Tabla13478[[#This Row],[Precio Total en Pesos]]*3%</f>
        <v>5400</v>
      </c>
    </row>
    <row r="40" spans="2:9" ht="15" customHeight="1" x14ac:dyDescent="0.3">
      <c r="B40" s="136" t="s">
        <v>206</v>
      </c>
      <c r="C40" s="137">
        <v>2</v>
      </c>
      <c r="D40" s="185">
        <f>SUM(Tabla1343[[#This Row],[Columna1]:[Columna5]])</f>
        <v>9</v>
      </c>
      <c r="E40" s="139" t="s">
        <v>315</v>
      </c>
      <c r="F40" s="146" t="s">
        <v>319</v>
      </c>
      <c r="G40" s="140">
        <v>0</v>
      </c>
      <c r="H40" s="141">
        <f>+Tabla13478[[#This Row],[Cantidad]]*Tabla13478[[#This Row],[Precio Unitario en Pesos /   €]]</f>
        <v>0</v>
      </c>
      <c r="I40" s="141">
        <f>+Tabla13478[[#This Row],[Precio Total en Pesos]]*3%</f>
        <v>0</v>
      </c>
    </row>
    <row r="41" spans="2:9" ht="15" customHeight="1" x14ac:dyDescent="0.3">
      <c r="B41" s="159" t="s">
        <v>125</v>
      </c>
      <c r="C41" s="161">
        <v>4</v>
      </c>
      <c r="D41" s="162">
        <f>SUM(Tabla1343[[#This Row],[Columna1]:[Columna5]])</f>
        <v>2</v>
      </c>
      <c r="E41" s="157" t="s">
        <v>314</v>
      </c>
      <c r="F41" s="163" t="s">
        <v>250</v>
      </c>
      <c r="G41" s="163">
        <v>23587</v>
      </c>
      <c r="H41" s="158">
        <f>+Tabla13478[[#This Row],[Cantidad]]*Tabla13478[[#This Row],[Precio Unitario en Pesos /   €]]</f>
        <v>94348</v>
      </c>
      <c r="I41" s="158">
        <f>+Tabla13478[[#This Row],[Precio Total en Pesos]]*3%</f>
        <v>2830.44</v>
      </c>
    </row>
    <row r="42" spans="2:9" ht="15" customHeight="1" x14ac:dyDescent="0.3">
      <c r="B42" s="159" t="s">
        <v>249</v>
      </c>
      <c r="C42" s="161">
        <v>3</v>
      </c>
      <c r="D42" s="162">
        <f>SUM(Tabla1343[[#This Row],[Columna1]:[Columna5]])</f>
        <v>4</v>
      </c>
      <c r="E42" s="157" t="s">
        <v>314</v>
      </c>
      <c r="F42" s="163" t="s">
        <v>250</v>
      </c>
      <c r="G42" s="163">
        <v>42168</v>
      </c>
      <c r="H42" s="158">
        <f>+Tabla13478[[#This Row],[Cantidad]]*Tabla13478[[#This Row],[Precio Unitario en Pesos /   €]]</f>
        <v>126504</v>
      </c>
      <c r="I42" s="158">
        <f>+Tabla13478[[#This Row],[Precio Total en Pesos]]*3%</f>
        <v>3795.12</v>
      </c>
    </row>
    <row r="43" spans="2:9" ht="15" customHeight="1" x14ac:dyDescent="0.3">
      <c r="B43" s="159" t="s">
        <v>127</v>
      </c>
      <c r="C43" s="161">
        <v>34</v>
      </c>
      <c r="D43" s="162">
        <f>SUM(Tabla1343[[#This Row],[Columna1]:[Columna5]])</f>
        <v>2</v>
      </c>
      <c r="E43" s="157" t="s">
        <v>314</v>
      </c>
      <c r="F43" s="163" t="s">
        <v>250</v>
      </c>
      <c r="G43" s="163">
        <v>3000</v>
      </c>
      <c r="H43" s="158">
        <f>+Tabla13478[[#This Row],[Cantidad]]*Tabla13478[[#This Row],[Precio Unitario en Pesos /   €]]</f>
        <v>102000</v>
      </c>
      <c r="I43" s="158">
        <f>+Tabla13478[[#This Row],[Precio Total en Pesos]]*3%</f>
        <v>3060</v>
      </c>
    </row>
    <row r="44" spans="2:9" ht="15" customHeight="1" x14ac:dyDescent="0.3">
      <c r="B44" s="159" t="s">
        <v>244</v>
      </c>
      <c r="C44" s="161">
        <v>1</v>
      </c>
      <c r="D44" s="162">
        <f>SUM(Tabla1343[[#This Row],[Columna1]:[Columna5]])</f>
        <v>34</v>
      </c>
      <c r="E44" s="157" t="s">
        <v>313</v>
      </c>
      <c r="F44" s="105" t="s">
        <v>291</v>
      </c>
      <c r="G44" s="163">
        <v>8600</v>
      </c>
      <c r="H44" s="158">
        <f>+Tabla13478[[#This Row],[Cantidad]]*Tabla13478[[#This Row],[Precio Unitario en Pesos /   €]]</f>
        <v>8600</v>
      </c>
      <c r="I44" s="158">
        <f>+Tabla13478[[#This Row],[Precio Total en Pesos]]*3%</f>
        <v>258</v>
      </c>
    </row>
    <row r="45" spans="2:9" ht="15" customHeight="1" x14ac:dyDescent="0.3">
      <c r="B45" s="159" t="s">
        <v>156</v>
      </c>
      <c r="C45" s="161">
        <v>9</v>
      </c>
      <c r="D45" s="162">
        <f>SUM(Tabla1343[[#This Row],[Columna1]:[Columna5]])</f>
        <v>1</v>
      </c>
      <c r="E45" s="157" t="s">
        <v>313</v>
      </c>
      <c r="F45" s="105" t="s">
        <v>291</v>
      </c>
      <c r="G45" s="163">
        <v>3000</v>
      </c>
      <c r="H45" s="158">
        <f>+Tabla13478[[#This Row],[Cantidad]]*Tabla13478[[#This Row],[Precio Unitario en Pesos /   €]]</f>
        <v>27000</v>
      </c>
      <c r="I45" s="158">
        <f>+Tabla13478[[#This Row],[Precio Total en Pesos]]*3%</f>
        <v>810</v>
      </c>
    </row>
    <row r="46" spans="2:9" ht="15" customHeight="1" x14ac:dyDescent="0.3">
      <c r="B46" s="159" t="s">
        <v>147</v>
      </c>
      <c r="C46" s="161">
        <v>77</v>
      </c>
      <c r="D46" s="162">
        <f>SUM(Tabla1343[[#This Row],[Columna1]:[Columna5]])</f>
        <v>9</v>
      </c>
      <c r="E46" s="157" t="s">
        <v>313</v>
      </c>
      <c r="F46" s="105" t="s">
        <v>291</v>
      </c>
      <c r="G46" s="163">
        <v>320</v>
      </c>
      <c r="H46" s="158">
        <f>+Tabla13478[[#This Row],[Cantidad]]*Tabla13478[[#This Row],[Precio Unitario en Pesos /   €]]</f>
        <v>24640</v>
      </c>
      <c r="I46" s="158">
        <f>+Tabla13478[[#This Row],[Precio Total en Pesos]]*3%</f>
        <v>739.19999999999993</v>
      </c>
    </row>
    <row r="47" spans="2:9" ht="15" customHeight="1" x14ac:dyDescent="0.3">
      <c r="B47" s="159" t="s">
        <v>133</v>
      </c>
      <c r="C47" s="161">
        <v>28</v>
      </c>
      <c r="D47" s="162">
        <f>SUM(Tabla1343[[#This Row],[Columna1]:[Columna5]])</f>
        <v>77</v>
      </c>
      <c r="E47" s="157" t="s">
        <v>313</v>
      </c>
      <c r="F47" s="105" t="s">
        <v>291</v>
      </c>
      <c r="G47" s="163">
        <v>422</v>
      </c>
      <c r="H47" s="158">
        <f>+Tabla13478[[#This Row],[Cantidad]]*Tabla13478[[#This Row],[Precio Unitario en Pesos /   €]]</f>
        <v>11816</v>
      </c>
      <c r="I47" s="158">
        <f>+Tabla13478[[#This Row],[Precio Total en Pesos]]*3%</f>
        <v>354.47999999999996</v>
      </c>
    </row>
    <row r="48" spans="2:9" ht="15" customHeight="1" x14ac:dyDescent="0.3">
      <c r="B48" s="159" t="s">
        <v>134</v>
      </c>
      <c r="C48" s="161">
        <v>17</v>
      </c>
      <c r="D48" s="162">
        <f>SUM(Tabla1343[[#This Row],[Columna1]:[Columna5]])</f>
        <v>28</v>
      </c>
      <c r="E48" s="157" t="s">
        <v>313</v>
      </c>
      <c r="F48" s="105" t="s">
        <v>291</v>
      </c>
      <c r="G48" s="163">
        <v>844</v>
      </c>
      <c r="H48" s="158">
        <f>+Tabla13478[[#This Row],[Cantidad]]*Tabla13478[[#This Row],[Precio Unitario en Pesos /   €]]</f>
        <v>14348</v>
      </c>
      <c r="I48" s="158">
        <f>+Tabla13478[[#This Row],[Precio Total en Pesos]]*3%</f>
        <v>430.44</v>
      </c>
    </row>
    <row r="49" spans="2:9" ht="15" customHeight="1" x14ac:dyDescent="0.3">
      <c r="B49" s="164" t="s">
        <v>135</v>
      </c>
      <c r="C49" s="165">
        <v>27</v>
      </c>
      <c r="D49" s="166">
        <f>SUM(Tabla1343[[#This Row],[Columna1]:[Columna5]])</f>
        <v>17</v>
      </c>
      <c r="E49" s="157" t="s">
        <v>313</v>
      </c>
      <c r="F49" s="105" t="s">
        <v>291</v>
      </c>
      <c r="G49" s="163">
        <v>1266</v>
      </c>
      <c r="H49" s="158">
        <f>+Tabla13478[[#This Row],[Cantidad]]*Tabla13478[[#This Row],[Precio Unitario en Pesos /   €]]</f>
        <v>34182</v>
      </c>
      <c r="I49" s="158">
        <f>+Tabla13478[[#This Row],[Precio Total en Pesos]]*3%</f>
        <v>1025.46</v>
      </c>
    </row>
    <row r="50" spans="2:9" ht="15" customHeight="1" x14ac:dyDescent="0.3">
      <c r="B50" s="164" t="s">
        <v>136</v>
      </c>
      <c r="C50" s="165">
        <v>36</v>
      </c>
      <c r="D50" s="166">
        <f>SUM(Tabla1343[[#This Row],[Columna1]:[Columna5]])</f>
        <v>27</v>
      </c>
      <c r="E50" s="157" t="s">
        <v>313</v>
      </c>
      <c r="F50" s="105" t="s">
        <v>291</v>
      </c>
      <c r="G50" s="163">
        <v>1688</v>
      </c>
      <c r="H50" s="158">
        <f>+Tabla13478[[#This Row],[Cantidad]]*Tabla13478[[#This Row],[Precio Unitario en Pesos /   €]]</f>
        <v>60768</v>
      </c>
      <c r="I50" s="158">
        <f>+Tabla13478[[#This Row],[Precio Total en Pesos]]*3%</f>
        <v>1823.04</v>
      </c>
    </row>
    <row r="51" spans="2:9" ht="15" customHeight="1" x14ac:dyDescent="0.3">
      <c r="B51" s="159" t="s">
        <v>204</v>
      </c>
      <c r="C51" s="161">
        <v>56</v>
      </c>
      <c r="D51" s="162">
        <f>SUM(Tabla1343[[#This Row],[Columna1]:[Columna5]])</f>
        <v>36</v>
      </c>
      <c r="E51" s="157" t="s">
        <v>313</v>
      </c>
      <c r="F51" s="105" t="s">
        <v>291</v>
      </c>
      <c r="G51" s="163">
        <v>600</v>
      </c>
      <c r="H51" s="158">
        <f>+Tabla13478[[#This Row],[Cantidad]]*Tabla13478[[#This Row],[Precio Unitario en Pesos /   €]]</f>
        <v>33600</v>
      </c>
      <c r="I51" s="158">
        <f>+Tabla13478[[#This Row],[Precio Total en Pesos]]*3%</f>
        <v>1008</v>
      </c>
    </row>
    <row r="52" spans="2:9" ht="15" customHeight="1" x14ac:dyDescent="0.3">
      <c r="B52" s="159" t="s">
        <v>15</v>
      </c>
      <c r="C52" s="161">
        <v>403</v>
      </c>
      <c r="D52" s="162">
        <v>403</v>
      </c>
      <c r="E52" s="157" t="s">
        <v>314</v>
      </c>
      <c r="F52" s="163" t="s">
        <v>266</v>
      </c>
      <c r="G52" s="163">
        <v>5065</v>
      </c>
      <c r="H52" s="158">
        <f>+Tabla13478[[#This Row],[Cantidad]]*Tabla13478[[#This Row],[Precio Unitario en Pesos /   €]]</f>
        <v>2041195</v>
      </c>
      <c r="I52" s="158">
        <f>+Tabla13478[[#This Row],[Precio Total en Pesos]]*3%</f>
        <v>61235.85</v>
      </c>
    </row>
    <row r="53" spans="2:9" ht="15" customHeight="1" x14ac:dyDescent="0.3">
      <c r="B53" s="159" t="s">
        <v>252</v>
      </c>
      <c r="C53" s="161">
        <v>16</v>
      </c>
      <c r="D53" s="162">
        <v>16</v>
      </c>
      <c r="E53" s="157" t="s">
        <v>314</v>
      </c>
      <c r="F53" s="163" t="s">
        <v>243</v>
      </c>
      <c r="G53" s="163">
        <v>2500</v>
      </c>
      <c r="H53" s="158">
        <f>+Tabla13478[[#This Row],[Cantidad]]*Tabla13478[[#This Row],[Precio Unitario en Pesos /   €]]</f>
        <v>40000</v>
      </c>
      <c r="I53" s="158">
        <f>+Tabla13478[[#This Row],[Precio Total en Pesos]]*3%</f>
        <v>1200</v>
      </c>
    </row>
    <row r="54" spans="2:9" ht="15" customHeight="1" x14ac:dyDescent="0.3">
      <c r="B54" s="159" t="s">
        <v>140</v>
      </c>
      <c r="C54" s="161">
        <v>34</v>
      </c>
      <c r="D54" s="162">
        <f>SUM(Tabla1343[[#This Row],[Columna1]:[Columna5]])</f>
        <v>0</v>
      </c>
      <c r="E54" s="157" t="s">
        <v>314</v>
      </c>
      <c r="F54" s="105" t="s">
        <v>301</v>
      </c>
      <c r="G54" s="163">
        <v>5065</v>
      </c>
      <c r="H54" s="158">
        <f>+Tabla13478[[#This Row],[Cantidad]]*Tabla13478[[#This Row],[Precio Unitario en Pesos /   €]]</f>
        <v>172210</v>
      </c>
      <c r="I54" s="158">
        <f>+Tabla13478[[#This Row],[Precio Total en Pesos]]*3%</f>
        <v>5166.3</v>
      </c>
    </row>
    <row r="55" spans="2:9" ht="15" customHeight="1" x14ac:dyDescent="0.3">
      <c r="B55" s="159" t="s">
        <v>121</v>
      </c>
      <c r="C55" s="161">
        <v>5</v>
      </c>
      <c r="D55" s="162">
        <f>SUM(Tabla1343[[#This Row],[Columna1]:[Columna5]])</f>
        <v>34</v>
      </c>
      <c r="E55" s="157" t="s">
        <v>313</v>
      </c>
      <c r="F55" s="105" t="s">
        <v>297</v>
      </c>
      <c r="G55" s="163">
        <v>2800</v>
      </c>
      <c r="H55" s="158">
        <f>+Tabla13478[[#This Row],[Cantidad]]*Tabla13478[[#This Row],[Precio Unitario en Pesos /   €]]</f>
        <v>14000</v>
      </c>
      <c r="I55" s="158">
        <f>+Tabla13478[[#This Row],[Precio Total en Pesos]]*3%</f>
        <v>420</v>
      </c>
    </row>
    <row r="56" spans="2:9" ht="15" customHeight="1" x14ac:dyDescent="0.3">
      <c r="B56" s="159" t="s">
        <v>74</v>
      </c>
      <c r="C56" s="161">
        <v>58</v>
      </c>
      <c r="D56" s="162">
        <f>SUM(Tabla1343[[#This Row],[Columna1]:[Columna5]])</f>
        <v>5</v>
      </c>
      <c r="E56" s="157" t="s">
        <v>314</v>
      </c>
      <c r="F56" s="105" t="s">
        <v>291</v>
      </c>
      <c r="G56" s="163">
        <v>30000</v>
      </c>
      <c r="H56" s="158">
        <f>+Tabla13478[[#This Row],[Cantidad]]*Tabla13478[[#This Row],[Precio Unitario en Pesos /   €]]</f>
        <v>1740000</v>
      </c>
      <c r="I56" s="158">
        <f>+Tabla13478[[#This Row],[Precio Total en Pesos]]*3%</f>
        <v>52200</v>
      </c>
    </row>
    <row r="57" spans="2:9" ht="15" customHeight="1" x14ac:dyDescent="0.3">
      <c r="B57" s="159" t="s">
        <v>88</v>
      </c>
      <c r="C57" s="161">
        <v>10</v>
      </c>
      <c r="D57" s="162">
        <f>SUM(Tabla1343[[#This Row],[Columna1]:[Columna5]])</f>
        <v>58</v>
      </c>
      <c r="E57" s="157" t="s">
        <v>314</v>
      </c>
      <c r="F57" s="105" t="s">
        <v>291</v>
      </c>
      <c r="G57" s="163">
        <f>36016-11326</f>
        <v>24690</v>
      </c>
      <c r="H57" s="158">
        <f>+Tabla13478[[#This Row],[Cantidad]]*Tabla13478[[#This Row],[Precio Unitario en Pesos /   €]]</f>
        <v>246900</v>
      </c>
      <c r="I57" s="158">
        <f>+Tabla13478[[#This Row],[Precio Total en Pesos]]*3%</f>
        <v>7407</v>
      </c>
    </row>
    <row r="58" spans="2:9" ht="15" customHeight="1" x14ac:dyDescent="0.3">
      <c r="B58" s="164" t="s">
        <v>190</v>
      </c>
      <c r="C58" s="165">
        <v>5</v>
      </c>
      <c r="D58" s="166">
        <f>SUM(Tabla1343[[#This Row],[Columna1]:[Columna5]])</f>
        <v>10</v>
      </c>
      <c r="E58" s="167" t="s">
        <v>313</v>
      </c>
      <c r="F58" s="105" t="s">
        <v>291</v>
      </c>
      <c r="G58" s="163">
        <v>2990</v>
      </c>
      <c r="H58" s="158">
        <f>+Tabla13478[[#This Row],[Cantidad]]*Tabla13478[[#This Row],[Precio Unitario en Pesos /   €]]</f>
        <v>14950</v>
      </c>
      <c r="I58" s="158">
        <f>+Tabla13478[[#This Row],[Precio Total en Pesos]]*3%</f>
        <v>448.5</v>
      </c>
    </row>
    <row r="59" spans="2:9" ht="15" customHeight="1" x14ac:dyDescent="0.3">
      <c r="B59" s="164" t="s">
        <v>112</v>
      </c>
      <c r="C59" s="165">
        <v>20</v>
      </c>
      <c r="D59" s="166">
        <f>SUM(Tabla1343[[#This Row],[Columna1]:[Columna5]])</f>
        <v>5</v>
      </c>
      <c r="E59" s="167" t="s">
        <v>314</v>
      </c>
      <c r="F59" s="105" t="s">
        <v>291</v>
      </c>
      <c r="G59" s="163">
        <v>27000</v>
      </c>
      <c r="H59" s="158">
        <f>+Tabla13478[[#This Row],[Cantidad]]*Tabla13478[[#This Row],[Precio Unitario en Pesos /   €]]</f>
        <v>540000</v>
      </c>
      <c r="I59" s="158">
        <f>+Tabla13478[[#This Row],[Precio Total en Pesos]]*3%</f>
        <v>16200</v>
      </c>
    </row>
    <row r="60" spans="2:9" ht="15" customHeight="1" x14ac:dyDescent="0.3">
      <c r="B60" s="159" t="s">
        <v>153</v>
      </c>
      <c r="C60" s="161">
        <v>14</v>
      </c>
      <c r="D60" s="162">
        <f>SUM(Tabla1343[[#This Row],[Columna1]:[Columna5]])</f>
        <v>20</v>
      </c>
      <c r="E60" s="157" t="s">
        <v>313</v>
      </c>
      <c r="F60" s="105" t="s">
        <v>291</v>
      </c>
      <c r="G60" s="163">
        <v>1800</v>
      </c>
      <c r="H60" s="158">
        <f>+Tabla13478[[#This Row],[Cantidad]]*Tabla13478[[#This Row],[Precio Unitario en Pesos /   €]]</f>
        <v>25200</v>
      </c>
      <c r="I60" s="158">
        <f>+Tabla13478[[#This Row],[Precio Total en Pesos]]*3%</f>
        <v>756</v>
      </c>
    </row>
    <row r="61" spans="2:9" ht="15" customHeight="1" x14ac:dyDescent="0.3">
      <c r="B61" s="159" t="s">
        <v>150</v>
      </c>
      <c r="C61" s="161">
        <v>16</v>
      </c>
      <c r="D61" s="162">
        <f>SUM(Tabla1343[[#This Row],[Columna1]:[Columna5]])</f>
        <v>14</v>
      </c>
      <c r="E61" s="157" t="s">
        <v>317</v>
      </c>
      <c r="F61" s="105" t="s">
        <v>291</v>
      </c>
      <c r="G61" s="163">
        <v>2160</v>
      </c>
      <c r="H61" s="158">
        <f>+Tabla13478[[#This Row],[Cantidad]]*Tabla13478[[#This Row],[Precio Unitario en Pesos /   €]]</f>
        <v>34560</v>
      </c>
      <c r="I61" s="158">
        <f>+Tabla13478[[#This Row],[Precio Total en Pesos]]*3%</f>
        <v>1036.8</v>
      </c>
    </row>
    <row r="62" spans="2:9" ht="15" customHeight="1" x14ac:dyDescent="0.3">
      <c r="B62" s="159" t="s">
        <v>151</v>
      </c>
      <c r="C62" s="161">
        <v>8</v>
      </c>
      <c r="D62" s="162">
        <f>SUM(Tabla1343[[#This Row],[Columna1]:[Columna5]])</f>
        <v>16</v>
      </c>
      <c r="E62" s="157" t="s">
        <v>317</v>
      </c>
      <c r="F62" s="105" t="s">
        <v>291</v>
      </c>
      <c r="G62" s="163">
        <v>2200</v>
      </c>
      <c r="H62" s="158">
        <f>+Tabla13478[[#This Row],[Cantidad]]*Tabla13478[[#This Row],[Precio Unitario en Pesos /   €]]</f>
        <v>17600</v>
      </c>
      <c r="I62" s="158">
        <f>+Tabla13478[[#This Row],[Precio Total en Pesos]]*3%</f>
        <v>528</v>
      </c>
    </row>
    <row r="63" spans="2:9" ht="15" customHeight="1" x14ac:dyDescent="0.3">
      <c r="B63" s="159" t="s">
        <v>152</v>
      </c>
      <c r="C63" s="161">
        <v>6</v>
      </c>
      <c r="D63" s="162">
        <f>SUM(Tabla1343[[#This Row],[Columna1]:[Columna5]])</f>
        <v>8</v>
      </c>
      <c r="E63" s="157" t="s">
        <v>317</v>
      </c>
      <c r="F63" s="105" t="s">
        <v>291</v>
      </c>
      <c r="G63" s="163">
        <v>2350</v>
      </c>
      <c r="H63" s="158">
        <f>+Tabla13478[[#This Row],[Cantidad]]*Tabla13478[[#This Row],[Precio Unitario en Pesos /   €]]</f>
        <v>14100</v>
      </c>
      <c r="I63" s="158">
        <f>+Tabla13478[[#This Row],[Precio Total en Pesos]]*3%</f>
        <v>423</v>
      </c>
    </row>
    <row r="64" spans="2:9" ht="15" customHeight="1" x14ac:dyDescent="0.3">
      <c r="B64" s="159" t="s">
        <v>246</v>
      </c>
      <c r="C64" s="161">
        <v>1</v>
      </c>
      <c r="D64" s="162">
        <f>SUM(Tabla1343[[#This Row],[Columna1]:[Columna5]])</f>
        <v>6</v>
      </c>
      <c r="E64" s="157" t="s">
        <v>314</v>
      </c>
      <c r="F64" s="105" t="s">
        <v>291</v>
      </c>
      <c r="G64" s="163">
        <f>1300*10</f>
        <v>13000</v>
      </c>
      <c r="H64" s="158">
        <f>+Tabla13478[[#This Row],[Cantidad]]*Tabla13478[[#This Row],[Precio Unitario en Pesos /   €]]</f>
        <v>13000</v>
      </c>
      <c r="I64" s="158">
        <f>+Tabla13478[[#This Row],[Precio Total en Pesos]]*3%</f>
        <v>390</v>
      </c>
    </row>
    <row r="65" spans="2:9" ht="15" customHeight="1" x14ac:dyDescent="0.3">
      <c r="B65" s="159" t="s">
        <v>245</v>
      </c>
      <c r="C65" s="161">
        <v>1</v>
      </c>
      <c r="D65" s="162">
        <f>SUM(Tabla1343[[#This Row],[Columna1]:[Columna5]])</f>
        <v>1</v>
      </c>
      <c r="E65" s="157" t="s">
        <v>314</v>
      </c>
      <c r="F65" s="105" t="s">
        <v>291</v>
      </c>
      <c r="G65" s="163">
        <f>1300*7</f>
        <v>9100</v>
      </c>
      <c r="H65" s="158">
        <f>+Tabla13478[[#This Row],[Cantidad]]*Tabla13478[[#This Row],[Precio Unitario en Pesos /   €]]</f>
        <v>9100</v>
      </c>
      <c r="I65" s="158">
        <f>+Tabla13478[[#This Row],[Precio Total en Pesos]]*3%</f>
        <v>273</v>
      </c>
    </row>
    <row r="66" spans="2:9" ht="15" customHeight="1" x14ac:dyDescent="0.3">
      <c r="B66" s="159" t="s">
        <v>183</v>
      </c>
      <c r="C66" s="161">
        <v>1</v>
      </c>
      <c r="D66" s="162">
        <f>SUM(Tabla1343[[#This Row],[Columna1]:[Columna5]])</f>
        <v>1</v>
      </c>
      <c r="E66" s="157" t="s">
        <v>314</v>
      </c>
      <c r="F66" s="105" t="s">
        <v>291</v>
      </c>
      <c r="G66" s="163">
        <f>12*4*1300</f>
        <v>62400</v>
      </c>
      <c r="H66" s="158">
        <f>+Tabla13478[[#This Row],[Cantidad]]*Tabla13478[[#This Row],[Precio Unitario en Pesos /   €]]</f>
        <v>62400</v>
      </c>
      <c r="I66" s="158">
        <f>+Tabla13478[[#This Row],[Precio Total en Pesos]]*3%</f>
        <v>1872</v>
      </c>
    </row>
    <row r="67" spans="2:9" ht="15" customHeight="1" x14ac:dyDescent="0.3">
      <c r="B67" s="159" t="s">
        <v>47</v>
      </c>
      <c r="C67" s="161">
        <v>4</v>
      </c>
      <c r="D67" s="162">
        <f>SUM(Tabla1343[[#This Row],[Columna1]:[Columna5]])</f>
        <v>0</v>
      </c>
      <c r="E67" s="157" t="s">
        <v>314</v>
      </c>
      <c r="F67" s="105" t="s">
        <v>291</v>
      </c>
      <c r="G67" s="163">
        <f>2100*8</f>
        <v>16800</v>
      </c>
      <c r="H67" s="158">
        <f>+Tabla13478[[#This Row],[Cantidad]]*Tabla13478[[#This Row],[Precio Unitario en Pesos /   €]]</f>
        <v>67200</v>
      </c>
      <c r="I67" s="158">
        <f>+Tabla13478[[#This Row],[Precio Total en Pesos]]*3%</f>
        <v>2016</v>
      </c>
    </row>
    <row r="68" spans="2:9" ht="15" customHeight="1" x14ac:dyDescent="0.3">
      <c r="B68" s="164" t="s">
        <v>277</v>
      </c>
      <c r="C68" s="165">
        <v>4</v>
      </c>
      <c r="D68" s="166">
        <f>SUM(Tabla1343[[#This Row],[Columna1]:[Columna5]])</f>
        <v>1</v>
      </c>
      <c r="E68" s="157" t="s">
        <v>314</v>
      </c>
      <c r="F68" s="105" t="s">
        <v>291</v>
      </c>
      <c r="G68" s="163">
        <v>108000</v>
      </c>
      <c r="H68" s="158">
        <f>+Tabla13478[[#This Row],[Cantidad]]*Tabla13478[[#This Row],[Precio Unitario en Pesos /   €]]</f>
        <v>432000</v>
      </c>
      <c r="I68" s="158">
        <f>+Tabla13478[[#This Row],[Precio Total en Pesos]]*3%</f>
        <v>12960</v>
      </c>
    </row>
    <row r="69" spans="2:9" ht="15" customHeight="1" x14ac:dyDescent="0.3">
      <c r="B69" s="159" t="s">
        <v>276</v>
      </c>
      <c r="C69" s="161">
        <v>20</v>
      </c>
      <c r="D69" s="162">
        <f>SUM(Tabla1343[[#This Row],[Columna1]:[Columna5]])</f>
        <v>4</v>
      </c>
      <c r="E69" s="157" t="s">
        <v>314</v>
      </c>
      <c r="F69" s="105" t="s">
        <v>291</v>
      </c>
      <c r="G69" s="163">
        <f>1300*12</f>
        <v>15600</v>
      </c>
      <c r="H69" s="158">
        <f>+Tabla13478[[#This Row],[Cantidad]]*Tabla13478[[#This Row],[Precio Unitario en Pesos /   €]]</f>
        <v>312000</v>
      </c>
      <c r="I69" s="158">
        <f>+Tabla13478[[#This Row],[Precio Total en Pesos]]*3%</f>
        <v>9360</v>
      </c>
    </row>
    <row r="70" spans="2:9" ht="15" customHeight="1" x14ac:dyDescent="0.3">
      <c r="B70" s="159" t="s">
        <v>193</v>
      </c>
      <c r="C70" s="161">
        <v>3</v>
      </c>
      <c r="D70" s="162">
        <f>SUM(Tabla1343[[#This Row],[Columna1]:[Columna5]])</f>
        <v>4</v>
      </c>
      <c r="E70" s="157" t="s">
        <v>313</v>
      </c>
      <c r="F70" s="105" t="s">
        <v>291</v>
      </c>
      <c r="G70" s="163">
        <v>3100</v>
      </c>
      <c r="H70" s="158">
        <f>+Tabla13478[[#This Row],[Cantidad]]*Tabla13478[[#This Row],[Precio Unitario en Pesos /   €]]</f>
        <v>9300</v>
      </c>
      <c r="I70" s="158">
        <f>+Tabla13478[[#This Row],[Precio Total en Pesos]]*3%</f>
        <v>279</v>
      </c>
    </row>
    <row r="71" spans="2:9" ht="15" customHeight="1" x14ac:dyDescent="0.3">
      <c r="B71" s="136" t="s">
        <v>191</v>
      </c>
      <c r="C71" s="137">
        <v>1</v>
      </c>
      <c r="D71" s="185">
        <f>SUM(Tabla1343[[#This Row],[Columna1]:[Columna5]])</f>
        <v>20</v>
      </c>
      <c r="E71" s="139" t="s">
        <v>315</v>
      </c>
      <c r="F71" s="146" t="s">
        <v>319</v>
      </c>
      <c r="G71" s="140">
        <v>0</v>
      </c>
      <c r="H71" s="141">
        <f>+Tabla13478[[#This Row],[Cantidad]]*Tabla13478[[#This Row],[Precio Unitario en Pesos /   €]]</f>
        <v>0</v>
      </c>
      <c r="I71" s="141">
        <f>+Tabla13478[[#This Row],[Precio Total en Pesos]]*3%</f>
        <v>0</v>
      </c>
    </row>
    <row r="72" spans="2:9" ht="15" customHeight="1" x14ac:dyDescent="0.3">
      <c r="B72" s="159" t="s">
        <v>176</v>
      </c>
      <c r="C72" s="161">
        <v>3</v>
      </c>
      <c r="D72" s="162">
        <f>SUM(Tabla1343[[#This Row],[Columna1]:[Columna5]])</f>
        <v>3</v>
      </c>
      <c r="E72" s="157" t="s">
        <v>313</v>
      </c>
      <c r="F72" s="105" t="s">
        <v>291</v>
      </c>
      <c r="G72" s="163">
        <v>900</v>
      </c>
      <c r="H72" s="158">
        <f>+Tabla13478[[#This Row],[Cantidad]]*Tabla13478[[#This Row],[Precio Unitario en Pesos /   €]]</f>
        <v>2700</v>
      </c>
      <c r="I72" s="158">
        <f>+Tabla13478[[#This Row],[Precio Total en Pesos]]*3%</f>
        <v>81</v>
      </c>
    </row>
    <row r="73" spans="2:9" ht="15" customHeight="1" x14ac:dyDescent="0.3">
      <c r="B73" s="159" t="s">
        <v>161</v>
      </c>
      <c r="C73" s="161">
        <v>36</v>
      </c>
      <c r="D73" s="162">
        <f>SUM(Tabla1343[[#This Row],[Columna1]:[Columna5]])</f>
        <v>1</v>
      </c>
      <c r="E73" s="157" t="s">
        <v>313</v>
      </c>
      <c r="F73" s="105" t="s">
        <v>291</v>
      </c>
      <c r="G73" s="163">
        <v>3000</v>
      </c>
      <c r="H73" s="158">
        <f>+Tabla13478[[#This Row],[Cantidad]]*Tabla13478[[#This Row],[Precio Unitario en Pesos /   €]]</f>
        <v>108000</v>
      </c>
      <c r="I73" s="158">
        <f>+Tabla13478[[#This Row],[Precio Total en Pesos]]*3%</f>
        <v>3240</v>
      </c>
    </row>
    <row r="74" spans="2:9" ht="15" customHeight="1" x14ac:dyDescent="0.3">
      <c r="B74" s="159" t="s">
        <v>162</v>
      </c>
      <c r="C74" s="161">
        <v>27</v>
      </c>
      <c r="D74" s="162">
        <f>SUM(Tabla1343[[#This Row],[Columna1]:[Columna5]])</f>
        <v>3</v>
      </c>
      <c r="E74" s="157" t="s">
        <v>313</v>
      </c>
      <c r="F74" s="105" t="s">
        <v>291</v>
      </c>
      <c r="G74" s="163">
        <v>3000</v>
      </c>
      <c r="H74" s="158">
        <f>+Tabla13478[[#This Row],[Cantidad]]*Tabla13478[[#This Row],[Precio Unitario en Pesos /   €]]</f>
        <v>81000</v>
      </c>
      <c r="I74" s="158">
        <f>+Tabla13478[[#This Row],[Precio Total en Pesos]]*3%</f>
        <v>2430</v>
      </c>
    </row>
    <row r="75" spans="2:9" ht="15" customHeight="1" x14ac:dyDescent="0.3">
      <c r="B75" s="164" t="s">
        <v>177</v>
      </c>
      <c r="C75" s="165">
        <v>113</v>
      </c>
      <c r="D75" s="166">
        <f>SUM(Tabla1343[[#This Row],[Columna1]:[Columna5]])</f>
        <v>36</v>
      </c>
      <c r="E75" s="167" t="s">
        <v>313</v>
      </c>
      <c r="F75" s="105" t="s">
        <v>298</v>
      </c>
      <c r="G75" s="163">
        <v>3500</v>
      </c>
      <c r="H75" s="158">
        <f>+Tabla13478[[#This Row],[Cantidad]]*Tabla13478[[#This Row],[Precio Unitario en Pesos /   €]]</f>
        <v>395500</v>
      </c>
      <c r="I75" s="158">
        <f>+Tabla13478[[#This Row],[Precio Total en Pesos]]*3%</f>
        <v>11865</v>
      </c>
    </row>
    <row r="76" spans="2:9" ht="15" customHeight="1" x14ac:dyDescent="0.3">
      <c r="B76" s="159" t="s">
        <v>142</v>
      </c>
      <c r="C76" s="161">
        <v>18</v>
      </c>
      <c r="D76" s="162">
        <f>SUM(Tabla1343[[#This Row],[Columna1]:[Columna5]])</f>
        <v>27</v>
      </c>
      <c r="E76" s="157" t="s">
        <v>313</v>
      </c>
      <c r="F76" s="163" t="s">
        <v>250</v>
      </c>
      <c r="G76" s="163">
        <v>2500</v>
      </c>
      <c r="H76" s="158">
        <f>+Tabla13478[[#This Row],[Cantidad]]*Tabla13478[[#This Row],[Precio Unitario en Pesos /   €]]</f>
        <v>45000</v>
      </c>
      <c r="I76" s="158">
        <f>+Tabla13478[[#This Row],[Precio Total en Pesos]]*3%</f>
        <v>1350</v>
      </c>
    </row>
    <row r="77" spans="2:9" ht="15" customHeight="1" x14ac:dyDescent="0.3">
      <c r="B77" s="159" t="s">
        <v>209</v>
      </c>
      <c r="C77" s="161">
        <v>10</v>
      </c>
      <c r="D77" s="162">
        <f>SUM(Tabla1343[[#This Row],[Columna1]:[Columna5]])</f>
        <v>113</v>
      </c>
      <c r="E77" s="157" t="s">
        <v>313</v>
      </c>
      <c r="F77" s="163" t="s">
        <v>250</v>
      </c>
      <c r="G77" s="163">
        <v>22011</v>
      </c>
      <c r="H77" s="158">
        <f>+Tabla13478[[#This Row],[Cantidad]]*Tabla13478[[#This Row],[Precio Unitario en Pesos /   €]]</f>
        <v>220110</v>
      </c>
      <c r="I77" s="158">
        <f>+Tabla13478[[#This Row],[Precio Total en Pesos]]*3%</f>
        <v>6603.3</v>
      </c>
    </row>
    <row r="78" spans="2:9" ht="15" customHeight="1" x14ac:dyDescent="0.3">
      <c r="B78" s="159" t="s">
        <v>75</v>
      </c>
      <c r="C78" s="161">
        <f>42+12</f>
        <v>54</v>
      </c>
      <c r="D78" s="162">
        <f>SUM(Tabla1343[[#This Row],[Columna1]:[Columna5]])</f>
        <v>18</v>
      </c>
      <c r="E78" s="157" t="s">
        <v>317</v>
      </c>
      <c r="F78" s="105" t="s">
        <v>291</v>
      </c>
      <c r="G78" s="163">
        <v>1800</v>
      </c>
      <c r="H78" s="158">
        <f>+Tabla13478[[#This Row],[Cantidad]]*Tabla13478[[#This Row],[Precio Unitario en Pesos /   €]]</f>
        <v>97200</v>
      </c>
      <c r="I78" s="158">
        <f>+Tabla13478[[#This Row],[Precio Total en Pesos]]*3%</f>
        <v>2916</v>
      </c>
    </row>
    <row r="79" spans="2:9" ht="15" customHeight="1" x14ac:dyDescent="0.3">
      <c r="B79" s="159" t="s">
        <v>120</v>
      </c>
      <c r="C79" s="161">
        <f>2+1+15</f>
        <v>18</v>
      </c>
      <c r="D79" s="162">
        <f>SUM(Tabla1343[[#This Row],[Columna1]:[Columna5]])</f>
        <v>10</v>
      </c>
      <c r="E79" s="157" t="s">
        <v>317</v>
      </c>
      <c r="F79" s="105" t="s">
        <v>299</v>
      </c>
      <c r="G79" s="163">
        <v>1800</v>
      </c>
      <c r="H79" s="158">
        <f>+Tabla13478[[#This Row],[Cantidad]]*Tabla13478[[#This Row],[Precio Unitario en Pesos /   €]]</f>
        <v>32400</v>
      </c>
      <c r="I79" s="158">
        <f>+Tabla13478[[#This Row],[Precio Total en Pesos]]*3%</f>
        <v>972</v>
      </c>
    </row>
    <row r="80" spans="2:9" ht="15" customHeight="1" x14ac:dyDescent="0.3">
      <c r="B80" s="159" t="s">
        <v>76</v>
      </c>
      <c r="C80" s="161">
        <v>30</v>
      </c>
      <c r="D80" s="162">
        <f>SUM(Tabla1343[[#This Row],[Columna1]:[Columna5]])</f>
        <v>54</v>
      </c>
      <c r="E80" s="157" t="s">
        <v>317</v>
      </c>
      <c r="F80" s="105" t="s">
        <v>291</v>
      </c>
      <c r="G80" s="163">
        <v>3200</v>
      </c>
      <c r="H80" s="158">
        <f>+Tabla13478[[#This Row],[Cantidad]]*Tabla13478[[#This Row],[Precio Unitario en Pesos /   €]]</f>
        <v>96000</v>
      </c>
      <c r="I80" s="158">
        <f>+Tabla13478[[#This Row],[Precio Total en Pesos]]*3%</f>
        <v>2880</v>
      </c>
    </row>
    <row r="81" spans="2:9" ht="15" customHeight="1" x14ac:dyDescent="0.3">
      <c r="B81" s="159" t="s">
        <v>40</v>
      </c>
      <c r="C81" s="161">
        <v>2</v>
      </c>
      <c r="D81" s="162">
        <f>SUM(Tabla1343[[#This Row],[Columna1]:[Columna5]])</f>
        <v>18</v>
      </c>
      <c r="E81" s="157" t="s">
        <v>317</v>
      </c>
      <c r="F81" s="105" t="s">
        <v>291</v>
      </c>
      <c r="G81" s="163">
        <f>1800*2</f>
        <v>3600</v>
      </c>
      <c r="H81" s="158">
        <f>+Tabla13478[[#This Row],[Cantidad]]*Tabla13478[[#This Row],[Precio Unitario en Pesos /   €]]</f>
        <v>7200</v>
      </c>
      <c r="I81" s="158">
        <f>+Tabla13478[[#This Row],[Precio Total en Pesos]]*3%</f>
        <v>216</v>
      </c>
    </row>
    <row r="82" spans="2:9" ht="15" customHeight="1" x14ac:dyDescent="0.3">
      <c r="B82" s="159" t="s">
        <v>39</v>
      </c>
      <c r="C82" s="161">
        <v>3</v>
      </c>
      <c r="D82" s="162">
        <f>SUM(Tabla1343[[#This Row],[Columna1]:[Columna5]])</f>
        <v>13</v>
      </c>
      <c r="E82" s="157" t="s">
        <v>317</v>
      </c>
      <c r="F82" s="105" t="s">
        <v>291</v>
      </c>
      <c r="G82" s="163">
        <v>3600</v>
      </c>
      <c r="H82" s="158">
        <f>+Tabla13478[[#This Row],[Cantidad]]*Tabla13478[[#This Row],[Precio Unitario en Pesos /   €]]</f>
        <v>10800</v>
      </c>
      <c r="I82" s="158">
        <f>+Tabla13478[[#This Row],[Precio Total en Pesos]]*3%</f>
        <v>324</v>
      </c>
    </row>
    <row r="83" spans="2:9" ht="15" customHeight="1" x14ac:dyDescent="0.3">
      <c r="B83" s="159" t="s">
        <v>283</v>
      </c>
      <c r="C83" s="161">
        <v>8</v>
      </c>
      <c r="D83" s="162">
        <f>SUM(Tabla1343[[#This Row],[Columna1]:[Columna5]])</f>
        <v>2</v>
      </c>
      <c r="E83" s="157" t="s">
        <v>314</v>
      </c>
      <c r="F83" s="163" t="s">
        <v>243</v>
      </c>
      <c r="G83" s="163">
        <v>2500</v>
      </c>
      <c r="H83" s="158">
        <f>+Tabla13478[[#This Row],[Cantidad]]*Tabla13478[[#This Row],[Precio Unitario en Pesos /   €]]</f>
        <v>20000</v>
      </c>
      <c r="I83" s="158">
        <f>+Tabla13478[[#This Row],[Precio Total en Pesos]]*3%</f>
        <v>600</v>
      </c>
    </row>
    <row r="84" spans="2:9" ht="15" customHeight="1" x14ac:dyDescent="0.3">
      <c r="B84" s="159" t="s">
        <v>203</v>
      </c>
      <c r="C84" s="161">
        <v>1</v>
      </c>
      <c r="D84" s="162">
        <f>SUM(Tabla1343[[#This Row],[Columna1]:[Columna5]])</f>
        <v>3</v>
      </c>
      <c r="E84" s="157" t="s">
        <v>313</v>
      </c>
      <c r="F84" s="105" t="s">
        <v>291</v>
      </c>
      <c r="G84" s="163">
        <v>2500</v>
      </c>
      <c r="H84" s="158">
        <f>+Tabla13478[[#This Row],[Cantidad]]*Tabla13478[[#This Row],[Precio Unitario en Pesos /   €]]</f>
        <v>2500</v>
      </c>
      <c r="I84" s="158">
        <f>+Tabla13478[[#This Row],[Precio Total en Pesos]]*3%</f>
        <v>75</v>
      </c>
    </row>
    <row r="85" spans="2:9" ht="15" customHeight="1" x14ac:dyDescent="0.3">
      <c r="B85" s="159" t="s">
        <v>172</v>
      </c>
      <c r="C85" s="161">
        <v>6</v>
      </c>
      <c r="D85" s="162">
        <f>SUM(Tabla1343[[#This Row],[Columna1]:[Columna5]])</f>
        <v>8</v>
      </c>
      <c r="E85" s="157" t="s">
        <v>313</v>
      </c>
      <c r="F85" s="105" t="s">
        <v>290</v>
      </c>
      <c r="G85" s="163">
        <v>9000</v>
      </c>
      <c r="H85" s="158">
        <f>+Tabla13478[[#This Row],[Cantidad]]*Tabla13478[[#This Row],[Precio Unitario en Pesos /   €]]</f>
        <v>54000</v>
      </c>
      <c r="I85" s="158">
        <f>+Tabla13478[[#This Row],[Precio Total en Pesos]]*3%</f>
        <v>1620</v>
      </c>
    </row>
    <row r="86" spans="2:9" ht="15" customHeight="1" x14ac:dyDescent="0.3">
      <c r="B86" s="159" t="s">
        <v>310</v>
      </c>
      <c r="C86" s="161">
        <v>12</v>
      </c>
      <c r="D86" s="162">
        <f>SUM(Tabla1343[[#This Row],[Columna1]:[Columna5]])</f>
        <v>1</v>
      </c>
      <c r="E86" s="157" t="s">
        <v>313</v>
      </c>
      <c r="F86" s="105" t="s">
        <v>291</v>
      </c>
      <c r="G86" s="163">
        <v>6000</v>
      </c>
      <c r="H86" s="158">
        <f>+Tabla13478[[#This Row],[Cantidad]]*Tabla13478[[#This Row],[Precio Unitario en Pesos /   €]]</f>
        <v>72000</v>
      </c>
      <c r="I86" s="158">
        <f>+Tabla13478[[#This Row],[Precio Total en Pesos]]*3%</f>
        <v>2160</v>
      </c>
    </row>
    <row r="87" spans="2:9" ht="15" customHeight="1" x14ac:dyDescent="0.3">
      <c r="B87" s="159" t="s">
        <v>178</v>
      </c>
      <c r="C87" s="161">
        <v>1</v>
      </c>
      <c r="D87" s="162">
        <f>SUM(Tabla1343[[#This Row],[Columna1]:[Columna5]])</f>
        <v>6</v>
      </c>
      <c r="E87" s="157" t="s">
        <v>313</v>
      </c>
      <c r="F87" s="105" t="s">
        <v>291</v>
      </c>
      <c r="G87" s="163">
        <v>18000</v>
      </c>
      <c r="H87" s="158">
        <f>+Tabla13478[[#This Row],[Cantidad]]*Tabla13478[[#This Row],[Precio Unitario en Pesos /   €]]</f>
        <v>18000</v>
      </c>
      <c r="I87" s="158">
        <f>+Tabla13478[[#This Row],[Precio Total en Pesos]]*3%</f>
        <v>540</v>
      </c>
    </row>
    <row r="88" spans="2:9" ht="15" customHeight="1" x14ac:dyDescent="0.3">
      <c r="B88" s="159" t="s">
        <v>180</v>
      </c>
      <c r="C88" s="161">
        <v>1</v>
      </c>
      <c r="D88" s="162">
        <f>SUM(Tabla1343[[#This Row],[Columna1]:[Columna5]])</f>
        <v>4</v>
      </c>
      <c r="E88" s="157" t="s">
        <v>313</v>
      </c>
      <c r="F88" s="105" t="s">
        <v>291</v>
      </c>
      <c r="G88" s="163">
        <v>2770</v>
      </c>
      <c r="H88" s="158">
        <f>+Tabla13478[[#This Row],[Cantidad]]*Tabla13478[[#This Row],[Precio Unitario en Pesos /   €]]</f>
        <v>2770</v>
      </c>
      <c r="I88" s="158">
        <f>+Tabla13478[[#This Row],[Precio Total en Pesos]]*3%</f>
        <v>83.1</v>
      </c>
    </row>
    <row r="89" spans="2:9" ht="15" customHeight="1" x14ac:dyDescent="0.3">
      <c r="B89" s="159" t="s">
        <v>175</v>
      </c>
      <c r="C89" s="161">
        <v>2</v>
      </c>
      <c r="D89" s="162">
        <f>SUM(Tabla1343[[#This Row],[Columna1]:[Columna5]])</f>
        <v>1</v>
      </c>
      <c r="E89" s="157" t="s">
        <v>313</v>
      </c>
      <c r="F89" s="105" t="s">
        <v>291</v>
      </c>
      <c r="G89" s="163">
        <v>2500</v>
      </c>
      <c r="H89" s="158">
        <f>+Tabla13478[[#This Row],[Cantidad]]*Tabla13478[[#This Row],[Precio Unitario en Pesos /   €]]</f>
        <v>5000</v>
      </c>
      <c r="I89" s="158">
        <f>+Tabla13478[[#This Row],[Precio Total en Pesos]]*3%</f>
        <v>150</v>
      </c>
    </row>
    <row r="90" spans="2:9" ht="15" customHeight="1" x14ac:dyDescent="0.3">
      <c r="B90" s="159" t="s">
        <v>179</v>
      </c>
      <c r="C90" s="161">
        <v>6</v>
      </c>
      <c r="D90" s="162">
        <f>SUM(Tabla1343[[#This Row],[Columna1]:[Columna5]])</f>
        <v>8</v>
      </c>
      <c r="E90" s="157" t="s">
        <v>313</v>
      </c>
      <c r="F90" s="105" t="s">
        <v>291</v>
      </c>
      <c r="G90" s="163">
        <v>1400</v>
      </c>
      <c r="H90" s="158">
        <f>+Tabla13478[[#This Row],[Cantidad]]*Tabla13478[[#This Row],[Precio Unitario en Pesos /   €]]</f>
        <v>8400</v>
      </c>
      <c r="I90" s="158">
        <f>+Tabla13478[[#This Row],[Precio Total en Pesos]]*3%</f>
        <v>252</v>
      </c>
    </row>
    <row r="91" spans="2:9" ht="15" customHeight="1" x14ac:dyDescent="0.3">
      <c r="B91" s="159" t="s">
        <v>129</v>
      </c>
      <c r="C91" s="161">
        <v>73</v>
      </c>
      <c r="D91" s="162">
        <f>SUM(Tabla1343[[#This Row],[Columna1]:[Columna5]])</f>
        <v>1</v>
      </c>
      <c r="E91" s="157" t="s">
        <v>314</v>
      </c>
      <c r="F91" s="168" t="s">
        <v>309</v>
      </c>
      <c r="G91" s="163">
        <v>1600</v>
      </c>
      <c r="H91" s="158">
        <f>+Tabla13478[[#This Row],[Cantidad]]*Tabla13478[[#This Row],[Precio Unitario en Pesos /   €]]</f>
        <v>116800</v>
      </c>
      <c r="I91" s="158">
        <f>+Tabla13478[[#This Row],[Precio Total en Pesos]]*3%</f>
        <v>3504</v>
      </c>
    </row>
    <row r="92" spans="2:9" ht="15" customHeight="1" x14ac:dyDescent="0.3">
      <c r="B92" s="159" t="s">
        <v>128</v>
      </c>
      <c r="C92" s="161">
        <v>46</v>
      </c>
      <c r="D92" s="162">
        <f>SUM(Tabla1343[[#This Row],[Columna1]:[Columna5]])</f>
        <v>2</v>
      </c>
      <c r="E92" s="157" t="s">
        <v>314</v>
      </c>
      <c r="F92" s="168" t="s">
        <v>309</v>
      </c>
      <c r="G92" s="163">
        <v>2200</v>
      </c>
      <c r="H92" s="158">
        <f>+Tabla13478[[#This Row],[Cantidad]]*Tabla13478[[#This Row],[Precio Unitario en Pesos /   €]]</f>
        <v>101200</v>
      </c>
      <c r="I92" s="158">
        <f>+Tabla13478[[#This Row],[Precio Total en Pesos]]*3%</f>
        <v>3036</v>
      </c>
    </row>
    <row r="93" spans="2:9" ht="15" customHeight="1" x14ac:dyDescent="0.3">
      <c r="B93" s="159" t="s">
        <v>68</v>
      </c>
      <c r="C93" s="161">
        <v>1024</v>
      </c>
      <c r="D93" s="162">
        <f>SUM(Tabla1343[[#This Row],[Columna1]:[Columna5]])</f>
        <v>6</v>
      </c>
      <c r="E93" s="157" t="s">
        <v>314</v>
      </c>
      <c r="F93" s="168" t="s">
        <v>309</v>
      </c>
      <c r="G93" s="163">
        <v>3100</v>
      </c>
      <c r="H93" s="158">
        <f>+Tabla13478[[#This Row],[Cantidad]]*Tabla13478[[#This Row],[Precio Unitario en Pesos /   €]]</f>
        <v>3174400</v>
      </c>
      <c r="I93" s="158">
        <f>+Tabla13478[[#This Row],[Precio Total en Pesos]]*3%</f>
        <v>95232</v>
      </c>
    </row>
    <row r="94" spans="2:9" ht="15" customHeight="1" x14ac:dyDescent="0.3">
      <c r="B94" s="159" t="s">
        <v>146</v>
      </c>
      <c r="C94" s="161">
        <v>2</v>
      </c>
      <c r="D94" s="162">
        <f>SUM(Tabla1343[[#This Row],[Columna1]:[Columna5]])</f>
        <v>73</v>
      </c>
      <c r="E94" s="157" t="s">
        <v>314</v>
      </c>
      <c r="F94" s="168" t="s">
        <v>309</v>
      </c>
      <c r="G94" s="163">
        <f>+G93*2</f>
        <v>6200</v>
      </c>
      <c r="H94" s="158">
        <f>+Tabla13478[[#This Row],[Cantidad]]*Tabla13478[[#This Row],[Precio Unitario en Pesos /   €]]</f>
        <v>12400</v>
      </c>
      <c r="I94" s="158">
        <f>+Tabla13478[[#This Row],[Precio Total en Pesos]]*3%</f>
        <v>372</v>
      </c>
    </row>
    <row r="95" spans="2:9" ht="15" customHeight="1" x14ac:dyDescent="0.3">
      <c r="B95" s="159" t="s">
        <v>89</v>
      </c>
      <c r="C95" s="161">
        <v>3</v>
      </c>
      <c r="D95" s="162">
        <f>SUM(Tabla1343[[#This Row],[Columna1]:[Columna5]])</f>
        <v>46</v>
      </c>
      <c r="E95" s="157" t="s">
        <v>313</v>
      </c>
      <c r="F95" s="168" t="s">
        <v>309</v>
      </c>
      <c r="G95" s="163">
        <v>12500</v>
      </c>
      <c r="H95" s="158">
        <f>+Tabla13478[[#This Row],[Cantidad]]*Tabla13478[[#This Row],[Precio Unitario en Pesos /   €]]</f>
        <v>37500</v>
      </c>
      <c r="I95" s="158">
        <f>+Tabla13478[[#This Row],[Precio Total en Pesos]]*3%</f>
        <v>1125</v>
      </c>
    </row>
    <row r="96" spans="2:9" ht="15" customHeight="1" x14ac:dyDescent="0.3">
      <c r="B96" s="159" t="s">
        <v>205</v>
      </c>
      <c r="C96" s="161">
        <v>21</v>
      </c>
      <c r="D96" s="162">
        <f>SUM(Tabla1343[[#This Row],[Columna1]:[Columna5]])</f>
        <v>1024</v>
      </c>
      <c r="E96" s="157" t="s">
        <v>313</v>
      </c>
      <c r="F96" s="105" t="s">
        <v>290</v>
      </c>
      <c r="G96" s="163">
        <v>150</v>
      </c>
      <c r="H96" s="158">
        <f>+Tabla13478[[#This Row],[Cantidad]]*Tabla13478[[#This Row],[Precio Unitario en Pesos /   €]]</f>
        <v>3150</v>
      </c>
      <c r="I96" s="158">
        <f>+Tabla13478[[#This Row],[Precio Total en Pesos]]*3%</f>
        <v>94.5</v>
      </c>
    </row>
    <row r="97" spans="2:9" ht="15" customHeight="1" x14ac:dyDescent="0.3">
      <c r="B97" s="159" t="s">
        <v>254</v>
      </c>
      <c r="C97" s="161">
        <v>6</v>
      </c>
      <c r="D97" s="162">
        <f>SUM(Tabla1343[[#This Row],[Columna1]:[Columna5]])</f>
        <v>2</v>
      </c>
      <c r="E97" s="157" t="s">
        <v>313</v>
      </c>
      <c r="F97" s="105" t="s">
        <v>291</v>
      </c>
      <c r="G97" s="163">
        <v>5500</v>
      </c>
      <c r="H97" s="158">
        <f>+Tabla13478[[#This Row],[Cantidad]]*Tabla13478[[#This Row],[Precio Unitario en Pesos /   €]]</f>
        <v>33000</v>
      </c>
      <c r="I97" s="158">
        <f>+Tabla13478[[#This Row],[Precio Total en Pesos]]*3%</f>
        <v>990</v>
      </c>
    </row>
    <row r="98" spans="2:9" ht="15" customHeight="1" x14ac:dyDescent="0.3">
      <c r="B98" s="164" t="s">
        <v>197</v>
      </c>
      <c r="C98" s="165">
        <v>2</v>
      </c>
      <c r="D98" s="166">
        <f>SUM(Tabla1343[[#This Row],[Columna1]:[Columna5]])</f>
        <v>3</v>
      </c>
      <c r="E98" s="167" t="s">
        <v>314</v>
      </c>
      <c r="F98" s="105" t="s">
        <v>296</v>
      </c>
      <c r="G98" s="163">
        <v>50000</v>
      </c>
      <c r="H98" s="158">
        <f>+Tabla13478[[#This Row],[Cantidad]]*Tabla13478[[#This Row],[Precio Unitario en Pesos /   €]]</f>
        <v>100000</v>
      </c>
      <c r="I98" s="158">
        <f>+Tabla13478[[#This Row],[Precio Total en Pesos]]*3%</f>
        <v>3000</v>
      </c>
    </row>
    <row r="99" spans="2:9" ht="15" customHeight="1" x14ac:dyDescent="0.3">
      <c r="B99" s="159" t="s">
        <v>100</v>
      </c>
      <c r="C99" s="161">
        <v>6</v>
      </c>
      <c r="D99" s="162">
        <v>6</v>
      </c>
      <c r="E99" s="167" t="s">
        <v>314</v>
      </c>
      <c r="F99" s="105" t="s">
        <v>296</v>
      </c>
      <c r="G99" s="163">
        <v>30000</v>
      </c>
      <c r="H99" s="158">
        <f>+Tabla13478[[#This Row],[Cantidad]]*Tabla13478[[#This Row],[Precio Unitario en Pesos /   €]]</f>
        <v>180000</v>
      </c>
      <c r="I99" s="158">
        <f>+Tabla13478[[#This Row],[Precio Total en Pesos]]*3%</f>
        <v>5400</v>
      </c>
    </row>
    <row r="100" spans="2:9" ht="15" customHeight="1" x14ac:dyDescent="0.3">
      <c r="B100" s="159" t="s">
        <v>99</v>
      </c>
      <c r="C100" s="161">
        <v>7</v>
      </c>
      <c r="D100" s="162">
        <v>7</v>
      </c>
      <c r="E100" s="167" t="s">
        <v>314</v>
      </c>
      <c r="F100" s="105" t="s">
        <v>296</v>
      </c>
      <c r="G100" s="163">
        <v>40000</v>
      </c>
      <c r="H100" s="158">
        <f>+Tabla13478[[#This Row],[Cantidad]]*Tabla13478[[#This Row],[Precio Unitario en Pesos /   €]]</f>
        <v>280000</v>
      </c>
      <c r="I100" s="158">
        <f>+Tabla13478[[#This Row],[Precio Total en Pesos]]*3%</f>
        <v>8400</v>
      </c>
    </row>
    <row r="101" spans="2:9" ht="15" customHeight="1" x14ac:dyDescent="0.3">
      <c r="B101" s="159" t="s">
        <v>264</v>
      </c>
      <c r="C101" s="161">
        <v>8</v>
      </c>
      <c r="D101" s="162">
        <f>SUM(Tabla1343[[#This Row],[Columna1]:[Columna5]])</f>
        <v>2</v>
      </c>
      <c r="E101" s="167" t="s">
        <v>314</v>
      </c>
      <c r="F101" s="105" t="s">
        <v>296</v>
      </c>
      <c r="G101" s="163">
        <v>20000</v>
      </c>
      <c r="H101" s="158">
        <f>+Tabla13478[[#This Row],[Cantidad]]*Tabla13478[[#This Row],[Precio Unitario en Pesos /   €]]</f>
        <v>160000</v>
      </c>
      <c r="I101" s="158">
        <f>+Tabla13478[[#This Row],[Precio Total en Pesos]]*3%</f>
        <v>4800</v>
      </c>
    </row>
    <row r="102" spans="2:9" ht="15" customHeight="1" x14ac:dyDescent="0.3">
      <c r="B102" s="159" t="s">
        <v>93</v>
      </c>
      <c r="C102" s="161">
        <v>12</v>
      </c>
      <c r="D102" s="162">
        <f>SUM(Tabla1343[[#This Row],[Columna1]:[Columna5]])</f>
        <v>0</v>
      </c>
      <c r="E102" s="167" t="s">
        <v>314</v>
      </c>
      <c r="F102" s="105" t="s">
        <v>296</v>
      </c>
      <c r="G102" s="163">
        <v>35000</v>
      </c>
      <c r="H102" s="158">
        <f>+Tabla13478[[#This Row],[Cantidad]]*Tabla13478[[#This Row],[Precio Unitario en Pesos /   €]]</f>
        <v>420000</v>
      </c>
      <c r="I102" s="158">
        <f>+Tabla13478[[#This Row],[Precio Total en Pesos]]*3%</f>
        <v>12600</v>
      </c>
    </row>
    <row r="103" spans="2:9" ht="15" customHeight="1" x14ac:dyDescent="0.3">
      <c r="B103" s="159" t="s">
        <v>54</v>
      </c>
      <c r="C103" s="161">
        <v>200</v>
      </c>
      <c r="D103" s="162">
        <f>SUM(Tabla1343[[#This Row],[Columna1]:[Columna5]])</f>
        <v>0</v>
      </c>
      <c r="E103" s="167" t="s">
        <v>314</v>
      </c>
      <c r="F103" s="168" t="s">
        <v>309</v>
      </c>
      <c r="G103" s="163">
        <v>8500</v>
      </c>
      <c r="H103" s="158">
        <f>+Tabla13478[[#This Row],[Cantidad]]*Tabla13478[[#This Row],[Precio Unitario en Pesos /   €]]</f>
        <v>1700000</v>
      </c>
      <c r="I103" s="158">
        <f>+Tabla13478[[#This Row],[Precio Total en Pesos]]*3%</f>
        <v>51000</v>
      </c>
    </row>
    <row r="104" spans="2:9" ht="15" customHeight="1" x14ac:dyDescent="0.3">
      <c r="B104" s="159" t="s">
        <v>55</v>
      </c>
      <c r="C104" s="161">
        <f>367+260</f>
        <v>627</v>
      </c>
      <c r="D104" s="162">
        <f>SUM(Tabla1343[[#This Row],[Columna1]:[Columna5]])</f>
        <v>8</v>
      </c>
      <c r="E104" s="167" t="s">
        <v>314</v>
      </c>
      <c r="F104" s="168" t="s">
        <v>309</v>
      </c>
      <c r="G104" s="163">
        <v>12650</v>
      </c>
      <c r="H104" s="158">
        <f>+Tabla13478[[#This Row],[Cantidad]]*Tabla13478[[#This Row],[Precio Unitario en Pesos /   €]]</f>
        <v>7931550</v>
      </c>
      <c r="I104" s="158">
        <f>+Tabla13478[[#This Row],[Precio Total en Pesos]]*3%</f>
        <v>237946.5</v>
      </c>
    </row>
    <row r="105" spans="2:9" ht="15" customHeight="1" thickBot="1" x14ac:dyDescent="0.35">
      <c r="B105" s="159" t="s">
        <v>316</v>
      </c>
      <c r="C105" s="161">
        <v>3</v>
      </c>
      <c r="D105" s="162">
        <f>SUM(Tabla1343[[#This Row],[Columna1]:[Columna5]])</f>
        <v>12</v>
      </c>
      <c r="E105" s="167" t="s">
        <v>313</v>
      </c>
      <c r="F105" s="105" t="s">
        <v>290</v>
      </c>
      <c r="G105" s="163">
        <v>150</v>
      </c>
      <c r="H105" s="158">
        <f>+Tabla13478[[#This Row],[Cantidad]]*Tabla13478[[#This Row],[Precio Unitario en Pesos /   €]]</f>
        <v>450</v>
      </c>
      <c r="I105" s="106">
        <f>+Tabla13478[[#This Row],[Precio Total en Pesos]]*3%</f>
        <v>13.5</v>
      </c>
    </row>
    <row r="106" spans="2:9" ht="15" thickBot="1" x14ac:dyDescent="0.35">
      <c r="B106"/>
      <c r="C106"/>
      <c r="D106"/>
      <c r="F106"/>
      <c r="G106"/>
      <c r="H106" s="186"/>
      <c r="I106" s="187">
        <f>SUBTOTAL(109,Tabla13478[Valor Alquiler CBA 3%])</f>
        <v>800317.29</v>
      </c>
    </row>
    <row r="107" spans="2:9" ht="16.95" customHeight="1" x14ac:dyDescent="0.3">
      <c r="B107"/>
      <c r="C107"/>
      <c r="D107"/>
      <c r="F107"/>
      <c r="G107"/>
      <c r="H107" s="169"/>
      <c r="I107" s="169"/>
    </row>
    <row r="108" spans="2:9" ht="33" customHeight="1" thickBot="1" x14ac:dyDescent="0.35">
      <c r="B108" s="40" t="s">
        <v>0</v>
      </c>
      <c r="C108" s="41" t="s">
        <v>1</v>
      </c>
      <c r="D108" s="41" t="s">
        <v>308</v>
      </c>
      <c r="E108" s="41" t="s">
        <v>269</v>
      </c>
      <c r="F108" s="42" t="s">
        <v>225</v>
      </c>
      <c r="G108" s="175" t="s">
        <v>311</v>
      </c>
      <c r="H108" s="176" t="s">
        <v>312</v>
      </c>
      <c r="I108" s="177" t="s">
        <v>5</v>
      </c>
    </row>
    <row r="109" spans="2:9" ht="15" customHeight="1" x14ac:dyDescent="0.3">
      <c r="B109" s="48" t="s">
        <v>164</v>
      </c>
      <c r="C109" s="83">
        <v>6</v>
      </c>
      <c r="D109" s="110">
        <f>SUM(Tabla1343[[#This Row],[Columna1]:[Columna5]])</f>
        <v>6</v>
      </c>
      <c r="E109" s="50" t="s">
        <v>279</v>
      </c>
      <c r="F109" s="94" t="s">
        <v>230</v>
      </c>
      <c r="G109" s="96">
        <v>39.65</v>
      </c>
      <c r="H109" s="81">
        <f>+G109*C109*I$2</f>
        <v>35685</v>
      </c>
      <c r="I109" s="81">
        <f>+H109*3%</f>
        <v>1070.55</v>
      </c>
    </row>
    <row r="110" spans="2:9" ht="15" customHeight="1" x14ac:dyDescent="0.3">
      <c r="B110" s="48" t="s">
        <v>10</v>
      </c>
      <c r="C110" s="49">
        <v>301</v>
      </c>
      <c r="D110" s="111">
        <f>SUM(Tabla1343[[#This Row],[Columna1]:[Columna5]])</f>
        <v>301</v>
      </c>
      <c r="E110" s="50" t="s">
        <v>279</v>
      </c>
      <c r="F110" s="95" t="s">
        <v>230</v>
      </c>
      <c r="G110" s="97">
        <v>28.34</v>
      </c>
      <c r="H110" s="81">
        <f t="shared" ref="H110:H145" si="0">+G110*C110*I$2</f>
        <v>1279551</v>
      </c>
      <c r="I110" s="81">
        <f t="shared" ref="I110:I144" si="1">+H110*3%</f>
        <v>38386.53</v>
      </c>
    </row>
    <row r="111" spans="2:9" ht="15" customHeight="1" x14ac:dyDescent="0.3">
      <c r="B111" s="48" t="s">
        <v>73</v>
      </c>
      <c r="C111" s="83">
        <v>43</v>
      </c>
      <c r="D111" s="110">
        <f>SUM(Tabla1343[[#This Row],[Columna1]:[Columna5]])</f>
        <v>43</v>
      </c>
      <c r="E111" s="50" t="s">
        <v>279</v>
      </c>
      <c r="F111" s="94" t="s">
        <v>230</v>
      </c>
      <c r="G111" s="96">
        <v>263.64</v>
      </c>
      <c r="H111" s="81">
        <f t="shared" si="0"/>
        <v>1700477.9999999998</v>
      </c>
      <c r="I111" s="81">
        <f t="shared" si="1"/>
        <v>51014.339999999989</v>
      </c>
    </row>
    <row r="112" spans="2:9" ht="15" customHeight="1" x14ac:dyDescent="0.3">
      <c r="B112" s="48" t="s">
        <v>92</v>
      </c>
      <c r="C112" s="83">
        <v>2</v>
      </c>
      <c r="D112" s="110">
        <f>SUM(Tabla1343[[#This Row],[Columna1]:[Columna5]])</f>
        <v>2</v>
      </c>
      <c r="E112" s="50" t="s">
        <v>279</v>
      </c>
      <c r="F112" s="94" t="s">
        <v>230</v>
      </c>
      <c r="G112" s="96">
        <v>626.99</v>
      </c>
      <c r="H112" s="81">
        <f t="shared" si="0"/>
        <v>188097</v>
      </c>
      <c r="I112" s="81">
        <f t="shared" si="1"/>
        <v>5642.91</v>
      </c>
    </row>
    <row r="113" spans="2:9" ht="15" customHeight="1" x14ac:dyDescent="0.3">
      <c r="B113" s="48" t="s">
        <v>30</v>
      </c>
      <c r="C113" s="83">
        <v>311</v>
      </c>
      <c r="D113" s="110">
        <f>SUM(Tabla1343[[#This Row],[Columna1]:[Columna5]])</f>
        <v>311</v>
      </c>
      <c r="E113" s="50" t="s">
        <v>279</v>
      </c>
      <c r="F113" s="94" t="s">
        <v>230</v>
      </c>
      <c r="G113" s="96">
        <v>19.89</v>
      </c>
      <c r="H113" s="81">
        <f t="shared" si="0"/>
        <v>927868.5</v>
      </c>
      <c r="I113" s="81">
        <f t="shared" si="1"/>
        <v>27836.055</v>
      </c>
    </row>
    <row r="114" spans="2:9" ht="15" customHeight="1" x14ac:dyDescent="0.3">
      <c r="B114" s="48" t="s">
        <v>60</v>
      </c>
      <c r="C114" s="83">
        <v>6</v>
      </c>
      <c r="D114" s="110">
        <f>SUM(Tabla1343[[#This Row],[Columna1]:[Columna5]])</f>
        <v>6</v>
      </c>
      <c r="E114" s="50" t="s">
        <v>279</v>
      </c>
      <c r="F114" s="94" t="s">
        <v>230</v>
      </c>
      <c r="G114" s="96">
        <v>36.14</v>
      </c>
      <c r="H114" s="81">
        <f t="shared" si="0"/>
        <v>32526</v>
      </c>
      <c r="I114" s="81">
        <f t="shared" si="1"/>
        <v>975.78</v>
      </c>
    </row>
    <row r="115" spans="2:9" ht="15" customHeight="1" x14ac:dyDescent="0.3">
      <c r="B115" s="48" t="s">
        <v>149</v>
      </c>
      <c r="C115" s="83">
        <v>13</v>
      </c>
      <c r="D115" s="110">
        <f>SUM(Tabla1343[[#This Row],[Columna1]:[Columna5]])</f>
        <v>13</v>
      </c>
      <c r="E115" s="50" t="s">
        <v>279</v>
      </c>
      <c r="F115" s="94" t="s">
        <v>230</v>
      </c>
      <c r="G115" s="96">
        <v>36.14</v>
      </c>
      <c r="H115" s="81">
        <f t="shared" si="0"/>
        <v>70473</v>
      </c>
      <c r="I115" s="81">
        <f t="shared" si="1"/>
        <v>2114.19</v>
      </c>
    </row>
    <row r="116" spans="2:9" ht="15" customHeight="1" x14ac:dyDescent="0.3">
      <c r="B116" s="48" t="s">
        <v>256</v>
      </c>
      <c r="C116" s="83">
        <v>25</v>
      </c>
      <c r="D116" s="110">
        <f>SUM(Tabla1343[[#This Row],[Columna1]:[Columna5]])</f>
        <v>25</v>
      </c>
      <c r="E116" s="50" t="s">
        <v>279</v>
      </c>
      <c r="F116" s="94" t="s">
        <v>230</v>
      </c>
      <c r="G116" s="96">
        <v>68.900000000000006</v>
      </c>
      <c r="H116" s="81">
        <f t="shared" si="0"/>
        <v>258375.00000000003</v>
      </c>
      <c r="I116" s="81">
        <f t="shared" si="1"/>
        <v>7751.2500000000009</v>
      </c>
    </row>
    <row r="117" spans="2:9" ht="15" customHeight="1" x14ac:dyDescent="0.3">
      <c r="B117" s="48" t="s">
        <v>260</v>
      </c>
      <c r="C117" s="83">
        <v>4</v>
      </c>
      <c r="D117" s="110">
        <f>SUM(Tabla1343[[#This Row],[Columna1]:[Columna5]])</f>
        <v>4</v>
      </c>
      <c r="E117" s="50" t="s">
        <v>279</v>
      </c>
      <c r="F117" s="94" t="s">
        <v>230</v>
      </c>
      <c r="G117" s="96">
        <v>70.59</v>
      </c>
      <c r="H117" s="81">
        <f t="shared" si="0"/>
        <v>42354</v>
      </c>
      <c r="I117" s="81">
        <f t="shared" si="1"/>
        <v>1270.6199999999999</v>
      </c>
    </row>
    <row r="118" spans="2:9" ht="15" customHeight="1" x14ac:dyDescent="0.3">
      <c r="B118" s="48" t="s">
        <v>261</v>
      </c>
      <c r="C118" s="83">
        <v>111</v>
      </c>
      <c r="D118" s="110">
        <f>SUM(Tabla1343[[#This Row],[Columna1]:[Columna5]])</f>
        <v>111</v>
      </c>
      <c r="E118" s="50" t="s">
        <v>279</v>
      </c>
      <c r="F118" s="94" t="s">
        <v>230</v>
      </c>
      <c r="G118" s="96">
        <v>65.650000000000006</v>
      </c>
      <c r="H118" s="81">
        <f t="shared" si="0"/>
        <v>1093072.5</v>
      </c>
      <c r="I118" s="81">
        <f t="shared" si="1"/>
        <v>32792.174999999996</v>
      </c>
    </row>
    <row r="119" spans="2:9" ht="15" customHeight="1" x14ac:dyDescent="0.3">
      <c r="B119" s="48" t="s">
        <v>257</v>
      </c>
      <c r="C119" s="83">
        <v>21</v>
      </c>
      <c r="D119" s="110">
        <f>SUM(Tabla1343[[#This Row],[Columna1]:[Columna5]])</f>
        <v>21</v>
      </c>
      <c r="E119" s="50" t="s">
        <v>279</v>
      </c>
      <c r="F119" s="94" t="s">
        <v>230</v>
      </c>
      <c r="G119" s="96">
        <v>78.650000000000006</v>
      </c>
      <c r="H119" s="81">
        <f t="shared" si="0"/>
        <v>247747.5</v>
      </c>
      <c r="I119" s="81">
        <f t="shared" si="1"/>
        <v>7432.4249999999993</v>
      </c>
    </row>
    <row r="120" spans="2:9" ht="15" customHeight="1" x14ac:dyDescent="0.3">
      <c r="B120" s="48" t="s">
        <v>262</v>
      </c>
      <c r="C120" s="83">
        <v>725</v>
      </c>
      <c r="D120" s="110">
        <f>SUM(Tabla1343[[#This Row],[Columna1]:[Columna5]])</f>
        <v>725</v>
      </c>
      <c r="E120" s="50" t="s">
        <v>279</v>
      </c>
      <c r="F120" s="94" t="s">
        <v>230</v>
      </c>
      <c r="G120" s="96">
        <v>76.83</v>
      </c>
      <c r="H120" s="81">
        <f t="shared" si="0"/>
        <v>8355262.5</v>
      </c>
      <c r="I120" s="81">
        <f t="shared" si="1"/>
        <v>250657.875</v>
      </c>
    </row>
    <row r="121" spans="2:9" ht="15" customHeight="1" x14ac:dyDescent="0.3">
      <c r="B121" s="48" t="s">
        <v>258</v>
      </c>
      <c r="C121" s="83">
        <v>7</v>
      </c>
      <c r="D121" s="110">
        <f>SUM(Tabla1343[[#This Row],[Columna1]:[Columna5]])</f>
        <v>7</v>
      </c>
      <c r="E121" s="50" t="s">
        <v>279</v>
      </c>
      <c r="F121" s="94" t="s">
        <v>230</v>
      </c>
      <c r="G121" s="96">
        <v>81</v>
      </c>
      <c r="H121" s="81">
        <f t="shared" si="0"/>
        <v>85050</v>
      </c>
      <c r="I121" s="81">
        <f t="shared" si="1"/>
        <v>2551.5</v>
      </c>
    </row>
    <row r="122" spans="2:9" ht="15" customHeight="1" x14ac:dyDescent="0.3">
      <c r="B122" s="48" t="s">
        <v>302</v>
      </c>
      <c r="C122" s="83">
        <v>8</v>
      </c>
      <c r="D122" s="110">
        <f>SUM(Tabla1343[[#This Row],[Columna1]:[Columna5]])</f>
        <v>8</v>
      </c>
      <c r="E122" s="50" t="s">
        <v>279</v>
      </c>
      <c r="F122" s="94" t="s">
        <v>230</v>
      </c>
      <c r="G122" s="96">
        <v>624.78</v>
      </c>
      <c r="H122" s="81">
        <f t="shared" si="0"/>
        <v>749736</v>
      </c>
      <c r="I122" s="81">
        <f t="shared" si="1"/>
        <v>22492.079999999998</v>
      </c>
    </row>
    <row r="123" spans="2:9" ht="15" customHeight="1" x14ac:dyDescent="0.3">
      <c r="B123" s="48" t="s">
        <v>232</v>
      </c>
      <c r="C123" s="83">
        <v>8</v>
      </c>
      <c r="D123" s="110">
        <f>SUM(Tabla1343[[#This Row],[Columna1]:[Columna5]])</f>
        <v>8</v>
      </c>
      <c r="E123" s="50" t="s">
        <v>279</v>
      </c>
      <c r="F123" s="94" t="s">
        <v>230</v>
      </c>
      <c r="G123" s="96">
        <v>539.76</v>
      </c>
      <c r="H123" s="81">
        <f t="shared" si="0"/>
        <v>647712</v>
      </c>
      <c r="I123" s="81">
        <f t="shared" si="1"/>
        <v>19431.36</v>
      </c>
    </row>
    <row r="124" spans="2:9" ht="15" customHeight="1" x14ac:dyDescent="0.3">
      <c r="B124" s="48" t="s">
        <v>16</v>
      </c>
      <c r="C124" s="83">
        <v>4</v>
      </c>
      <c r="D124" s="110">
        <f>SUM(Tabla1343[[#This Row],[Columna1]:[Columna5]])</f>
        <v>4</v>
      </c>
      <c r="E124" s="50" t="s">
        <v>279</v>
      </c>
      <c r="F124" s="94" t="s">
        <v>230</v>
      </c>
      <c r="G124" s="96">
        <v>449.41</v>
      </c>
      <c r="H124" s="81">
        <f t="shared" si="0"/>
        <v>269646</v>
      </c>
      <c r="I124" s="81">
        <f t="shared" si="1"/>
        <v>8089.38</v>
      </c>
    </row>
    <row r="125" spans="2:9" ht="15" customHeight="1" x14ac:dyDescent="0.3">
      <c r="B125" s="48" t="s">
        <v>107</v>
      </c>
      <c r="C125" s="83">
        <v>260</v>
      </c>
      <c r="D125" s="110">
        <f>SUM(Tabla1343[[#This Row],[Columna1]:[Columna5]])</f>
        <v>258</v>
      </c>
      <c r="E125" s="50" t="s">
        <v>279</v>
      </c>
      <c r="F125" s="94" t="s">
        <v>230</v>
      </c>
      <c r="G125" s="96">
        <v>33.020000000000003</v>
      </c>
      <c r="H125" s="81">
        <f t="shared" si="0"/>
        <v>1287780</v>
      </c>
      <c r="I125" s="81">
        <f t="shared" si="1"/>
        <v>38633.4</v>
      </c>
    </row>
    <row r="126" spans="2:9" ht="15" customHeight="1" x14ac:dyDescent="0.3">
      <c r="B126" s="48" t="s">
        <v>101</v>
      </c>
      <c r="C126" s="83">
        <v>67</v>
      </c>
      <c r="D126" s="110">
        <f>SUM(Tabla1343[[#This Row],[Columna1]:[Columna5]])</f>
        <v>65</v>
      </c>
      <c r="E126" s="50" t="s">
        <v>279</v>
      </c>
      <c r="F126" s="94" t="s">
        <v>230</v>
      </c>
      <c r="G126" s="96">
        <v>39.39</v>
      </c>
      <c r="H126" s="81">
        <f t="shared" si="0"/>
        <v>395869.5</v>
      </c>
      <c r="I126" s="81">
        <f t="shared" si="1"/>
        <v>11876.084999999999</v>
      </c>
    </row>
    <row r="127" spans="2:9" ht="15" customHeight="1" x14ac:dyDescent="0.3">
      <c r="B127" s="48" t="s">
        <v>227</v>
      </c>
      <c r="C127" s="83">
        <v>1526</v>
      </c>
      <c r="D127" s="110">
        <f>SUM(Tabla1343[[#This Row],[Columna1]:[Columna5]])</f>
        <v>1526</v>
      </c>
      <c r="E127" s="50" t="s">
        <v>279</v>
      </c>
      <c r="F127" s="94" t="s">
        <v>230</v>
      </c>
      <c r="G127" s="96">
        <v>64.349999999999994</v>
      </c>
      <c r="H127" s="81">
        <f t="shared" si="0"/>
        <v>14729714.999999998</v>
      </c>
      <c r="I127" s="81">
        <f t="shared" si="1"/>
        <v>441891.44999999995</v>
      </c>
    </row>
    <row r="128" spans="2:9" ht="15" customHeight="1" x14ac:dyDescent="0.3">
      <c r="B128" s="48" t="s">
        <v>108</v>
      </c>
      <c r="C128" s="83">
        <v>15</v>
      </c>
      <c r="D128" s="110">
        <f>SUM(Tabla1343[[#This Row],[Columna1]:[Columna5]])</f>
        <v>15</v>
      </c>
      <c r="E128" s="50" t="s">
        <v>279</v>
      </c>
      <c r="F128" s="94" t="s">
        <v>230</v>
      </c>
      <c r="G128" s="96">
        <v>39.39</v>
      </c>
      <c r="H128" s="81">
        <f t="shared" si="0"/>
        <v>88627.5</v>
      </c>
      <c r="I128" s="81">
        <f t="shared" si="1"/>
        <v>2658.8249999999998</v>
      </c>
    </row>
    <row r="129" spans="2:9" ht="15" customHeight="1" x14ac:dyDescent="0.3">
      <c r="B129" s="48" t="s">
        <v>109</v>
      </c>
      <c r="C129" s="83">
        <v>29</v>
      </c>
      <c r="D129" s="110">
        <f>SUM(Tabla1343[[#This Row],[Columna1]:[Columna5]])</f>
        <v>29</v>
      </c>
      <c r="E129" s="50" t="s">
        <v>279</v>
      </c>
      <c r="F129" s="94" t="s">
        <v>230</v>
      </c>
      <c r="G129" s="96">
        <v>64.349999999999994</v>
      </c>
      <c r="H129" s="81">
        <f t="shared" si="0"/>
        <v>279922.5</v>
      </c>
      <c r="I129" s="81">
        <f t="shared" si="1"/>
        <v>8397.6749999999993</v>
      </c>
    </row>
    <row r="130" spans="2:9" ht="15" customHeight="1" x14ac:dyDescent="0.3">
      <c r="B130" s="48" t="s">
        <v>26</v>
      </c>
      <c r="C130" s="83">
        <v>71</v>
      </c>
      <c r="D130" s="110">
        <f>SUM(Tabla1343[[#This Row],[Columna1]:[Columna5]])</f>
        <v>71</v>
      </c>
      <c r="E130" s="50" t="s">
        <v>279</v>
      </c>
      <c r="F130" s="94" t="s">
        <v>230</v>
      </c>
      <c r="G130" s="96">
        <v>112.06</v>
      </c>
      <c r="H130" s="81">
        <f t="shared" si="0"/>
        <v>1193439</v>
      </c>
      <c r="I130" s="81">
        <f t="shared" si="1"/>
        <v>35803.17</v>
      </c>
    </row>
    <row r="131" spans="2:9" ht="15" customHeight="1" x14ac:dyDescent="0.3">
      <c r="B131" s="48" t="s">
        <v>113</v>
      </c>
      <c r="C131" s="83">
        <v>9</v>
      </c>
      <c r="D131" s="110">
        <f>SUM(Tabla1343[[#This Row],[Columna1]:[Columna5]])</f>
        <v>9</v>
      </c>
      <c r="E131" s="50" t="s">
        <v>279</v>
      </c>
      <c r="F131" s="94" t="s">
        <v>230</v>
      </c>
      <c r="G131" s="96">
        <v>64.48</v>
      </c>
      <c r="H131" s="81">
        <f t="shared" si="0"/>
        <v>87048.000000000015</v>
      </c>
      <c r="I131" s="81">
        <f t="shared" si="1"/>
        <v>2611.4400000000005</v>
      </c>
    </row>
    <row r="132" spans="2:9" ht="15" customHeight="1" x14ac:dyDescent="0.3">
      <c r="B132" s="53" t="s">
        <v>111</v>
      </c>
      <c r="C132" s="84">
        <v>12</v>
      </c>
      <c r="D132" s="112">
        <f>SUM(Tabla1343[[#This Row],[Columna1]:[Columna5]])</f>
        <v>12</v>
      </c>
      <c r="E132" s="69" t="s">
        <v>279</v>
      </c>
      <c r="F132" s="94" t="s">
        <v>230</v>
      </c>
      <c r="G132" s="96">
        <v>103.22</v>
      </c>
      <c r="H132" s="81">
        <f t="shared" si="0"/>
        <v>185795.99999999997</v>
      </c>
      <c r="I132" s="81">
        <f t="shared" si="1"/>
        <v>5573.8799999999992</v>
      </c>
    </row>
    <row r="133" spans="2:9" ht="15" customHeight="1" x14ac:dyDescent="0.3">
      <c r="B133" s="48" t="s">
        <v>110</v>
      </c>
      <c r="C133" s="83">
        <v>109</v>
      </c>
      <c r="D133" s="110">
        <f>SUM(Tabla1343[[#This Row],[Columna1]:[Columna5]])</f>
        <v>109</v>
      </c>
      <c r="E133" s="50" t="s">
        <v>279</v>
      </c>
      <c r="F133" s="94" t="s">
        <v>230</v>
      </c>
      <c r="G133" s="96">
        <v>117.39</v>
      </c>
      <c r="H133" s="81">
        <f t="shared" si="0"/>
        <v>1919326.5</v>
      </c>
      <c r="I133" s="81">
        <f t="shared" si="1"/>
        <v>57579.794999999998</v>
      </c>
    </row>
    <row r="134" spans="2:9" ht="15" customHeight="1" x14ac:dyDescent="0.3">
      <c r="B134" s="48" t="s">
        <v>263</v>
      </c>
      <c r="C134" s="83">
        <v>15</v>
      </c>
      <c r="D134" s="110">
        <f>SUM(Tabla1343[[#This Row],[Columna1]:[Columna5]])</f>
        <v>15</v>
      </c>
      <c r="E134" s="50" t="s">
        <v>279</v>
      </c>
      <c r="F134" s="94" t="s">
        <v>230</v>
      </c>
      <c r="G134" s="96">
        <v>133.38</v>
      </c>
      <c r="H134" s="81">
        <f t="shared" si="0"/>
        <v>300105</v>
      </c>
      <c r="I134" s="81">
        <f t="shared" si="1"/>
        <v>9003.15</v>
      </c>
    </row>
    <row r="135" spans="2:9" ht="15" customHeight="1" x14ac:dyDescent="0.3">
      <c r="B135" s="53" t="s">
        <v>163</v>
      </c>
      <c r="C135" s="84">
        <v>2</v>
      </c>
      <c r="D135" s="112">
        <f>SUM(Tabla1343[[#This Row],[Columna1]:[Columna5]])</f>
        <v>2</v>
      </c>
      <c r="E135" s="69" t="s">
        <v>279</v>
      </c>
      <c r="F135" s="94" t="s">
        <v>230</v>
      </c>
      <c r="G135" s="96">
        <v>47.71</v>
      </c>
      <c r="H135" s="81">
        <f t="shared" si="0"/>
        <v>14313</v>
      </c>
      <c r="I135" s="81">
        <f t="shared" si="1"/>
        <v>429.39</v>
      </c>
    </row>
    <row r="136" spans="2:9" ht="15" customHeight="1" x14ac:dyDescent="0.3">
      <c r="B136" s="48" t="s">
        <v>228</v>
      </c>
      <c r="C136" s="83">
        <v>926</v>
      </c>
      <c r="D136" s="110">
        <f>SUM(Tabla1343[[#This Row],[Columna1]:[Columna5]])</f>
        <v>926</v>
      </c>
      <c r="E136" s="50" t="s">
        <v>279</v>
      </c>
      <c r="F136" s="94" t="s">
        <v>230</v>
      </c>
      <c r="G136" s="96">
        <v>75.010000000000005</v>
      </c>
      <c r="H136" s="81">
        <f t="shared" si="0"/>
        <v>10418889.000000002</v>
      </c>
      <c r="I136" s="81">
        <f t="shared" si="1"/>
        <v>312566.67000000004</v>
      </c>
    </row>
    <row r="137" spans="2:9" ht="15" customHeight="1" x14ac:dyDescent="0.3">
      <c r="B137" s="53" t="s">
        <v>229</v>
      </c>
      <c r="C137" s="84">
        <v>56</v>
      </c>
      <c r="D137" s="112">
        <f>SUM(Tabla1343[[#This Row],[Columna1]:[Columna5]])</f>
        <v>56</v>
      </c>
      <c r="E137" s="69" t="s">
        <v>279</v>
      </c>
      <c r="F137" s="94" t="s">
        <v>230</v>
      </c>
      <c r="G137" s="96">
        <v>70.069999999999993</v>
      </c>
      <c r="H137" s="81">
        <f t="shared" si="0"/>
        <v>588588</v>
      </c>
      <c r="I137" s="81">
        <f t="shared" si="1"/>
        <v>17657.64</v>
      </c>
    </row>
    <row r="138" spans="2:9" ht="15" customHeight="1" x14ac:dyDescent="0.3">
      <c r="B138" s="48" t="s">
        <v>235</v>
      </c>
      <c r="C138" s="83">
        <v>50</v>
      </c>
      <c r="D138" s="110">
        <f>SUM(Tabla1343[[#This Row],[Columna1]:[Columna5]])</f>
        <v>50</v>
      </c>
      <c r="E138" s="50" t="s">
        <v>279</v>
      </c>
      <c r="F138" s="94" t="s">
        <v>230</v>
      </c>
      <c r="G138" s="96">
        <v>36.14</v>
      </c>
      <c r="H138" s="81">
        <f t="shared" si="0"/>
        <v>271050</v>
      </c>
      <c r="I138" s="81">
        <f t="shared" si="1"/>
        <v>8131.5</v>
      </c>
    </row>
    <row r="139" spans="2:9" ht="15" customHeight="1" x14ac:dyDescent="0.3">
      <c r="B139" s="48" t="s">
        <v>236</v>
      </c>
      <c r="C139" s="83">
        <v>50</v>
      </c>
      <c r="D139" s="110">
        <f>SUM(Tabla1343[[#This Row],[Columna1]:[Columna5]])</f>
        <v>50</v>
      </c>
      <c r="E139" s="50" t="s">
        <v>279</v>
      </c>
      <c r="F139" s="94" t="s">
        <v>230</v>
      </c>
      <c r="G139" s="96">
        <v>33.409999999999997</v>
      </c>
      <c r="H139" s="81">
        <f t="shared" si="0"/>
        <v>250574.99999999997</v>
      </c>
      <c r="I139" s="81">
        <f t="shared" si="1"/>
        <v>7517.2499999999991</v>
      </c>
    </row>
    <row r="140" spans="2:9" ht="15" customHeight="1" x14ac:dyDescent="0.3">
      <c r="B140" s="48" t="s">
        <v>105</v>
      </c>
      <c r="C140" s="83">
        <v>17</v>
      </c>
      <c r="D140" s="110">
        <f>SUM(Tabla1343[[#This Row],[Columna1]:[Columna5]])</f>
        <v>17</v>
      </c>
      <c r="E140" s="50" t="s">
        <v>279</v>
      </c>
      <c r="F140" s="94" t="s">
        <v>230</v>
      </c>
      <c r="G140" s="96">
        <v>45.76</v>
      </c>
      <c r="H140" s="81">
        <f t="shared" si="0"/>
        <v>116688</v>
      </c>
      <c r="I140" s="81">
        <f t="shared" si="1"/>
        <v>3500.64</v>
      </c>
    </row>
    <row r="141" spans="2:9" ht="15" customHeight="1" x14ac:dyDescent="0.3">
      <c r="B141" s="48" t="s">
        <v>106</v>
      </c>
      <c r="C141" s="83">
        <v>145</v>
      </c>
      <c r="D141" s="110">
        <f>SUM(Tabla1343[[#This Row],[Columna1]:[Columna5]])</f>
        <v>145</v>
      </c>
      <c r="E141" s="50" t="s">
        <v>279</v>
      </c>
      <c r="F141" s="94" t="s">
        <v>230</v>
      </c>
      <c r="G141" s="96">
        <v>43.03</v>
      </c>
      <c r="H141" s="81">
        <f t="shared" si="0"/>
        <v>935902.5</v>
      </c>
      <c r="I141" s="81">
        <f t="shared" si="1"/>
        <v>28077.075000000001</v>
      </c>
    </row>
    <row r="142" spans="2:9" ht="15" customHeight="1" x14ac:dyDescent="0.3">
      <c r="B142" s="48" t="s">
        <v>144</v>
      </c>
      <c r="C142" s="83">
        <v>27</v>
      </c>
      <c r="D142" s="121">
        <f>SUM(Tabla1343[[#This Row],[Columna1]:[Columna5]])</f>
        <v>23</v>
      </c>
      <c r="E142" s="50" t="s">
        <v>279</v>
      </c>
      <c r="F142" s="94" t="s">
        <v>230</v>
      </c>
      <c r="G142" s="96">
        <v>61.23</v>
      </c>
      <c r="H142" s="81">
        <f t="shared" si="0"/>
        <v>247981.49999999997</v>
      </c>
      <c r="I142" s="81">
        <f t="shared" si="1"/>
        <v>7439.4449999999988</v>
      </c>
    </row>
    <row r="143" spans="2:9" ht="15" customHeight="1" x14ac:dyDescent="0.3">
      <c r="B143" s="48" t="s">
        <v>234</v>
      </c>
      <c r="C143" s="83">
        <v>80</v>
      </c>
      <c r="D143" s="110">
        <f>SUM(Tabla1343[[#This Row],[Columna1]:[Columna5]])</f>
        <v>80</v>
      </c>
      <c r="E143" s="50" t="s">
        <v>279</v>
      </c>
      <c r="F143" s="94" t="s">
        <v>230</v>
      </c>
      <c r="G143" s="96">
        <v>37.96</v>
      </c>
      <c r="H143" s="81">
        <f t="shared" si="0"/>
        <v>455520</v>
      </c>
      <c r="I143" s="81">
        <f t="shared" si="1"/>
        <v>13665.6</v>
      </c>
    </row>
    <row r="144" spans="2:9" ht="15" customHeight="1" x14ac:dyDescent="0.3">
      <c r="B144" s="53" t="s">
        <v>102</v>
      </c>
      <c r="C144" s="84">
        <v>15</v>
      </c>
      <c r="D144" s="112">
        <f>SUM(Tabla1343[[#This Row],[Columna1]:[Columna5]])</f>
        <v>15</v>
      </c>
      <c r="E144" s="69" t="s">
        <v>279</v>
      </c>
      <c r="F144" s="94" t="s">
        <v>230</v>
      </c>
      <c r="G144" s="96">
        <v>55.64</v>
      </c>
      <c r="H144" s="81">
        <f t="shared" si="0"/>
        <v>125190</v>
      </c>
      <c r="I144" s="81">
        <f t="shared" si="1"/>
        <v>3755.7</v>
      </c>
    </row>
    <row r="145" spans="2:10" s="170" customFormat="1" ht="15" customHeight="1" thickBot="1" x14ac:dyDescent="0.35">
      <c r="B145" s="53" t="s">
        <v>67</v>
      </c>
      <c r="C145" s="84">
        <v>237</v>
      </c>
      <c r="D145" s="112">
        <f>SUM(Tabla1343[[#This Row],[Columna1]:[Columna5]])</f>
        <v>237</v>
      </c>
      <c r="E145" s="69" t="s">
        <v>279</v>
      </c>
      <c r="F145" s="172" t="s">
        <v>230</v>
      </c>
      <c r="G145" s="173">
        <v>148.19999999999999</v>
      </c>
      <c r="H145" s="81">
        <f t="shared" si="0"/>
        <v>5268509.9999999991</v>
      </c>
      <c r="I145" s="174">
        <f>+H145*3%</f>
        <v>158055.29999999996</v>
      </c>
    </row>
    <row r="146" spans="2:10" ht="15" thickBot="1" x14ac:dyDescent="0.35">
      <c r="B146" s="164"/>
      <c r="C146" s="171"/>
      <c r="D146" s="178" t="e">
        <f>SUM(Tabla1343[[#This Row],[Columna1]:[Columna5]])</f>
        <v>#VALUE!</v>
      </c>
      <c r="E146" s="179"/>
      <c r="F146" s="180"/>
      <c r="G146" s="180"/>
      <c r="H146" s="188"/>
      <c r="I146" s="189">
        <f>SUM(I109:I145)</f>
        <v>1654334.0999999996</v>
      </c>
    </row>
    <row r="148" spans="2:10" ht="0.6" customHeight="1" x14ac:dyDescent="0.3">
      <c r="I148" s="131">
        <f>+I146+Tabla13478[[#Totals],[Valor Alquiler CBA 3%]]</f>
        <v>2454651.3899999997</v>
      </c>
    </row>
    <row r="149" spans="2:10" ht="15" thickBot="1" x14ac:dyDescent="0.35"/>
    <row r="150" spans="2:10" ht="20.25" customHeight="1" thickBot="1" x14ac:dyDescent="0.35">
      <c r="B150" s="412" t="s">
        <v>320</v>
      </c>
      <c r="C150" s="413"/>
      <c r="D150" s="413"/>
      <c r="E150" s="413"/>
      <c r="F150" s="413"/>
      <c r="G150" s="413"/>
      <c r="H150" s="413"/>
      <c r="I150" s="414"/>
    </row>
    <row r="151" spans="2:10" ht="15" thickBot="1" x14ac:dyDescent="0.35">
      <c r="B151" s="418" t="s">
        <v>322</v>
      </c>
      <c r="C151" s="419"/>
      <c r="D151" s="419"/>
      <c r="E151" s="419"/>
      <c r="F151" s="419"/>
      <c r="G151" s="419"/>
      <c r="H151" s="419"/>
      <c r="I151" s="420"/>
    </row>
    <row r="152" spans="2:10" s="1" customFormat="1" ht="28.5" customHeight="1" thickBot="1" x14ac:dyDescent="0.35">
      <c r="B152" s="100" t="s">
        <v>0</v>
      </c>
      <c r="C152" s="101" t="s">
        <v>1</v>
      </c>
      <c r="D152" s="101" t="s">
        <v>308</v>
      </c>
      <c r="E152" s="101" t="s">
        <v>269</v>
      </c>
      <c r="F152" s="102" t="s">
        <v>225</v>
      </c>
      <c r="G152" s="103" t="s">
        <v>311</v>
      </c>
      <c r="H152" s="127" t="s">
        <v>312</v>
      </c>
      <c r="I152" s="104" t="s">
        <v>5</v>
      </c>
      <c r="J152"/>
    </row>
    <row r="153" spans="2:10" x14ac:dyDescent="0.3">
      <c r="B153" s="181" t="s">
        <v>275</v>
      </c>
      <c r="C153" s="182">
        <v>12</v>
      </c>
      <c r="D153" s="182"/>
      <c r="E153" s="183" t="s">
        <v>315</v>
      </c>
      <c r="F153" s="146" t="s">
        <v>319</v>
      </c>
      <c r="G153" s="184">
        <v>0</v>
      </c>
      <c r="H153" s="184">
        <v>0</v>
      </c>
      <c r="I153" s="184">
        <v>0</v>
      </c>
    </row>
    <row r="154" spans="2:10" ht="13.8" customHeight="1" x14ac:dyDescent="0.3">
      <c r="B154" s="117" t="s">
        <v>200</v>
      </c>
      <c r="C154" s="118">
        <v>2</v>
      </c>
      <c r="D154" s="10"/>
      <c r="E154" s="148" t="s">
        <v>313</v>
      </c>
      <c r="F154" s="60"/>
      <c r="G154" s="60"/>
      <c r="H154" s="60"/>
      <c r="I154" s="60"/>
    </row>
    <row r="155" spans="2:10" x14ac:dyDescent="0.3">
      <c r="B155" s="181" t="s">
        <v>202</v>
      </c>
      <c r="C155" s="182">
        <v>2</v>
      </c>
      <c r="D155" s="182"/>
      <c r="E155" s="183" t="s">
        <v>315</v>
      </c>
      <c r="F155" s="146" t="s">
        <v>319</v>
      </c>
      <c r="G155" s="184">
        <v>0</v>
      </c>
      <c r="H155" s="184">
        <v>0</v>
      </c>
      <c r="I155" s="184">
        <v>0</v>
      </c>
    </row>
    <row r="156" spans="2:10" x14ac:dyDescent="0.3">
      <c r="B156" s="181" t="s">
        <v>201</v>
      </c>
      <c r="C156" s="182">
        <v>1</v>
      </c>
      <c r="D156" s="182"/>
      <c r="E156" s="183" t="s">
        <v>315</v>
      </c>
      <c r="F156" s="146" t="s">
        <v>319</v>
      </c>
      <c r="G156" s="184">
        <v>0</v>
      </c>
      <c r="H156" s="184">
        <v>0</v>
      </c>
      <c r="I156" s="184">
        <v>0</v>
      </c>
    </row>
    <row r="157" spans="2:10" x14ac:dyDescent="0.3">
      <c r="B157" s="181" t="s">
        <v>137</v>
      </c>
      <c r="C157" s="182">
        <v>2</v>
      </c>
      <c r="D157" s="182"/>
      <c r="E157" s="183" t="s">
        <v>315</v>
      </c>
      <c r="F157" s="146" t="s">
        <v>319</v>
      </c>
      <c r="G157" s="184">
        <v>0</v>
      </c>
      <c r="H157" s="184">
        <v>0</v>
      </c>
      <c r="I157" s="184">
        <v>0</v>
      </c>
    </row>
    <row r="158" spans="2:10" x14ac:dyDescent="0.3">
      <c r="B158" s="117" t="s">
        <v>214</v>
      </c>
      <c r="C158" s="118">
        <v>24</v>
      </c>
      <c r="D158" s="10"/>
      <c r="E158" s="148" t="s">
        <v>313</v>
      </c>
      <c r="F158" s="60" t="s">
        <v>265</v>
      </c>
      <c r="G158" s="60">
        <v>0</v>
      </c>
      <c r="H158" s="60">
        <v>0</v>
      </c>
      <c r="I158" s="60">
        <v>0</v>
      </c>
    </row>
    <row r="159" spans="2:10" x14ac:dyDescent="0.3">
      <c r="B159" s="117" t="s">
        <v>213</v>
      </c>
      <c r="C159" s="118">
        <v>8</v>
      </c>
      <c r="D159" s="10"/>
      <c r="E159" s="148" t="s">
        <v>313</v>
      </c>
      <c r="F159" s="60" t="s">
        <v>265</v>
      </c>
      <c r="G159" s="60">
        <v>0</v>
      </c>
      <c r="H159" s="60">
        <v>0</v>
      </c>
      <c r="I159" s="60">
        <v>0</v>
      </c>
    </row>
    <row r="160" spans="2:10" x14ac:dyDescent="0.3">
      <c r="B160" s="117" t="s">
        <v>126</v>
      </c>
      <c r="C160" s="118">
        <v>2</v>
      </c>
      <c r="D160" s="10"/>
      <c r="E160" s="148" t="s">
        <v>313</v>
      </c>
      <c r="F160" s="60" t="s">
        <v>270</v>
      </c>
      <c r="G160" s="60">
        <v>0</v>
      </c>
      <c r="H160" s="60">
        <v>0</v>
      </c>
      <c r="I160" s="60">
        <v>0</v>
      </c>
    </row>
    <row r="161" spans="2:9" x14ac:dyDescent="0.3">
      <c r="B161" s="181" t="s">
        <v>50</v>
      </c>
      <c r="C161" s="182">
        <v>13</v>
      </c>
      <c r="D161" s="182"/>
      <c r="E161" s="183" t="s">
        <v>315</v>
      </c>
      <c r="F161" s="146" t="s">
        <v>319</v>
      </c>
      <c r="G161" s="184">
        <v>0</v>
      </c>
      <c r="H161" s="184">
        <v>0</v>
      </c>
      <c r="I161" s="184">
        <v>0</v>
      </c>
    </row>
    <row r="162" spans="2:9" x14ac:dyDescent="0.3">
      <c r="B162" s="117" t="s">
        <v>252</v>
      </c>
      <c r="C162" s="118">
        <v>74</v>
      </c>
      <c r="D162" s="10"/>
      <c r="E162" s="148" t="s">
        <v>313</v>
      </c>
      <c r="F162" s="60" t="s">
        <v>253</v>
      </c>
      <c r="G162" s="60">
        <v>0</v>
      </c>
      <c r="H162" s="60">
        <v>0</v>
      </c>
      <c r="I162" s="60">
        <v>0</v>
      </c>
    </row>
    <row r="163" spans="2:9" x14ac:dyDescent="0.3">
      <c r="B163" s="117" t="s">
        <v>222</v>
      </c>
      <c r="C163" s="118">
        <v>2</v>
      </c>
      <c r="D163" s="114"/>
      <c r="E163" s="148" t="s">
        <v>313</v>
      </c>
      <c r="F163" s="60" t="s">
        <v>265</v>
      </c>
      <c r="G163" s="60">
        <v>0</v>
      </c>
      <c r="H163" s="60">
        <v>0</v>
      </c>
      <c r="I163" s="60">
        <v>0</v>
      </c>
    </row>
    <row r="164" spans="2:9" x14ac:dyDescent="0.3">
      <c r="B164" s="117" t="s">
        <v>223</v>
      </c>
      <c r="C164" s="118">
        <v>3</v>
      </c>
      <c r="D164" s="10"/>
      <c r="E164" s="148" t="s">
        <v>313</v>
      </c>
      <c r="F164" s="60" t="s">
        <v>265</v>
      </c>
      <c r="G164" s="60">
        <v>0</v>
      </c>
      <c r="H164" s="60">
        <v>0</v>
      </c>
      <c r="I164" s="60">
        <v>0</v>
      </c>
    </row>
    <row r="165" spans="2:9" x14ac:dyDescent="0.3">
      <c r="B165" s="117" t="s">
        <v>215</v>
      </c>
      <c r="C165" s="118">
        <v>12</v>
      </c>
      <c r="D165" s="114"/>
      <c r="E165" s="148" t="s">
        <v>313</v>
      </c>
      <c r="F165" s="60" t="s">
        <v>265</v>
      </c>
      <c r="G165" s="60">
        <v>0</v>
      </c>
      <c r="H165" s="60">
        <v>0</v>
      </c>
      <c r="I165" s="60">
        <v>0</v>
      </c>
    </row>
    <row r="166" spans="2:9" x14ac:dyDescent="0.3">
      <c r="B166" s="117" t="s">
        <v>212</v>
      </c>
      <c r="C166" s="118">
        <v>1</v>
      </c>
      <c r="D166" s="10"/>
      <c r="E166" s="148" t="s">
        <v>313</v>
      </c>
      <c r="F166" s="60" t="s">
        <v>265</v>
      </c>
      <c r="G166" s="60">
        <v>0</v>
      </c>
      <c r="H166" s="60">
        <v>0</v>
      </c>
      <c r="I166" s="60">
        <v>0</v>
      </c>
    </row>
    <row r="167" spans="2:9" x14ac:dyDescent="0.3">
      <c r="B167" s="117" t="s">
        <v>211</v>
      </c>
      <c r="C167" s="118">
        <v>1</v>
      </c>
      <c r="D167" s="114"/>
      <c r="E167" s="148" t="s">
        <v>313</v>
      </c>
      <c r="F167" s="60" t="s">
        <v>265</v>
      </c>
      <c r="G167" s="60">
        <v>0</v>
      </c>
      <c r="H167" s="60">
        <v>0</v>
      </c>
      <c r="I167" s="60">
        <v>0</v>
      </c>
    </row>
    <row r="168" spans="2:9" x14ac:dyDescent="0.3">
      <c r="B168" s="117" t="s">
        <v>94</v>
      </c>
      <c r="C168" s="118">
        <v>1</v>
      </c>
      <c r="D168" s="10"/>
      <c r="E168" s="148" t="s">
        <v>313</v>
      </c>
      <c r="F168" s="60" t="s">
        <v>272</v>
      </c>
      <c r="G168" s="60">
        <v>0</v>
      </c>
      <c r="H168" s="60">
        <v>0</v>
      </c>
      <c r="I168" s="60">
        <v>0</v>
      </c>
    </row>
    <row r="169" spans="2:9" x14ac:dyDescent="0.3">
      <c r="B169" s="181" t="s">
        <v>207</v>
      </c>
      <c r="C169" s="182">
        <v>1</v>
      </c>
      <c r="D169" s="182"/>
      <c r="E169" s="183" t="s">
        <v>315</v>
      </c>
      <c r="F169" s="146" t="s">
        <v>319</v>
      </c>
      <c r="G169" s="184">
        <v>0</v>
      </c>
      <c r="H169" s="184">
        <v>0</v>
      </c>
      <c r="I169" s="184">
        <v>0</v>
      </c>
    </row>
    <row r="170" spans="2:9" x14ac:dyDescent="0.3">
      <c r="B170" s="117" t="s">
        <v>233</v>
      </c>
      <c r="C170" s="118">
        <v>1</v>
      </c>
      <c r="D170" s="10"/>
      <c r="E170" s="148" t="s">
        <v>313</v>
      </c>
      <c r="F170" s="60" t="s">
        <v>265</v>
      </c>
      <c r="G170" s="60">
        <v>0</v>
      </c>
      <c r="H170" s="60">
        <v>0</v>
      </c>
      <c r="I170" s="60">
        <v>0</v>
      </c>
    </row>
    <row r="171" spans="2:9" x14ac:dyDescent="0.3">
      <c r="B171" s="117" t="s">
        <v>237</v>
      </c>
      <c r="C171" s="118">
        <v>1</v>
      </c>
      <c r="D171" s="114"/>
      <c r="E171" s="148" t="s">
        <v>313</v>
      </c>
      <c r="F171" s="60" t="s">
        <v>265</v>
      </c>
      <c r="G171" s="60">
        <v>0</v>
      </c>
      <c r="H171" s="60">
        <v>0</v>
      </c>
      <c r="I171" s="60">
        <v>0</v>
      </c>
    </row>
    <row r="172" spans="2:9" x14ac:dyDescent="0.3">
      <c r="B172" s="117" t="s">
        <v>238</v>
      </c>
      <c r="C172" s="118">
        <v>4</v>
      </c>
      <c r="D172" s="10"/>
      <c r="E172" s="148" t="s">
        <v>313</v>
      </c>
      <c r="F172" s="60" t="s">
        <v>265</v>
      </c>
      <c r="G172" s="60">
        <v>0</v>
      </c>
      <c r="H172" s="60">
        <v>0</v>
      </c>
      <c r="I172" s="60">
        <v>0</v>
      </c>
    </row>
    <row r="173" spans="2:9" x14ac:dyDescent="0.3">
      <c r="B173" s="149" t="s">
        <v>220</v>
      </c>
      <c r="C173" s="150">
        <v>2</v>
      </c>
      <c r="D173" s="115"/>
      <c r="E173" s="148" t="s">
        <v>313</v>
      </c>
      <c r="F173" s="64" t="s">
        <v>265</v>
      </c>
      <c r="G173" s="60">
        <v>0</v>
      </c>
      <c r="H173" s="60">
        <v>0</v>
      </c>
      <c r="I173" s="60">
        <v>0</v>
      </c>
    </row>
    <row r="174" spans="2:9" x14ac:dyDescent="0.3">
      <c r="B174" s="149" t="s">
        <v>221</v>
      </c>
      <c r="C174" s="150">
        <v>2</v>
      </c>
      <c r="D174" s="113"/>
      <c r="E174" s="148" t="s">
        <v>313</v>
      </c>
      <c r="F174" s="64" t="s">
        <v>265</v>
      </c>
      <c r="G174" s="60">
        <v>0</v>
      </c>
      <c r="H174" s="60">
        <v>0</v>
      </c>
      <c r="I174" s="60">
        <v>0</v>
      </c>
    </row>
    <row r="175" spans="2:9" x14ac:dyDescent="0.3">
      <c r="B175" s="151" t="s">
        <v>216</v>
      </c>
      <c r="C175" s="152">
        <v>8</v>
      </c>
      <c r="D175" s="115"/>
      <c r="E175" s="153" t="s">
        <v>313</v>
      </c>
      <c r="F175" s="147" t="s">
        <v>265</v>
      </c>
      <c r="G175" s="60">
        <v>0</v>
      </c>
      <c r="H175" s="60">
        <v>0</v>
      </c>
      <c r="I175" s="60">
        <v>0</v>
      </c>
    </row>
  </sheetData>
  <mergeCells count="4">
    <mergeCell ref="B1:I1"/>
    <mergeCell ref="B2:G2"/>
    <mergeCell ref="B150:I150"/>
    <mergeCell ref="B151:I151"/>
  </mergeCells>
  <pageMargins left="0.39370078740157483" right="0.11811023622047245" top="0.19685039370078741" bottom="0.19685039370078741" header="0.31496062992125984" footer="0.31496062992125984"/>
  <pageSetup scale="80" orientation="portrait" r:id="rId1"/>
  <tableParts count="3">
    <tablePart r:id="rId2"/>
    <tablePart r:id="rId3"/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6"/>
  <sheetViews>
    <sheetView zoomScaleNormal="100" workbookViewId="0">
      <selection activeCell="G130" sqref="G130"/>
    </sheetView>
  </sheetViews>
  <sheetFormatPr baseColWidth="10" defaultRowHeight="14.4" x14ac:dyDescent="0.3"/>
  <cols>
    <col min="1" max="1" width="1.6640625" customWidth="1"/>
    <col min="2" max="2" width="38.88671875" style="2" customWidth="1"/>
    <col min="3" max="3" width="19.77734375" style="1" customWidth="1"/>
    <col min="4" max="4" width="19.77734375" style="1" hidden="1" customWidth="1"/>
    <col min="5" max="5" width="19.77734375" hidden="1" customWidth="1"/>
    <col min="6" max="6" width="19.77734375" style="43" hidden="1" customWidth="1"/>
    <col min="7" max="9" width="19.77734375" style="43" customWidth="1"/>
    <col min="10" max="10" width="11.5546875" customWidth="1"/>
  </cols>
  <sheetData>
    <row r="1" spans="2:10" ht="26.25" customHeight="1" thickBot="1" x14ac:dyDescent="0.35">
      <c r="B1" s="412" t="s">
        <v>320</v>
      </c>
      <c r="C1" s="413"/>
      <c r="D1" s="413"/>
      <c r="E1" s="413"/>
      <c r="F1" s="413"/>
      <c r="G1" s="413"/>
      <c r="H1" s="413"/>
      <c r="I1" s="414"/>
    </row>
    <row r="2" spans="2:10" ht="15" customHeight="1" thickBot="1" x14ac:dyDescent="0.35">
      <c r="B2" s="421" t="s">
        <v>321</v>
      </c>
      <c r="C2" s="422"/>
      <c r="D2" s="422"/>
      <c r="E2" s="422"/>
      <c r="F2" s="422"/>
      <c r="G2" s="422"/>
      <c r="H2" s="422"/>
      <c r="I2" s="423"/>
    </row>
    <row r="3" spans="2:10" s="1" customFormat="1" ht="25.2" customHeight="1" thickBot="1" x14ac:dyDescent="0.35">
      <c r="B3" s="100" t="s">
        <v>0</v>
      </c>
      <c r="C3" s="101" t="s">
        <v>1</v>
      </c>
      <c r="D3" s="101" t="s">
        <v>308</v>
      </c>
      <c r="E3" s="101" t="s">
        <v>269</v>
      </c>
      <c r="F3" s="102" t="s">
        <v>300</v>
      </c>
      <c r="G3" s="103" t="s">
        <v>311</v>
      </c>
      <c r="H3" s="127" t="s">
        <v>312</v>
      </c>
      <c r="I3" s="127" t="s">
        <v>324</v>
      </c>
      <c r="J3"/>
    </row>
    <row r="4" spans="2:10" ht="15" customHeight="1" x14ac:dyDescent="0.3">
      <c r="B4" s="155" t="s">
        <v>210</v>
      </c>
      <c r="C4" s="156">
        <v>7</v>
      </c>
      <c r="D4" s="156" t="e">
        <f>SUM(Tabla1343[[#This Row],[Columna1]:[Columna5]])</f>
        <v>#VALUE!</v>
      </c>
      <c r="E4" s="157" t="s">
        <v>313</v>
      </c>
      <c r="F4" s="158"/>
      <c r="G4" s="158">
        <v>25000</v>
      </c>
      <c r="H4" s="158">
        <f>+Tabla1347812[[#This Row],[Cantidad]]*Tabla1347812[[#This Row],[Precio Unitario en Pesos /   €]]</f>
        <v>175000</v>
      </c>
      <c r="I4" s="158">
        <f>+Tabla1347812[[#This Row],[Precio Total en Pesos]]/2</f>
        <v>87500</v>
      </c>
    </row>
    <row r="5" spans="2:10" ht="15" customHeight="1" x14ac:dyDescent="0.3">
      <c r="B5" s="159" t="s">
        <v>148</v>
      </c>
      <c r="C5" s="160">
        <v>4</v>
      </c>
      <c r="D5" s="156">
        <f>SUM(Tabla1343[[#This Row],[Columna1]:[Columna5]])</f>
        <v>7</v>
      </c>
      <c r="E5" s="157" t="s">
        <v>314</v>
      </c>
      <c r="F5" s="105"/>
      <c r="G5" s="105">
        <v>48000</v>
      </c>
      <c r="H5" s="158">
        <f>+Tabla1347812[[#This Row],[Cantidad]]*Tabla1347812[[#This Row],[Precio Unitario en Pesos /   €]]</f>
        <v>192000</v>
      </c>
      <c r="I5" s="158">
        <f>+Tabla1347812[[#This Row],[Precio Total en Pesos]]/2</f>
        <v>96000</v>
      </c>
    </row>
    <row r="6" spans="2:10" ht="15" customHeight="1" x14ac:dyDescent="0.3">
      <c r="B6" s="159" t="s">
        <v>139</v>
      </c>
      <c r="C6" s="160">
        <v>8</v>
      </c>
      <c r="D6" s="156">
        <f>SUM(Tabla1343[[#This Row],[Columna1]:[Columna5]])</f>
        <v>4</v>
      </c>
      <c r="E6" s="157" t="s">
        <v>317</v>
      </c>
      <c r="F6" s="105"/>
      <c r="G6" s="105">
        <v>7300</v>
      </c>
      <c r="H6" s="158">
        <f>+Tabla1347812[[#This Row],[Cantidad]]*Tabla1347812[[#This Row],[Precio Unitario en Pesos /   €]]</f>
        <v>58400</v>
      </c>
      <c r="I6" s="158">
        <f>+Tabla1347812[[#This Row],[Precio Total en Pesos]]/2</f>
        <v>29200</v>
      </c>
    </row>
    <row r="7" spans="2:10" ht="15" customHeight="1" x14ac:dyDescent="0.3">
      <c r="B7" s="159" t="s">
        <v>194</v>
      </c>
      <c r="C7" s="160">
        <v>2</v>
      </c>
      <c r="D7" s="156">
        <f>SUM(Tabla1343[[#This Row],[Columna1]:[Columna5]])</f>
        <v>8</v>
      </c>
      <c r="E7" s="157" t="s">
        <v>313</v>
      </c>
      <c r="F7" s="105"/>
      <c r="G7" s="105">
        <v>13500</v>
      </c>
      <c r="H7" s="158">
        <f>+Tabla1347812[[#This Row],[Cantidad]]*Tabla1347812[[#This Row],[Precio Unitario en Pesos /   €]]</f>
        <v>27000</v>
      </c>
      <c r="I7" s="158">
        <f>+Tabla1347812[[#This Row],[Precio Total en Pesos]]/2</f>
        <v>13500</v>
      </c>
    </row>
    <row r="8" spans="2:10" ht="15" customHeight="1" x14ac:dyDescent="0.3">
      <c r="B8" s="159" t="s">
        <v>160</v>
      </c>
      <c r="C8" s="160">
        <v>9</v>
      </c>
      <c r="D8" s="156">
        <f>SUM(Tabla1343[[#This Row],[Columna1]:[Columna5]])</f>
        <v>2</v>
      </c>
      <c r="E8" s="157" t="s">
        <v>313</v>
      </c>
      <c r="F8" s="105"/>
      <c r="G8" s="105">
        <v>4838</v>
      </c>
      <c r="H8" s="158">
        <f>+Tabla1347812[[#This Row],[Cantidad]]*Tabla1347812[[#This Row],[Precio Unitario en Pesos /   €]]</f>
        <v>43542</v>
      </c>
      <c r="I8" s="158">
        <f>+Tabla1347812[[#This Row],[Precio Total en Pesos]]/2</f>
        <v>21771</v>
      </c>
    </row>
    <row r="9" spans="2:10" ht="15" customHeight="1" x14ac:dyDescent="0.3">
      <c r="B9" s="159" t="s">
        <v>195</v>
      </c>
      <c r="C9" s="160">
        <v>3</v>
      </c>
      <c r="D9" s="156">
        <f>SUM(Tabla1343[[#This Row],[Columna1]:[Columna5]])</f>
        <v>9</v>
      </c>
      <c r="E9" s="157" t="s">
        <v>313</v>
      </c>
      <c r="F9" s="105"/>
      <c r="G9" s="105">
        <v>6000</v>
      </c>
      <c r="H9" s="158">
        <f>+Tabla1347812[[#This Row],[Cantidad]]*Tabla1347812[[#This Row],[Precio Unitario en Pesos /   €]]</f>
        <v>18000</v>
      </c>
      <c r="I9" s="158">
        <f>+Tabla1347812[[#This Row],[Precio Total en Pesos]]/2</f>
        <v>9000</v>
      </c>
    </row>
    <row r="10" spans="2:10" ht="15" customHeight="1" x14ac:dyDescent="0.3">
      <c r="B10" s="159" t="s">
        <v>118</v>
      </c>
      <c r="C10" s="161">
        <v>97</v>
      </c>
      <c r="D10" s="162">
        <f>SUM(Tabla1343[[#This Row],[Columna1]:[Columna5]])</f>
        <v>3</v>
      </c>
      <c r="E10" s="157" t="s">
        <v>313</v>
      </c>
      <c r="F10" s="105"/>
      <c r="G10" s="163">
        <v>290</v>
      </c>
      <c r="H10" s="158">
        <f>+Tabla1347812[[#This Row],[Cantidad]]*Tabla1347812[[#This Row],[Precio Unitario en Pesos /   €]]</f>
        <v>28130</v>
      </c>
      <c r="I10" s="158">
        <f>+Tabla1347812[[#This Row],[Precio Total en Pesos]]/2</f>
        <v>14065</v>
      </c>
    </row>
    <row r="11" spans="2:10" ht="15" customHeight="1" x14ac:dyDescent="0.3">
      <c r="B11" s="159" t="s">
        <v>119</v>
      </c>
      <c r="C11" s="161">
        <v>137</v>
      </c>
      <c r="D11" s="162">
        <f>SUM(Tabla1343[[#This Row],[Columna1]:[Columna5]])</f>
        <v>97</v>
      </c>
      <c r="E11" s="157" t="s">
        <v>313</v>
      </c>
      <c r="F11" s="105"/>
      <c r="G11" s="163">
        <v>320</v>
      </c>
      <c r="H11" s="158">
        <f>+Tabla1347812[[#This Row],[Cantidad]]*Tabla1347812[[#This Row],[Precio Unitario en Pesos /   €]]</f>
        <v>43840</v>
      </c>
      <c r="I11" s="158">
        <f>+Tabla1347812[[#This Row],[Precio Total en Pesos]]/2</f>
        <v>21920</v>
      </c>
    </row>
    <row r="12" spans="2:10" ht="15" customHeight="1" x14ac:dyDescent="0.3">
      <c r="B12" s="159" t="s">
        <v>189</v>
      </c>
      <c r="C12" s="161">
        <v>14</v>
      </c>
      <c r="D12" s="162">
        <f>SUM(Tabla1343[[#This Row],[Columna1]:[Columna5]])</f>
        <v>137</v>
      </c>
      <c r="E12" s="157" t="s">
        <v>313</v>
      </c>
      <c r="F12" s="105"/>
      <c r="G12" s="163">
        <v>80</v>
      </c>
      <c r="H12" s="158">
        <f>+Tabla1347812[[#This Row],[Cantidad]]*Tabla1347812[[#This Row],[Precio Unitario en Pesos /   €]]</f>
        <v>1120</v>
      </c>
      <c r="I12" s="158">
        <f>+Tabla1347812[[#This Row],[Precio Total en Pesos]]/2</f>
        <v>560</v>
      </c>
    </row>
    <row r="13" spans="2:10" ht="15" customHeight="1" x14ac:dyDescent="0.3">
      <c r="B13" s="159" t="s">
        <v>188</v>
      </c>
      <c r="C13" s="161">
        <v>136</v>
      </c>
      <c r="D13" s="162">
        <f>SUM(Tabla1343[[#This Row],[Columna1]:[Columna5]])</f>
        <v>14</v>
      </c>
      <c r="E13" s="157" t="s">
        <v>313</v>
      </c>
      <c r="F13" s="105"/>
      <c r="G13" s="163">
        <v>170</v>
      </c>
      <c r="H13" s="158">
        <f>+Tabla1347812[[#This Row],[Cantidad]]*Tabla1347812[[#This Row],[Precio Unitario en Pesos /   €]]</f>
        <v>23120</v>
      </c>
      <c r="I13" s="158">
        <f>+Tabla1347812[[#This Row],[Precio Total en Pesos]]/2</f>
        <v>11560</v>
      </c>
    </row>
    <row r="14" spans="2:10" ht="15" customHeight="1" x14ac:dyDescent="0.3">
      <c r="B14" s="159" t="s">
        <v>171</v>
      </c>
      <c r="C14" s="161">
        <v>3</v>
      </c>
      <c r="D14" s="162">
        <f>SUM(Tabla1343[[#This Row],[Columna1]:[Columna5]])</f>
        <v>136</v>
      </c>
      <c r="E14" s="157" t="s">
        <v>313</v>
      </c>
      <c r="F14" s="105"/>
      <c r="G14" s="163">
        <v>12000</v>
      </c>
      <c r="H14" s="158">
        <f>+Tabla1347812[[#This Row],[Cantidad]]*Tabla1347812[[#This Row],[Precio Unitario en Pesos /   €]]</f>
        <v>36000</v>
      </c>
      <c r="I14" s="158">
        <f>+Tabla1347812[[#This Row],[Precio Total en Pesos]]/2</f>
        <v>18000</v>
      </c>
    </row>
    <row r="15" spans="2:10" ht="15" customHeight="1" x14ac:dyDescent="0.3">
      <c r="B15" s="159" t="s">
        <v>170</v>
      </c>
      <c r="C15" s="161">
        <v>7</v>
      </c>
      <c r="D15" s="162">
        <f>SUM(Tabla1343[[#This Row],[Columna1]:[Columna5]])</f>
        <v>3</v>
      </c>
      <c r="E15" s="157" t="s">
        <v>313</v>
      </c>
      <c r="F15" s="105"/>
      <c r="G15" s="163">
        <v>2500</v>
      </c>
      <c r="H15" s="158">
        <f>+Tabla1347812[[#This Row],[Cantidad]]*Tabla1347812[[#This Row],[Precio Unitario en Pesos /   €]]</f>
        <v>17500</v>
      </c>
      <c r="I15" s="158">
        <f>+Tabla1347812[[#This Row],[Precio Total en Pesos]]/2</f>
        <v>8750</v>
      </c>
    </row>
    <row r="16" spans="2:10" x14ac:dyDescent="0.3">
      <c r="B16" s="136" t="s">
        <v>242</v>
      </c>
      <c r="C16" s="137">
        <v>1</v>
      </c>
      <c r="D16" s="185">
        <f>SUM(Tabla1343[[#This Row],[Columna1]:[Columna5]])</f>
        <v>7</v>
      </c>
      <c r="E16" s="139" t="s">
        <v>315</v>
      </c>
      <c r="F16" s="146"/>
      <c r="G16" s="140">
        <v>0</v>
      </c>
      <c r="H16" s="141">
        <f>+Tabla1347812[[#This Row],[Cantidad]]*Tabla1347812[[#This Row],[Precio Unitario en Pesos /   €]]</f>
        <v>0</v>
      </c>
      <c r="I16" s="141">
        <f>+Tabla1347812[[#This Row],[Precio Total en Pesos]]/2</f>
        <v>0</v>
      </c>
    </row>
    <row r="17" spans="2:9" ht="15" customHeight="1" x14ac:dyDescent="0.3">
      <c r="B17" s="159" t="s">
        <v>186</v>
      </c>
      <c r="C17" s="161">
        <v>1</v>
      </c>
      <c r="D17" s="162">
        <f>SUM(Tabla1343[[#This Row],[Columna1]:[Columna5]])</f>
        <v>1</v>
      </c>
      <c r="E17" s="157" t="s">
        <v>317</v>
      </c>
      <c r="F17" s="105"/>
      <c r="G17" s="163">
        <v>18000</v>
      </c>
      <c r="H17" s="158">
        <f>+Tabla1347812[[#This Row],[Cantidad]]*Tabla1347812[[#This Row],[Precio Unitario en Pesos /   €]]</f>
        <v>18000</v>
      </c>
      <c r="I17" s="158">
        <f>+Tabla1347812[[#This Row],[Precio Total en Pesos]]/2</f>
        <v>9000</v>
      </c>
    </row>
    <row r="18" spans="2:9" ht="15" customHeight="1" x14ac:dyDescent="0.3">
      <c r="B18" s="164" t="s">
        <v>117</v>
      </c>
      <c r="C18" s="165">
        <v>9</v>
      </c>
      <c r="D18" s="166">
        <f>SUM(Tabla1343[[#This Row],[Columna1]:[Columna5]])</f>
        <v>1</v>
      </c>
      <c r="E18" s="167" t="s">
        <v>313</v>
      </c>
      <c r="F18" s="105"/>
      <c r="G18" s="163">
        <v>3900</v>
      </c>
      <c r="H18" s="158">
        <f>+Tabla1347812[[#This Row],[Cantidad]]*Tabla1347812[[#This Row],[Precio Unitario en Pesos /   €]]</f>
        <v>35100</v>
      </c>
      <c r="I18" s="158">
        <f>+Tabla1347812[[#This Row],[Precio Total en Pesos]]/2</f>
        <v>17550</v>
      </c>
    </row>
    <row r="19" spans="2:9" ht="15" customHeight="1" x14ac:dyDescent="0.3">
      <c r="B19" s="159" t="s">
        <v>116</v>
      </c>
      <c r="C19" s="161">
        <v>15</v>
      </c>
      <c r="D19" s="162">
        <f>SUM(Tabla1343[[#This Row],[Columna1]:[Columna5]])</f>
        <v>9</v>
      </c>
      <c r="E19" s="157" t="s">
        <v>313</v>
      </c>
      <c r="F19" s="105"/>
      <c r="G19" s="163">
        <v>7200</v>
      </c>
      <c r="H19" s="158">
        <f>+Tabla1347812[[#This Row],[Cantidad]]*Tabla1347812[[#This Row],[Precio Unitario en Pesos /   €]]</f>
        <v>108000</v>
      </c>
      <c r="I19" s="158">
        <f>+Tabla1347812[[#This Row],[Precio Total en Pesos]]/2</f>
        <v>54000</v>
      </c>
    </row>
    <row r="20" spans="2:9" ht="15" customHeight="1" x14ac:dyDescent="0.3">
      <c r="B20" s="159" t="s">
        <v>196</v>
      </c>
      <c r="C20" s="161">
        <v>1</v>
      </c>
      <c r="D20" s="162">
        <f>SUM(Tabla1343[[#This Row],[Columna1]:[Columna5]])</f>
        <v>15</v>
      </c>
      <c r="E20" s="157" t="s">
        <v>313</v>
      </c>
      <c r="F20" s="105"/>
      <c r="G20" s="163">
        <v>4290</v>
      </c>
      <c r="H20" s="158">
        <f>+Tabla1347812[[#This Row],[Cantidad]]*Tabla1347812[[#This Row],[Precio Unitario en Pesos /   €]]</f>
        <v>4290</v>
      </c>
      <c r="I20" s="158">
        <f>+Tabla1347812[[#This Row],[Precio Total en Pesos]]/2</f>
        <v>2145</v>
      </c>
    </row>
    <row r="21" spans="2:9" ht="15" customHeight="1" x14ac:dyDescent="0.3">
      <c r="B21" s="159" t="s">
        <v>247</v>
      </c>
      <c r="C21" s="161">
        <v>3</v>
      </c>
      <c r="D21" s="162">
        <f>SUM(Tabla1343[[#This Row],[Columna1]:[Columna5]])</f>
        <v>1</v>
      </c>
      <c r="E21" s="157" t="s">
        <v>317</v>
      </c>
      <c r="F21" s="105"/>
      <c r="G21" s="163">
        <v>68000</v>
      </c>
      <c r="H21" s="158">
        <f>+Tabla1347812[[#This Row],[Cantidad]]*Tabla1347812[[#This Row],[Precio Unitario en Pesos /   €]]</f>
        <v>204000</v>
      </c>
      <c r="I21" s="158">
        <f>+Tabla1347812[[#This Row],[Precio Total en Pesos]]/2</f>
        <v>102000</v>
      </c>
    </row>
    <row r="22" spans="2:9" ht="15" customHeight="1" x14ac:dyDescent="0.3">
      <c r="B22" s="159" t="s">
        <v>248</v>
      </c>
      <c r="C22" s="161">
        <v>3</v>
      </c>
      <c r="D22" s="162">
        <f>SUM(Tabla1343[[#This Row],[Columna1]:[Columna5]])</f>
        <v>3</v>
      </c>
      <c r="E22" s="157" t="s">
        <v>317</v>
      </c>
      <c r="F22" s="163"/>
      <c r="G22" s="105">
        <v>85000</v>
      </c>
      <c r="H22" s="158">
        <f>+Tabla1347812[[#This Row],[Cantidad]]*Tabla1347812[[#This Row],[Precio Unitario en Pesos /   €]]</f>
        <v>255000</v>
      </c>
      <c r="I22" s="158">
        <f>+Tabla1347812[[#This Row],[Precio Total en Pesos]]/2</f>
        <v>127500</v>
      </c>
    </row>
    <row r="23" spans="2:9" ht="15" customHeight="1" x14ac:dyDescent="0.3">
      <c r="B23" s="159" t="s">
        <v>155</v>
      </c>
      <c r="C23" s="161">
        <v>7</v>
      </c>
      <c r="D23" s="162">
        <f>SUM(Tabla1343[[#This Row],[Columna1]:[Columna5]])</f>
        <v>3</v>
      </c>
      <c r="E23" s="157" t="s">
        <v>317</v>
      </c>
      <c r="F23" s="105"/>
      <c r="G23" s="163">
        <v>5000</v>
      </c>
      <c r="H23" s="158">
        <f>+Tabla1347812[[#This Row],[Cantidad]]*Tabla1347812[[#This Row],[Precio Unitario en Pesos /   €]]</f>
        <v>35000</v>
      </c>
      <c r="I23" s="158">
        <f>+Tabla1347812[[#This Row],[Precio Total en Pesos]]/2</f>
        <v>17500</v>
      </c>
    </row>
    <row r="24" spans="2:9" ht="15" customHeight="1" x14ac:dyDescent="0.3">
      <c r="B24" s="159" t="s">
        <v>154</v>
      </c>
      <c r="C24" s="161">
        <v>11</v>
      </c>
      <c r="D24" s="162">
        <f>SUM(Tabla1343[[#This Row],[Columna1]:[Columna5]])</f>
        <v>7</v>
      </c>
      <c r="E24" s="157" t="s">
        <v>313</v>
      </c>
      <c r="F24" s="105"/>
      <c r="G24" s="163">
        <v>600</v>
      </c>
      <c r="H24" s="158">
        <f>+Tabla1347812[[#This Row],[Cantidad]]*Tabla1347812[[#This Row],[Precio Unitario en Pesos /   €]]</f>
        <v>6600</v>
      </c>
      <c r="I24" s="158">
        <f>+Tabla1347812[[#This Row],[Precio Total en Pesos]]/2</f>
        <v>3300</v>
      </c>
    </row>
    <row r="25" spans="2:9" ht="15" customHeight="1" x14ac:dyDescent="0.3">
      <c r="B25" s="159" t="s">
        <v>293</v>
      </c>
      <c r="C25" s="161">
        <v>19</v>
      </c>
      <c r="D25" s="162">
        <f>SUM(Tabla1343[[#This Row],[Columna1]:[Columna5]])</f>
        <v>11</v>
      </c>
      <c r="E25" s="157" t="s">
        <v>314</v>
      </c>
      <c r="F25" s="105"/>
      <c r="G25" s="163">
        <v>4650</v>
      </c>
      <c r="H25" s="158">
        <f>+Tabla1347812[[#This Row],[Cantidad]]*Tabla1347812[[#This Row],[Precio Unitario en Pesos /   €]]</f>
        <v>88350</v>
      </c>
      <c r="I25" s="158">
        <f>+Tabla1347812[[#This Row],[Precio Total en Pesos]]/2</f>
        <v>44175</v>
      </c>
    </row>
    <row r="26" spans="2:9" ht="15" customHeight="1" x14ac:dyDescent="0.3">
      <c r="B26" s="159" t="s">
        <v>173</v>
      </c>
      <c r="C26" s="161">
        <v>165</v>
      </c>
      <c r="D26" s="162">
        <f>SUM(Tabla1343[[#This Row],[Columna1]:[Columna5]])</f>
        <v>19</v>
      </c>
      <c r="E26" s="157" t="s">
        <v>314</v>
      </c>
      <c r="F26" s="105"/>
      <c r="G26" s="163">
        <v>580</v>
      </c>
      <c r="H26" s="158">
        <f>+Tabla1347812[[#This Row],[Cantidad]]*Tabla1347812[[#This Row],[Precio Unitario en Pesos /   €]]</f>
        <v>95700</v>
      </c>
      <c r="I26" s="158">
        <f>+Tabla1347812[[#This Row],[Precio Total en Pesos]]/2</f>
        <v>47850</v>
      </c>
    </row>
    <row r="27" spans="2:9" ht="15" customHeight="1" x14ac:dyDescent="0.3">
      <c r="B27" s="159" t="s">
        <v>181</v>
      </c>
      <c r="C27" s="161">
        <v>1</v>
      </c>
      <c r="D27" s="162">
        <v>1</v>
      </c>
      <c r="E27" s="157" t="s">
        <v>317</v>
      </c>
      <c r="F27" s="105"/>
      <c r="G27" s="163">
        <v>57000</v>
      </c>
      <c r="H27" s="158">
        <f>+Tabla1347812[[#This Row],[Cantidad]]*Tabla1347812[[#This Row],[Precio Unitario en Pesos /   €]]</f>
        <v>57000</v>
      </c>
      <c r="I27" s="158">
        <f>+Tabla1347812[[#This Row],[Precio Total en Pesos]]/2</f>
        <v>28500</v>
      </c>
    </row>
    <row r="28" spans="2:9" ht="15" customHeight="1" x14ac:dyDescent="0.3">
      <c r="B28" s="159" t="s">
        <v>187</v>
      </c>
      <c r="C28" s="161">
        <v>1</v>
      </c>
      <c r="D28" s="162">
        <f>SUM(Tabla1343[[#This Row],[Columna1]:[Columna5]])</f>
        <v>0</v>
      </c>
      <c r="E28" s="157" t="s">
        <v>317</v>
      </c>
      <c r="F28" s="105"/>
      <c r="G28" s="163">
        <v>11000</v>
      </c>
      <c r="H28" s="158">
        <f>+Tabla1347812[[#This Row],[Cantidad]]*Tabla1347812[[#This Row],[Precio Unitario en Pesos /   €]]</f>
        <v>11000</v>
      </c>
      <c r="I28" s="158">
        <f>+Tabla1347812[[#This Row],[Precio Total en Pesos]]/2</f>
        <v>5500</v>
      </c>
    </row>
    <row r="29" spans="2:9" ht="15" customHeight="1" x14ac:dyDescent="0.3">
      <c r="B29" s="159" t="s">
        <v>27</v>
      </c>
      <c r="C29" s="161">
        <v>130</v>
      </c>
      <c r="D29" s="162">
        <f>SUM(Tabla1343[[#This Row],[Columna1]:[Columna5]])</f>
        <v>1</v>
      </c>
      <c r="E29" s="157" t="s">
        <v>314</v>
      </c>
      <c r="F29" s="105"/>
      <c r="G29" s="163">
        <v>100</v>
      </c>
      <c r="H29" s="158">
        <f>+Tabla1347812[[#This Row],[Cantidad]]*Tabla1347812[[#This Row],[Precio Unitario en Pesos /   €]]</f>
        <v>13000</v>
      </c>
      <c r="I29" s="158">
        <f>+Tabla1347812[[#This Row],[Precio Total en Pesos]]/2</f>
        <v>6500</v>
      </c>
    </row>
    <row r="30" spans="2:9" ht="15" customHeight="1" x14ac:dyDescent="0.3">
      <c r="B30" s="159" t="s">
        <v>42</v>
      </c>
      <c r="C30" s="161">
        <v>11</v>
      </c>
      <c r="D30" s="162">
        <f>SUM(Tabla1343[[#This Row],[Columna1]:[Columna5]])</f>
        <v>130</v>
      </c>
      <c r="E30" s="157" t="s">
        <v>317</v>
      </c>
      <c r="F30" s="105"/>
      <c r="G30" s="163">
        <v>5000</v>
      </c>
      <c r="H30" s="158">
        <f>+Tabla1347812[[#This Row],[Cantidad]]*Tabla1347812[[#This Row],[Precio Unitario en Pesos /   €]]</f>
        <v>55000</v>
      </c>
      <c r="I30" s="158">
        <f>+Tabla1347812[[#This Row],[Precio Total en Pesos]]/2</f>
        <v>27500</v>
      </c>
    </row>
    <row r="31" spans="2:9" x14ac:dyDescent="0.3">
      <c r="B31" s="136" t="s">
        <v>192</v>
      </c>
      <c r="C31" s="137">
        <v>1</v>
      </c>
      <c r="D31" s="185">
        <f>SUM(Tabla1343[[#This Row],[Columna1]:[Columna5]])</f>
        <v>11</v>
      </c>
      <c r="E31" s="139" t="s">
        <v>315</v>
      </c>
      <c r="F31" s="146"/>
      <c r="G31" s="140">
        <v>0</v>
      </c>
      <c r="H31" s="141">
        <f>+Tabla1347812[[#This Row],[Cantidad]]*Tabla1347812[[#This Row],[Precio Unitario en Pesos /   €]]</f>
        <v>0</v>
      </c>
      <c r="I31" s="141">
        <f>+Tabla1347812[[#This Row],[Precio Total en Pesos]]/2</f>
        <v>0</v>
      </c>
    </row>
    <row r="32" spans="2:9" ht="15" customHeight="1" x14ac:dyDescent="0.3">
      <c r="B32" s="159" t="s">
        <v>294</v>
      </c>
      <c r="C32" s="161">
        <v>4</v>
      </c>
      <c r="D32" s="162">
        <f>SUM(Tabla1343[[#This Row],[Columna1]:[Columna5]])</f>
        <v>1</v>
      </c>
      <c r="E32" s="157" t="s">
        <v>314</v>
      </c>
      <c r="F32" s="105"/>
      <c r="G32" s="163">
        <v>115000</v>
      </c>
      <c r="H32" s="158">
        <f>+Tabla1347812[[#This Row],[Cantidad]]*Tabla1347812[[#This Row],[Precio Unitario en Pesos /   €]]</f>
        <v>460000</v>
      </c>
      <c r="I32" s="158">
        <f>+Tabla1347812[[#This Row],[Precio Total en Pesos]]/2</f>
        <v>230000</v>
      </c>
    </row>
    <row r="33" spans="2:9" ht="15" customHeight="1" x14ac:dyDescent="0.3">
      <c r="B33" s="159" t="s">
        <v>98</v>
      </c>
      <c r="C33" s="161">
        <v>6</v>
      </c>
      <c r="D33" s="162">
        <f>SUM(Tabla1343[[#This Row],[Columna1]:[Columna5]])</f>
        <v>4</v>
      </c>
      <c r="E33" s="157" t="s">
        <v>314</v>
      </c>
      <c r="F33" s="105"/>
      <c r="G33" s="163">
        <v>20000</v>
      </c>
      <c r="H33" s="158">
        <f>+Tabla1347812[[#This Row],[Cantidad]]*Tabla1347812[[#This Row],[Precio Unitario en Pesos /   €]]</f>
        <v>120000</v>
      </c>
      <c r="I33" s="158">
        <f>+Tabla1347812[[#This Row],[Precio Total en Pesos]]/2</f>
        <v>60000</v>
      </c>
    </row>
    <row r="34" spans="2:9" ht="15" customHeight="1" x14ac:dyDescent="0.3">
      <c r="B34" s="159" t="s">
        <v>95</v>
      </c>
      <c r="C34" s="161">
        <v>3</v>
      </c>
      <c r="D34" s="162">
        <f>SUM(Tabla1343[[#This Row],[Columna1]:[Columna5]])</f>
        <v>6</v>
      </c>
      <c r="E34" s="157" t="s">
        <v>314</v>
      </c>
      <c r="F34" s="105"/>
      <c r="G34" s="163">
        <v>25000</v>
      </c>
      <c r="H34" s="158">
        <f>+Tabla1347812[[#This Row],[Cantidad]]*Tabla1347812[[#This Row],[Precio Unitario en Pesos /   €]]</f>
        <v>75000</v>
      </c>
      <c r="I34" s="158">
        <f>+Tabla1347812[[#This Row],[Precio Total en Pesos]]/2</f>
        <v>37500</v>
      </c>
    </row>
    <row r="35" spans="2:9" ht="15" customHeight="1" x14ac:dyDescent="0.3">
      <c r="B35" s="159" t="s">
        <v>231</v>
      </c>
      <c r="C35" s="161">
        <v>12</v>
      </c>
      <c r="D35" s="162">
        <f>SUM(Tabla1343[[#This Row],[Columna1]:[Columna5]])</f>
        <v>3</v>
      </c>
      <c r="E35" s="157" t="s">
        <v>317</v>
      </c>
      <c r="F35" s="168"/>
      <c r="G35" s="163">
        <v>21000</v>
      </c>
      <c r="H35" s="158">
        <f>+Tabla1347812[[#This Row],[Cantidad]]*Tabla1347812[[#This Row],[Precio Unitario en Pesos /   €]]</f>
        <v>252000</v>
      </c>
      <c r="I35" s="158">
        <f>+Tabla1347812[[#This Row],[Precio Total en Pesos]]/2</f>
        <v>126000</v>
      </c>
    </row>
    <row r="36" spans="2:9" ht="15" customHeight="1" x14ac:dyDescent="0.3">
      <c r="B36" s="159" t="s">
        <v>295</v>
      </c>
      <c r="C36" s="161">
        <v>38</v>
      </c>
      <c r="D36" s="162">
        <f>SUM(Tabla1343[[#This Row],[Columna1]:[Columna5]])</f>
        <v>11</v>
      </c>
      <c r="E36" s="157" t="s">
        <v>317</v>
      </c>
      <c r="F36" s="168"/>
      <c r="G36" s="163">
        <v>48000</v>
      </c>
      <c r="H36" s="158">
        <f>+Tabla1347812[[#This Row],[Cantidad]]*Tabla1347812[[#This Row],[Precio Unitario en Pesos /   €]]</f>
        <v>1824000</v>
      </c>
      <c r="I36" s="158">
        <f>+Tabla1347812[[#This Row],[Precio Total en Pesos]]/2</f>
        <v>912000</v>
      </c>
    </row>
    <row r="37" spans="2:9" ht="15" customHeight="1" x14ac:dyDescent="0.3">
      <c r="B37" s="159" t="s">
        <v>226</v>
      </c>
      <c r="C37" s="161">
        <v>2</v>
      </c>
      <c r="D37" s="162">
        <f>SUM(Tabla1343[[#This Row],[Columna1]:[Columna5]])</f>
        <v>38</v>
      </c>
      <c r="E37" s="157" t="s">
        <v>317</v>
      </c>
      <c r="F37" s="168"/>
      <c r="G37" s="163">
        <v>12000</v>
      </c>
      <c r="H37" s="158">
        <f>+Tabla1347812[[#This Row],[Cantidad]]*Tabla1347812[[#This Row],[Precio Unitario en Pesos /   €]]</f>
        <v>24000</v>
      </c>
      <c r="I37" s="158">
        <f>+Tabla1347812[[#This Row],[Precio Total en Pesos]]/2</f>
        <v>12000</v>
      </c>
    </row>
    <row r="38" spans="2:9" ht="15" customHeight="1" x14ac:dyDescent="0.3">
      <c r="B38" s="159" t="s">
        <v>90</v>
      </c>
      <c r="C38" s="161">
        <v>10</v>
      </c>
      <c r="D38" s="162">
        <f>SUM(Tabla1343[[#This Row],[Columna1]:[Columna5]])</f>
        <v>2</v>
      </c>
      <c r="E38" s="157" t="s">
        <v>317</v>
      </c>
      <c r="F38" s="168"/>
      <c r="G38" s="163">
        <v>22000</v>
      </c>
      <c r="H38" s="158">
        <f>+Tabla1347812[[#This Row],[Cantidad]]*Tabla1347812[[#This Row],[Precio Unitario en Pesos /   €]]</f>
        <v>220000</v>
      </c>
      <c r="I38" s="158">
        <f>+Tabla1347812[[#This Row],[Precio Total en Pesos]]/2</f>
        <v>110000</v>
      </c>
    </row>
    <row r="39" spans="2:9" ht="15" customHeight="1" x14ac:dyDescent="0.3">
      <c r="B39" s="159" t="s">
        <v>97</v>
      </c>
      <c r="C39" s="161">
        <v>9</v>
      </c>
      <c r="D39" s="162">
        <f>SUM(Tabla1343[[#This Row],[Columna1]:[Columna5]])</f>
        <v>10</v>
      </c>
      <c r="E39" s="157" t="s">
        <v>314</v>
      </c>
      <c r="F39" s="105"/>
      <c r="G39" s="163">
        <v>20000</v>
      </c>
      <c r="H39" s="158">
        <f>+Tabla1347812[[#This Row],[Cantidad]]*Tabla1347812[[#This Row],[Precio Unitario en Pesos /   €]]</f>
        <v>180000</v>
      </c>
      <c r="I39" s="158">
        <f>+Tabla1347812[[#This Row],[Precio Total en Pesos]]/2</f>
        <v>90000</v>
      </c>
    </row>
    <row r="40" spans="2:9" ht="15" customHeight="1" x14ac:dyDescent="0.3">
      <c r="B40" s="136" t="s">
        <v>206</v>
      </c>
      <c r="C40" s="137">
        <v>2</v>
      </c>
      <c r="D40" s="185">
        <f>SUM(Tabla1343[[#This Row],[Columna1]:[Columna5]])</f>
        <v>9</v>
      </c>
      <c r="E40" s="139" t="s">
        <v>315</v>
      </c>
      <c r="F40" s="146"/>
      <c r="G40" s="140">
        <v>0</v>
      </c>
      <c r="H40" s="141">
        <f>+Tabla1347812[[#This Row],[Cantidad]]*Tabla1347812[[#This Row],[Precio Unitario en Pesos /   €]]</f>
        <v>0</v>
      </c>
      <c r="I40" s="141">
        <f>+Tabla1347812[[#This Row],[Precio Total en Pesos]]/2</f>
        <v>0</v>
      </c>
    </row>
    <row r="41" spans="2:9" ht="15" customHeight="1" x14ac:dyDescent="0.3">
      <c r="B41" s="159" t="s">
        <v>125</v>
      </c>
      <c r="C41" s="161">
        <v>4</v>
      </c>
      <c r="D41" s="162">
        <f>SUM(Tabla1343[[#This Row],[Columna1]:[Columna5]])</f>
        <v>2</v>
      </c>
      <c r="E41" s="157" t="s">
        <v>314</v>
      </c>
      <c r="F41" s="163"/>
      <c r="G41" s="163">
        <v>23587</v>
      </c>
      <c r="H41" s="158">
        <f>+Tabla1347812[[#This Row],[Cantidad]]*Tabla1347812[[#This Row],[Precio Unitario en Pesos /   €]]</f>
        <v>94348</v>
      </c>
      <c r="I41" s="158">
        <f>+Tabla1347812[[#This Row],[Precio Total en Pesos]]/2</f>
        <v>47174</v>
      </c>
    </row>
    <row r="42" spans="2:9" ht="15" customHeight="1" x14ac:dyDescent="0.3">
      <c r="B42" s="159" t="s">
        <v>249</v>
      </c>
      <c r="C42" s="161">
        <v>3</v>
      </c>
      <c r="D42" s="162">
        <f>SUM(Tabla1343[[#This Row],[Columna1]:[Columna5]])</f>
        <v>4</v>
      </c>
      <c r="E42" s="157" t="s">
        <v>314</v>
      </c>
      <c r="F42" s="163"/>
      <c r="G42" s="163">
        <v>42168</v>
      </c>
      <c r="H42" s="158">
        <f>+Tabla1347812[[#This Row],[Cantidad]]*Tabla1347812[[#This Row],[Precio Unitario en Pesos /   €]]</f>
        <v>126504</v>
      </c>
      <c r="I42" s="158">
        <f>+Tabla1347812[[#This Row],[Precio Total en Pesos]]/2</f>
        <v>63252</v>
      </c>
    </row>
    <row r="43" spans="2:9" ht="15" customHeight="1" x14ac:dyDescent="0.3">
      <c r="B43" s="159" t="s">
        <v>127</v>
      </c>
      <c r="C43" s="161">
        <v>34</v>
      </c>
      <c r="D43" s="162">
        <f>SUM(Tabla1343[[#This Row],[Columna1]:[Columna5]])</f>
        <v>2</v>
      </c>
      <c r="E43" s="157" t="s">
        <v>314</v>
      </c>
      <c r="F43" s="163"/>
      <c r="G43" s="163">
        <v>3000</v>
      </c>
      <c r="H43" s="158">
        <f>+Tabla1347812[[#This Row],[Cantidad]]*Tabla1347812[[#This Row],[Precio Unitario en Pesos /   €]]</f>
        <v>102000</v>
      </c>
      <c r="I43" s="158">
        <f>+Tabla1347812[[#This Row],[Precio Total en Pesos]]/2</f>
        <v>51000</v>
      </c>
    </row>
    <row r="44" spans="2:9" ht="15" customHeight="1" x14ac:dyDescent="0.3">
      <c r="B44" s="159" t="s">
        <v>244</v>
      </c>
      <c r="C44" s="161">
        <v>1</v>
      </c>
      <c r="D44" s="162">
        <f>SUM(Tabla1343[[#This Row],[Columna1]:[Columna5]])</f>
        <v>34</v>
      </c>
      <c r="E44" s="157" t="s">
        <v>313</v>
      </c>
      <c r="F44" s="105"/>
      <c r="G44" s="163">
        <v>8600</v>
      </c>
      <c r="H44" s="158">
        <f>+Tabla1347812[[#This Row],[Cantidad]]*Tabla1347812[[#This Row],[Precio Unitario en Pesos /   €]]</f>
        <v>8600</v>
      </c>
      <c r="I44" s="158">
        <f>+Tabla1347812[[#This Row],[Precio Total en Pesos]]/2</f>
        <v>4300</v>
      </c>
    </row>
    <row r="45" spans="2:9" ht="15" customHeight="1" x14ac:dyDescent="0.3">
      <c r="B45" s="159" t="s">
        <v>156</v>
      </c>
      <c r="C45" s="161">
        <v>9</v>
      </c>
      <c r="D45" s="162">
        <f>SUM(Tabla1343[[#This Row],[Columna1]:[Columna5]])</f>
        <v>1</v>
      </c>
      <c r="E45" s="157" t="s">
        <v>313</v>
      </c>
      <c r="F45" s="105"/>
      <c r="G45" s="163">
        <v>3000</v>
      </c>
      <c r="H45" s="158">
        <f>+Tabla1347812[[#This Row],[Cantidad]]*Tabla1347812[[#This Row],[Precio Unitario en Pesos /   €]]</f>
        <v>27000</v>
      </c>
      <c r="I45" s="158">
        <f>+Tabla1347812[[#This Row],[Precio Total en Pesos]]/2</f>
        <v>13500</v>
      </c>
    </row>
    <row r="46" spans="2:9" ht="15" customHeight="1" x14ac:dyDescent="0.3">
      <c r="B46" s="159" t="s">
        <v>147</v>
      </c>
      <c r="C46" s="161">
        <v>77</v>
      </c>
      <c r="D46" s="162">
        <f>SUM(Tabla1343[[#This Row],[Columna1]:[Columna5]])</f>
        <v>9</v>
      </c>
      <c r="E46" s="157" t="s">
        <v>313</v>
      </c>
      <c r="F46" s="105"/>
      <c r="G46" s="163">
        <v>320</v>
      </c>
      <c r="H46" s="158">
        <f>+Tabla1347812[[#This Row],[Cantidad]]*Tabla1347812[[#This Row],[Precio Unitario en Pesos /   €]]</f>
        <v>24640</v>
      </c>
      <c r="I46" s="158">
        <f>+Tabla1347812[[#This Row],[Precio Total en Pesos]]/2</f>
        <v>12320</v>
      </c>
    </row>
    <row r="47" spans="2:9" ht="15" customHeight="1" x14ac:dyDescent="0.3">
      <c r="B47" s="159" t="s">
        <v>133</v>
      </c>
      <c r="C47" s="161">
        <v>28</v>
      </c>
      <c r="D47" s="162">
        <f>SUM(Tabla1343[[#This Row],[Columna1]:[Columna5]])</f>
        <v>77</v>
      </c>
      <c r="E47" s="157" t="s">
        <v>313</v>
      </c>
      <c r="F47" s="105"/>
      <c r="G47" s="163">
        <v>422</v>
      </c>
      <c r="H47" s="158">
        <f>+Tabla1347812[[#This Row],[Cantidad]]*Tabla1347812[[#This Row],[Precio Unitario en Pesos /   €]]</f>
        <v>11816</v>
      </c>
      <c r="I47" s="158">
        <f>+Tabla1347812[[#This Row],[Precio Total en Pesos]]/2</f>
        <v>5908</v>
      </c>
    </row>
    <row r="48" spans="2:9" ht="15" customHeight="1" x14ac:dyDescent="0.3">
      <c r="B48" s="159" t="s">
        <v>134</v>
      </c>
      <c r="C48" s="161">
        <v>17</v>
      </c>
      <c r="D48" s="162">
        <f>SUM(Tabla1343[[#This Row],[Columna1]:[Columna5]])</f>
        <v>28</v>
      </c>
      <c r="E48" s="157" t="s">
        <v>313</v>
      </c>
      <c r="F48" s="105"/>
      <c r="G48" s="163">
        <v>844</v>
      </c>
      <c r="H48" s="158">
        <f>+Tabla1347812[[#This Row],[Cantidad]]*Tabla1347812[[#This Row],[Precio Unitario en Pesos /   €]]</f>
        <v>14348</v>
      </c>
      <c r="I48" s="158">
        <f>+Tabla1347812[[#This Row],[Precio Total en Pesos]]/2</f>
        <v>7174</v>
      </c>
    </row>
    <row r="49" spans="2:9" ht="15" customHeight="1" x14ac:dyDescent="0.3">
      <c r="B49" s="164" t="s">
        <v>135</v>
      </c>
      <c r="C49" s="165">
        <v>27</v>
      </c>
      <c r="D49" s="166">
        <f>SUM(Tabla1343[[#This Row],[Columna1]:[Columna5]])</f>
        <v>17</v>
      </c>
      <c r="E49" s="157" t="s">
        <v>313</v>
      </c>
      <c r="F49" s="105"/>
      <c r="G49" s="163">
        <v>1266</v>
      </c>
      <c r="H49" s="158">
        <f>+Tabla1347812[[#This Row],[Cantidad]]*Tabla1347812[[#This Row],[Precio Unitario en Pesos /   €]]</f>
        <v>34182</v>
      </c>
      <c r="I49" s="158">
        <f>+Tabla1347812[[#This Row],[Precio Total en Pesos]]/2</f>
        <v>17091</v>
      </c>
    </row>
    <row r="50" spans="2:9" ht="15" customHeight="1" x14ac:dyDescent="0.3">
      <c r="B50" s="164" t="s">
        <v>136</v>
      </c>
      <c r="C50" s="165">
        <v>36</v>
      </c>
      <c r="D50" s="166">
        <f>SUM(Tabla1343[[#This Row],[Columna1]:[Columna5]])</f>
        <v>27</v>
      </c>
      <c r="E50" s="157" t="s">
        <v>313</v>
      </c>
      <c r="F50" s="105"/>
      <c r="G50" s="163">
        <v>1688</v>
      </c>
      <c r="H50" s="158">
        <f>+Tabla1347812[[#This Row],[Cantidad]]*Tabla1347812[[#This Row],[Precio Unitario en Pesos /   €]]</f>
        <v>60768</v>
      </c>
      <c r="I50" s="158">
        <f>+Tabla1347812[[#This Row],[Precio Total en Pesos]]/2</f>
        <v>30384</v>
      </c>
    </row>
    <row r="51" spans="2:9" ht="15" customHeight="1" x14ac:dyDescent="0.3">
      <c r="B51" s="159" t="s">
        <v>204</v>
      </c>
      <c r="C51" s="161">
        <v>56</v>
      </c>
      <c r="D51" s="162">
        <f>SUM(Tabla1343[[#This Row],[Columna1]:[Columna5]])</f>
        <v>36</v>
      </c>
      <c r="E51" s="157" t="s">
        <v>313</v>
      </c>
      <c r="F51" s="105"/>
      <c r="G51" s="163">
        <v>600</v>
      </c>
      <c r="H51" s="158">
        <f>+Tabla1347812[[#This Row],[Cantidad]]*Tabla1347812[[#This Row],[Precio Unitario en Pesos /   €]]</f>
        <v>33600</v>
      </c>
      <c r="I51" s="158">
        <f>+Tabla1347812[[#This Row],[Precio Total en Pesos]]/2</f>
        <v>16800</v>
      </c>
    </row>
    <row r="52" spans="2:9" ht="15" customHeight="1" x14ac:dyDescent="0.3">
      <c r="B52" s="159" t="s">
        <v>15</v>
      </c>
      <c r="C52" s="161">
        <v>403</v>
      </c>
      <c r="D52" s="162">
        <v>403</v>
      </c>
      <c r="E52" s="157" t="s">
        <v>314</v>
      </c>
      <c r="F52" s="163"/>
      <c r="G52" s="163">
        <v>5065</v>
      </c>
      <c r="H52" s="158">
        <f>+Tabla1347812[[#This Row],[Cantidad]]*Tabla1347812[[#This Row],[Precio Unitario en Pesos /   €]]</f>
        <v>2041195</v>
      </c>
      <c r="I52" s="158">
        <f>+Tabla1347812[[#This Row],[Precio Total en Pesos]]/2</f>
        <v>1020597.5</v>
      </c>
    </row>
    <row r="53" spans="2:9" ht="15" customHeight="1" x14ac:dyDescent="0.3">
      <c r="B53" s="159" t="s">
        <v>252</v>
      </c>
      <c r="C53" s="161">
        <v>16</v>
      </c>
      <c r="D53" s="162">
        <v>16</v>
      </c>
      <c r="E53" s="157" t="s">
        <v>314</v>
      </c>
      <c r="F53" s="163"/>
      <c r="G53" s="163">
        <v>2500</v>
      </c>
      <c r="H53" s="158">
        <f>+Tabla1347812[[#This Row],[Cantidad]]*Tabla1347812[[#This Row],[Precio Unitario en Pesos /   €]]</f>
        <v>40000</v>
      </c>
      <c r="I53" s="158">
        <f>+Tabla1347812[[#This Row],[Precio Total en Pesos]]/2</f>
        <v>20000</v>
      </c>
    </row>
    <row r="54" spans="2:9" ht="15" customHeight="1" x14ac:dyDescent="0.3">
      <c r="B54" s="159" t="s">
        <v>140</v>
      </c>
      <c r="C54" s="161">
        <v>34</v>
      </c>
      <c r="D54" s="162">
        <f>SUM(Tabla1343[[#This Row],[Columna1]:[Columna5]])</f>
        <v>0</v>
      </c>
      <c r="E54" s="157" t="s">
        <v>314</v>
      </c>
      <c r="F54" s="105"/>
      <c r="G54" s="163">
        <v>5065</v>
      </c>
      <c r="H54" s="158">
        <f>+Tabla1347812[[#This Row],[Cantidad]]*Tabla1347812[[#This Row],[Precio Unitario en Pesos /   €]]</f>
        <v>172210</v>
      </c>
      <c r="I54" s="158">
        <f>+Tabla1347812[[#This Row],[Precio Total en Pesos]]/2</f>
        <v>86105</v>
      </c>
    </row>
    <row r="55" spans="2:9" ht="15" customHeight="1" x14ac:dyDescent="0.3">
      <c r="B55" s="159" t="s">
        <v>121</v>
      </c>
      <c r="C55" s="161">
        <v>5</v>
      </c>
      <c r="D55" s="162">
        <f>SUM(Tabla1343[[#This Row],[Columna1]:[Columna5]])</f>
        <v>34</v>
      </c>
      <c r="E55" s="157" t="s">
        <v>313</v>
      </c>
      <c r="F55" s="105"/>
      <c r="G55" s="163">
        <v>2800</v>
      </c>
      <c r="H55" s="158">
        <f>+Tabla1347812[[#This Row],[Cantidad]]*Tabla1347812[[#This Row],[Precio Unitario en Pesos /   €]]</f>
        <v>14000</v>
      </c>
      <c r="I55" s="158">
        <f>+Tabla1347812[[#This Row],[Precio Total en Pesos]]/2</f>
        <v>7000</v>
      </c>
    </row>
    <row r="56" spans="2:9" ht="15" customHeight="1" x14ac:dyDescent="0.3">
      <c r="B56" s="159" t="s">
        <v>74</v>
      </c>
      <c r="C56" s="161">
        <v>58</v>
      </c>
      <c r="D56" s="162">
        <f>SUM(Tabla1343[[#This Row],[Columna1]:[Columna5]])</f>
        <v>5</v>
      </c>
      <c r="E56" s="157" t="s">
        <v>314</v>
      </c>
      <c r="F56" s="105"/>
      <c r="G56" s="163">
        <v>30000</v>
      </c>
      <c r="H56" s="158">
        <f>+Tabla1347812[[#This Row],[Cantidad]]*Tabla1347812[[#This Row],[Precio Unitario en Pesos /   €]]</f>
        <v>1740000</v>
      </c>
      <c r="I56" s="158">
        <f>+Tabla1347812[[#This Row],[Precio Total en Pesos]]/2</f>
        <v>870000</v>
      </c>
    </row>
    <row r="57" spans="2:9" ht="15" customHeight="1" x14ac:dyDescent="0.3">
      <c r="B57" s="159" t="s">
        <v>88</v>
      </c>
      <c r="C57" s="161">
        <v>10</v>
      </c>
      <c r="D57" s="162">
        <f>SUM(Tabla1343[[#This Row],[Columna1]:[Columna5]])</f>
        <v>58</v>
      </c>
      <c r="E57" s="157" t="s">
        <v>314</v>
      </c>
      <c r="F57" s="105"/>
      <c r="G57" s="163">
        <f>36016-11326</f>
        <v>24690</v>
      </c>
      <c r="H57" s="158">
        <f>+Tabla1347812[[#This Row],[Cantidad]]*Tabla1347812[[#This Row],[Precio Unitario en Pesos /   €]]</f>
        <v>246900</v>
      </c>
      <c r="I57" s="158">
        <f>+Tabla1347812[[#This Row],[Precio Total en Pesos]]/2</f>
        <v>123450</v>
      </c>
    </row>
    <row r="58" spans="2:9" ht="15" customHeight="1" x14ac:dyDescent="0.3">
      <c r="B58" s="164" t="s">
        <v>190</v>
      </c>
      <c r="C58" s="165">
        <v>5</v>
      </c>
      <c r="D58" s="166">
        <f>SUM(Tabla1343[[#This Row],[Columna1]:[Columna5]])</f>
        <v>10</v>
      </c>
      <c r="E58" s="167" t="s">
        <v>313</v>
      </c>
      <c r="F58" s="105"/>
      <c r="G58" s="163">
        <v>2990</v>
      </c>
      <c r="H58" s="158">
        <f>+Tabla1347812[[#This Row],[Cantidad]]*Tabla1347812[[#This Row],[Precio Unitario en Pesos /   €]]</f>
        <v>14950</v>
      </c>
      <c r="I58" s="158">
        <f>+Tabla1347812[[#This Row],[Precio Total en Pesos]]/2</f>
        <v>7475</v>
      </c>
    </row>
    <row r="59" spans="2:9" ht="15" customHeight="1" x14ac:dyDescent="0.3">
      <c r="B59" s="164" t="s">
        <v>112</v>
      </c>
      <c r="C59" s="165">
        <v>20</v>
      </c>
      <c r="D59" s="166">
        <f>SUM(Tabla1343[[#This Row],[Columna1]:[Columna5]])</f>
        <v>5</v>
      </c>
      <c r="E59" s="167" t="s">
        <v>314</v>
      </c>
      <c r="F59" s="105"/>
      <c r="G59" s="163">
        <v>27000</v>
      </c>
      <c r="H59" s="158">
        <f>+Tabla1347812[[#This Row],[Cantidad]]*Tabla1347812[[#This Row],[Precio Unitario en Pesos /   €]]</f>
        <v>540000</v>
      </c>
      <c r="I59" s="158">
        <f>+Tabla1347812[[#This Row],[Precio Total en Pesos]]/2</f>
        <v>270000</v>
      </c>
    </row>
    <row r="60" spans="2:9" ht="15" customHeight="1" x14ac:dyDescent="0.3">
      <c r="B60" s="159" t="s">
        <v>153</v>
      </c>
      <c r="C60" s="161">
        <v>14</v>
      </c>
      <c r="D60" s="162">
        <f>SUM(Tabla1343[[#This Row],[Columna1]:[Columna5]])</f>
        <v>20</v>
      </c>
      <c r="E60" s="157" t="s">
        <v>313</v>
      </c>
      <c r="F60" s="105"/>
      <c r="G60" s="163">
        <v>1800</v>
      </c>
      <c r="H60" s="158">
        <f>+Tabla1347812[[#This Row],[Cantidad]]*Tabla1347812[[#This Row],[Precio Unitario en Pesos /   €]]</f>
        <v>25200</v>
      </c>
      <c r="I60" s="158">
        <f>+Tabla1347812[[#This Row],[Precio Total en Pesos]]/2</f>
        <v>12600</v>
      </c>
    </row>
    <row r="61" spans="2:9" ht="15" customHeight="1" x14ac:dyDescent="0.3">
      <c r="B61" s="159" t="s">
        <v>150</v>
      </c>
      <c r="C61" s="161">
        <v>16</v>
      </c>
      <c r="D61" s="162">
        <f>SUM(Tabla1343[[#This Row],[Columna1]:[Columna5]])</f>
        <v>14</v>
      </c>
      <c r="E61" s="157" t="s">
        <v>317</v>
      </c>
      <c r="F61" s="105"/>
      <c r="G61" s="163">
        <v>2160</v>
      </c>
      <c r="H61" s="158">
        <f>+Tabla1347812[[#This Row],[Cantidad]]*Tabla1347812[[#This Row],[Precio Unitario en Pesos /   €]]</f>
        <v>34560</v>
      </c>
      <c r="I61" s="158">
        <f>+Tabla1347812[[#This Row],[Precio Total en Pesos]]/2</f>
        <v>17280</v>
      </c>
    </row>
    <row r="62" spans="2:9" ht="15" customHeight="1" x14ac:dyDescent="0.3">
      <c r="B62" s="159" t="s">
        <v>151</v>
      </c>
      <c r="C62" s="161">
        <v>8</v>
      </c>
      <c r="D62" s="162">
        <f>SUM(Tabla1343[[#This Row],[Columna1]:[Columna5]])</f>
        <v>16</v>
      </c>
      <c r="E62" s="157" t="s">
        <v>317</v>
      </c>
      <c r="F62" s="105"/>
      <c r="G62" s="163">
        <v>2200</v>
      </c>
      <c r="H62" s="158">
        <f>+Tabla1347812[[#This Row],[Cantidad]]*Tabla1347812[[#This Row],[Precio Unitario en Pesos /   €]]</f>
        <v>17600</v>
      </c>
      <c r="I62" s="158">
        <f>+Tabla1347812[[#This Row],[Precio Total en Pesos]]/2</f>
        <v>8800</v>
      </c>
    </row>
    <row r="63" spans="2:9" ht="15" customHeight="1" x14ac:dyDescent="0.3">
      <c r="B63" s="159" t="s">
        <v>152</v>
      </c>
      <c r="C63" s="161">
        <v>6</v>
      </c>
      <c r="D63" s="162">
        <f>SUM(Tabla1343[[#This Row],[Columna1]:[Columna5]])</f>
        <v>8</v>
      </c>
      <c r="E63" s="157" t="s">
        <v>317</v>
      </c>
      <c r="F63" s="105"/>
      <c r="G63" s="163">
        <v>2350</v>
      </c>
      <c r="H63" s="158">
        <f>+Tabla1347812[[#This Row],[Cantidad]]*Tabla1347812[[#This Row],[Precio Unitario en Pesos /   €]]</f>
        <v>14100</v>
      </c>
      <c r="I63" s="158">
        <f>+Tabla1347812[[#This Row],[Precio Total en Pesos]]/2</f>
        <v>7050</v>
      </c>
    </row>
    <row r="64" spans="2:9" ht="15" customHeight="1" x14ac:dyDescent="0.3">
      <c r="B64" s="159" t="s">
        <v>246</v>
      </c>
      <c r="C64" s="161">
        <v>1</v>
      </c>
      <c r="D64" s="162">
        <f>SUM(Tabla1343[[#This Row],[Columna1]:[Columna5]])</f>
        <v>6</v>
      </c>
      <c r="E64" s="157" t="s">
        <v>314</v>
      </c>
      <c r="F64" s="105"/>
      <c r="G64" s="163">
        <f>1300*10</f>
        <v>13000</v>
      </c>
      <c r="H64" s="158">
        <f>+Tabla1347812[[#This Row],[Cantidad]]*Tabla1347812[[#This Row],[Precio Unitario en Pesos /   €]]</f>
        <v>13000</v>
      </c>
      <c r="I64" s="158">
        <f>+Tabla1347812[[#This Row],[Precio Total en Pesos]]/2</f>
        <v>6500</v>
      </c>
    </row>
    <row r="65" spans="2:9" ht="15" customHeight="1" x14ac:dyDescent="0.3">
      <c r="B65" s="159" t="s">
        <v>245</v>
      </c>
      <c r="C65" s="161">
        <v>1</v>
      </c>
      <c r="D65" s="162">
        <f>SUM(Tabla1343[[#This Row],[Columna1]:[Columna5]])</f>
        <v>1</v>
      </c>
      <c r="E65" s="157" t="s">
        <v>314</v>
      </c>
      <c r="F65" s="105"/>
      <c r="G65" s="163">
        <f>1300*7</f>
        <v>9100</v>
      </c>
      <c r="H65" s="158">
        <f>+Tabla1347812[[#This Row],[Cantidad]]*Tabla1347812[[#This Row],[Precio Unitario en Pesos /   €]]</f>
        <v>9100</v>
      </c>
      <c r="I65" s="158">
        <f>+Tabla1347812[[#This Row],[Precio Total en Pesos]]/2</f>
        <v>4550</v>
      </c>
    </row>
    <row r="66" spans="2:9" ht="15" customHeight="1" x14ac:dyDescent="0.3">
      <c r="B66" s="159" t="s">
        <v>183</v>
      </c>
      <c r="C66" s="161">
        <v>1</v>
      </c>
      <c r="D66" s="162">
        <f>SUM(Tabla1343[[#This Row],[Columna1]:[Columna5]])</f>
        <v>1</v>
      </c>
      <c r="E66" s="157" t="s">
        <v>314</v>
      </c>
      <c r="F66" s="105"/>
      <c r="G66" s="163">
        <f>12*4*1300</f>
        <v>62400</v>
      </c>
      <c r="H66" s="158">
        <f>+Tabla1347812[[#This Row],[Cantidad]]*Tabla1347812[[#This Row],[Precio Unitario en Pesos /   €]]</f>
        <v>62400</v>
      </c>
      <c r="I66" s="158">
        <f>+Tabla1347812[[#This Row],[Precio Total en Pesos]]/2</f>
        <v>31200</v>
      </c>
    </row>
    <row r="67" spans="2:9" ht="15" customHeight="1" x14ac:dyDescent="0.3">
      <c r="B67" s="159" t="s">
        <v>47</v>
      </c>
      <c r="C67" s="161">
        <v>4</v>
      </c>
      <c r="D67" s="162">
        <f>SUM(Tabla1343[[#This Row],[Columna1]:[Columna5]])</f>
        <v>0</v>
      </c>
      <c r="E67" s="157" t="s">
        <v>314</v>
      </c>
      <c r="F67" s="105"/>
      <c r="G67" s="163">
        <f>2100*8</f>
        <v>16800</v>
      </c>
      <c r="H67" s="158">
        <f>+Tabla1347812[[#This Row],[Cantidad]]*Tabla1347812[[#This Row],[Precio Unitario en Pesos /   €]]</f>
        <v>67200</v>
      </c>
      <c r="I67" s="158">
        <f>+Tabla1347812[[#This Row],[Precio Total en Pesos]]/2</f>
        <v>33600</v>
      </c>
    </row>
    <row r="68" spans="2:9" ht="15" customHeight="1" x14ac:dyDescent="0.3">
      <c r="B68" s="164" t="s">
        <v>277</v>
      </c>
      <c r="C68" s="165">
        <v>4</v>
      </c>
      <c r="D68" s="166">
        <f>SUM(Tabla1343[[#This Row],[Columna1]:[Columna5]])</f>
        <v>1</v>
      </c>
      <c r="E68" s="157" t="s">
        <v>314</v>
      </c>
      <c r="F68" s="105"/>
      <c r="G68" s="163">
        <v>108000</v>
      </c>
      <c r="H68" s="158">
        <f>+Tabla1347812[[#This Row],[Cantidad]]*Tabla1347812[[#This Row],[Precio Unitario en Pesos /   €]]</f>
        <v>432000</v>
      </c>
      <c r="I68" s="158">
        <f>+Tabla1347812[[#This Row],[Precio Total en Pesos]]/2</f>
        <v>216000</v>
      </c>
    </row>
    <row r="69" spans="2:9" ht="15" customHeight="1" x14ac:dyDescent="0.3">
      <c r="B69" s="159" t="s">
        <v>276</v>
      </c>
      <c r="C69" s="161">
        <v>20</v>
      </c>
      <c r="D69" s="162">
        <f>SUM(Tabla1343[[#This Row],[Columna1]:[Columna5]])</f>
        <v>4</v>
      </c>
      <c r="E69" s="157" t="s">
        <v>314</v>
      </c>
      <c r="F69" s="105"/>
      <c r="G69" s="163">
        <f>1300*12</f>
        <v>15600</v>
      </c>
      <c r="H69" s="158">
        <f>+Tabla1347812[[#This Row],[Cantidad]]*Tabla1347812[[#This Row],[Precio Unitario en Pesos /   €]]</f>
        <v>312000</v>
      </c>
      <c r="I69" s="158">
        <f>+Tabla1347812[[#This Row],[Precio Total en Pesos]]/2</f>
        <v>156000</v>
      </c>
    </row>
    <row r="70" spans="2:9" ht="15" customHeight="1" x14ac:dyDescent="0.3">
      <c r="B70" s="159" t="s">
        <v>193</v>
      </c>
      <c r="C70" s="161">
        <v>3</v>
      </c>
      <c r="D70" s="162">
        <f>SUM(Tabla1343[[#This Row],[Columna1]:[Columna5]])</f>
        <v>4</v>
      </c>
      <c r="E70" s="157" t="s">
        <v>313</v>
      </c>
      <c r="F70" s="105"/>
      <c r="G70" s="163">
        <v>3100</v>
      </c>
      <c r="H70" s="158">
        <f>+Tabla1347812[[#This Row],[Cantidad]]*Tabla1347812[[#This Row],[Precio Unitario en Pesos /   €]]</f>
        <v>9300</v>
      </c>
      <c r="I70" s="158">
        <f>+Tabla1347812[[#This Row],[Precio Total en Pesos]]/2</f>
        <v>4650</v>
      </c>
    </row>
    <row r="71" spans="2:9" ht="15" customHeight="1" x14ac:dyDescent="0.3">
      <c r="B71" s="136" t="s">
        <v>191</v>
      </c>
      <c r="C71" s="137">
        <v>1</v>
      </c>
      <c r="D71" s="185">
        <f>SUM(Tabla1343[[#This Row],[Columna1]:[Columna5]])</f>
        <v>20</v>
      </c>
      <c r="E71" s="139" t="s">
        <v>315</v>
      </c>
      <c r="F71" s="146"/>
      <c r="G71" s="140">
        <v>0</v>
      </c>
      <c r="H71" s="141">
        <f>+Tabla1347812[[#This Row],[Cantidad]]*Tabla1347812[[#This Row],[Precio Unitario en Pesos /   €]]</f>
        <v>0</v>
      </c>
      <c r="I71" s="141">
        <f>+Tabla1347812[[#This Row],[Precio Total en Pesos]]/2</f>
        <v>0</v>
      </c>
    </row>
    <row r="72" spans="2:9" ht="15" customHeight="1" x14ac:dyDescent="0.3">
      <c r="B72" s="159" t="s">
        <v>176</v>
      </c>
      <c r="C72" s="161">
        <v>3</v>
      </c>
      <c r="D72" s="162">
        <f>SUM(Tabla1343[[#This Row],[Columna1]:[Columna5]])</f>
        <v>3</v>
      </c>
      <c r="E72" s="157" t="s">
        <v>313</v>
      </c>
      <c r="F72" s="105"/>
      <c r="G72" s="163">
        <v>900</v>
      </c>
      <c r="H72" s="158">
        <f>+Tabla1347812[[#This Row],[Cantidad]]*Tabla1347812[[#This Row],[Precio Unitario en Pesos /   €]]</f>
        <v>2700</v>
      </c>
      <c r="I72" s="158">
        <f>+Tabla1347812[[#This Row],[Precio Total en Pesos]]/2</f>
        <v>1350</v>
      </c>
    </row>
    <row r="73" spans="2:9" ht="15" customHeight="1" x14ac:dyDescent="0.3">
      <c r="B73" s="159" t="s">
        <v>161</v>
      </c>
      <c r="C73" s="161">
        <v>36</v>
      </c>
      <c r="D73" s="162">
        <f>SUM(Tabla1343[[#This Row],[Columna1]:[Columna5]])</f>
        <v>1</v>
      </c>
      <c r="E73" s="157" t="s">
        <v>313</v>
      </c>
      <c r="F73" s="105"/>
      <c r="G73" s="163">
        <v>3000</v>
      </c>
      <c r="H73" s="158">
        <f>+Tabla1347812[[#This Row],[Cantidad]]*Tabla1347812[[#This Row],[Precio Unitario en Pesos /   €]]</f>
        <v>108000</v>
      </c>
      <c r="I73" s="158">
        <f>+Tabla1347812[[#This Row],[Precio Total en Pesos]]/2</f>
        <v>54000</v>
      </c>
    </row>
    <row r="74" spans="2:9" ht="15" customHeight="1" x14ac:dyDescent="0.3">
      <c r="B74" s="159" t="s">
        <v>162</v>
      </c>
      <c r="C74" s="161">
        <v>27</v>
      </c>
      <c r="D74" s="162">
        <f>SUM(Tabla1343[[#This Row],[Columna1]:[Columna5]])</f>
        <v>3</v>
      </c>
      <c r="E74" s="157" t="s">
        <v>313</v>
      </c>
      <c r="F74" s="105"/>
      <c r="G74" s="163">
        <v>3000</v>
      </c>
      <c r="H74" s="158">
        <f>+Tabla1347812[[#This Row],[Cantidad]]*Tabla1347812[[#This Row],[Precio Unitario en Pesos /   €]]</f>
        <v>81000</v>
      </c>
      <c r="I74" s="158">
        <f>+Tabla1347812[[#This Row],[Precio Total en Pesos]]/2</f>
        <v>40500</v>
      </c>
    </row>
    <row r="75" spans="2:9" ht="15" customHeight="1" x14ac:dyDescent="0.3">
      <c r="B75" s="164" t="s">
        <v>177</v>
      </c>
      <c r="C75" s="165">
        <v>113</v>
      </c>
      <c r="D75" s="166">
        <f>SUM(Tabla1343[[#This Row],[Columna1]:[Columna5]])</f>
        <v>36</v>
      </c>
      <c r="E75" s="167" t="s">
        <v>313</v>
      </c>
      <c r="F75" s="105"/>
      <c r="G75" s="163">
        <v>3500</v>
      </c>
      <c r="H75" s="158">
        <f>+Tabla1347812[[#This Row],[Cantidad]]*Tabla1347812[[#This Row],[Precio Unitario en Pesos /   €]]</f>
        <v>395500</v>
      </c>
      <c r="I75" s="158">
        <f>+Tabla1347812[[#This Row],[Precio Total en Pesos]]/2</f>
        <v>197750</v>
      </c>
    </row>
    <row r="76" spans="2:9" ht="15" customHeight="1" x14ac:dyDescent="0.3">
      <c r="B76" s="159" t="s">
        <v>142</v>
      </c>
      <c r="C76" s="161">
        <v>18</v>
      </c>
      <c r="D76" s="162">
        <f>SUM(Tabla1343[[#This Row],[Columna1]:[Columna5]])</f>
        <v>27</v>
      </c>
      <c r="E76" s="157" t="s">
        <v>313</v>
      </c>
      <c r="F76" s="163"/>
      <c r="G76" s="163">
        <v>2500</v>
      </c>
      <c r="H76" s="158">
        <f>+Tabla1347812[[#This Row],[Cantidad]]*Tabla1347812[[#This Row],[Precio Unitario en Pesos /   €]]</f>
        <v>45000</v>
      </c>
      <c r="I76" s="158">
        <f>+Tabla1347812[[#This Row],[Precio Total en Pesos]]/2</f>
        <v>22500</v>
      </c>
    </row>
    <row r="77" spans="2:9" ht="15" customHeight="1" x14ac:dyDescent="0.3">
      <c r="B77" s="159" t="s">
        <v>209</v>
      </c>
      <c r="C77" s="161">
        <v>10</v>
      </c>
      <c r="D77" s="162">
        <f>SUM(Tabla1343[[#This Row],[Columna1]:[Columna5]])</f>
        <v>113</v>
      </c>
      <c r="E77" s="157" t="s">
        <v>313</v>
      </c>
      <c r="F77" s="163"/>
      <c r="G77" s="163">
        <v>22011</v>
      </c>
      <c r="H77" s="158">
        <f>+Tabla1347812[[#This Row],[Cantidad]]*Tabla1347812[[#This Row],[Precio Unitario en Pesos /   €]]</f>
        <v>220110</v>
      </c>
      <c r="I77" s="158">
        <f>+Tabla1347812[[#This Row],[Precio Total en Pesos]]/2</f>
        <v>110055</v>
      </c>
    </row>
    <row r="78" spans="2:9" ht="15" customHeight="1" x14ac:dyDescent="0.3">
      <c r="B78" s="159" t="s">
        <v>75</v>
      </c>
      <c r="C78" s="161">
        <f>42+12</f>
        <v>54</v>
      </c>
      <c r="D78" s="162">
        <f>SUM(Tabla1343[[#This Row],[Columna1]:[Columna5]])</f>
        <v>18</v>
      </c>
      <c r="E78" s="157" t="s">
        <v>317</v>
      </c>
      <c r="F78" s="105"/>
      <c r="G78" s="163">
        <v>1800</v>
      </c>
      <c r="H78" s="158">
        <f>+Tabla1347812[[#This Row],[Cantidad]]*Tabla1347812[[#This Row],[Precio Unitario en Pesos /   €]]</f>
        <v>97200</v>
      </c>
      <c r="I78" s="158">
        <f>+Tabla1347812[[#This Row],[Precio Total en Pesos]]/2</f>
        <v>48600</v>
      </c>
    </row>
    <row r="79" spans="2:9" ht="15" customHeight="1" x14ac:dyDescent="0.3">
      <c r="B79" s="159" t="s">
        <v>120</v>
      </c>
      <c r="C79" s="161">
        <f>2+1+15</f>
        <v>18</v>
      </c>
      <c r="D79" s="162">
        <f>SUM(Tabla1343[[#This Row],[Columna1]:[Columna5]])</f>
        <v>10</v>
      </c>
      <c r="E79" s="157" t="s">
        <v>317</v>
      </c>
      <c r="F79" s="105"/>
      <c r="G79" s="163">
        <v>1800</v>
      </c>
      <c r="H79" s="158">
        <f>+Tabla1347812[[#This Row],[Cantidad]]*Tabla1347812[[#This Row],[Precio Unitario en Pesos /   €]]</f>
        <v>32400</v>
      </c>
      <c r="I79" s="158">
        <f>+Tabla1347812[[#This Row],[Precio Total en Pesos]]/2</f>
        <v>16200</v>
      </c>
    </row>
    <row r="80" spans="2:9" ht="15" customHeight="1" x14ac:dyDescent="0.3">
      <c r="B80" s="159" t="s">
        <v>76</v>
      </c>
      <c r="C80" s="161">
        <v>30</v>
      </c>
      <c r="D80" s="162">
        <f>SUM(Tabla1343[[#This Row],[Columna1]:[Columna5]])</f>
        <v>54</v>
      </c>
      <c r="E80" s="157" t="s">
        <v>317</v>
      </c>
      <c r="F80" s="105"/>
      <c r="G80" s="163">
        <v>3200</v>
      </c>
      <c r="H80" s="158">
        <f>+Tabla1347812[[#This Row],[Cantidad]]*Tabla1347812[[#This Row],[Precio Unitario en Pesos /   €]]</f>
        <v>96000</v>
      </c>
      <c r="I80" s="158">
        <f>+Tabla1347812[[#This Row],[Precio Total en Pesos]]/2</f>
        <v>48000</v>
      </c>
    </row>
    <row r="81" spans="2:9" ht="15" customHeight="1" x14ac:dyDescent="0.3">
      <c r="B81" s="159" t="s">
        <v>40</v>
      </c>
      <c r="C81" s="161">
        <v>2</v>
      </c>
      <c r="D81" s="162">
        <f>SUM(Tabla1343[[#This Row],[Columna1]:[Columna5]])</f>
        <v>18</v>
      </c>
      <c r="E81" s="157" t="s">
        <v>317</v>
      </c>
      <c r="F81" s="105"/>
      <c r="G81" s="163">
        <f>1800*2</f>
        <v>3600</v>
      </c>
      <c r="H81" s="158">
        <f>+Tabla1347812[[#This Row],[Cantidad]]*Tabla1347812[[#This Row],[Precio Unitario en Pesos /   €]]</f>
        <v>7200</v>
      </c>
      <c r="I81" s="158">
        <f>+Tabla1347812[[#This Row],[Precio Total en Pesos]]/2</f>
        <v>3600</v>
      </c>
    </row>
    <row r="82" spans="2:9" ht="15" customHeight="1" x14ac:dyDescent="0.3">
      <c r="B82" s="159" t="s">
        <v>39</v>
      </c>
      <c r="C82" s="161">
        <v>3</v>
      </c>
      <c r="D82" s="162">
        <f>SUM(Tabla1343[[#This Row],[Columna1]:[Columna5]])</f>
        <v>13</v>
      </c>
      <c r="E82" s="157" t="s">
        <v>317</v>
      </c>
      <c r="F82" s="105"/>
      <c r="G82" s="163">
        <v>3600</v>
      </c>
      <c r="H82" s="158">
        <f>+Tabla1347812[[#This Row],[Cantidad]]*Tabla1347812[[#This Row],[Precio Unitario en Pesos /   €]]</f>
        <v>10800</v>
      </c>
      <c r="I82" s="158">
        <f>+Tabla1347812[[#This Row],[Precio Total en Pesos]]/2</f>
        <v>5400</v>
      </c>
    </row>
    <row r="83" spans="2:9" ht="15" customHeight="1" x14ac:dyDescent="0.3">
      <c r="B83" s="159" t="s">
        <v>283</v>
      </c>
      <c r="C83" s="161">
        <v>8</v>
      </c>
      <c r="D83" s="162">
        <f>SUM(Tabla1343[[#This Row],[Columna1]:[Columna5]])</f>
        <v>2</v>
      </c>
      <c r="E83" s="157" t="s">
        <v>314</v>
      </c>
      <c r="F83" s="163"/>
      <c r="G83" s="163">
        <v>2500</v>
      </c>
      <c r="H83" s="158">
        <f>+Tabla1347812[[#This Row],[Cantidad]]*Tabla1347812[[#This Row],[Precio Unitario en Pesos /   €]]</f>
        <v>20000</v>
      </c>
      <c r="I83" s="158">
        <f>+Tabla1347812[[#This Row],[Precio Total en Pesos]]/2</f>
        <v>10000</v>
      </c>
    </row>
    <row r="84" spans="2:9" ht="15" customHeight="1" x14ac:dyDescent="0.3">
      <c r="B84" s="159" t="s">
        <v>203</v>
      </c>
      <c r="C84" s="161">
        <v>1</v>
      </c>
      <c r="D84" s="162">
        <f>SUM(Tabla1343[[#This Row],[Columna1]:[Columna5]])</f>
        <v>3</v>
      </c>
      <c r="E84" s="157" t="s">
        <v>313</v>
      </c>
      <c r="F84" s="105"/>
      <c r="G84" s="163">
        <v>2500</v>
      </c>
      <c r="H84" s="158">
        <f>+Tabla1347812[[#This Row],[Cantidad]]*Tabla1347812[[#This Row],[Precio Unitario en Pesos /   €]]</f>
        <v>2500</v>
      </c>
      <c r="I84" s="158">
        <f>+Tabla1347812[[#This Row],[Precio Total en Pesos]]/2</f>
        <v>1250</v>
      </c>
    </row>
    <row r="85" spans="2:9" ht="15" customHeight="1" x14ac:dyDescent="0.3">
      <c r="B85" s="159" t="s">
        <v>172</v>
      </c>
      <c r="C85" s="161">
        <v>6</v>
      </c>
      <c r="D85" s="162">
        <f>SUM(Tabla1343[[#This Row],[Columna1]:[Columna5]])</f>
        <v>8</v>
      </c>
      <c r="E85" s="157" t="s">
        <v>313</v>
      </c>
      <c r="F85" s="105"/>
      <c r="G85" s="163">
        <v>9000</v>
      </c>
      <c r="H85" s="158">
        <f>+Tabla1347812[[#This Row],[Cantidad]]*Tabla1347812[[#This Row],[Precio Unitario en Pesos /   €]]</f>
        <v>54000</v>
      </c>
      <c r="I85" s="158">
        <f>+Tabla1347812[[#This Row],[Precio Total en Pesos]]/2</f>
        <v>27000</v>
      </c>
    </row>
    <row r="86" spans="2:9" ht="15" customHeight="1" x14ac:dyDescent="0.3">
      <c r="B86" s="159" t="s">
        <v>310</v>
      </c>
      <c r="C86" s="161">
        <v>12</v>
      </c>
      <c r="D86" s="162">
        <f>SUM(Tabla1343[[#This Row],[Columna1]:[Columna5]])</f>
        <v>1</v>
      </c>
      <c r="E86" s="157" t="s">
        <v>313</v>
      </c>
      <c r="F86" s="105"/>
      <c r="G86" s="163">
        <v>6000</v>
      </c>
      <c r="H86" s="158">
        <f>+Tabla1347812[[#This Row],[Cantidad]]*Tabla1347812[[#This Row],[Precio Unitario en Pesos /   €]]</f>
        <v>72000</v>
      </c>
      <c r="I86" s="158">
        <f>+Tabla1347812[[#This Row],[Precio Total en Pesos]]/2</f>
        <v>36000</v>
      </c>
    </row>
    <row r="87" spans="2:9" ht="15" customHeight="1" x14ac:dyDescent="0.3">
      <c r="B87" s="159" t="s">
        <v>178</v>
      </c>
      <c r="C87" s="161">
        <v>1</v>
      </c>
      <c r="D87" s="162">
        <f>SUM(Tabla1343[[#This Row],[Columna1]:[Columna5]])</f>
        <v>6</v>
      </c>
      <c r="E87" s="157" t="s">
        <v>313</v>
      </c>
      <c r="F87" s="105"/>
      <c r="G87" s="163">
        <v>18000</v>
      </c>
      <c r="H87" s="158">
        <f>+Tabla1347812[[#This Row],[Cantidad]]*Tabla1347812[[#This Row],[Precio Unitario en Pesos /   €]]</f>
        <v>18000</v>
      </c>
      <c r="I87" s="158">
        <f>+Tabla1347812[[#This Row],[Precio Total en Pesos]]/2</f>
        <v>9000</v>
      </c>
    </row>
    <row r="88" spans="2:9" ht="15" customHeight="1" x14ac:dyDescent="0.3">
      <c r="B88" s="159" t="s">
        <v>180</v>
      </c>
      <c r="C88" s="161">
        <v>1</v>
      </c>
      <c r="D88" s="162">
        <f>SUM(Tabla1343[[#This Row],[Columna1]:[Columna5]])</f>
        <v>4</v>
      </c>
      <c r="E88" s="157" t="s">
        <v>313</v>
      </c>
      <c r="F88" s="105"/>
      <c r="G88" s="163">
        <v>2770</v>
      </c>
      <c r="H88" s="158">
        <f>+Tabla1347812[[#This Row],[Cantidad]]*Tabla1347812[[#This Row],[Precio Unitario en Pesos /   €]]</f>
        <v>2770</v>
      </c>
      <c r="I88" s="158">
        <f>+Tabla1347812[[#This Row],[Precio Total en Pesos]]/2</f>
        <v>1385</v>
      </c>
    </row>
    <row r="89" spans="2:9" ht="15" customHeight="1" x14ac:dyDescent="0.3">
      <c r="B89" s="159" t="s">
        <v>175</v>
      </c>
      <c r="C89" s="161">
        <v>2</v>
      </c>
      <c r="D89" s="162">
        <f>SUM(Tabla1343[[#This Row],[Columna1]:[Columna5]])</f>
        <v>1</v>
      </c>
      <c r="E89" s="157" t="s">
        <v>313</v>
      </c>
      <c r="F89" s="105"/>
      <c r="G89" s="163">
        <v>2500</v>
      </c>
      <c r="H89" s="158">
        <f>+Tabla1347812[[#This Row],[Cantidad]]*Tabla1347812[[#This Row],[Precio Unitario en Pesos /   €]]</f>
        <v>5000</v>
      </c>
      <c r="I89" s="158">
        <f>+Tabla1347812[[#This Row],[Precio Total en Pesos]]/2</f>
        <v>2500</v>
      </c>
    </row>
    <row r="90" spans="2:9" ht="15" customHeight="1" x14ac:dyDescent="0.3">
      <c r="B90" s="159" t="s">
        <v>179</v>
      </c>
      <c r="C90" s="161">
        <v>6</v>
      </c>
      <c r="D90" s="162">
        <f>SUM(Tabla1343[[#This Row],[Columna1]:[Columna5]])</f>
        <v>8</v>
      </c>
      <c r="E90" s="157" t="s">
        <v>313</v>
      </c>
      <c r="F90" s="105"/>
      <c r="G90" s="163">
        <v>1400</v>
      </c>
      <c r="H90" s="158">
        <f>+Tabla1347812[[#This Row],[Cantidad]]*Tabla1347812[[#This Row],[Precio Unitario en Pesos /   €]]</f>
        <v>8400</v>
      </c>
      <c r="I90" s="158">
        <f>+Tabla1347812[[#This Row],[Precio Total en Pesos]]/2</f>
        <v>4200</v>
      </c>
    </row>
    <row r="91" spans="2:9" ht="15" customHeight="1" x14ac:dyDescent="0.3">
      <c r="B91" s="159" t="s">
        <v>129</v>
      </c>
      <c r="C91" s="161">
        <v>73</v>
      </c>
      <c r="D91" s="162">
        <f>SUM(Tabla1343[[#This Row],[Columna1]:[Columna5]])</f>
        <v>1</v>
      </c>
      <c r="E91" s="157" t="s">
        <v>314</v>
      </c>
      <c r="F91" s="168"/>
      <c r="G91" s="163">
        <v>1600</v>
      </c>
      <c r="H91" s="158">
        <f>+Tabla1347812[[#This Row],[Cantidad]]*Tabla1347812[[#This Row],[Precio Unitario en Pesos /   €]]</f>
        <v>116800</v>
      </c>
      <c r="I91" s="158">
        <f>+Tabla1347812[[#This Row],[Precio Total en Pesos]]/2</f>
        <v>58400</v>
      </c>
    </row>
    <row r="92" spans="2:9" ht="15" customHeight="1" x14ac:dyDescent="0.3">
      <c r="B92" s="159" t="s">
        <v>128</v>
      </c>
      <c r="C92" s="161">
        <v>46</v>
      </c>
      <c r="D92" s="162">
        <f>SUM(Tabla1343[[#This Row],[Columna1]:[Columna5]])</f>
        <v>2</v>
      </c>
      <c r="E92" s="157" t="s">
        <v>314</v>
      </c>
      <c r="F92" s="168"/>
      <c r="G92" s="163">
        <v>2200</v>
      </c>
      <c r="H92" s="158">
        <f>+Tabla1347812[[#This Row],[Cantidad]]*Tabla1347812[[#This Row],[Precio Unitario en Pesos /   €]]</f>
        <v>101200</v>
      </c>
      <c r="I92" s="158">
        <f>+Tabla1347812[[#This Row],[Precio Total en Pesos]]/2</f>
        <v>50600</v>
      </c>
    </row>
    <row r="93" spans="2:9" ht="15" customHeight="1" x14ac:dyDescent="0.3">
      <c r="B93" s="159" t="s">
        <v>68</v>
      </c>
      <c r="C93" s="161">
        <v>1024</v>
      </c>
      <c r="D93" s="162">
        <f>SUM(Tabla1343[[#This Row],[Columna1]:[Columna5]])</f>
        <v>6</v>
      </c>
      <c r="E93" s="157" t="s">
        <v>314</v>
      </c>
      <c r="F93" s="168"/>
      <c r="G93" s="163">
        <v>3100</v>
      </c>
      <c r="H93" s="158">
        <f>+Tabla1347812[[#This Row],[Cantidad]]*Tabla1347812[[#This Row],[Precio Unitario en Pesos /   €]]</f>
        <v>3174400</v>
      </c>
      <c r="I93" s="158">
        <f>+Tabla1347812[[#This Row],[Precio Total en Pesos]]/2</f>
        <v>1587200</v>
      </c>
    </row>
    <row r="94" spans="2:9" ht="15" customHeight="1" x14ac:dyDescent="0.3">
      <c r="B94" s="159" t="s">
        <v>146</v>
      </c>
      <c r="C94" s="161">
        <v>2</v>
      </c>
      <c r="D94" s="162">
        <f>SUM(Tabla1343[[#This Row],[Columna1]:[Columna5]])</f>
        <v>73</v>
      </c>
      <c r="E94" s="157" t="s">
        <v>314</v>
      </c>
      <c r="F94" s="168"/>
      <c r="G94" s="163">
        <f>+G93*2</f>
        <v>6200</v>
      </c>
      <c r="H94" s="158">
        <f>+Tabla1347812[[#This Row],[Cantidad]]*Tabla1347812[[#This Row],[Precio Unitario en Pesos /   €]]</f>
        <v>12400</v>
      </c>
      <c r="I94" s="158">
        <f>+Tabla1347812[[#This Row],[Precio Total en Pesos]]/2</f>
        <v>6200</v>
      </c>
    </row>
    <row r="95" spans="2:9" ht="15" customHeight="1" x14ac:dyDescent="0.3">
      <c r="B95" s="159" t="s">
        <v>89</v>
      </c>
      <c r="C95" s="161">
        <v>3</v>
      </c>
      <c r="D95" s="162">
        <f>SUM(Tabla1343[[#This Row],[Columna1]:[Columna5]])</f>
        <v>46</v>
      </c>
      <c r="E95" s="157" t="s">
        <v>313</v>
      </c>
      <c r="F95" s="168"/>
      <c r="G95" s="163">
        <v>12500</v>
      </c>
      <c r="H95" s="158">
        <f>+Tabla1347812[[#This Row],[Cantidad]]*Tabla1347812[[#This Row],[Precio Unitario en Pesos /   €]]</f>
        <v>37500</v>
      </c>
      <c r="I95" s="158">
        <f>+Tabla1347812[[#This Row],[Precio Total en Pesos]]/2</f>
        <v>18750</v>
      </c>
    </row>
    <row r="96" spans="2:9" ht="15" customHeight="1" x14ac:dyDescent="0.3">
      <c r="B96" s="159" t="s">
        <v>205</v>
      </c>
      <c r="C96" s="161">
        <v>21</v>
      </c>
      <c r="D96" s="162">
        <f>SUM(Tabla1343[[#This Row],[Columna1]:[Columna5]])</f>
        <v>1024</v>
      </c>
      <c r="E96" s="157" t="s">
        <v>313</v>
      </c>
      <c r="F96" s="105"/>
      <c r="G96" s="163">
        <v>150</v>
      </c>
      <c r="H96" s="158">
        <f>+Tabla1347812[[#This Row],[Cantidad]]*Tabla1347812[[#This Row],[Precio Unitario en Pesos /   €]]</f>
        <v>3150</v>
      </c>
      <c r="I96" s="158">
        <f>+Tabla1347812[[#This Row],[Precio Total en Pesos]]/2</f>
        <v>1575</v>
      </c>
    </row>
    <row r="97" spans="2:9" ht="15" customHeight="1" x14ac:dyDescent="0.3">
      <c r="B97" s="159" t="s">
        <v>254</v>
      </c>
      <c r="C97" s="161">
        <v>6</v>
      </c>
      <c r="D97" s="162">
        <f>SUM(Tabla1343[[#This Row],[Columna1]:[Columna5]])</f>
        <v>2</v>
      </c>
      <c r="E97" s="157" t="s">
        <v>313</v>
      </c>
      <c r="F97" s="105"/>
      <c r="G97" s="163">
        <v>5500</v>
      </c>
      <c r="H97" s="158">
        <f>+Tabla1347812[[#This Row],[Cantidad]]*Tabla1347812[[#This Row],[Precio Unitario en Pesos /   €]]</f>
        <v>33000</v>
      </c>
      <c r="I97" s="158">
        <f>+Tabla1347812[[#This Row],[Precio Total en Pesos]]/2</f>
        <v>16500</v>
      </c>
    </row>
    <row r="98" spans="2:9" ht="15" customHeight="1" x14ac:dyDescent="0.3">
      <c r="B98" s="164" t="s">
        <v>197</v>
      </c>
      <c r="C98" s="165">
        <v>2</v>
      </c>
      <c r="D98" s="166">
        <f>SUM(Tabla1343[[#This Row],[Columna1]:[Columna5]])</f>
        <v>3</v>
      </c>
      <c r="E98" s="167" t="s">
        <v>314</v>
      </c>
      <c r="F98" s="105"/>
      <c r="G98" s="163">
        <v>50000</v>
      </c>
      <c r="H98" s="158">
        <f>+Tabla1347812[[#This Row],[Cantidad]]*Tabla1347812[[#This Row],[Precio Unitario en Pesos /   €]]</f>
        <v>100000</v>
      </c>
      <c r="I98" s="158">
        <f>+Tabla1347812[[#This Row],[Precio Total en Pesos]]/2</f>
        <v>50000</v>
      </c>
    </row>
    <row r="99" spans="2:9" ht="15" customHeight="1" x14ac:dyDescent="0.3">
      <c r="B99" s="159" t="s">
        <v>100</v>
      </c>
      <c r="C99" s="161">
        <v>6</v>
      </c>
      <c r="D99" s="162">
        <v>6</v>
      </c>
      <c r="E99" s="167" t="s">
        <v>314</v>
      </c>
      <c r="F99" s="105"/>
      <c r="G99" s="163">
        <v>30000</v>
      </c>
      <c r="H99" s="158">
        <f>+Tabla1347812[[#This Row],[Cantidad]]*Tabla1347812[[#This Row],[Precio Unitario en Pesos /   €]]</f>
        <v>180000</v>
      </c>
      <c r="I99" s="158">
        <f>+Tabla1347812[[#This Row],[Precio Total en Pesos]]/2</f>
        <v>90000</v>
      </c>
    </row>
    <row r="100" spans="2:9" ht="15" customHeight="1" x14ac:dyDescent="0.3">
      <c r="B100" s="159" t="s">
        <v>99</v>
      </c>
      <c r="C100" s="161">
        <v>7</v>
      </c>
      <c r="D100" s="162">
        <v>7</v>
      </c>
      <c r="E100" s="167" t="s">
        <v>314</v>
      </c>
      <c r="F100" s="105"/>
      <c r="G100" s="163">
        <v>40000</v>
      </c>
      <c r="H100" s="158">
        <f>+Tabla1347812[[#This Row],[Cantidad]]*Tabla1347812[[#This Row],[Precio Unitario en Pesos /   €]]</f>
        <v>280000</v>
      </c>
      <c r="I100" s="158">
        <f>+Tabla1347812[[#This Row],[Precio Total en Pesos]]/2</f>
        <v>140000</v>
      </c>
    </row>
    <row r="101" spans="2:9" ht="15" customHeight="1" x14ac:dyDescent="0.3">
      <c r="B101" s="159" t="s">
        <v>264</v>
      </c>
      <c r="C101" s="161">
        <v>8</v>
      </c>
      <c r="D101" s="162">
        <f>SUM(Tabla1343[[#This Row],[Columna1]:[Columna5]])</f>
        <v>2</v>
      </c>
      <c r="E101" s="167" t="s">
        <v>314</v>
      </c>
      <c r="F101" s="105"/>
      <c r="G101" s="163">
        <v>20000</v>
      </c>
      <c r="H101" s="158">
        <f>+Tabla1347812[[#This Row],[Cantidad]]*Tabla1347812[[#This Row],[Precio Unitario en Pesos /   €]]</f>
        <v>160000</v>
      </c>
      <c r="I101" s="158">
        <f>+Tabla1347812[[#This Row],[Precio Total en Pesos]]/2</f>
        <v>80000</v>
      </c>
    </row>
    <row r="102" spans="2:9" ht="15" customHeight="1" x14ac:dyDescent="0.3">
      <c r="B102" s="159" t="s">
        <v>93</v>
      </c>
      <c r="C102" s="161">
        <v>12</v>
      </c>
      <c r="D102" s="162">
        <f>SUM(Tabla1343[[#This Row],[Columna1]:[Columna5]])</f>
        <v>0</v>
      </c>
      <c r="E102" s="167" t="s">
        <v>314</v>
      </c>
      <c r="F102" s="105"/>
      <c r="G102" s="163">
        <v>35000</v>
      </c>
      <c r="H102" s="158">
        <f>+Tabla1347812[[#This Row],[Cantidad]]*Tabla1347812[[#This Row],[Precio Unitario en Pesos /   €]]</f>
        <v>420000</v>
      </c>
      <c r="I102" s="158">
        <f>+Tabla1347812[[#This Row],[Precio Total en Pesos]]/2</f>
        <v>210000</v>
      </c>
    </row>
    <row r="103" spans="2:9" ht="15" customHeight="1" x14ac:dyDescent="0.3">
      <c r="B103" s="159" t="s">
        <v>54</v>
      </c>
      <c r="C103" s="161">
        <v>200</v>
      </c>
      <c r="D103" s="162">
        <f>SUM(Tabla1343[[#This Row],[Columna1]:[Columna5]])</f>
        <v>0</v>
      </c>
      <c r="E103" s="167" t="s">
        <v>314</v>
      </c>
      <c r="F103" s="168"/>
      <c r="G103" s="163">
        <v>8500</v>
      </c>
      <c r="H103" s="158">
        <f>+Tabla1347812[[#This Row],[Cantidad]]*Tabla1347812[[#This Row],[Precio Unitario en Pesos /   €]]</f>
        <v>1700000</v>
      </c>
      <c r="I103" s="158">
        <f>+Tabla1347812[[#This Row],[Precio Total en Pesos]]/2</f>
        <v>850000</v>
      </c>
    </row>
    <row r="104" spans="2:9" ht="15" customHeight="1" x14ac:dyDescent="0.3">
      <c r="B104" s="159" t="s">
        <v>55</v>
      </c>
      <c r="C104" s="161">
        <f>367+260</f>
        <v>627</v>
      </c>
      <c r="D104" s="162">
        <f>SUM(Tabla1343[[#This Row],[Columna1]:[Columna5]])</f>
        <v>8</v>
      </c>
      <c r="E104" s="167" t="s">
        <v>314</v>
      </c>
      <c r="F104" s="168"/>
      <c r="G104" s="163">
        <v>12650</v>
      </c>
      <c r="H104" s="158">
        <f>+Tabla1347812[[#This Row],[Cantidad]]*Tabla1347812[[#This Row],[Precio Unitario en Pesos /   €]]</f>
        <v>7931550</v>
      </c>
      <c r="I104" s="158">
        <f>+Tabla1347812[[#This Row],[Precio Total en Pesos]]/2</f>
        <v>3965775</v>
      </c>
    </row>
    <row r="105" spans="2:9" ht="15" customHeight="1" thickBot="1" x14ac:dyDescent="0.35">
      <c r="B105" s="159" t="s">
        <v>316</v>
      </c>
      <c r="C105" s="161">
        <v>3</v>
      </c>
      <c r="D105" s="162">
        <f>SUM(Tabla1343[[#This Row],[Columna1]:[Columna5]])</f>
        <v>12</v>
      </c>
      <c r="E105" s="167" t="s">
        <v>313</v>
      </c>
      <c r="F105" s="105"/>
      <c r="G105" s="163">
        <v>150</v>
      </c>
      <c r="H105" s="158">
        <f>+Tabla1347812[[#This Row],[Cantidad]]*Tabla1347812[[#This Row],[Precio Unitario en Pesos /   €]]</f>
        <v>450</v>
      </c>
      <c r="I105" s="106">
        <f>+Tabla1347812[[#This Row],[Precio Total en Pesos]]/2</f>
        <v>225</v>
      </c>
    </row>
    <row r="106" spans="2:9" ht="15" thickBot="1" x14ac:dyDescent="0.35">
      <c r="B106"/>
      <c r="C106"/>
      <c r="D106"/>
      <c r="F106"/>
      <c r="G106"/>
      <c r="H106" s="186"/>
      <c r="I106" s="187">
        <f>SUBTOTAL(109,Tabla1347812[Valor Compra 50%])</f>
        <v>13338621.5</v>
      </c>
    </row>
    <row r="107" spans="2:9" ht="16.95" customHeight="1" thickBot="1" x14ac:dyDescent="0.35">
      <c r="B107"/>
      <c r="C107"/>
      <c r="D107"/>
      <c r="F107"/>
      <c r="G107"/>
      <c r="H107" s="169"/>
      <c r="I107" s="169"/>
    </row>
    <row r="108" spans="2:9" ht="16.95" customHeight="1" thickBot="1" x14ac:dyDescent="0.35">
      <c r="B108" s="421" t="s">
        <v>325</v>
      </c>
      <c r="C108" s="422"/>
      <c r="D108" s="422"/>
      <c r="E108" s="422"/>
      <c r="F108" s="422"/>
      <c r="G108" s="423"/>
      <c r="H108" s="190" t="s">
        <v>323</v>
      </c>
      <c r="I108" s="191">
        <v>155</v>
      </c>
    </row>
    <row r="109" spans="2:9" ht="33" customHeight="1" thickBot="1" x14ac:dyDescent="0.35">
      <c r="B109" s="40" t="s">
        <v>0</v>
      </c>
      <c r="C109" s="41" t="s">
        <v>1</v>
      </c>
      <c r="D109" s="41" t="s">
        <v>308</v>
      </c>
      <c r="E109" s="41" t="s">
        <v>269</v>
      </c>
      <c r="F109" s="42" t="s">
        <v>225</v>
      </c>
      <c r="G109" s="175" t="s">
        <v>311</v>
      </c>
      <c r="H109" s="176" t="s">
        <v>312</v>
      </c>
      <c r="I109" s="127" t="s">
        <v>326</v>
      </c>
    </row>
    <row r="110" spans="2:9" ht="15" customHeight="1" x14ac:dyDescent="0.3">
      <c r="B110" s="48" t="s">
        <v>164</v>
      </c>
      <c r="C110" s="83">
        <v>6</v>
      </c>
      <c r="D110" s="110">
        <f>SUM(Tabla1343[[#This Row],[Columna1]:[Columna5]])</f>
        <v>301</v>
      </c>
      <c r="E110" s="50" t="s">
        <v>279</v>
      </c>
      <c r="F110" s="94" t="s">
        <v>230</v>
      </c>
      <c r="G110" s="96">
        <v>39.65</v>
      </c>
      <c r="H110" s="81">
        <f>+G110*C110*I$108</f>
        <v>36874.5</v>
      </c>
      <c r="I110" s="81">
        <f>+Tabla1014[[#This Row],[Precio Total en Pesos]]*80%</f>
        <v>29499.600000000002</v>
      </c>
    </row>
    <row r="111" spans="2:9" ht="15" customHeight="1" x14ac:dyDescent="0.3">
      <c r="B111" s="48" t="s">
        <v>10</v>
      </c>
      <c r="C111" s="49">
        <v>301</v>
      </c>
      <c r="D111" s="111">
        <f>SUM(Tabla1343[[#This Row],[Columna1]:[Columna5]])</f>
        <v>43</v>
      </c>
      <c r="E111" s="50" t="s">
        <v>279</v>
      </c>
      <c r="F111" s="95" t="s">
        <v>230</v>
      </c>
      <c r="G111" s="97">
        <v>28.34</v>
      </c>
      <c r="H111" s="81">
        <f>+G111*C111*I$108</f>
        <v>1322202.7</v>
      </c>
      <c r="I111" s="81">
        <f>+Tabla1014[[#This Row],[Precio Total en Pesos]]*80%</f>
        <v>1057762.1599999999</v>
      </c>
    </row>
    <row r="112" spans="2:9" ht="15" customHeight="1" x14ac:dyDescent="0.3">
      <c r="B112" s="48" t="s">
        <v>73</v>
      </c>
      <c r="C112" s="83">
        <v>43</v>
      </c>
      <c r="D112" s="110">
        <f>SUM(Tabla1343[[#This Row],[Columna1]:[Columna5]])</f>
        <v>2</v>
      </c>
      <c r="E112" s="50" t="s">
        <v>279</v>
      </c>
      <c r="F112" s="94" t="s">
        <v>230</v>
      </c>
      <c r="G112" s="96">
        <v>263.64</v>
      </c>
      <c r="H112" s="81">
        <f t="shared" ref="H112:H146" si="0">+G112*C112*I$108</f>
        <v>1757160.5999999999</v>
      </c>
      <c r="I112" s="81">
        <f>+Tabla1014[[#This Row],[Precio Total en Pesos]]*80%</f>
        <v>1405728.48</v>
      </c>
    </row>
    <row r="113" spans="2:9" ht="15" customHeight="1" x14ac:dyDescent="0.3">
      <c r="B113" s="48" t="s">
        <v>92</v>
      </c>
      <c r="C113" s="83">
        <v>2</v>
      </c>
      <c r="D113" s="110">
        <f>SUM(Tabla1343[[#This Row],[Columna1]:[Columna5]])</f>
        <v>311</v>
      </c>
      <c r="E113" s="50" t="s">
        <v>279</v>
      </c>
      <c r="F113" s="94" t="s">
        <v>230</v>
      </c>
      <c r="G113" s="96">
        <v>626.99</v>
      </c>
      <c r="H113" s="81">
        <f t="shared" si="0"/>
        <v>194366.9</v>
      </c>
      <c r="I113" s="81">
        <f>+Tabla1014[[#This Row],[Precio Total en Pesos]]*80%</f>
        <v>155493.51999999999</v>
      </c>
    </row>
    <row r="114" spans="2:9" ht="15" customHeight="1" x14ac:dyDescent="0.3">
      <c r="B114" s="48" t="s">
        <v>30</v>
      </c>
      <c r="C114" s="83">
        <v>311</v>
      </c>
      <c r="D114" s="110">
        <f>SUM(Tabla1343[[#This Row],[Columna1]:[Columna5]])</f>
        <v>6</v>
      </c>
      <c r="E114" s="50" t="s">
        <v>279</v>
      </c>
      <c r="F114" s="94" t="s">
        <v>230</v>
      </c>
      <c r="G114" s="96">
        <v>19.89</v>
      </c>
      <c r="H114" s="81">
        <f t="shared" si="0"/>
        <v>958797.45</v>
      </c>
      <c r="I114" s="81">
        <f>+Tabla1014[[#This Row],[Precio Total en Pesos]]*80%</f>
        <v>767037.96</v>
      </c>
    </row>
    <row r="115" spans="2:9" ht="15" customHeight="1" x14ac:dyDescent="0.3">
      <c r="B115" s="48" t="s">
        <v>60</v>
      </c>
      <c r="C115" s="83">
        <v>6</v>
      </c>
      <c r="D115" s="110">
        <f>SUM(Tabla1343[[#This Row],[Columna1]:[Columna5]])</f>
        <v>13</v>
      </c>
      <c r="E115" s="50" t="s">
        <v>279</v>
      </c>
      <c r="F115" s="94" t="s">
        <v>230</v>
      </c>
      <c r="G115" s="96">
        <v>36.14</v>
      </c>
      <c r="H115" s="81">
        <f t="shared" si="0"/>
        <v>33610.199999999997</v>
      </c>
      <c r="I115" s="81">
        <f>+Tabla1014[[#This Row],[Precio Total en Pesos]]*80%</f>
        <v>26888.16</v>
      </c>
    </row>
    <row r="116" spans="2:9" ht="15" customHeight="1" x14ac:dyDescent="0.3">
      <c r="B116" s="48" t="s">
        <v>149</v>
      </c>
      <c r="C116" s="83">
        <v>13</v>
      </c>
      <c r="D116" s="110">
        <f>SUM(Tabla1343[[#This Row],[Columna1]:[Columna5]])</f>
        <v>25</v>
      </c>
      <c r="E116" s="50" t="s">
        <v>279</v>
      </c>
      <c r="F116" s="94" t="s">
        <v>230</v>
      </c>
      <c r="G116" s="96">
        <v>36.14</v>
      </c>
      <c r="H116" s="81">
        <f t="shared" si="0"/>
        <v>72822.100000000006</v>
      </c>
      <c r="I116" s="81">
        <f>+Tabla1014[[#This Row],[Precio Total en Pesos]]*80%</f>
        <v>58257.680000000008</v>
      </c>
    </row>
    <row r="117" spans="2:9" ht="15" customHeight="1" x14ac:dyDescent="0.3">
      <c r="B117" s="48" t="s">
        <v>256</v>
      </c>
      <c r="C117" s="83">
        <v>25</v>
      </c>
      <c r="D117" s="110">
        <f>SUM(Tabla1343[[#This Row],[Columna1]:[Columna5]])</f>
        <v>4</v>
      </c>
      <c r="E117" s="50" t="s">
        <v>279</v>
      </c>
      <c r="F117" s="94" t="s">
        <v>230</v>
      </c>
      <c r="G117" s="96">
        <v>68.900000000000006</v>
      </c>
      <c r="H117" s="81">
        <f t="shared" si="0"/>
        <v>266987.50000000006</v>
      </c>
      <c r="I117" s="81">
        <f>+Tabla1014[[#This Row],[Precio Total en Pesos]]*80%</f>
        <v>213590.00000000006</v>
      </c>
    </row>
    <row r="118" spans="2:9" ht="15" customHeight="1" x14ac:dyDescent="0.3">
      <c r="B118" s="48" t="s">
        <v>260</v>
      </c>
      <c r="C118" s="83">
        <v>4</v>
      </c>
      <c r="D118" s="110">
        <f>SUM(Tabla1343[[#This Row],[Columna1]:[Columna5]])</f>
        <v>111</v>
      </c>
      <c r="E118" s="50" t="s">
        <v>279</v>
      </c>
      <c r="F118" s="94" t="s">
        <v>230</v>
      </c>
      <c r="G118" s="96">
        <v>70.59</v>
      </c>
      <c r="H118" s="81">
        <f t="shared" si="0"/>
        <v>43765.8</v>
      </c>
      <c r="I118" s="81">
        <f>+Tabla1014[[#This Row],[Precio Total en Pesos]]*80%</f>
        <v>35012.640000000007</v>
      </c>
    </row>
    <row r="119" spans="2:9" ht="15" customHeight="1" x14ac:dyDescent="0.3">
      <c r="B119" s="48" t="s">
        <v>261</v>
      </c>
      <c r="C119" s="83">
        <v>111</v>
      </c>
      <c r="D119" s="110">
        <f>SUM(Tabla1343[[#This Row],[Columna1]:[Columna5]])</f>
        <v>21</v>
      </c>
      <c r="E119" s="50" t="s">
        <v>279</v>
      </c>
      <c r="F119" s="94" t="s">
        <v>230</v>
      </c>
      <c r="G119" s="96">
        <v>65.650000000000006</v>
      </c>
      <c r="H119" s="81">
        <f t="shared" si="0"/>
        <v>1129508.25</v>
      </c>
      <c r="I119" s="81">
        <f>+Tabla1014[[#This Row],[Precio Total en Pesos]]*80%</f>
        <v>903606.60000000009</v>
      </c>
    </row>
    <row r="120" spans="2:9" ht="15" customHeight="1" x14ac:dyDescent="0.3">
      <c r="B120" s="48" t="s">
        <v>257</v>
      </c>
      <c r="C120" s="83">
        <v>21</v>
      </c>
      <c r="D120" s="110">
        <f>SUM(Tabla1343[[#This Row],[Columna1]:[Columna5]])</f>
        <v>725</v>
      </c>
      <c r="E120" s="50" t="s">
        <v>279</v>
      </c>
      <c r="F120" s="94" t="s">
        <v>230</v>
      </c>
      <c r="G120" s="96">
        <v>78.650000000000006</v>
      </c>
      <c r="H120" s="81">
        <f t="shared" si="0"/>
        <v>256005.75</v>
      </c>
      <c r="I120" s="81">
        <f>+Tabla1014[[#This Row],[Precio Total en Pesos]]*80%</f>
        <v>204804.6</v>
      </c>
    </row>
    <row r="121" spans="2:9" ht="15" customHeight="1" x14ac:dyDescent="0.3">
      <c r="B121" s="48" t="s">
        <v>262</v>
      </c>
      <c r="C121" s="83">
        <v>725</v>
      </c>
      <c r="D121" s="110">
        <f>SUM(Tabla1343[[#This Row],[Columna1]:[Columna5]])</f>
        <v>7</v>
      </c>
      <c r="E121" s="50" t="s">
        <v>279</v>
      </c>
      <c r="F121" s="94" t="s">
        <v>230</v>
      </c>
      <c r="G121" s="96">
        <v>76.83</v>
      </c>
      <c r="H121" s="81">
        <f t="shared" si="0"/>
        <v>8633771.25</v>
      </c>
      <c r="I121" s="81">
        <f>+Tabla1014[[#This Row],[Precio Total en Pesos]]*80%</f>
        <v>6907017</v>
      </c>
    </row>
    <row r="122" spans="2:9" ht="15" customHeight="1" x14ac:dyDescent="0.3">
      <c r="B122" s="48" t="s">
        <v>258</v>
      </c>
      <c r="C122" s="83">
        <v>7</v>
      </c>
      <c r="D122" s="110">
        <f>SUM(Tabla1343[[#This Row],[Columna1]:[Columna5]])</f>
        <v>8</v>
      </c>
      <c r="E122" s="50" t="s">
        <v>279</v>
      </c>
      <c r="F122" s="94" t="s">
        <v>230</v>
      </c>
      <c r="G122" s="96">
        <v>81</v>
      </c>
      <c r="H122" s="81">
        <f t="shared" si="0"/>
        <v>87885</v>
      </c>
      <c r="I122" s="81">
        <f>+Tabla1014[[#This Row],[Precio Total en Pesos]]*80%</f>
        <v>70308</v>
      </c>
    </row>
    <row r="123" spans="2:9" ht="15" customHeight="1" x14ac:dyDescent="0.3">
      <c r="B123" s="48" t="s">
        <v>302</v>
      </c>
      <c r="C123" s="83">
        <v>8</v>
      </c>
      <c r="D123" s="110">
        <f>SUM(Tabla1343[[#This Row],[Columna1]:[Columna5]])</f>
        <v>8</v>
      </c>
      <c r="E123" s="50" t="s">
        <v>279</v>
      </c>
      <c r="F123" s="94" t="s">
        <v>230</v>
      </c>
      <c r="G123" s="96">
        <v>624.78</v>
      </c>
      <c r="H123" s="81">
        <f t="shared" si="0"/>
        <v>774727.2</v>
      </c>
      <c r="I123" s="81">
        <f>+Tabla1014[[#This Row],[Precio Total en Pesos]]*80%</f>
        <v>619781.76</v>
      </c>
    </row>
    <row r="124" spans="2:9" ht="15" customHeight="1" x14ac:dyDescent="0.3">
      <c r="B124" s="48" t="s">
        <v>232</v>
      </c>
      <c r="C124" s="83">
        <v>8</v>
      </c>
      <c r="D124" s="110">
        <f>SUM(Tabla1343[[#This Row],[Columna1]:[Columna5]])</f>
        <v>4</v>
      </c>
      <c r="E124" s="50" t="s">
        <v>279</v>
      </c>
      <c r="F124" s="94" t="s">
        <v>230</v>
      </c>
      <c r="G124" s="96">
        <v>539.76</v>
      </c>
      <c r="H124" s="81">
        <f t="shared" si="0"/>
        <v>669302.4</v>
      </c>
      <c r="I124" s="81">
        <f>+Tabla1014[[#This Row],[Precio Total en Pesos]]*80%</f>
        <v>535441.92000000004</v>
      </c>
    </row>
    <row r="125" spans="2:9" ht="15" customHeight="1" x14ac:dyDescent="0.3">
      <c r="B125" s="48" t="s">
        <v>16</v>
      </c>
      <c r="C125" s="83">
        <v>4</v>
      </c>
      <c r="D125" s="110">
        <f>SUM(Tabla1343[[#This Row],[Columna1]:[Columna5]])</f>
        <v>258</v>
      </c>
      <c r="E125" s="50" t="s">
        <v>279</v>
      </c>
      <c r="F125" s="94" t="s">
        <v>230</v>
      </c>
      <c r="G125" s="96">
        <v>449.41</v>
      </c>
      <c r="H125" s="81">
        <f t="shared" si="0"/>
        <v>278634.2</v>
      </c>
      <c r="I125" s="81">
        <f>+Tabla1014[[#This Row],[Precio Total en Pesos]]*80%</f>
        <v>222907.36000000002</v>
      </c>
    </row>
    <row r="126" spans="2:9" ht="15" customHeight="1" x14ac:dyDescent="0.3">
      <c r="B126" s="48" t="s">
        <v>107</v>
      </c>
      <c r="C126" s="83">
        <v>260</v>
      </c>
      <c r="D126" s="110">
        <f>SUM(Tabla1343[[#This Row],[Columna1]:[Columna5]])</f>
        <v>65</v>
      </c>
      <c r="E126" s="50" t="s">
        <v>279</v>
      </c>
      <c r="F126" s="94" t="s">
        <v>230</v>
      </c>
      <c r="G126" s="96">
        <v>33.020000000000003</v>
      </c>
      <c r="H126" s="81">
        <f t="shared" si="0"/>
        <v>1330706</v>
      </c>
      <c r="I126" s="81">
        <f>+Tabla1014[[#This Row],[Precio Total en Pesos]]*80%</f>
        <v>1064564.8</v>
      </c>
    </row>
    <row r="127" spans="2:9" ht="15" customHeight="1" x14ac:dyDescent="0.3">
      <c r="B127" s="48" t="s">
        <v>101</v>
      </c>
      <c r="C127" s="83">
        <v>67</v>
      </c>
      <c r="D127" s="110">
        <f>SUM(Tabla1343[[#This Row],[Columna1]:[Columna5]])</f>
        <v>1526</v>
      </c>
      <c r="E127" s="50" t="s">
        <v>279</v>
      </c>
      <c r="F127" s="94" t="s">
        <v>230</v>
      </c>
      <c r="G127" s="96">
        <v>39.39</v>
      </c>
      <c r="H127" s="81">
        <f t="shared" si="0"/>
        <v>409065.15</v>
      </c>
      <c r="I127" s="81">
        <f>+Tabla1014[[#This Row],[Precio Total en Pesos]]*80%</f>
        <v>327252.12000000005</v>
      </c>
    </row>
    <row r="128" spans="2:9" ht="15" customHeight="1" x14ac:dyDescent="0.3">
      <c r="B128" s="48" t="s">
        <v>227</v>
      </c>
      <c r="C128" s="83">
        <v>1526</v>
      </c>
      <c r="D128" s="110">
        <f>SUM(Tabla1343[[#This Row],[Columna1]:[Columna5]])</f>
        <v>15</v>
      </c>
      <c r="E128" s="50" t="s">
        <v>279</v>
      </c>
      <c r="F128" s="94" t="s">
        <v>230</v>
      </c>
      <c r="G128" s="96">
        <v>64.349999999999994</v>
      </c>
      <c r="H128" s="81">
        <f t="shared" si="0"/>
        <v>15220705.499999998</v>
      </c>
      <c r="I128" s="81">
        <f>+Tabla1014[[#This Row],[Precio Total en Pesos]]*80%</f>
        <v>12176564.399999999</v>
      </c>
    </row>
    <row r="129" spans="2:9" ht="15" customHeight="1" x14ac:dyDescent="0.3">
      <c r="B129" s="48" t="s">
        <v>108</v>
      </c>
      <c r="C129" s="83">
        <v>15</v>
      </c>
      <c r="D129" s="110">
        <f>SUM(Tabla1343[[#This Row],[Columna1]:[Columna5]])</f>
        <v>29</v>
      </c>
      <c r="E129" s="50" t="s">
        <v>279</v>
      </c>
      <c r="F129" s="94" t="s">
        <v>230</v>
      </c>
      <c r="G129" s="96">
        <v>39.39</v>
      </c>
      <c r="H129" s="81">
        <f t="shared" si="0"/>
        <v>91581.75</v>
      </c>
      <c r="I129" s="81">
        <f>+Tabla1014[[#This Row],[Precio Total en Pesos]]*80%</f>
        <v>73265.400000000009</v>
      </c>
    </row>
    <row r="130" spans="2:9" ht="15" customHeight="1" x14ac:dyDescent="0.3">
      <c r="B130" s="48" t="s">
        <v>109</v>
      </c>
      <c r="C130" s="83">
        <v>29</v>
      </c>
      <c r="D130" s="110">
        <f>SUM(Tabla1343[[#This Row],[Columna1]:[Columna5]])</f>
        <v>71</v>
      </c>
      <c r="E130" s="50" t="s">
        <v>279</v>
      </c>
      <c r="F130" s="94" t="s">
        <v>230</v>
      </c>
      <c r="G130" s="96">
        <v>64.349999999999994</v>
      </c>
      <c r="H130" s="81">
        <f t="shared" si="0"/>
        <v>289253.25</v>
      </c>
      <c r="I130" s="81">
        <f>+Tabla1014[[#This Row],[Precio Total en Pesos]]*80%</f>
        <v>231402.6</v>
      </c>
    </row>
    <row r="131" spans="2:9" ht="15" customHeight="1" x14ac:dyDescent="0.3">
      <c r="B131" s="48" t="s">
        <v>26</v>
      </c>
      <c r="C131" s="83">
        <v>71</v>
      </c>
      <c r="D131" s="110">
        <f>SUM(Tabla1343[[#This Row],[Columna1]:[Columna5]])</f>
        <v>9</v>
      </c>
      <c r="E131" s="50" t="s">
        <v>279</v>
      </c>
      <c r="F131" s="94" t="s">
        <v>230</v>
      </c>
      <c r="G131" s="96">
        <v>112.06</v>
      </c>
      <c r="H131" s="81">
        <f t="shared" si="0"/>
        <v>1233220.3</v>
      </c>
      <c r="I131" s="81">
        <f>+Tabla1014[[#This Row],[Precio Total en Pesos]]*80%</f>
        <v>986576.24000000011</v>
      </c>
    </row>
    <row r="132" spans="2:9" ht="15" customHeight="1" x14ac:dyDescent="0.3">
      <c r="B132" s="48" t="s">
        <v>113</v>
      </c>
      <c r="C132" s="83">
        <v>9</v>
      </c>
      <c r="D132" s="110">
        <f>SUM(Tabla1343[[#This Row],[Columna1]:[Columna5]])</f>
        <v>12</v>
      </c>
      <c r="E132" s="50" t="s">
        <v>279</v>
      </c>
      <c r="F132" s="94" t="s">
        <v>230</v>
      </c>
      <c r="G132" s="96">
        <v>64.48</v>
      </c>
      <c r="H132" s="81">
        <f t="shared" si="0"/>
        <v>89949.6</v>
      </c>
      <c r="I132" s="81">
        <f>+Tabla1014[[#This Row],[Precio Total en Pesos]]*80%</f>
        <v>71959.680000000008</v>
      </c>
    </row>
    <row r="133" spans="2:9" ht="15" customHeight="1" x14ac:dyDescent="0.3">
      <c r="B133" s="53" t="s">
        <v>111</v>
      </c>
      <c r="C133" s="84">
        <v>12</v>
      </c>
      <c r="D133" s="112">
        <f>SUM(Tabla1343[[#This Row],[Columna1]:[Columna5]])</f>
        <v>109</v>
      </c>
      <c r="E133" s="69" t="s">
        <v>279</v>
      </c>
      <c r="F133" s="94" t="s">
        <v>230</v>
      </c>
      <c r="G133" s="96">
        <v>103.22</v>
      </c>
      <c r="H133" s="81">
        <f t="shared" si="0"/>
        <v>191989.19999999998</v>
      </c>
      <c r="I133" s="81">
        <f>+Tabla1014[[#This Row],[Precio Total en Pesos]]*80%</f>
        <v>153591.35999999999</v>
      </c>
    </row>
    <row r="134" spans="2:9" ht="15" customHeight="1" x14ac:dyDescent="0.3">
      <c r="B134" s="48" t="s">
        <v>110</v>
      </c>
      <c r="C134" s="83">
        <v>109</v>
      </c>
      <c r="D134" s="110">
        <f>SUM(Tabla1343[[#This Row],[Columna1]:[Columna5]])</f>
        <v>15</v>
      </c>
      <c r="E134" s="50" t="s">
        <v>279</v>
      </c>
      <c r="F134" s="94" t="s">
        <v>230</v>
      </c>
      <c r="G134" s="96">
        <v>117.39</v>
      </c>
      <c r="H134" s="81">
        <f t="shared" si="0"/>
        <v>1983304.05</v>
      </c>
      <c r="I134" s="81">
        <f>+Tabla1014[[#This Row],[Precio Total en Pesos]]*80%</f>
        <v>1586643.2400000002</v>
      </c>
    </row>
    <row r="135" spans="2:9" ht="15" customHeight="1" x14ac:dyDescent="0.3">
      <c r="B135" s="48" t="s">
        <v>263</v>
      </c>
      <c r="C135" s="83">
        <v>15</v>
      </c>
      <c r="D135" s="110">
        <f>SUM(Tabla1343[[#This Row],[Columna1]:[Columna5]])</f>
        <v>2</v>
      </c>
      <c r="E135" s="50" t="s">
        <v>279</v>
      </c>
      <c r="F135" s="94" t="s">
        <v>230</v>
      </c>
      <c r="G135" s="96">
        <v>133.38</v>
      </c>
      <c r="H135" s="81">
        <f t="shared" si="0"/>
        <v>310108.5</v>
      </c>
      <c r="I135" s="81">
        <f>+Tabla1014[[#This Row],[Precio Total en Pesos]]*80%</f>
        <v>248086.80000000002</v>
      </c>
    </row>
    <row r="136" spans="2:9" ht="15" customHeight="1" x14ac:dyDescent="0.3">
      <c r="B136" s="53" t="s">
        <v>163</v>
      </c>
      <c r="C136" s="84">
        <v>2</v>
      </c>
      <c r="D136" s="112">
        <f>SUM(Tabla1343[[#This Row],[Columna1]:[Columna5]])</f>
        <v>926</v>
      </c>
      <c r="E136" s="69" t="s">
        <v>279</v>
      </c>
      <c r="F136" s="94" t="s">
        <v>230</v>
      </c>
      <c r="G136" s="96">
        <v>47.71</v>
      </c>
      <c r="H136" s="81">
        <f t="shared" si="0"/>
        <v>14790.1</v>
      </c>
      <c r="I136" s="81">
        <f>+Tabla1014[[#This Row],[Precio Total en Pesos]]*80%</f>
        <v>11832.080000000002</v>
      </c>
    </row>
    <row r="137" spans="2:9" ht="15" customHeight="1" x14ac:dyDescent="0.3">
      <c r="B137" s="48" t="s">
        <v>228</v>
      </c>
      <c r="C137" s="83">
        <v>926</v>
      </c>
      <c r="D137" s="110">
        <f>SUM(Tabla1343[[#This Row],[Columna1]:[Columna5]])</f>
        <v>56</v>
      </c>
      <c r="E137" s="50" t="s">
        <v>279</v>
      </c>
      <c r="F137" s="94" t="s">
        <v>230</v>
      </c>
      <c r="G137" s="96">
        <v>75.010000000000005</v>
      </c>
      <c r="H137" s="81">
        <f t="shared" si="0"/>
        <v>10766185.300000001</v>
      </c>
      <c r="I137" s="81">
        <f>+Tabla1014[[#This Row],[Precio Total en Pesos]]*80%</f>
        <v>8612948.2400000002</v>
      </c>
    </row>
    <row r="138" spans="2:9" ht="15" customHeight="1" x14ac:dyDescent="0.3">
      <c r="B138" s="53" t="s">
        <v>229</v>
      </c>
      <c r="C138" s="84">
        <v>56</v>
      </c>
      <c r="D138" s="112">
        <f>SUM(Tabla1343[[#This Row],[Columna1]:[Columna5]])</f>
        <v>50</v>
      </c>
      <c r="E138" s="69" t="s">
        <v>279</v>
      </c>
      <c r="F138" s="94" t="s">
        <v>230</v>
      </c>
      <c r="G138" s="96">
        <v>70.069999999999993</v>
      </c>
      <c r="H138" s="81">
        <f t="shared" si="0"/>
        <v>608207.6</v>
      </c>
      <c r="I138" s="81">
        <f>+Tabla1014[[#This Row],[Precio Total en Pesos]]*80%</f>
        <v>486566.08</v>
      </c>
    </row>
    <row r="139" spans="2:9" ht="15" customHeight="1" x14ac:dyDescent="0.3">
      <c r="B139" s="48" t="s">
        <v>235</v>
      </c>
      <c r="C139" s="83">
        <v>50</v>
      </c>
      <c r="D139" s="110">
        <f>SUM(Tabla1343[[#This Row],[Columna1]:[Columna5]])</f>
        <v>50</v>
      </c>
      <c r="E139" s="50" t="s">
        <v>279</v>
      </c>
      <c r="F139" s="94" t="s">
        <v>230</v>
      </c>
      <c r="G139" s="96">
        <v>36.14</v>
      </c>
      <c r="H139" s="81">
        <f t="shared" si="0"/>
        <v>280085</v>
      </c>
      <c r="I139" s="81">
        <f>+Tabla1014[[#This Row],[Precio Total en Pesos]]*80%</f>
        <v>224068</v>
      </c>
    </row>
    <row r="140" spans="2:9" ht="15" customHeight="1" x14ac:dyDescent="0.3">
      <c r="B140" s="48" t="s">
        <v>236</v>
      </c>
      <c r="C140" s="83">
        <v>50</v>
      </c>
      <c r="D140" s="110">
        <f>SUM(Tabla1343[[#This Row],[Columna1]:[Columna5]])</f>
        <v>17</v>
      </c>
      <c r="E140" s="50" t="s">
        <v>279</v>
      </c>
      <c r="F140" s="94" t="s">
        <v>230</v>
      </c>
      <c r="G140" s="96">
        <v>33.409999999999997</v>
      </c>
      <c r="H140" s="81">
        <f t="shared" si="0"/>
        <v>258927.49999999997</v>
      </c>
      <c r="I140" s="81">
        <f>+Tabla1014[[#This Row],[Precio Total en Pesos]]*80%</f>
        <v>207142</v>
      </c>
    </row>
    <row r="141" spans="2:9" ht="15" customHeight="1" x14ac:dyDescent="0.3">
      <c r="B141" s="48" t="s">
        <v>105</v>
      </c>
      <c r="C141" s="83">
        <v>17</v>
      </c>
      <c r="D141" s="110">
        <f>SUM(Tabla1343[[#This Row],[Columna1]:[Columna5]])</f>
        <v>145</v>
      </c>
      <c r="E141" s="50" t="s">
        <v>279</v>
      </c>
      <c r="F141" s="94" t="s">
        <v>230</v>
      </c>
      <c r="G141" s="96">
        <v>45.76</v>
      </c>
      <c r="H141" s="81">
        <f t="shared" si="0"/>
        <v>120577.59999999999</v>
      </c>
      <c r="I141" s="81">
        <f>+Tabla1014[[#This Row],[Precio Total en Pesos]]*80%</f>
        <v>96462.080000000002</v>
      </c>
    </row>
    <row r="142" spans="2:9" ht="15" customHeight="1" x14ac:dyDescent="0.3">
      <c r="B142" s="48" t="s">
        <v>106</v>
      </c>
      <c r="C142" s="83">
        <v>145</v>
      </c>
      <c r="D142" s="110">
        <f>SUM(Tabla1343[[#This Row],[Columna1]:[Columna5]])</f>
        <v>23</v>
      </c>
      <c r="E142" s="50" t="s">
        <v>279</v>
      </c>
      <c r="F142" s="94" t="s">
        <v>230</v>
      </c>
      <c r="G142" s="96">
        <v>43.03</v>
      </c>
      <c r="H142" s="81">
        <f t="shared" si="0"/>
        <v>967099.25</v>
      </c>
      <c r="I142" s="81">
        <f>+Tabla1014[[#This Row],[Precio Total en Pesos]]*80%</f>
        <v>773679.4</v>
      </c>
    </row>
    <row r="143" spans="2:9" ht="15" customHeight="1" x14ac:dyDescent="0.3">
      <c r="B143" s="48" t="s">
        <v>144</v>
      </c>
      <c r="C143" s="83">
        <v>27</v>
      </c>
      <c r="D143" s="121">
        <f>SUM(Tabla1343[[#This Row],[Columna1]:[Columna5]])</f>
        <v>80</v>
      </c>
      <c r="E143" s="50" t="s">
        <v>279</v>
      </c>
      <c r="F143" s="94" t="s">
        <v>230</v>
      </c>
      <c r="G143" s="96">
        <v>61.23</v>
      </c>
      <c r="H143" s="81">
        <f t="shared" si="0"/>
        <v>256247.54999999996</v>
      </c>
      <c r="I143" s="81">
        <f>+Tabla1014[[#This Row],[Precio Total en Pesos]]*80%</f>
        <v>204998.03999999998</v>
      </c>
    </row>
    <row r="144" spans="2:9" ht="15" customHeight="1" x14ac:dyDescent="0.3">
      <c r="B144" s="48" t="s">
        <v>234</v>
      </c>
      <c r="C144" s="83">
        <v>80</v>
      </c>
      <c r="D144" s="110">
        <f>SUM(Tabla1343[[#This Row],[Columna1]:[Columna5]])</f>
        <v>15</v>
      </c>
      <c r="E144" s="50" t="s">
        <v>279</v>
      </c>
      <c r="F144" s="94" t="s">
        <v>230</v>
      </c>
      <c r="G144" s="96">
        <v>37.96</v>
      </c>
      <c r="H144" s="81">
        <f t="shared" si="0"/>
        <v>470704</v>
      </c>
      <c r="I144" s="81">
        <f>+Tabla1014[[#This Row],[Precio Total en Pesos]]*80%</f>
        <v>376563.20000000001</v>
      </c>
    </row>
    <row r="145" spans="2:9" ht="15" customHeight="1" x14ac:dyDescent="0.3">
      <c r="B145" s="53" t="s">
        <v>102</v>
      </c>
      <c r="C145" s="84">
        <v>15</v>
      </c>
      <c r="D145" s="112">
        <f>SUM(Tabla1343[[#This Row],[Columna1]:[Columna5]])</f>
        <v>237</v>
      </c>
      <c r="E145" s="69" t="s">
        <v>279</v>
      </c>
      <c r="F145" s="94" t="s">
        <v>230</v>
      </c>
      <c r="G145" s="96">
        <v>55.64</v>
      </c>
      <c r="H145" s="81">
        <f t="shared" si="0"/>
        <v>129363</v>
      </c>
      <c r="I145" s="81">
        <f>+Tabla1014[[#This Row],[Precio Total en Pesos]]*80%</f>
        <v>103490.40000000001</v>
      </c>
    </row>
    <row r="146" spans="2:9" s="170" customFormat="1" ht="15" customHeight="1" thickBot="1" x14ac:dyDescent="0.35">
      <c r="B146" s="53" t="s">
        <v>67</v>
      </c>
      <c r="C146" s="84">
        <v>237</v>
      </c>
      <c r="D146" s="112" t="e">
        <f>SUM(Tabla1343[[#This Row],[Columna1]:[Columna5]])</f>
        <v>#VALUE!</v>
      </c>
      <c r="E146" s="69" t="s">
        <v>279</v>
      </c>
      <c r="F146" s="172" t="s">
        <v>230</v>
      </c>
      <c r="G146" s="173">
        <v>148.19999999999999</v>
      </c>
      <c r="H146" s="81">
        <f t="shared" si="0"/>
        <v>5444126.9999999991</v>
      </c>
      <c r="I146" s="81">
        <f>+Tabla1014[[#This Row],[Precio Total en Pesos]]*80%</f>
        <v>4355301.5999999996</v>
      </c>
    </row>
    <row r="147" spans="2:9" ht="15" thickBot="1" x14ac:dyDescent="0.35">
      <c r="B147" s="164"/>
      <c r="C147" s="171"/>
      <c r="D147" s="178" t="e">
        <f>SUM(Tabla1343[[#This Row],[Columna1]:[Columna5]])</f>
        <v>#VALUE!</v>
      </c>
      <c r="E147" s="179"/>
      <c r="F147" s="180"/>
      <c r="G147" s="180"/>
      <c r="H147" s="188"/>
      <c r="I147" s="189">
        <f>SUM(I110:I146)</f>
        <v>45586095.199999988</v>
      </c>
    </row>
    <row r="148" spans="2:9" ht="15" thickBot="1" x14ac:dyDescent="0.35"/>
    <row r="149" spans="2:9" ht="15" hidden="1" thickBot="1" x14ac:dyDescent="0.35">
      <c r="I149" s="131">
        <f>+I147+Tabla1347812[[#Totals],[Valor Compra 50%]]</f>
        <v>58924716.699999988</v>
      </c>
    </row>
    <row r="150" spans="2:9" ht="15" hidden="1" thickBot="1" x14ac:dyDescent="0.35"/>
    <row r="151" spans="2:9" ht="20.25" customHeight="1" thickBot="1" x14ac:dyDescent="0.35">
      <c r="B151" s="412" t="s">
        <v>320</v>
      </c>
      <c r="C151" s="413"/>
      <c r="D151" s="413"/>
      <c r="E151" s="413"/>
      <c r="F151" s="413"/>
      <c r="G151" s="414"/>
      <c r="H151"/>
      <c r="I151"/>
    </row>
    <row r="152" spans="2:9" ht="15" thickBot="1" x14ac:dyDescent="0.35">
      <c r="B152" s="421" t="s">
        <v>322</v>
      </c>
      <c r="C152" s="422"/>
      <c r="D152" s="422"/>
      <c r="E152" s="422"/>
      <c r="F152" s="422"/>
      <c r="G152" s="423"/>
      <c r="H152"/>
      <c r="I152"/>
    </row>
    <row r="153" spans="2:9" s="1" customFormat="1" ht="28.5" customHeight="1" thickBot="1" x14ac:dyDescent="0.35">
      <c r="B153" s="100" t="s">
        <v>0</v>
      </c>
      <c r="C153" s="101" t="s">
        <v>1</v>
      </c>
      <c r="D153" s="101" t="s">
        <v>308</v>
      </c>
      <c r="E153" s="101" t="s">
        <v>269</v>
      </c>
      <c r="F153" s="102" t="s">
        <v>300</v>
      </c>
      <c r="G153" s="102" t="s">
        <v>225</v>
      </c>
      <c r="H153"/>
    </row>
    <row r="154" spans="2:9" x14ac:dyDescent="0.3">
      <c r="B154" s="192" t="s">
        <v>275</v>
      </c>
      <c r="C154" s="182">
        <v>12</v>
      </c>
      <c r="D154" s="182"/>
      <c r="E154" s="183" t="s">
        <v>315</v>
      </c>
      <c r="F154" s="146"/>
      <c r="G154" s="193" t="s">
        <v>319</v>
      </c>
      <c r="H154"/>
      <c r="I154"/>
    </row>
    <row r="155" spans="2:9" ht="13.8" customHeight="1" x14ac:dyDescent="0.3">
      <c r="B155" s="194" t="s">
        <v>200</v>
      </c>
      <c r="C155" s="118">
        <v>2</v>
      </c>
      <c r="D155" s="10"/>
      <c r="E155" s="148" t="s">
        <v>313</v>
      </c>
      <c r="F155" s="60"/>
      <c r="G155" s="195"/>
      <c r="H155"/>
      <c r="I155"/>
    </row>
    <row r="156" spans="2:9" x14ac:dyDescent="0.3">
      <c r="B156" s="192" t="s">
        <v>202</v>
      </c>
      <c r="C156" s="182">
        <v>2</v>
      </c>
      <c r="D156" s="182"/>
      <c r="E156" s="183" t="s">
        <v>315</v>
      </c>
      <c r="F156" s="146"/>
      <c r="G156" s="193" t="s">
        <v>319</v>
      </c>
      <c r="H156"/>
      <c r="I156"/>
    </row>
    <row r="157" spans="2:9" x14ac:dyDescent="0.3">
      <c r="B157" s="192" t="s">
        <v>201</v>
      </c>
      <c r="C157" s="182">
        <v>1</v>
      </c>
      <c r="D157" s="182"/>
      <c r="E157" s="183" t="s">
        <v>315</v>
      </c>
      <c r="F157" s="146"/>
      <c r="G157" s="193" t="s">
        <v>319</v>
      </c>
      <c r="H157"/>
      <c r="I157"/>
    </row>
    <row r="158" spans="2:9" x14ac:dyDescent="0.3">
      <c r="B158" s="192" t="s">
        <v>137</v>
      </c>
      <c r="C158" s="182">
        <v>2</v>
      </c>
      <c r="D158" s="182"/>
      <c r="E158" s="183" t="s">
        <v>315</v>
      </c>
      <c r="F158" s="146"/>
      <c r="G158" s="193" t="s">
        <v>319</v>
      </c>
      <c r="H158"/>
      <c r="I158"/>
    </row>
    <row r="159" spans="2:9" x14ac:dyDescent="0.3">
      <c r="B159" s="194" t="s">
        <v>214</v>
      </c>
      <c r="C159" s="118">
        <v>24</v>
      </c>
      <c r="D159" s="10"/>
      <c r="E159" s="148" t="s">
        <v>313</v>
      </c>
      <c r="F159" s="60"/>
      <c r="G159" s="195" t="s">
        <v>265</v>
      </c>
      <c r="H159"/>
      <c r="I159"/>
    </row>
    <row r="160" spans="2:9" x14ac:dyDescent="0.3">
      <c r="B160" s="194" t="s">
        <v>213</v>
      </c>
      <c r="C160" s="118">
        <v>8</v>
      </c>
      <c r="D160" s="10"/>
      <c r="E160" s="148" t="s">
        <v>313</v>
      </c>
      <c r="F160" s="60"/>
      <c r="G160" s="195" t="s">
        <v>265</v>
      </c>
      <c r="H160"/>
      <c r="I160"/>
    </row>
    <row r="161" spans="2:9" x14ac:dyDescent="0.3">
      <c r="B161" s="194" t="s">
        <v>126</v>
      </c>
      <c r="C161" s="118">
        <v>2</v>
      </c>
      <c r="D161" s="10"/>
      <c r="E161" s="148" t="s">
        <v>313</v>
      </c>
      <c r="F161" s="60"/>
      <c r="G161" s="195" t="s">
        <v>270</v>
      </c>
      <c r="H161"/>
      <c r="I161"/>
    </row>
    <row r="162" spans="2:9" x14ac:dyDescent="0.3">
      <c r="B162" s="192" t="s">
        <v>50</v>
      </c>
      <c r="C162" s="182">
        <v>13</v>
      </c>
      <c r="D162" s="182"/>
      <c r="E162" s="183" t="s">
        <v>315</v>
      </c>
      <c r="F162" s="146"/>
      <c r="G162" s="193" t="s">
        <v>319</v>
      </c>
      <c r="H162"/>
      <c r="I162"/>
    </row>
    <row r="163" spans="2:9" x14ac:dyDescent="0.3">
      <c r="B163" s="194" t="s">
        <v>252</v>
      </c>
      <c r="C163" s="118">
        <v>74</v>
      </c>
      <c r="D163" s="10"/>
      <c r="E163" s="148" t="s">
        <v>313</v>
      </c>
      <c r="F163" s="60"/>
      <c r="G163" s="195" t="s">
        <v>253</v>
      </c>
      <c r="H163"/>
      <c r="I163"/>
    </row>
    <row r="164" spans="2:9" x14ac:dyDescent="0.3">
      <c r="B164" s="194" t="s">
        <v>222</v>
      </c>
      <c r="C164" s="118">
        <v>2</v>
      </c>
      <c r="D164" s="114"/>
      <c r="E164" s="148" t="s">
        <v>313</v>
      </c>
      <c r="F164" s="60"/>
      <c r="G164" s="195" t="s">
        <v>265</v>
      </c>
      <c r="H164"/>
      <c r="I164"/>
    </row>
    <row r="165" spans="2:9" x14ac:dyDescent="0.3">
      <c r="B165" s="194" t="s">
        <v>223</v>
      </c>
      <c r="C165" s="118">
        <v>3</v>
      </c>
      <c r="D165" s="10"/>
      <c r="E165" s="148" t="s">
        <v>313</v>
      </c>
      <c r="F165" s="60"/>
      <c r="G165" s="195" t="s">
        <v>265</v>
      </c>
      <c r="H165"/>
      <c r="I165"/>
    </row>
    <row r="166" spans="2:9" x14ac:dyDescent="0.3">
      <c r="B166" s="194" t="s">
        <v>215</v>
      </c>
      <c r="C166" s="118">
        <v>12</v>
      </c>
      <c r="D166" s="114"/>
      <c r="E166" s="148" t="s">
        <v>313</v>
      </c>
      <c r="F166" s="60"/>
      <c r="G166" s="195" t="s">
        <v>265</v>
      </c>
      <c r="H166"/>
      <c r="I166"/>
    </row>
    <row r="167" spans="2:9" x14ac:dyDescent="0.3">
      <c r="B167" s="194" t="s">
        <v>212</v>
      </c>
      <c r="C167" s="118">
        <v>1</v>
      </c>
      <c r="D167" s="10"/>
      <c r="E167" s="148" t="s">
        <v>313</v>
      </c>
      <c r="F167" s="60"/>
      <c r="G167" s="195" t="s">
        <v>265</v>
      </c>
      <c r="H167"/>
      <c r="I167"/>
    </row>
    <row r="168" spans="2:9" x14ac:dyDescent="0.3">
      <c r="B168" s="194" t="s">
        <v>211</v>
      </c>
      <c r="C168" s="118">
        <v>1</v>
      </c>
      <c r="D168" s="114"/>
      <c r="E168" s="148" t="s">
        <v>313</v>
      </c>
      <c r="F168" s="60"/>
      <c r="G168" s="195" t="s">
        <v>265</v>
      </c>
      <c r="H168"/>
      <c r="I168"/>
    </row>
    <row r="169" spans="2:9" x14ac:dyDescent="0.3">
      <c r="B169" s="194" t="s">
        <v>94</v>
      </c>
      <c r="C169" s="118">
        <v>1</v>
      </c>
      <c r="D169" s="10"/>
      <c r="E169" s="148" t="s">
        <v>313</v>
      </c>
      <c r="F169" s="60"/>
      <c r="G169" s="195" t="s">
        <v>272</v>
      </c>
      <c r="H169"/>
      <c r="I169"/>
    </row>
    <row r="170" spans="2:9" x14ac:dyDescent="0.3">
      <c r="B170" s="192" t="s">
        <v>207</v>
      </c>
      <c r="C170" s="182">
        <v>1</v>
      </c>
      <c r="D170" s="182"/>
      <c r="E170" s="183" t="s">
        <v>315</v>
      </c>
      <c r="F170" s="146"/>
      <c r="G170" s="193" t="s">
        <v>319</v>
      </c>
      <c r="H170"/>
      <c r="I170"/>
    </row>
    <row r="171" spans="2:9" x14ac:dyDescent="0.3">
      <c r="B171" s="194" t="s">
        <v>233</v>
      </c>
      <c r="C171" s="118">
        <v>1</v>
      </c>
      <c r="D171" s="10"/>
      <c r="E171" s="148" t="s">
        <v>313</v>
      </c>
      <c r="F171" s="60"/>
      <c r="G171" s="195" t="s">
        <v>265</v>
      </c>
      <c r="H171"/>
      <c r="I171"/>
    </row>
    <row r="172" spans="2:9" x14ac:dyDescent="0.3">
      <c r="B172" s="194" t="s">
        <v>237</v>
      </c>
      <c r="C172" s="118">
        <v>1</v>
      </c>
      <c r="D172" s="114"/>
      <c r="E172" s="148" t="s">
        <v>313</v>
      </c>
      <c r="F172" s="60"/>
      <c r="G172" s="195" t="s">
        <v>265</v>
      </c>
      <c r="H172"/>
      <c r="I172"/>
    </row>
    <row r="173" spans="2:9" x14ac:dyDescent="0.3">
      <c r="B173" s="194" t="s">
        <v>238</v>
      </c>
      <c r="C173" s="118">
        <v>4</v>
      </c>
      <c r="D173" s="10"/>
      <c r="E173" s="148" t="s">
        <v>313</v>
      </c>
      <c r="F173" s="60"/>
      <c r="G173" s="195" t="s">
        <v>265</v>
      </c>
      <c r="H173"/>
      <c r="I173"/>
    </row>
    <row r="174" spans="2:9" x14ac:dyDescent="0.3">
      <c r="B174" s="196" t="s">
        <v>220</v>
      </c>
      <c r="C174" s="150">
        <v>2</v>
      </c>
      <c r="D174" s="115"/>
      <c r="E174" s="148" t="s">
        <v>313</v>
      </c>
      <c r="F174" s="64"/>
      <c r="G174" s="197" t="s">
        <v>265</v>
      </c>
      <c r="H174"/>
      <c r="I174"/>
    </row>
    <row r="175" spans="2:9" x14ac:dyDescent="0.3">
      <c r="B175" s="196" t="s">
        <v>221</v>
      </c>
      <c r="C175" s="150">
        <v>2</v>
      </c>
      <c r="D175" s="113"/>
      <c r="E175" s="148" t="s">
        <v>313</v>
      </c>
      <c r="F175" s="64"/>
      <c r="G175" s="197" t="s">
        <v>265</v>
      </c>
      <c r="H175"/>
      <c r="I175"/>
    </row>
    <row r="176" spans="2:9" ht="15" thickBot="1" x14ac:dyDescent="0.35">
      <c r="B176" s="198" t="s">
        <v>216</v>
      </c>
      <c r="C176" s="199">
        <v>8</v>
      </c>
      <c r="D176" s="200"/>
      <c r="E176" s="201" t="s">
        <v>313</v>
      </c>
      <c r="F176" s="202"/>
      <c r="G176" s="203" t="s">
        <v>265</v>
      </c>
      <c r="H176"/>
      <c r="I176"/>
    </row>
  </sheetData>
  <mergeCells count="5">
    <mergeCell ref="B151:G151"/>
    <mergeCell ref="B152:G152"/>
    <mergeCell ref="B1:I1"/>
    <mergeCell ref="B108:G108"/>
    <mergeCell ref="B2:I2"/>
  </mergeCells>
  <pageMargins left="0.39370078740157483" right="0.11811023622047245" top="0.19685039370078741" bottom="0.19685039370078741" header="0.31496062992125984" footer="0.31496062992125984"/>
  <pageSetup scale="80" orientation="portrait" r:id="rId1"/>
  <tableParts count="3">
    <tablePart r:id="rId2"/>
    <tablePart r:id="rId3"/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7"/>
  <sheetViews>
    <sheetView topLeftCell="A105" zoomScaleNormal="100" workbookViewId="0">
      <selection activeCell="H109" sqref="H108:I109"/>
    </sheetView>
  </sheetViews>
  <sheetFormatPr baseColWidth="10" defaultRowHeight="14.4" x14ac:dyDescent="0.3"/>
  <cols>
    <col min="1" max="1" width="1.6640625" customWidth="1"/>
    <col min="2" max="2" width="38.88671875" style="2" customWidth="1"/>
    <col min="3" max="3" width="19.77734375" style="1" customWidth="1"/>
    <col min="4" max="4" width="19.77734375" style="1" hidden="1" customWidth="1"/>
    <col min="5" max="5" width="19.77734375" hidden="1" customWidth="1"/>
    <col min="6" max="6" width="19.77734375" style="43" hidden="1" customWidth="1"/>
    <col min="7" max="7" width="19.77734375" style="43" customWidth="1"/>
    <col min="8" max="8" width="20.44140625" style="43" customWidth="1"/>
    <col min="9" max="9" width="19.77734375" style="43" customWidth="1"/>
  </cols>
  <sheetData>
    <row r="1" spans="2:9" ht="26.25" customHeight="1" thickBot="1" x14ac:dyDescent="0.35">
      <c r="B1" s="412" t="s">
        <v>347</v>
      </c>
      <c r="C1" s="413"/>
      <c r="D1" s="413"/>
      <c r="E1" s="413"/>
      <c r="F1" s="413"/>
      <c r="G1" s="413"/>
      <c r="H1" s="413"/>
      <c r="I1" s="414"/>
    </row>
    <row r="2" spans="2:9" ht="15" customHeight="1" thickBot="1" x14ac:dyDescent="0.35">
      <c r="B2" s="421" t="s">
        <v>348</v>
      </c>
      <c r="C2" s="422"/>
      <c r="D2" s="422"/>
      <c r="E2" s="422"/>
      <c r="F2" s="422"/>
      <c r="G2" s="422"/>
      <c r="H2" s="422"/>
      <c r="I2" s="423"/>
    </row>
    <row r="3" spans="2:9" s="1" customFormat="1" ht="25.2" customHeight="1" thickBot="1" x14ac:dyDescent="0.35">
      <c r="B3" s="100" t="s">
        <v>0</v>
      </c>
      <c r="C3" s="101" t="s">
        <v>1</v>
      </c>
      <c r="D3" s="101" t="s">
        <v>308</v>
      </c>
      <c r="E3" s="101" t="s">
        <v>269</v>
      </c>
      <c r="F3" s="102" t="s">
        <v>300</v>
      </c>
      <c r="G3" s="103" t="s">
        <v>349</v>
      </c>
      <c r="H3" s="127" t="s">
        <v>312</v>
      </c>
      <c r="I3" s="127" t="s">
        <v>324</v>
      </c>
    </row>
    <row r="4" spans="2:9" ht="15" customHeight="1" x14ac:dyDescent="0.3">
      <c r="B4" s="155" t="s">
        <v>210</v>
      </c>
      <c r="C4" s="156">
        <v>7</v>
      </c>
      <c r="D4" s="156" t="e">
        <f>SUM(Tabla1343[[#This Row],[Columna1]:[Columna5]])</f>
        <v>#VALUE!</v>
      </c>
      <c r="E4" s="157" t="s">
        <v>313</v>
      </c>
      <c r="F4" s="158"/>
      <c r="G4" s="158">
        <v>90000</v>
      </c>
      <c r="H4" s="158">
        <f>+Tabla134781215[[#This Row],[Cantidad]]*Tabla134781215[[#This Row],[Precio Unitario en Pesos]]</f>
        <v>630000</v>
      </c>
      <c r="I4" s="158">
        <f>+Tabla134781215[[#This Row],[Precio Total en Pesos]]/2</f>
        <v>315000</v>
      </c>
    </row>
    <row r="5" spans="2:9" ht="15" customHeight="1" x14ac:dyDescent="0.3">
      <c r="B5" s="159" t="s">
        <v>148</v>
      </c>
      <c r="C5" s="160">
        <v>4</v>
      </c>
      <c r="D5" s="156">
        <f>SUM(Tabla1343[[#This Row],[Columna1]:[Columna5]])</f>
        <v>7</v>
      </c>
      <c r="E5" s="157" t="s">
        <v>314</v>
      </c>
      <c r="F5" s="105"/>
      <c r="G5" s="105">
        <v>78000</v>
      </c>
      <c r="H5" s="158">
        <f>+Tabla134781215[[#This Row],[Cantidad]]*Tabla134781215[[#This Row],[Precio Unitario en Pesos]]</f>
        <v>312000</v>
      </c>
      <c r="I5" s="158">
        <f>+Tabla134781215[[#This Row],[Precio Total en Pesos]]/2</f>
        <v>156000</v>
      </c>
    </row>
    <row r="6" spans="2:9" ht="15" customHeight="1" x14ac:dyDescent="0.3">
      <c r="B6" s="159" t="s">
        <v>139</v>
      </c>
      <c r="C6" s="160">
        <v>8</v>
      </c>
      <c r="D6" s="156">
        <f>SUM(Tabla1343[[#This Row],[Columna1]:[Columna5]])</f>
        <v>4</v>
      </c>
      <c r="E6" s="157" t="s">
        <v>317</v>
      </c>
      <c r="F6" s="105"/>
      <c r="G6" s="105">
        <v>13600</v>
      </c>
      <c r="H6" s="158">
        <f>+Tabla134781215[[#This Row],[Cantidad]]*Tabla134781215[[#This Row],[Precio Unitario en Pesos]]</f>
        <v>108800</v>
      </c>
      <c r="I6" s="158">
        <f>+Tabla134781215[[#This Row],[Precio Total en Pesos]]/2</f>
        <v>54400</v>
      </c>
    </row>
    <row r="7" spans="2:9" ht="15" customHeight="1" x14ac:dyDescent="0.3">
      <c r="B7" s="159" t="s">
        <v>194</v>
      </c>
      <c r="C7" s="160">
        <v>2</v>
      </c>
      <c r="D7" s="156">
        <f>SUM(Tabla1343[[#This Row],[Columna1]:[Columna5]])</f>
        <v>8</v>
      </c>
      <c r="E7" s="157" t="s">
        <v>313</v>
      </c>
      <c r="F7" s="105"/>
      <c r="G7" s="105">
        <v>16000</v>
      </c>
      <c r="H7" s="158">
        <f>+Tabla134781215[[#This Row],[Cantidad]]*Tabla134781215[[#This Row],[Precio Unitario en Pesos]]</f>
        <v>32000</v>
      </c>
      <c r="I7" s="158">
        <f>+Tabla134781215[[#This Row],[Precio Total en Pesos]]/2</f>
        <v>16000</v>
      </c>
    </row>
    <row r="8" spans="2:9" ht="15" customHeight="1" x14ac:dyDescent="0.3">
      <c r="B8" s="159" t="s">
        <v>160</v>
      </c>
      <c r="C8" s="160">
        <v>9</v>
      </c>
      <c r="D8" s="156">
        <f>SUM(Tabla1343[[#This Row],[Columna1]:[Columna5]])</f>
        <v>2</v>
      </c>
      <c r="E8" s="157" t="s">
        <v>313</v>
      </c>
      <c r="F8" s="105"/>
      <c r="G8" s="105">
        <v>6000</v>
      </c>
      <c r="H8" s="158">
        <f>+Tabla134781215[[#This Row],[Cantidad]]*Tabla134781215[[#This Row],[Precio Unitario en Pesos]]</f>
        <v>54000</v>
      </c>
      <c r="I8" s="158">
        <f>+Tabla134781215[[#This Row],[Precio Total en Pesos]]/2</f>
        <v>27000</v>
      </c>
    </row>
    <row r="9" spans="2:9" ht="15" customHeight="1" x14ac:dyDescent="0.3">
      <c r="B9" s="159" t="s">
        <v>195</v>
      </c>
      <c r="C9" s="160">
        <v>3</v>
      </c>
      <c r="D9" s="156">
        <f>SUM(Tabla1343[[#This Row],[Columna1]:[Columna5]])</f>
        <v>9</v>
      </c>
      <c r="E9" s="157" t="s">
        <v>313</v>
      </c>
      <c r="F9" s="105"/>
      <c r="G9" s="105">
        <v>6000</v>
      </c>
      <c r="H9" s="158">
        <f>+Tabla134781215[[#This Row],[Cantidad]]*Tabla134781215[[#This Row],[Precio Unitario en Pesos]]</f>
        <v>18000</v>
      </c>
      <c r="I9" s="158">
        <f>+Tabla134781215[[#This Row],[Precio Total en Pesos]]/2</f>
        <v>9000</v>
      </c>
    </row>
    <row r="10" spans="2:9" ht="15" customHeight="1" x14ac:dyDescent="0.3">
      <c r="B10" s="159" t="s">
        <v>118</v>
      </c>
      <c r="C10" s="161">
        <v>97</v>
      </c>
      <c r="D10" s="162">
        <f>SUM(Tabla1343[[#This Row],[Columna1]:[Columna5]])</f>
        <v>3</v>
      </c>
      <c r="E10" s="157" t="s">
        <v>313</v>
      </c>
      <c r="F10" s="105"/>
      <c r="G10" s="163">
        <v>290</v>
      </c>
      <c r="H10" s="158">
        <f>+Tabla134781215[[#This Row],[Cantidad]]*Tabla134781215[[#This Row],[Precio Unitario en Pesos]]</f>
        <v>28130</v>
      </c>
      <c r="I10" s="158">
        <f>+Tabla134781215[[#This Row],[Precio Total en Pesos]]/2</f>
        <v>14065</v>
      </c>
    </row>
    <row r="11" spans="2:9" ht="15" customHeight="1" x14ac:dyDescent="0.3">
      <c r="B11" s="159" t="s">
        <v>119</v>
      </c>
      <c r="C11" s="161">
        <v>137</v>
      </c>
      <c r="D11" s="162">
        <f>SUM(Tabla1343[[#This Row],[Columna1]:[Columna5]])</f>
        <v>97</v>
      </c>
      <c r="E11" s="157" t="s">
        <v>313</v>
      </c>
      <c r="F11" s="105"/>
      <c r="G11" s="163">
        <v>320</v>
      </c>
      <c r="H11" s="158">
        <f>+Tabla134781215[[#This Row],[Cantidad]]*Tabla134781215[[#This Row],[Precio Unitario en Pesos]]</f>
        <v>43840</v>
      </c>
      <c r="I11" s="158">
        <f>+Tabla134781215[[#This Row],[Precio Total en Pesos]]/2</f>
        <v>21920</v>
      </c>
    </row>
    <row r="12" spans="2:9" ht="15" customHeight="1" x14ac:dyDescent="0.3">
      <c r="B12" s="159" t="s">
        <v>189</v>
      </c>
      <c r="C12" s="161">
        <v>14</v>
      </c>
      <c r="D12" s="162">
        <f>SUM(Tabla1343[[#This Row],[Columna1]:[Columna5]])</f>
        <v>137</v>
      </c>
      <c r="E12" s="157" t="s">
        <v>313</v>
      </c>
      <c r="F12" s="105"/>
      <c r="G12" s="163">
        <v>80</v>
      </c>
      <c r="H12" s="158">
        <f>+Tabla134781215[[#This Row],[Cantidad]]*Tabla134781215[[#This Row],[Precio Unitario en Pesos]]</f>
        <v>1120</v>
      </c>
      <c r="I12" s="158">
        <f>+Tabla134781215[[#This Row],[Precio Total en Pesos]]/2</f>
        <v>560</v>
      </c>
    </row>
    <row r="13" spans="2:9" ht="15" customHeight="1" x14ac:dyDescent="0.3">
      <c r="B13" s="159" t="s">
        <v>188</v>
      </c>
      <c r="C13" s="161">
        <v>136</v>
      </c>
      <c r="D13" s="162">
        <f>SUM(Tabla1343[[#This Row],[Columna1]:[Columna5]])</f>
        <v>14</v>
      </c>
      <c r="E13" s="157" t="s">
        <v>313</v>
      </c>
      <c r="F13" s="105"/>
      <c r="G13" s="163">
        <v>170</v>
      </c>
      <c r="H13" s="158">
        <f>+Tabla134781215[[#This Row],[Cantidad]]*Tabla134781215[[#This Row],[Precio Unitario en Pesos]]</f>
        <v>23120</v>
      </c>
      <c r="I13" s="158">
        <f>+Tabla134781215[[#This Row],[Precio Total en Pesos]]/2</f>
        <v>11560</v>
      </c>
    </row>
    <row r="14" spans="2:9" ht="15" customHeight="1" x14ac:dyDescent="0.3">
      <c r="B14" s="159" t="s">
        <v>171</v>
      </c>
      <c r="C14" s="161">
        <v>3</v>
      </c>
      <c r="D14" s="162">
        <f>SUM(Tabla1343[[#This Row],[Columna1]:[Columna5]])</f>
        <v>136</v>
      </c>
      <c r="E14" s="157" t="s">
        <v>313</v>
      </c>
      <c r="F14" s="105"/>
      <c r="G14" s="163">
        <v>10560</v>
      </c>
      <c r="H14" s="158">
        <f>+Tabla134781215[[#This Row],[Cantidad]]*Tabla134781215[[#This Row],[Precio Unitario en Pesos]]</f>
        <v>31680</v>
      </c>
      <c r="I14" s="158">
        <f>+Tabla134781215[[#This Row],[Precio Total en Pesos]]/2</f>
        <v>15840</v>
      </c>
    </row>
    <row r="15" spans="2:9" ht="15" customHeight="1" x14ac:dyDescent="0.3">
      <c r="B15" s="159" t="s">
        <v>170</v>
      </c>
      <c r="C15" s="161">
        <v>7</v>
      </c>
      <c r="D15" s="162">
        <f>SUM(Tabla1343[[#This Row],[Columna1]:[Columna5]])</f>
        <v>3</v>
      </c>
      <c r="E15" s="157" t="s">
        <v>313</v>
      </c>
      <c r="F15" s="105"/>
      <c r="G15" s="163">
        <v>1800</v>
      </c>
      <c r="H15" s="158">
        <f>+Tabla134781215[[#This Row],[Cantidad]]*Tabla134781215[[#This Row],[Precio Unitario en Pesos]]</f>
        <v>12600</v>
      </c>
      <c r="I15" s="158">
        <f>+Tabla134781215[[#This Row],[Precio Total en Pesos]]/2</f>
        <v>6300</v>
      </c>
    </row>
    <row r="16" spans="2:9" x14ac:dyDescent="0.3">
      <c r="B16" s="136" t="s">
        <v>242</v>
      </c>
      <c r="C16" s="137">
        <v>1</v>
      </c>
      <c r="D16" s="185">
        <f>SUM(Tabla1343[[#This Row],[Columna1]:[Columna5]])</f>
        <v>7</v>
      </c>
      <c r="E16" s="139" t="s">
        <v>315</v>
      </c>
      <c r="F16" s="146"/>
      <c r="G16" s="140">
        <v>0</v>
      </c>
      <c r="H16" s="141">
        <f>+Tabla134781215[[#This Row],[Cantidad]]*Tabla134781215[[#This Row],[Precio Unitario en Pesos]]</f>
        <v>0</v>
      </c>
      <c r="I16" s="141">
        <f>+Tabla134781215[[#This Row],[Precio Total en Pesos]]/2</f>
        <v>0</v>
      </c>
    </row>
    <row r="17" spans="2:9" ht="15" customHeight="1" x14ac:dyDescent="0.3">
      <c r="B17" s="159" t="s">
        <v>186</v>
      </c>
      <c r="C17" s="161">
        <v>1</v>
      </c>
      <c r="D17" s="162">
        <f>SUM(Tabla1343[[#This Row],[Columna1]:[Columna5]])</f>
        <v>1</v>
      </c>
      <c r="E17" s="157" t="s">
        <v>317</v>
      </c>
      <c r="F17" s="105"/>
      <c r="G17" s="163">
        <v>18000</v>
      </c>
      <c r="H17" s="158">
        <f>+Tabla134781215[[#This Row],[Cantidad]]*Tabla134781215[[#This Row],[Precio Unitario en Pesos]]</f>
        <v>18000</v>
      </c>
      <c r="I17" s="158">
        <f>+Tabla134781215[[#This Row],[Precio Total en Pesos]]/2</f>
        <v>9000</v>
      </c>
    </row>
    <row r="18" spans="2:9" ht="15" customHeight="1" x14ac:dyDescent="0.3">
      <c r="B18" s="164" t="s">
        <v>117</v>
      </c>
      <c r="C18" s="165">
        <v>9</v>
      </c>
      <c r="D18" s="166">
        <f>SUM(Tabla1343[[#This Row],[Columna1]:[Columna5]])</f>
        <v>1</v>
      </c>
      <c r="E18" s="167" t="s">
        <v>313</v>
      </c>
      <c r="F18" s="105"/>
      <c r="G18" s="163">
        <v>4100</v>
      </c>
      <c r="H18" s="158">
        <f>+Tabla134781215[[#This Row],[Cantidad]]*Tabla134781215[[#This Row],[Precio Unitario en Pesos]]</f>
        <v>36900</v>
      </c>
      <c r="I18" s="158">
        <f>+Tabla134781215[[#This Row],[Precio Total en Pesos]]/2</f>
        <v>18450</v>
      </c>
    </row>
    <row r="19" spans="2:9" ht="15" customHeight="1" x14ac:dyDescent="0.3">
      <c r="B19" s="159" t="s">
        <v>116</v>
      </c>
      <c r="C19" s="161">
        <v>15</v>
      </c>
      <c r="D19" s="162">
        <f>SUM(Tabla1343[[#This Row],[Columna1]:[Columna5]])</f>
        <v>9</v>
      </c>
      <c r="E19" s="157" t="s">
        <v>313</v>
      </c>
      <c r="F19" s="105"/>
      <c r="G19" s="163">
        <v>7200</v>
      </c>
      <c r="H19" s="158">
        <f>+Tabla134781215[[#This Row],[Cantidad]]*Tabla134781215[[#This Row],[Precio Unitario en Pesos]]</f>
        <v>108000</v>
      </c>
      <c r="I19" s="158">
        <f>+Tabla134781215[[#This Row],[Precio Total en Pesos]]/2</f>
        <v>54000</v>
      </c>
    </row>
    <row r="20" spans="2:9" ht="15" customHeight="1" x14ac:dyDescent="0.3">
      <c r="B20" s="159" t="s">
        <v>196</v>
      </c>
      <c r="C20" s="161">
        <v>1</v>
      </c>
      <c r="D20" s="162">
        <f>SUM(Tabla1343[[#This Row],[Columna1]:[Columna5]])</f>
        <v>15</v>
      </c>
      <c r="E20" s="157" t="s">
        <v>313</v>
      </c>
      <c r="F20" s="105"/>
      <c r="G20" s="163">
        <v>4290</v>
      </c>
      <c r="H20" s="158">
        <f>+Tabla134781215[[#This Row],[Cantidad]]*Tabla134781215[[#This Row],[Precio Unitario en Pesos]]</f>
        <v>4290</v>
      </c>
      <c r="I20" s="158">
        <f>+Tabla134781215[[#This Row],[Precio Total en Pesos]]/2</f>
        <v>2145</v>
      </c>
    </row>
    <row r="21" spans="2:9" ht="15" customHeight="1" x14ac:dyDescent="0.3">
      <c r="B21" s="159" t="s">
        <v>247</v>
      </c>
      <c r="C21" s="161">
        <v>3</v>
      </c>
      <c r="D21" s="162">
        <f>SUM(Tabla1343[[#This Row],[Columna1]:[Columna5]])</f>
        <v>1</v>
      </c>
      <c r="E21" s="157" t="s">
        <v>317</v>
      </c>
      <c r="F21" s="105"/>
      <c r="G21" s="163">
        <v>68000</v>
      </c>
      <c r="H21" s="158">
        <f>+Tabla134781215[[#This Row],[Cantidad]]*Tabla134781215[[#This Row],[Precio Unitario en Pesos]]</f>
        <v>204000</v>
      </c>
      <c r="I21" s="158">
        <f>+Tabla134781215[[#This Row],[Precio Total en Pesos]]/2</f>
        <v>102000</v>
      </c>
    </row>
    <row r="22" spans="2:9" ht="15" customHeight="1" x14ac:dyDescent="0.3">
      <c r="B22" s="159" t="s">
        <v>248</v>
      </c>
      <c r="C22" s="161">
        <v>3</v>
      </c>
      <c r="D22" s="162">
        <f>SUM(Tabla1343[[#This Row],[Columna1]:[Columna5]])</f>
        <v>3</v>
      </c>
      <c r="E22" s="157" t="s">
        <v>317</v>
      </c>
      <c r="F22" s="163"/>
      <c r="G22" s="105">
        <v>85000</v>
      </c>
      <c r="H22" s="158">
        <f>+Tabla134781215[[#This Row],[Cantidad]]*Tabla134781215[[#This Row],[Precio Unitario en Pesos]]</f>
        <v>255000</v>
      </c>
      <c r="I22" s="158">
        <f>+Tabla134781215[[#This Row],[Precio Total en Pesos]]/2</f>
        <v>127500</v>
      </c>
    </row>
    <row r="23" spans="2:9" ht="15" customHeight="1" x14ac:dyDescent="0.3">
      <c r="B23" s="159" t="s">
        <v>155</v>
      </c>
      <c r="C23" s="161">
        <v>7</v>
      </c>
      <c r="D23" s="162">
        <f>SUM(Tabla1343[[#This Row],[Columna1]:[Columna5]])</f>
        <v>3</v>
      </c>
      <c r="E23" s="157" t="s">
        <v>317</v>
      </c>
      <c r="F23" s="105"/>
      <c r="G23" s="163">
        <v>5000</v>
      </c>
      <c r="H23" s="158">
        <f>+Tabla134781215[[#This Row],[Cantidad]]*Tabla134781215[[#This Row],[Precio Unitario en Pesos]]</f>
        <v>35000</v>
      </c>
      <c r="I23" s="158">
        <f>+Tabla134781215[[#This Row],[Precio Total en Pesos]]/2</f>
        <v>17500</v>
      </c>
    </row>
    <row r="24" spans="2:9" ht="15" customHeight="1" x14ac:dyDescent="0.3">
      <c r="B24" s="159" t="s">
        <v>154</v>
      </c>
      <c r="C24" s="161">
        <v>11</v>
      </c>
      <c r="D24" s="162">
        <f>SUM(Tabla1343[[#This Row],[Columna1]:[Columna5]])</f>
        <v>7</v>
      </c>
      <c r="E24" s="157" t="s">
        <v>313</v>
      </c>
      <c r="F24" s="105"/>
      <c r="G24" s="163">
        <v>600</v>
      </c>
      <c r="H24" s="158">
        <f>+Tabla134781215[[#This Row],[Cantidad]]*Tabla134781215[[#This Row],[Precio Unitario en Pesos]]</f>
        <v>6600</v>
      </c>
      <c r="I24" s="158">
        <f>+Tabla134781215[[#This Row],[Precio Total en Pesos]]/2</f>
        <v>3300</v>
      </c>
    </row>
    <row r="25" spans="2:9" ht="15" customHeight="1" x14ac:dyDescent="0.3">
      <c r="B25" s="159" t="s">
        <v>293</v>
      </c>
      <c r="C25" s="161">
        <v>19</v>
      </c>
      <c r="D25" s="162">
        <f>SUM(Tabla1343[[#This Row],[Columna1]:[Columna5]])</f>
        <v>11</v>
      </c>
      <c r="E25" s="157" t="s">
        <v>314</v>
      </c>
      <c r="F25" s="105"/>
      <c r="G25" s="163">
        <v>4650</v>
      </c>
      <c r="H25" s="158">
        <f>+Tabla134781215[[#This Row],[Cantidad]]*Tabla134781215[[#This Row],[Precio Unitario en Pesos]]</f>
        <v>88350</v>
      </c>
      <c r="I25" s="158">
        <f>+Tabla134781215[[#This Row],[Precio Total en Pesos]]/2</f>
        <v>44175</v>
      </c>
    </row>
    <row r="26" spans="2:9" ht="15" customHeight="1" x14ac:dyDescent="0.3">
      <c r="B26" s="159" t="s">
        <v>173</v>
      </c>
      <c r="C26" s="161">
        <v>165</v>
      </c>
      <c r="D26" s="162">
        <f>SUM(Tabla1343[[#This Row],[Columna1]:[Columna5]])</f>
        <v>19</v>
      </c>
      <c r="E26" s="157" t="s">
        <v>314</v>
      </c>
      <c r="F26" s="105"/>
      <c r="G26" s="163">
        <v>580</v>
      </c>
      <c r="H26" s="158">
        <f>+Tabla134781215[[#This Row],[Cantidad]]*Tabla134781215[[#This Row],[Precio Unitario en Pesos]]</f>
        <v>95700</v>
      </c>
      <c r="I26" s="158">
        <f>+Tabla134781215[[#This Row],[Precio Total en Pesos]]/2</f>
        <v>47850</v>
      </c>
    </row>
    <row r="27" spans="2:9" ht="15" customHeight="1" x14ac:dyDescent="0.3">
      <c r="B27" s="159" t="s">
        <v>181</v>
      </c>
      <c r="C27" s="161">
        <v>1</v>
      </c>
      <c r="D27" s="162">
        <v>1</v>
      </c>
      <c r="E27" s="157" t="s">
        <v>317</v>
      </c>
      <c r="F27" s="105"/>
      <c r="G27" s="163">
        <v>57000</v>
      </c>
      <c r="H27" s="158">
        <f>+Tabla134781215[[#This Row],[Cantidad]]*Tabla134781215[[#This Row],[Precio Unitario en Pesos]]</f>
        <v>57000</v>
      </c>
      <c r="I27" s="158">
        <f>+Tabla134781215[[#This Row],[Precio Total en Pesos]]/2</f>
        <v>28500</v>
      </c>
    </row>
    <row r="28" spans="2:9" ht="15" customHeight="1" x14ac:dyDescent="0.3">
      <c r="B28" s="159" t="s">
        <v>187</v>
      </c>
      <c r="C28" s="161">
        <v>1</v>
      </c>
      <c r="D28" s="162">
        <f>SUM(Tabla1343[[#This Row],[Columna1]:[Columna5]])</f>
        <v>0</v>
      </c>
      <c r="E28" s="157" t="s">
        <v>317</v>
      </c>
      <c r="F28" s="105"/>
      <c r="G28" s="163">
        <v>13000</v>
      </c>
      <c r="H28" s="158">
        <f>+Tabla134781215[[#This Row],[Cantidad]]*Tabla134781215[[#This Row],[Precio Unitario en Pesos]]</f>
        <v>13000</v>
      </c>
      <c r="I28" s="158">
        <f>+Tabla134781215[[#This Row],[Precio Total en Pesos]]/2</f>
        <v>6500</v>
      </c>
    </row>
    <row r="29" spans="2:9" ht="15" customHeight="1" x14ac:dyDescent="0.3">
      <c r="B29" s="159" t="s">
        <v>27</v>
      </c>
      <c r="C29" s="161">
        <v>130</v>
      </c>
      <c r="D29" s="162">
        <f>SUM(Tabla1343[[#This Row],[Columna1]:[Columna5]])</f>
        <v>1</v>
      </c>
      <c r="E29" s="157" t="s">
        <v>314</v>
      </c>
      <c r="F29" s="105"/>
      <c r="G29" s="163">
        <v>120</v>
      </c>
      <c r="H29" s="158">
        <f>+Tabla134781215[[#This Row],[Cantidad]]*Tabla134781215[[#This Row],[Precio Unitario en Pesos]]</f>
        <v>15600</v>
      </c>
      <c r="I29" s="158">
        <f>+Tabla134781215[[#This Row],[Precio Total en Pesos]]/2</f>
        <v>7800</v>
      </c>
    </row>
    <row r="30" spans="2:9" ht="15" customHeight="1" x14ac:dyDescent="0.3">
      <c r="B30" s="159" t="s">
        <v>42</v>
      </c>
      <c r="C30" s="161">
        <v>11</v>
      </c>
      <c r="D30" s="162">
        <f>SUM(Tabla1343[[#This Row],[Columna1]:[Columna5]])</f>
        <v>130</v>
      </c>
      <c r="E30" s="157" t="s">
        <v>317</v>
      </c>
      <c r="F30" s="105"/>
      <c r="G30" s="163">
        <v>6500</v>
      </c>
      <c r="H30" s="158">
        <f>+Tabla134781215[[#This Row],[Cantidad]]*Tabla134781215[[#This Row],[Precio Unitario en Pesos]]</f>
        <v>71500</v>
      </c>
      <c r="I30" s="158">
        <f>+Tabla134781215[[#This Row],[Precio Total en Pesos]]/2</f>
        <v>35750</v>
      </c>
    </row>
    <row r="31" spans="2:9" x14ac:dyDescent="0.3">
      <c r="B31" s="136" t="s">
        <v>192</v>
      </c>
      <c r="C31" s="137">
        <v>1</v>
      </c>
      <c r="D31" s="185">
        <f>SUM(Tabla1343[[#This Row],[Columna1]:[Columna5]])</f>
        <v>11</v>
      </c>
      <c r="E31" s="139" t="s">
        <v>315</v>
      </c>
      <c r="F31" s="146"/>
      <c r="G31" s="140">
        <v>0</v>
      </c>
      <c r="H31" s="141">
        <f>+Tabla134781215[[#This Row],[Cantidad]]*Tabla134781215[[#This Row],[Precio Unitario en Pesos]]</f>
        <v>0</v>
      </c>
      <c r="I31" s="141">
        <f>+Tabla134781215[[#This Row],[Precio Total en Pesos]]/2</f>
        <v>0</v>
      </c>
    </row>
    <row r="32" spans="2:9" ht="15" customHeight="1" x14ac:dyDescent="0.3">
      <c r="B32" s="159" t="s">
        <v>294</v>
      </c>
      <c r="C32" s="161">
        <v>4</v>
      </c>
      <c r="D32" s="162">
        <f>SUM(Tabla1343[[#This Row],[Columna1]:[Columna5]])</f>
        <v>1</v>
      </c>
      <c r="E32" s="157" t="s">
        <v>314</v>
      </c>
      <c r="F32" s="105"/>
      <c r="G32" s="163">
        <v>115000</v>
      </c>
      <c r="H32" s="158">
        <f>+Tabla134781215[[#This Row],[Cantidad]]*Tabla134781215[[#This Row],[Precio Unitario en Pesos]]</f>
        <v>460000</v>
      </c>
      <c r="I32" s="158">
        <f>+Tabla134781215[[#This Row],[Precio Total en Pesos]]/2</f>
        <v>230000</v>
      </c>
    </row>
    <row r="33" spans="2:9" ht="15" customHeight="1" x14ac:dyDescent="0.3">
      <c r="B33" s="159" t="s">
        <v>98</v>
      </c>
      <c r="C33" s="161">
        <v>6</v>
      </c>
      <c r="D33" s="162">
        <f>SUM(Tabla1343[[#This Row],[Columna1]:[Columna5]])</f>
        <v>4</v>
      </c>
      <c r="E33" s="157" t="s">
        <v>314</v>
      </c>
      <c r="F33" s="105"/>
      <c r="G33" s="163">
        <v>35000</v>
      </c>
      <c r="H33" s="158">
        <f>+Tabla134781215[[#This Row],[Cantidad]]*Tabla134781215[[#This Row],[Precio Unitario en Pesos]]</f>
        <v>210000</v>
      </c>
      <c r="I33" s="158">
        <f>+Tabla134781215[[#This Row],[Precio Total en Pesos]]/2</f>
        <v>105000</v>
      </c>
    </row>
    <row r="34" spans="2:9" ht="15" customHeight="1" x14ac:dyDescent="0.3">
      <c r="B34" s="159" t="s">
        <v>95</v>
      </c>
      <c r="C34" s="161">
        <v>3</v>
      </c>
      <c r="D34" s="162">
        <f>SUM(Tabla1343[[#This Row],[Columna1]:[Columna5]])</f>
        <v>6</v>
      </c>
      <c r="E34" s="157" t="s">
        <v>314</v>
      </c>
      <c r="F34" s="105"/>
      <c r="G34" s="163">
        <v>28000</v>
      </c>
      <c r="H34" s="158">
        <f>+Tabla134781215[[#This Row],[Cantidad]]*Tabla134781215[[#This Row],[Precio Unitario en Pesos]]</f>
        <v>84000</v>
      </c>
      <c r="I34" s="158">
        <f>+Tabla134781215[[#This Row],[Precio Total en Pesos]]/2</f>
        <v>42000</v>
      </c>
    </row>
    <row r="35" spans="2:9" ht="15" customHeight="1" x14ac:dyDescent="0.3">
      <c r="B35" s="159" t="s">
        <v>231</v>
      </c>
      <c r="C35" s="161">
        <v>12</v>
      </c>
      <c r="D35" s="162">
        <f>SUM(Tabla1343[[#This Row],[Columna1]:[Columna5]])</f>
        <v>3</v>
      </c>
      <c r="E35" s="157" t="s">
        <v>317</v>
      </c>
      <c r="F35" s="168"/>
      <c r="G35" s="163">
        <v>21000</v>
      </c>
      <c r="H35" s="158">
        <f>+Tabla134781215[[#This Row],[Cantidad]]*Tabla134781215[[#This Row],[Precio Unitario en Pesos]]</f>
        <v>252000</v>
      </c>
      <c r="I35" s="158">
        <f>+Tabla134781215[[#This Row],[Precio Total en Pesos]]/2</f>
        <v>126000</v>
      </c>
    </row>
    <row r="36" spans="2:9" ht="15" customHeight="1" x14ac:dyDescent="0.3">
      <c r="B36" s="159" t="s">
        <v>295</v>
      </c>
      <c r="C36" s="161">
        <v>38</v>
      </c>
      <c r="D36" s="162">
        <f>SUM(Tabla1343[[#This Row],[Columna1]:[Columna5]])</f>
        <v>11</v>
      </c>
      <c r="E36" s="157" t="s">
        <v>317</v>
      </c>
      <c r="F36" s="168"/>
      <c r="G36" s="163">
        <v>48000</v>
      </c>
      <c r="H36" s="158">
        <f>+Tabla134781215[[#This Row],[Cantidad]]*Tabla134781215[[#This Row],[Precio Unitario en Pesos]]</f>
        <v>1824000</v>
      </c>
      <c r="I36" s="158">
        <f>+Tabla134781215[[#This Row],[Precio Total en Pesos]]/2</f>
        <v>912000</v>
      </c>
    </row>
    <row r="37" spans="2:9" ht="15" customHeight="1" x14ac:dyDescent="0.3">
      <c r="B37" s="159" t="s">
        <v>226</v>
      </c>
      <c r="C37" s="161">
        <v>2</v>
      </c>
      <c r="D37" s="162">
        <f>SUM(Tabla1343[[#This Row],[Columna1]:[Columna5]])</f>
        <v>38</v>
      </c>
      <c r="E37" s="157" t="s">
        <v>317</v>
      </c>
      <c r="F37" s="168"/>
      <c r="G37" s="163">
        <v>15000</v>
      </c>
      <c r="H37" s="158">
        <f>+Tabla134781215[[#This Row],[Cantidad]]*Tabla134781215[[#This Row],[Precio Unitario en Pesos]]</f>
        <v>30000</v>
      </c>
      <c r="I37" s="158">
        <f>+Tabla134781215[[#This Row],[Precio Total en Pesos]]/2</f>
        <v>15000</v>
      </c>
    </row>
    <row r="38" spans="2:9" ht="15" customHeight="1" x14ac:dyDescent="0.3">
      <c r="B38" s="159" t="s">
        <v>90</v>
      </c>
      <c r="C38" s="161">
        <v>10</v>
      </c>
      <c r="D38" s="162">
        <f>SUM(Tabla1343[[#This Row],[Columna1]:[Columna5]])</f>
        <v>2</v>
      </c>
      <c r="E38" s="157" t="s">
        <v>317</v>
      </c>
      <c r="F38" s="168"/>
      <c r="G38" s="163">
        <v>17000</v>
      </c>
      <c r="H38" s="158">
        <f>+Tabla134781215[[#This Row],[Cantidad]]*Tabla134781215[[#This Row],[Precio Unitario en Pesos]]</f>
        <v>170000</v>
      </c>
      <c r="I38" s="158">
        <f>+Tabla134781215[[#This Row],[Precio Total en Pesos]]/2</f>
        <v>85000</v>
      </c>
    </row>
    <row r="39" spans="2:9" ht="15" customHeight="1" x14ac:dyDescent="0.3">
      <c r="B39" s="159" t="s">
        <v>97</v>
      </c>
      <c r="C39" s="161">
        <v>9</v>
      </c>
      <c r="D39" s="162">
        <f>SUM(Tabla1343[[#This Row],[Columna1]:[Columna5]])</f>
        <v>10</v>
      </c>
      <c r="E39" s="157" t="s">
        <v>314</v>
      </c>
      <c r="F39" s="105"/>
      <c r="G39" s="163">
        <v>17000</v>
      </c>
      <c r="H39" s="158">
        <f>+Tabla134781215[[#This Row],[Cantidad]]*Tabla134781215[[#This Row],[Precio Unitario en Pesos]]</f>
        <v>153000</v>
      </c>
      <c r="I39" s="158">
        <f>+Tabla134781215[[#This Row],[Precio Total en Pesos]]/2</f>
        <v>76500</v>
      </c>
    </row>
    <row r="40" spans="2:9" ht="15" customHeight="1" x14ac:dyDescent="0.3">
      <c r="B40" s="136" t="s">
        <v>206</v>
      </c>
      <c r="C40" s="137">
        <v>2</v>
      </c>
      <c r="D40" s="185">
        <f>SUM(Tabla1343[[#This Row],[Columna1]:[Columna5]])</f>
        <v>9</v>
      </c>
      <c r="E40" s="139" t="s">
        <v>315</v>
      </c>
      <c r="F40" s="146"/>
      <c r="G40" s="140">
        <v>0</v>
      </c>
      <c r="H40" s="141">
        <f>+Tabla134781215[[#This Row],[Cantidad]]*Tabla134781215[[#This Row],[Precio Unitario en Pesos]]</f>
        <v>0</v>
      </c>
      <c r="I40" s="141">
        <f>+Tabla134781215[[#This Row],[Precio Total en Pesos]]/2</f>
        <v>0</v>
      </c>
    </row>
    <row r="41" spans="2:9" ht="15" customHeight="1" x14ac:dyDescent="0.3">
      <c r="B41" s="159" t="s">
        <v>125</v>
      </c>
      <c r="C41" s="161">
        <v>4</v>
      </c>
      <c r="D41" s="162">
        <f>SUM(Tabla1343[[#This Row],[Columna1]:[Columna5]])</f>
        <v>2</v>
      </c>
      <c r="E41" s="157" t="s">
        <v>314</v>
      </c>
      <c r="F41" s="163"/>
      <c r="G41" s="163">
        <v>23587</v>
      </c>
      <c r="H41" s="158">
        <f>+Tabla134781215[[#This Row],[Cantidad]]*Tabla134781215[[#This Row],[Precio Unitario en Pesos]]</f>
        <v>94348</v>
      </c>
      <c r="I41" s="158">
        <f>+Tabla134781215[[#This Row],[Precio Total en Pesos]]/2</f>
        <v>47174</v>
      </c>
    </row>
    <row r="42" spans="2:9" ht="15" customHeight="1" x14ac:dyDescent="0.3">
      <c r="B42" s="159" t="s">
        <v>249</v>
      </c>
      <c r="C42" s="161">
        <v>3</v>
      </c>
      <c r="D42" s="162">
        <f>SUM(Tabla1343[[#This Row],[Columna1]:[Columna5]])</f>
        <v>4</v>
      </c>
      <c r="E42" s="157" t="s">
        <v>314</v>
      </c>
      <c r="F42" s="163"/>
      <c r="G42" s="163">
        <v>42168</v>
      </c>
      <c r="H42" s="158">
        <f>+Tabla134781215[[#This Row],[Cantidad]]*Tabla134781215[[#This Row],[Precio Unitario en Pesos]]</f>
        <v>126504</v>
      </c>
      <c r="I42" s="158">
        <f>+Tabla134781215[[#This Row],[Precio Total en Pesos]]/2</f>
        <v>63252</v>
      </c>
    </row>
    <row r="43" spans="2:9" ht="15" customHeight="1" x14ac:dyDescent="0.3">
      <c r="B43" s="159" t="s">
        <v>127</v>
      </c>
      <c r="C43" s="161">
        <v>34</v>
      </c>
      <c r="D43" s="162">
        <f>SUM(Tabla1343[[#This Row],[Columna1]:[Columna5]])</f>
        <v>2</v>
      </c>
      <c r="E43" s="157" t="s">
        <v>314</v>
      </c>
      <c r="F43" s="163"/>
      <c r="G43" s="163">
        <v>3000</v>
      </c>
      <c r="H43" s="158">
        <f>+Tabla134781215[[#This Row],[Cantidad]]*Tabla134781215[[#This Row],[Precio Unitario en Pesos]]</f>
        <v>102000</v>
      </c>
      <c r="I43" s="158">
        <f>+Tabla134781215[[#This Row],[Precio Total en Pesos]]/2</f>
        <v>51000</v>
      </c>
    </row>
    <row r="44" spans="2:9" ht="15" customHeight="1" x14ac:dyDescent="0.3">
      <c r="B44" s="159" t="s">
        <v>244</v>
      </c>
      <c r="C44" s="161">
        <v>1</v>
      </c>
      <c r="D44" s="162">
        <f>SUM(Tabla1343[[#This Row],[Columna1]:[Columna5]])</f>
        <v>34</v>
      </c>
      <c r="E44" s="157" t="s">
        <v>313</v>
      </c>
      <c r="F44" s="105"/>
      <c r="G44" s="163">
        <v>8600</v>
      </c>
      <c r="H44" s="158">
        <f>+Tabla134781215[[#This Row],[Cantidad]]*Tabla134781215[[#This Row],[Precio Unitario en Pesos]]</f>
        <v>8600</v>
      </c>
      <c r="I44" s="158">
        <f>+Tabla134781215[[#This Row],[Precio Total en Pesos]]/2</f>
        <v>4300</v>
      </c>
    </row>
    <row r="45" spans="2:9" ht="15" customHeight="1" x14ac:dyDescent="0.3">
      <c r="B45" s="159" t="s">
        <v>156</v>
      </c>
      <c r="C45" s="161">
        <v>9</v>
      </c>
      <c r="D45" s="162">
        <f>SUM(Tabla1343[[#This Row],[Columna1]:[Columna5]])</f>
        <v>1</v>
      </c>
      <c r="E45" s="157" t="s">
        <v>313</v>
      </c>
      <c r="F45" s="105"/>
      <c r="G45" s="163">
        <v>3000</v>
      </c>
      <c r="H45" s="158">
        <f>+Tabla134781215[[#This Row],[Cantidad]]*Tabla134781215[[#This Row],[Precio Unitario en Pesos]]</f>
        <v>27000</v>
      </c>
      <c r="I45" s="158">
        <f>+Tabla134781215[[#This Row],[Precio Total en Pesos]]/2</f>
        <v>13500</v>
      </c>
    </row>
    <row r="46" spans="2:9" ht="15" customHeight="1" x14ac:dyDescent="0.3">
      <c r="B46" s="159" t="s">
        <v>147</v>
      </c>
      <c r="C46" s="161">
        <v>77</v>
      </c>
      <c r="D46" s="162">
        <f>SUM(Tabla1343[[#This Row],[Columna1]:[Columna5]])</f>
        <v>9</v>
      </c>
      <c r="E46" s="157" t="s">
        <v>313</v>
      </c>
      <c r="F46" s="105"/>
      <c r="G46" s="163">
        <v>450</v>
      </c>
      <c r="H46" s="158">
        <f>+Tabla134781215[[#This Row],[Cantidad]]*Tabla134781215[[#This Row],[Precio Unitario en Pesos]]</f>
        <v>34650</v>
      </c>
      <c r="I46" s="158">
        <f>+Tabla134781215[[#This Row],[Precio Total en Pesos]]/2</f>
        <v>17325</v>
      </c>
    </row>
    <row r="47" spans="2:9" ht="15" customHeight="1" x14ac:dyDescent="0.3">
      <c r="B47" s="159" t="s">
        <v>133</v>
      </c>
      <c r="C47" s="161">
        <v>28</v>
      </c>
      <c r="D47" s="162">
        <f>SUM(Tabla1343[[#This Row],[Columna1]:[Columna5]])</f>
        <v>77</v>
      </c>
      <c r="E47" s="157" t="s">
        <v>313</v>
      </c>
      <c r="F47" s="105"/>
      <c r="G47" s="163">
        <v>422</v>
      </c>
      <c r="H47" s="158">
        <f>+Tabla134781215[[#This Row],[Cantidad]]*Tabla134781215[[#This Row],[Precio Unitario en Pesos]]</f>
        <v>11816</v>
      </c>
      <c r="I47" s="158">
        <f>+Tabla134781215[[#This Row],[Precio Total en Pesos]]/2</f>
        <v>5908</v>
      </c>
    </row>
    <row r="48" spans="2:9" ht="15" customHeight="1" x14ac:dyDescent="0.3">
      <c r="B48" s="159" t="s">
        <v>134</v>
      </c>
      <c r="C48" s="161">
        <v>17</v>
      </c>
      <c r="D48" s="162">
        <f>SUM(Tabla1343[[#This Row],[Columna1]:[Columna5]])</f>
        <v>28</v>
      </c>
      <c r="E48" s="157" t="s">
        <v>313</v>
      </c>
      <c r="F48" s="105"/>
      <c r="G48" s="163">
        <v>844</v>
      </c>
      <c r="H48" s="158">
        <f>+Tabla134781215[[#This Row],[Cantidad]]*Tabla134781215[[#This Row],[Precio Unitario en Pesos]]</f>
        <v>14348</v>
      </c>
      <c r="I48" s="158">
        <f>+Tabla134781215[[#This Row],[Precio Total en Pesos]]/2</f>
        <v>7174</v>
      </c>
    </row>
    <row r="49" spans="2:9" ht="15" customHeight="1" x14ac:dyDescent="0.3">
      <c r="B49" s="164" t="s">
        <v>135</v>
      </c>
      <c r="C49" s="165">
        <v>27</v>
      </c>
      <c r="D49" s="166">
        <f>SUM(Tabla1343[[#This Row],[Columna1]:[Columna5]])</f>
        <v>17</v>
      </c>
      <c r="E49" s="157" t="s">
        <v>313</v>
      </c>
      <c r="F49" s="105"/>
      <c r="G49" s="163">
        <v>1266</v>
      </c>
      <c r="H49" s="158">
        <f>+Tabla134781215[[#This Row],[Cantidad]]*Tabla134781215[[#This Row],[Precio Unitario en Pesos]]</f>
        <v>34182</v>
      </c>
      <c r="I49" s="158">
        <f>+Tabla134781215[[#This Row],[Precio Total en Pesos]]/2</f>
        <v>17091</v>
      </c>
    </row>
    <row r="50" spans="2:9" ht="15" customHeight="1" x14ac:dyDescent="0.3">
      <c r="B50" s="164" t="s">
        <v>136</v>
      </c>
      <c r="C50" s="165">
        <v>36</v>
      </c>
      <c r="D50" s="166">
        <f>SUM(Tabla1343[[#This Row],[Columna1]:[Columna5]])</f>
        <v>27</v>
      </c>
      <c r="E50" s="157" t="s">
        <v>313</v>
      </c>
      <c r="F50" s="105"/>
      <c r="G50" s="163">
        <v>1688</v>
      </c>
      <c r="H50" s="158">
        <f>+Tabla134781215[[#This Row],[Cantidad]]*Tabla134781215[[#This Row],[Precio Unitario en Pesos]]</f>
        <v>60768</v>
      </c>
      <c r="I50" s="158">
        <f>+Tabla134781215[[#This Row],[Precio Total en Pesos]]/2</f>
        <v>30384</v>
      </c>
    </row>
    <row r="51" spans="2:9" ht="15" customHeight="1" x14ac:dyDescent="0.3">
      <c r="B51" s="159" t="s">
        <v>204</v>
      </c>
      <c r="C51" s="161">
        <v>56</v>
      </c>
      <c r="D51" s="162">
        <f>SUM(Tabla1343[[#This Row],[Columna1]:[Columna5]])</f>
        <v>36</v>
      </c>
      <c r="E51" s="157" t="s">
        <v>313</v>
      </c>
      <c r="F51" s="105"/>
      <c r="G51" s="163">
        <v>600</v>
      </c>
      <c r="H51" s="158">
        <f>+Tabla134781215[[#This Row],[Cantidad]]*Tabla134781215[[#This Row],[Precio Unitario en Pesos]]</f>
        <v>33600</v>
      </c>
      <c r="I51" s="158">
        <f>+Tabla134781215[[#This Row],[Precio Total en Pesos]]/2</f>
        <v>16800</v>
      </c>
    </row>
    <row r="52" spans="2:9" ht="15" customHeight="1" x14ac:dyDescent="0.3">
      <c r="B52" s="159" t="s">
        <v>15</v>
      </c>
      <c r="C52" s="161">
        <v>403</v>
      </c>
      <c r="D52" s="162">
        <v>403</v>
      </c>
      <c r="E52" s="157" t="s">
        <v>314</v>
      </c>
      <c r="F52" s="163"/>
      <c r="G52" s="163">
        <v>6200</v>
      </c>
      <c r="H52" s="158">
        <f>+Tabla134781215[[#This Row],[Cantidad]]*Tabla134781215[[#This Row],[Precio Unitario en Pesos]]</f>
        <v>2498600</v>
      </c>
      <c r="I52" s="158">
        <f>+Tabla134781215[[#This Row],[Precio Total en Pesos]]/2</f>
        <v>1249300</v>
      </c>
    </row>
    <row r="53" spans="2:9" ht="15" customHeight="1" x14ac:dyDescent="0.3">
      <c r="B53" s="159" t="s">
        <v>252</v>
      </c>
      <c r="C53" s="161">
        <v>16</v>
      </c>
      <c r="D53" s="162">
        <v>16</v>
      </c>
      <c r="E53" s="157" t="s">
        <v>314</v>
      </c>
      <c r="F53" s="163"/>
      <c r="G53" s="163">
        <v>3100</v>
      </c>
      <c r="H53" s="158">
        <f>+Tabla134781215[[#This Row],[Cantidad]]*Tabla134781215[[#This Row],[Precio Unitario en Pesos]]</f>
        <v>49600</v>
      </c>
      <c r="I53" s="158">
        <f>+Tabla134781215[[#This Row],[Precio Total en Pesos]]/2</f>
        <v>24800</v>
      </c>
    </row>
    <row r="54" spans="2:9" ht="15" customHeight="1" x14ac:dyDescent="0.3">
      <c r="B54" s="159" t="s">
        <v>140</v>
      </c>
      <c r="C54" s="161">
        <v>34</v>
      </c>
      <c r="D54" s="162">
        <f>SUM(Tabla1343[[#This Row],[Columna1]:[Columna5]])</f>
        <v>0</v>
      </c>
      <c r="E54" s="157" t="s">
        <v>314</v>
      </c>
      <c r="F54" s="105"/>
      <c r="G54" s="163">
        <v>5500</v>
      </c>
      <c r="H54" s="158">
        <f>+Tabla134781215[[#This Row],[Cantidad]]*Tabla134781215[[#This Row],[Precio Unitario en Pesos]]</f>
        <v>187000</v>
      </c>
      <c r="I54" s="158">
        <f>+Tabla134781215[[#This Row],[Precio Total en Pesos]]/2</f>
        <v>93500</v>
      </c>
    </row>
    <row r="55" spans="2:9" ht="15" customHeight="1" x14ac:dyDescent="0.3">
      <c r="B55" s="159" t="s">
        <v>121</v>
      </c>
      <c r="C55" s="161">
        <v>5</v>
      </c>
      <c r="D55" s="162">
        <f>SUM(Tabla1343[[#This Row],[Columna1]:[Columna5]])</f>
        <v>34</v>
      </c>
      <c r="E55" s="157" t="s">
        <v>313</v>
      </c>
      <c r="F55" s="105"/>
      <c r="G55" s="163">
        <v>5800</v>
      </c>
      <c r="H55" s="158">
        <f>+Tabla134781215[[#This Row],[Cantidad]]*Tabla134781215[[#This Row],[Precio Unitario en Pesos]]</f>
        <v>29000</v>
      </c>
      <c r="I55" s="158">
        <f>+Tabla134781215[[#This Row],[Precio Total en Pesos]]/2</f>
        <v>14500</v>
      </c>
    </row>
    <row r="56" spans="2:9" ht="15" customHeight="1" x14ac:dyDescent="0.3">
      <c r="B56" s="159" t="s">
        <v>74</v>
      </c>
      <c r="C56" s="161">
        <v>58</v>
      </c>
      <c r="D56" s="162">
        <f>SUM(Tabla1343[[#This Row],[Columna1]:[Columna5]])</f>
        <v>5</v>
      </c>
      <c r="E56" s="157" t="s">
        <v>314</v>
      </c>
      <c r="F56" s="105"/>
      <c r="G56" s="163">
        <v>30000</v>
      </c>
      <c r="H56" s="158">
        <f>+Tabla134781215[[#This Row],[Cantidad]]*Tabla134781215[[#This Row],[Precio Unitario en Pesos]]</f>
        <v>1740000</v>
      </c>
      <c r="I56" s="158">
        <f>+Tabla134781215[[#This Row],[Precio Total en Pesos]]/2</f>
        <v>870000</v>
      </c>
    </row>
    <row r="57" spans="2:9" ht="15" customHeight="1" x14ac:dyDescent="0.3">
      <c r="B57" s="159" t="s">
        <v>88</v>
      </c>
      <c r="C57" s="161">
        <v>10</v>
      </c>
      <c r="D57" s="162">
        <f>SUM(Tabla1343[[#This Row],[Columna1]:[Columna5]])</f>
        <v>58</v>
      </c>
      <c r="E57" s="157" t="s">
        <v>314</v>
      </c>
      <c r="F57" s="105"/>
      <c r="G57" s="163">
        <f>36016-11326</f>
        <v>24690</v>
      </c>
      <c r="H57" s="158">
        <f>+Tabla134781215[[#This Row],[Cantidad]]*Tabla134781215[[#This Row],[Precio Unitario en Pesos]]</f>
        <v>246900</v>
      </c>
      <c r="I57" s="158">
        <f>+Tabla134781215[[#This Row],[Precio Total en Pesos]]/2</f>
        <v>123450</v>
      </c>
    </row>
    <row r="58" spans="2:9" ht="15" customHeight="1" x14ac:dyDescent="0.3">
      <c r="B58" s="164" t="s">
        <v>190</v>
      </c>
      <c r="C58" s="165">
        <v>5</v>
      </c>
      <c r="D58" s="166">
        <f>SUM(Tabla1343[[#This Row],[Columna1]:[Columna5]])</f>
        <v>10</v>
      </c>
      <c r="E58" s="167" t="s">
        <v>313</v>
      </c>
      <c r="F58" s="105"/>
      <c r="G58" s="163">
        <v>2990</v>
      </c>
      <c r="H58" s="158">
        <f>+Tabla134781215[[#This Row],[Cantidad]]*Tabla134781215[[#This Row],[Precio Unitario en Pesos]]</f>
        <v>14950</v>
      </c>
      <c r="I58" s="158">
        <f>+Tabla134781215[[#This Row],[Precio Total en Pesos]]/2</f>
        <v>7475</v>
      </c>
    </row>
    <row r="59" spans="2:9" ht="15" customHeight="1" x14ac:dyDescent="0.3">
      <c r="B59" s="164" t="s">
        <v>112</v>
      </c>
      <c r="C59" s="165">
        <v>20</v>
      </c>
      <c r="D59" s="166">
        <f>SUM(Tabla1343[[#This Row],[Columna1]:[Columna5]])</f>
        <v>5</v>
      </c>
      <c r="E59" s="167" t="s">
        <v>314</v>
      </c>
      <c r="F59" s="105"/>
      <c r="G59" s="163">
        <v>27000</v>
      </c>
      <c r="H59" s="158">
        <f>+Tabla134781215[[#This Row],[Cantidad]]*Tabla134781215[[#This Row],[Precio Unitario en Pesos]]</f>
        <v>540000</v>
      </c>
      <c r="I59" s="158">
        <f>+Tabla134781215[[#This Row],[Precio Total en Pesos]]/2</f>
        <v>270000</v>
      </c>
    </row>
    <row r="60" spans="2:9" ht="15" customHeight="1" x14ac:dyDescent="0.3">
      <c r="B60" s="159" t="s">
        <v>153</v>
      </c>
      <c r="C60" s="161">
        <v>14</v>
      </c>
      <c r="D60" s="162">
        <f>SUM(Tabla1343[[#This Row],[Columna1]:[Columna5]])</f>
        <v>20</v>
      </c>
      <c r="E60" s="157" t="s">
        <v>313</v>
      </c>
      <c r="F60" s="105"/>
      <c r="G60" s="163">
        <v>2200</v>
      </c>
      <c r="H60" s="158">
        <f>+Tabla134781215[[#This Row],[Cantidad]]*Tabla134781215[[#This Row],[Precio Unitario en Pesos]]</f>
        <v>30800</v>
      </c>
      <c r="I60" s="158">
        <f>+Tabla134781215[[#This Row],[Precio Total en Pesos]]/2</f>
        <v>15400</v>
      </c>
    </row>
    <row r="61" spans="2:9" ht="15" customHeight="1" x14ac:dyDescent="0.3">
      <c r="B61" s="159" t="s">
        <v>150</v>
      </c>
      <c r="C61" s="161">
        <v>16</v>
      </c>
      <c r="D61" s="162">
        <f>SUM(Tabla1343[[#This Row],[Columna1]:[Columna5]])</f>
        <v>14</v>
      </c>
      <c r="E61" s="157" t="s">
        <v>317</v>
      </c>
      <c r="F61" s="105"/>
      <c r="G61" s="163">
        <v>2160</v>
      </c>
      <c r="H61" s="158">
        <f>+Tabla134781215[[#This Row],[Cantidad]]*Tabla134781215[[#This Row],[Precio Unitario en Pesos]]</f>
        <v>34560</v>
      </c>
      <c r="I61" s="158">
        <f>+Tabla134781215[[#This Row],[Precio Total en Pesos]]/2</f>
        <v>17280</v>
      </c>
    </row>
    <row r="62" spans="2:9" ht="15" customHeight="1" x14ac:dyDescent="0.3">
      <c r="B62" s="159" t="s">
        <v>151</v>
      </c>
      <c r="C62" s="161">
        <v>8</v>
      </c>
      <c r="D62" s="162">
        <f>SUM(Tabla1343[[#This Row],[Columna1]:[Columna5]])</f>
        <v>16</v>
      </c>
      <c r="E62" s="157" t="s">
        <v>317</v>
      </c>
      <c r="F62" s="105"/>
      <c r="G62" s="163">
        <v>2200</v>
      </c>
      <c r="H62" s="158">
        <f>+Tabla134781215[[#This Row],[Cantidad]]*Tabla134781215[[#This Row],[Precio Unitario en Pesos]]</f>
        <v>17600</v>
      </c>
      <c r="I62" s="158">
        <f>+Tabla134781215[[#This Row],[Precio Total en Pesos]]/2</f>
        <v>8800</v>
      </c>
    </row>
    <row r="63" spans="2:9" ht="15" customHeight="1" x14ac:dyDescent="0.3">
      <c r="B63" s="159" t="s">
        <v>152</v>
      </c>
      <c r="C63" s="161">
        <v>6</v>
      </c>
      <c r="D63" s="162">
        <f>SUM(Tabla1343[[#This Row],[Columna1]:[Columna5]])</f>
        <v>8</v>
      </c>
      <c r="E63" s="157" t="s">
        <v>317</v>
      </c>
      <c r="F63" s="105"/>
      <c r="G63" s="163">
        <v>2350</v>
      </c>
      <c r="H63" s="158">
        <f>+Tabla134781215[[#This Row],[Cantidad]]*Tabla134781215[[#This Row],[Precio Unitario en Pesos]]</f>
        <v>14100</v>
      </c>
      <c r="I63" s="158">
        <f>+Tabla134781215[[#This Row],[Precio Total en Pesos]]/2</f>
        <v>7050</v>
      </c>
    </row>
    <row r="64" spans="2:9" ht="15" customHeight="1" x14ac:dyDescent="0.3">
      <c r="B64" s="159" t="s">
        <v>246</v>
      </c>
      <c r="C64" s="161">
        <v>1</v>
      </c>
      <c r="D64" s="162">
        <f>SUM(Tabla1343[[#This Row],[Columna1]:[Columna5]])</f>
        <v>6</v>
      </c>
      <c r="E64" s="157" t="s">
        <v>314</v>
      </c>
      <c r="F64" s="105"/>
      <c r="G64" s="163">
        <f>1300*10</f>
        <v>13000</v>
      </c>
      <c r="H64" s="158">
        <f>+Tabla134781215[[#This Row],[Cantidad]]*Tabla134781215[[#This Row],[Precio Unitario en Pesos]]</f>
        <v>13000</v>
      </c>
      <c r="I64" s="158">
        <f>+Tabla134781215[[#This Row],[Precio Total en Pesos]]/2</f>
        <v>6500</v>
      </c>
    </row>
    <row r="65" spans="2:9" ht="15" customHeight="1" x14ac:dyDescent="0.3">
      <c r="B65" s="159" t="s">
        <v>245</v>
      </c>
      <c r="C65" s="161">
        <v>1</v>
      </c>
      <c r="D65" s="162">
        <f>SUM(Tabla1343[[#This Row],[Columna1]:[Columna5]])</f>
        <v>1</v>
      </c>
      <c r="E65" s="157" t="s">
        <v>314</v>
      </c>
      <c r="F65" s="105"/>
      <c r="G65" s="163">
        <f>1300*7</f>
        <v>9100</v>
      </c>
      <c r="H65" s="158">
        <f>+Tabla134781215[[#This Row],[Cantidad]]*Tabla134781215[[#This Row],[Precio Unitario en Pesos]]</f>
        <v>9100</v>
      </c>
      <c r="I65" s="158">
        <f>+Tabla134781215[[#This Row],[Precio Total en Pesos]]/2</f>
        <v>4550</v>
      </c>
    </row>
    <row r="66" spans="2:9" ht="15" customHeight="1" x14ac:dyDescent="0.3">
      <c r="B66" s="159" t="s">
        <v>183</v>
      </c>
      <c r="C66" s="161">
        <v>1</v>
      </c>
      <c r="D66" s="162">
        <f>SUM(Tabla1343[[#This Row],[Columna1]:[Columna5]])</f>
        <v>1</v>
      </c>
      <c r="E66" s="157" t="s">
        <v>314</v>
      </c>
      <c r="F66" s="105"/>
      <c r="G66" s="163">
        <v>85000</v>
      </c>
      <c r="H66" s="158">
        <f>+Tabla134781215[[#This Row],[Cantidad]]*Tabla134781215[[#This Row],[Precio Unitario en Pesos]]</f>
        <v>85000</v>
      </c>
      <c r="I66" s="158">
        <f>+Tabla134781215[[#This Row],[Precio Total en Pesos]]/2</f>
        <v>42500</v>
      </c>
    </row>
    <row r="67" spans="2:9" ht="15" customHeight="1" x14ac:dyDescent="0.3">
      <c r="B67" s="159" t="s">
        <v>47</v>
      </c>
      <c r="C67" s="161">
        <v>4</v>
      </c>
      <c r="D67" s="162">
        <f>SUM(Tabla1343[[#This Row],[Columna1]:[Columna5]])</f>
        <v>0</v>
      </c>
      <c r="E67" s="157" t="s">
        <v>314</v>
      </c>
      <c r="F67" s="105"/>
      <c r="G67" s="163">
        <v>38000</v>
      </c>
      <c r="H67" s="158">
        <f>+Tabla134781215[[#This Row],[Cantidad]]*Tabla134781215[[#This Row],[Precio Unitario en Pesos]]</f>
        <v>152000</v>
      </c>
      <c r="I67" s="158">
        <f>+Tabla134781215[[#This Row],[Precio Total en Pesos]]/2</f>
        <v>76000</v>
      </c>
    </row>
    <row r="68" spans="2:9" ht="15" customHeight="1" x14ac:dyDescent="0.3">
      <c r="B68" s="164" t="s">
        <v>277</v>
      </c>
      <c r="C68" s="165">
        <v>4</v>
      </c>
      <c r="D68" s="166">
        <f>SUM(Tabla1343[[#This Row],[Columna1]:[Columna5]])</f>
        <v>1</v>
      </c>
      <c r="E68" s="157" t="s">
        <v>314</v>
      </c>
      <c r="F68" s="105"/>
      <c r="G68" s="163">
        <v>118000</v>
      </c>
      <c r="H68" s="158">
        <f>+Tabla134781215[[#This Row],[Cantidad]]*Tabla134781215[[#This Row],[Precio Unitario en Pesos]]</f>
        <v>472000</v>
      </c>
      <c r="I68" s="158">
        <f>+Tabla134781215[[#This Row],[Precio Total en Pesos]]/2</f>
        <v>236000</v>
      </c>
    </row>
    <row r="69" spans="2:9" ht="15" customHeight="1" x14ac:dyDescent="0.3">
      <c r="B69" s="159" t="s">
        <v>276</v>
      </c>
      <c r="C69" s="161">
        <v>20</v>
      </c>
      <c r="D69" s="162">
        <f>SUM(Tabla1343[[#This Row],[Columna1]:[Columna5]])</f>
        <v>4</v>
      </c>
      <c r="E69" s="157" t="s">
        <v>314</v>
      </c>
      <c r="F69" s="105"/>
      <c r="G69" s="163">
        <v>26000</v>
      </c>
      <c r="H69" s="158">
        <f>+Tabla134781215[[#This Row],[Cantidad]]*Tabla134781215[[#This Row],[Precio Unitario en Pesos]]</f>
        <v>520000</v>
      </c>
      <c r="I69" s="158">
        <f>+Tabla134781215[[#This Row],[Precio Total en Pesos]]/2</f>
        <v>260000</v>
      </c>
    </row>
    <row r="70" spans="2:9" ht="15" customHeight="1" x14ac:dyDescent="0.3">
      <c r="B70" s="159" t="s">
        <v>193</v>
      </c>
      <c r="C70" s="161">
        <v>3</v>
      </c>
      <c r="D70" s="162">
        <f>SUM(Tabla1343[[#This Row],[Columna1]:[Columna5]])</f>
        <v>4</v>
      </c>
      <c r="E70" s="157" t="s">
        <v>313</v>
      </c>
      <c r="F70" s="105"/>
      <c r="G70" s="163">
        <v>3100</v>
      </c>
      <c r="H70" s="158">
        <f>+Tabla134781215[[#This Row],[Cantidad]]*Tabla134781215[[#This Row],[Precio Unitario en Pesos]]</f>
        <v>9300</v>
      </c>
      <c r="I70" s="158">
        <f>+Tabla134781215[[#This Row],[Precio Total en Pesos]]/2</f>
        <v>4650</v>
      </c>
    </row>
    <row r="71" spans="2:9" ht="15" customHeight="1" x14ac:dyDescent="0.3">
      <c r="B71" s="136" t="s">
        <v>191</v>
      </c>
      <c r="C71" s="137">
        <v>1</v>
      </c>
      <c r="D71" s="185">
        <f>SUM(Tabla1343[[#This Row],[Columna1]:[Columna5]])</f>
        <v>20</v>
      </c>
      <c r="E71" s="139" t="s">
        <v>315</v>
      </c>
      <c r="F71" s="146"/>
      <c r="G71" s="140">
        <v>0</v>
      </c>
      <c r="H71" s="141">
        <f>+Tabla134781215[[#This Row],[Cantidad]]*Tabla134781215[[#This Row],[Precio Unitario en Pesos]]</f>
        <v>0</v>
      </c>
      <c r="I71" s="141">
        <f>+Tabla134781215[[#This Row],[Precio Total en Pesos]]/2</f>
        <v>0</v>
      </c>
    </row>
    <row r="72" spans="2:9" ht="15" customHeight="1" x14ac:dyDescent="0.3">
      <c r="B72" s="159" t="s">
        <v>176</v>
      </c>
      <c r="C72" s="161">
        <v>3</v>
      </c>
      <c r="D72" s="162">
        <f>SUM(Tabla1343[[#This Row],[Columna1]:[Columna5]])</f>
        <v>3</v>
      </c>
      <c r="E72" s="157" t="s">
        <v>313</v>
      </c>
      <c r="F72" s="105"/>
      <c r="G72" s="163">
        <v>900</v>
      </c>
      <c r="H72" s="158">
        <f>+Tabla134781215[[#This Row],[Cantidad]]*Tabla134781215[[#This Row],[Precio Unitario en Pesos]]</f>
        <v>2700</v>
      </c>
      <c r="I72" s="158">
        <f>+Tabla134781215[[#This Row],[Precio Total en Pesos]]/2</f>
        <v>1350</v>
      </c>
    </row>
    <row r="73" spans="2:9" ht="15" customHeight="1" x14ac:dyDescent="0.3">
      <c r="B73" s="159" t="s">
        <v>161</v>
      </c>
      <c r="C73" s="161">
        <v>36</v>
      </c>
      <c r="D73" s="162">
        <f>SUM(Tabla1343[[#This Row],[Columna1]:[Columna5]])</f>
        <v>1</v>
      </c>
      <c r="E73" s="157" t="s">
        <v>313</v>
      </c>
      <c r="F73" s="105"/>
      <c r="G73" s="163">
        <v>1580</v>
      </c>
      <c r="H73" s="158">
        <f>+Tabla134781215[[#This Row],[Cantidad]]*Tabla134781215[[#This Row],[Precio Unitario en Pesos]]</f>
        <v>56880</v>
      </c>
      <c r="I73" s="158">
        <f>+Tabla134781215[[#This Row],[Precio Total en Pesos]]/2</f>
        <v>28440</v>
      </c>
    </row>
    <row r="74" spans="2:9" ht="15" customHeight="1" x14ac:dyDescent="0.3">
      <c r="B74" s="159" t="s">
        <v>162</v>
      </c>
      <c r="C74" s="161">
        <v>27</v>
      </c>
      <c r="D74" s="162">
        <f>SUM(Tabla1343[[#This Row],[Columna1]:[Columna5]])</f>
        <v>3</v>
      </c>
      <c r="E74" s="157" t="s">
        <v>313</v>
      </c>
      <c r="F74" s="105"/>
      <c r="G74" s="163">
        <v>1845</v>
      </c>
      <c r="H74" s="158">
        <f>+Tabla134781215[[#This Row],[Cantidad]]*Tabla134781215[[#This Row],[Precio Unitario en Pesos]]</f>
        <v>49815</v>
      </c>
      <c r="I74" s="158">
        <f>+Tabla134781215[[#This Row],[Precio Total en Pesos]]/2</f>
        <v>24907.5</v>
      </c>
    </row>
    <row r="75" spans="2:9" ht="15" customHeight="1" x14ac:dyDescent="0.3">
      <c r="B75" s="164" t="s">
        <v>177</v>
      </c>
      <c r="C75" s="165">
        <v>113</v>
      </c>
      <c r="D75" s="166">
        <f>SUM(Tabla1343[[#This Row],[Columna1]:[Columna5]])</f>
        <v>36</v>
      </c>
      <c r="E75" s="167" t="s">
        <v>313</v>
      </c>
      <c r="F75" s="105"/>
      <c r="G75" s="163">
        <v>2000</v>
      </c>
      <c r="H75" s="158">
        <f>+Tabla134781215[[#This Row],[Cantidad]]*Tabla134781215[[#This Row],[Precio Unitario en Pesos]]</f>
        <v>226000</v>
      </c>
      <c r="I75" s="158">
        <f>+Tabla134781215[[#This Row],[Precio Total en Pesos]]/2</f>
        <v>113000</v>
      </c>
    </row>
    <row r="76" spans="2:9" ht="15" customHeight="1" x14ac:dyDescent="0.3">
      <c r="B76" s="159" t="s">
        <v>142</v>
      </c>
      <c r="C76" s="161">
        <v>18</v>
      </c>
      <c r="D76" s="162">
        <f>SUM(Tabla1343[[#This Row],[Columna1]:[Columna5]])</f>
        <v>27</v>
      </c>
      <c r="E76" s="157" t="s">
        <v>313</v>
      </c>
      <c r="F76" s="163"/>
      <c r="G76" s="163">
        <v>2500</v>
      </c>
      <c r="H76" s="158">
        <f>+Tabla134781215[[#This Row],[Cantidad]]*Tabla134781215[[#This Row],[Precio Unitario en Pesos]]</f>
        <v>45000</v>
      </c>
      <c r="I76" s="158">
        <f>+Tabla134781215[[#This Row],[Precio Total en Pesos]]/2</f>
        <v>22500</v>
      </c>
    </row>
    <row r="77" spans="2:9" ht="15" customHeight="1" x14ac:dyDescent="0.3">
      <c r="B77" s="159" t="s">
        <v>209</v>
      </c>
      <c r="C77" s="161">
        <v>10</v>
      </c>
      <c r="D77" s="162">
        <f>SUM(Tabla1343[[#This Row],[Columna1]:[Columna5]])</f>
        <v>113</v>
      </c>
      <c r="E77" s="157" t="s">
        <v>313</v>
      </c>
      <c r="F77" s="163"/>
      <c r="G77" s="163">
        <v>22011</v>
      </c>
      <c r="H77" s="158">
        <f>+Tabla134781215[[#This Row],[Cantidad]]*Tabla134781215[[#This Row],[Precio Unitario en Pesos]]</f>
        <v>220110</v>
      </c>
      <c r="I77" s="158">
        <f>+Tabla134781215[[#This Row],[Precio Total en Pesos]]/2</f>
        <v>110055</v>
      </c>
    </row>
    <row r="78" spans="2:9" ht="15" customHeight="1" x14ac:dyDescent="0.3">
      <c r="B78" s="159" t="s">
        <v>75</v>
      </c>
      <c r="C78" s="161">
        <f>42+12</f>
        <v>54</v>
      </c>
      <c r="D78" s="162">
        <f>SUM(Tabla1343[[#This Row],[Columna1]:[Columna5]])</f>
        <v>18</v>
      </c>
      <c r="E78" s="157" t="s">
        <v>317</v>
      </c>
      <c r="F78" s="105"/>
      <c r="G78" s="163">
        <v>1400</v>
      </c>
      <c r="H78" s="158">
        <f>+Tabla134781215[[#This Row],[Cantidad]]*Tabla134781215[[#This Row],[Precio Unitario en Pesos]]</f>
        <v>75600</v>
      </c>
      <c r="I78" s="158">
        <f>+Tabla134781215[[#This Row],[Precio Total en Pesos]]/2</f>
        <v>37800</v>
      </c>
    </row>
    <row r="79" spans="2:9" ht="15" customHeight="1" x14ac:dyDescent="0.3">
      <c r="B79" s="159" t="s">
        <v>120</v>
      </c>
      <c r="C79" s="161">
        <f>2+1+15</f>
        <v>18</v>
      </c>
      <c r="D79" s="162">
        <f>SUM(Tabla1343[[#This Row],[Columna1]:[Columna5]])</f>
        <v>10</v>
      </c>
      <c r="E79" s="157" t="s">
        <v>317</v>
      </c>
      <c r="F79" s="105"/>
      <c r="G79" s="163">
        <v>1600</v>
      </c>
      <c r="H79" s="158">
        <f>+Tabla134781215[[#This Row],[Cantidad]]*Tabla134781215[[#This Row],[Precio Unitario en Pesos]]</f>
        <v>28800</v>
      </c>
      <c r="I79" s="158">
        <f>+Tabla134781215[[#This Row],[Precio Total en Pesos]]/2</f>
        <v>14400</v>
      </c>
    </row>
    <row r="80" spans="2:9" ht="15" customHeight="1" x14ac:dyDescent="0.3">
      <c r="B80" s="159" t="s">
        <v>76</v>
      </c>
      <c r="C80" s="161">
        <v>30</v>
      </c>
      <c r="D80" s="162">
        <f>SUM(Tabla1343[[#This Row],[Columna1]:[Columna5]])</f>
        <v>54</v>
      </c>
      <c r="E80" s="157" t="s">
        <v>317</v>
      </c>
      <c r="F80" s="105"/>
      <c r="G80" s="163">
        <v>2400</v>
      </c>
      <c r="H80" s="158">
        <f>+Tabla134781215[[#This Row],[Cantidad]]*Tabla134781215[[#This Row],[Precio Unitario en Pesos]]</f>
        <v>72000</v>
      </c>
      <c r="I80" s="158">
        <f>+Tabla134781215[[#This Row],[Precio Total en Pesos]]/2</f>
        <v>36000</v>
      </c>
    </row>
    <row r="81" spans="2:9" ht="15" customHeight="1" x14ac:dyDescent="0.3">
      <c r="B81" s="159" t="s">
        <v>40</v>
      </c>
      <c r="C81" s="161">
        <v>2</v>
      </c>
      <c r="D81" s="162">
        <f>SUM(Tabla1343[[#This Row],[Columna1]:[Columna5]])</f>
        <v>18</v>
      </c>
      <c r="E81" s="157" t="s">
        <v>317</v>
      </c>
      <c r="F81" s="105"/>
      <c r="G81" s="163">
        <v>2400</v>
      </c>
      <c r="H81" s="158">
        <f>+Tabla134781215[[#This Row],[Cantidad]]*Tabla134781215[[#This Row],[Precio Unitario en Pesos]]</f>
        <v>4800</v>
      </c>
      <c r="I81" s="158">
        <f>+Tabla134781215[[#This Row],[Precio Total en Pesos]]/2</f>
        <v>2400</v>
      </c>
    </row>
    <row r="82" spans="2:9" ht="15" customHeight="1" x14ac:dyDescent="0.3">
      <c r="B82" s="159" t="s">
        <v>39</v>
      </c>
      <c r="C82" s="161">
        <v>3</v>
      </c>
      <c r="D82" s="162">
        <f>SUM(Tabla1343[[#This Row],[Columna1]:[Columna5]])</f>
        <v>13</v>
      </c>
      <c r="E82" s="157" t="s">
        <v>317</v>
      </c>
      <c r="F82" s="105"/>
      <c r="G82" s="163">
        <v>2400</v>
      </c>
      <c r="H82" s="158">
        <f>+Tabla134781215[[#This Row],[Cantidad]]*Tabla134781215[[#This Row],[Precio Unitario en Pesos]]</f>
        <v>7200</v>
      </c>
      <c r="I82" s="158">
        <f>+Tabla134781215[[#This Row],[Precio Total en Pesos]]/2</f>
        <v>3600</v>
      </c>
    </row>
    <row r="83" spans="2:9" ht="15" customHeight="1" x14ac:dyDescent="0.3">
      <c r="B83" s="159" t="s">
        <v>283</v>
      </c>
      <c r="C83" s="161">
        <v>8</v>
      </c>
      <c r="D83" s="162">
        <f>SUM(Tabla1343[[#This Row],[Columna1]:[Columna5]])</f>
        <v>2</v>
      </c>
      <c r="E83" s="157" t="s">
        <v>314</v>
      </c>
      <c r="F83" s="163"/>
      <c r="G83" s="163">
        <v>2500</v>
      </c>
      <c r="H83" s="158">
        <f>+Tabla134781215[[#This Row],[Cantidad]]*Tabla134781215[[#This Row],[Precio Unitario en Pesos]]</f>
        <v>20000</v>
      </c>
      <c r="I83" s="158">
        <f>+Tabla134781215[[#This Row],[Precio Total en Pesos]]/2</f>
        <v>10000</v>
      </c>
    </row>
    <row r="84" spans="2:9" ht="15" customHeight="1" x14ac:dyDescent="0.3">
      <c r="B84" s="159" t="s">
        <v>203</v>
      </c>
      <c r="C84" s="161">
        <v>1</v>
      </c>
      <c r="D84" s="162">
        <f>SUM(Tabla1343[[#This Row],[Columna1]:[Columna5]])</f>
        <v>3</v>
      </c>
      <c r="E84" s="157" t="s">
        <v>313</v>
      </c>
      <c r="F84" s="105"/>
      <c r="G84" s="163">
        <v>4000</v>
      </c>
      <c r="H84" s="158">
        <f>+Tabla134781215[[#This Row],[Cantidad]]*Tabla134781215[[#This Row],[Precio Unitario en Pesos]]</f>
        <v>4000</v>
      </c>
      <c r="I84" s="158">
        <f>+Tabla134781215[[#This Row],[Precio Total en Pesos]]/2</f>
        <v>2000</v>
      </c>
    </row>
    <row r="85" spans="2:9" ht="15" customHeight="1" x14ac:dyDescent="0.3">
      <c r="B85" s="159" t="s">
        <v>172</v>
      </c>
      <c r="C85" s="161">
        <v>6</v>
      </c>
      <c r="D85" s="162">
        <f>SUM(Tabla1343[[#This Row],[Columna1]:[Columna5]])</f>
        <v>8</v>
      </c>
      <c r="E85" s="157" t="s">
        <v>313</v>
      </c>
      <c r="F85" s="105"/>
      <c r="G85" s="163">
        <v>7800</v>
      </c>
      <c r="H85" s="158">
        <f>+Tabla134781215[[#This Row],[Cantidad]]*Tabla134781215[[#This Row],[Precio Unitario en Pesos]]</f>
        <v>46800</v>
      </c>
      <c r="I85" s="158">
        <f>+Tabla134781215[[#This Row],[Precio Total en Pesos]]/2</f>
        <v>23400</v>
      </c>
    </row>
    <row r="86" spans="2:9" ht="15" customHeight="1" x14ac:dyDescent="0.3">
      <c r="B86" s="159" t="s">
        <v>310</v>
      </c>
      <c r="C86" s="161">
        <v>12</v>
      </c>
      <c r="D86" s="162">
        <f>SUM(Tabla1343[[#This Row],[Columna1]:[Columna5]])</f>
        <v>1</v>
      </c>
      <c r="E86" s="157" t="s">
        <v>313</v>
      </c>
      <c r="F86" s="105"/>
      <c r="G86" s="163">
        <v>6000</v>
      </c>
      <c r="H86" s="158">
        <f>+Tabla134781215[[#This Row],[Cantidad]]*Tabla134781215[[#This Row],[Precio Unitario en Pesos]]</f>
        <v>72000</v>
      </c>
      <c r="I86" s="158">
        <f>+Tabla134781215[[#This Row],[Precio Total en Pesos]]/2</f>
        <v>36000</v>
      </c>
    </row>
    <row r="87" spans="2:9" ht="15" customHeight="1" x14ac:dyDescent="0.3">
      <c r="B87" s="159" t="s">
        <v>178</v>
      </c>
      <c r="C87" s="161">
        <v>1</v>
      </c>
      <c r="D87" s="162">
        <f>SUM(Tabla1343[[#This Row],[Columna1]:[Columna5]])</f>
        <v>6</v>
      </c>
      <c r="E87" s="157" t="s">
        <v>313</v>
      </c>
      <c r="F87" s="105"/>
      <c r="G87" s="163">
        <v>18000</v>
      </c>
      <c r="H87" s="158">
        <f>+Tabla134781215[[#This Row],[Cantidad]]*Tabla134781215[[#This Row],[Precio Unitario en Pesos]]</f>
        <v>18000</v>
      </c>
      <c r="I87" s="158">
        <f>+Tabla134781215[[#This Row],[Precio Total en Pesos]]/2</f>
        <v>9000</v>
      </c>
    </row>
    <row r="88" spans="2:9" ht="15" customHeight="1" x14ac:dyDescent="0.3">
      <c r="B88" s="159" t="s">
        <v>180</v>
      </c>
      <c r="C88" s="161">
        <v>1</v>
      </c>
      <c r="D88" s="162">
        <f>SUM(Tabla1343[[#This Row],[Columna1]:[Columna5]])</f>
        <v>4</v>
      </c>
      <c r="E88" s="157" t="s">
        <v>313</v>
      </c>
      <c r="F88" s="105"/>
      <c r="G88" s="163">
        <v>2770</v>
      </c>
      <c r="H88" s="158">
        <f>+Tabla134781215[[#This Row],[Cantidad]]*Tabla134781215[[#This Row],[Precio Unitario en Pesos]]</f>
        <v>2770</v>
      </c>
      <c r="I88" s="158">
        <f>+Tabla134781215[[#This Row],[Precio Total en Pesos]]/2</f>
        <v>1385</v>
      </c>
    </row>
    <row r="89" spans="2:9" ht="15" customHeight="1" x14ac:dyDescent="0.3">
      <c r="B89" s="159" t="s">
        <v>175</v>
      </c>
      <c r="C89" s="161">
        <v>2</v>
      </c>
      <c r="D89" s="162">
        <f>SUM(Tabla1343[[#This Row],[Columna1]:[Columna5]])</f>
        <v>1</v>
      </c>
      <c r="E89" s="157" t="s">
        <v>313</v>
      </c>
      <c r="F89" s="105"/>
      <c r="G89" s="163">
        <v>8000</v>
      </c>
      <c r="H89" s="158">
        <f>+Tabla134781215[[#This Row],[Cantidad]]*Tabla134781215[[#This Row],[Precio Unitario en Pesos]]</f>
        <v>16000</v>
      </c>
      <c r="I89" s="158">
        <f>+Tabla134781215[[#This Row],[Precio Total en Pesos]]/2</f>
        <v>8000</v>
      </c>
    </row>
    <row r="90" spans="2:9" ht="15" customHeight="1" x14ac:dyDescent="0.3">
      <c r="B90" s="159" t="s">
        <v>179</v>
      </c>
      <c r="C90" s="161">
        <v>6</v>
      </c>
      <c r="D90" s="162">
        <f>SUM(Tabla1343[[#This Row],[Columna1]:[Columna5]])</f>
        <v>8</v>
      </c>
      <c r="E90" s="157" t="s">
        <v>313</v>
      </c>
      <c r="F90" s="105"/>
      <c r="G90" s="163">
        <v>2400</v>
      </c>
      <c r="H90" s="158">
        <f>+Tabla134781215[[#This Row],[Cantidad]]*Tabla134781215[[#This Row],[Precio Unitario en Pesos]]</f>
        <v>14400</v>
      </c>
      <c r="I90" s="158">
        <f>+Tabla134781215[[#This Row],[Precio Total en Pesos]]/2</f>
        <v>7200</v>
      </c>
    </row>
    <row r="91" spans="2:9" ht="15" customHeight="1" x14ac:dyDescent="0.3">
      <c r="B91" s="159" t="s">
        <v>129</v>
      </c>
      <c r="C91" s="161">
        <v>73</v>
      </c>
      <c r="D91" s="162">
        <f>SUM(Tabla1343[[#This Row],[Columna1]:[Columna5]])</f>
        <v>1</v>
      </c>
      <c r="E91" s="157" t="s">
        <v>314</v>
      </c>
      <c r="F91" s="168"/>
      <c r="G91" s="163">
        <v>2000</v>
      </c>
      <c r="H91" s="158">
        <f>+Tabla134781215[[#This Row],[Cantidad]]*Tabla134781215[[#This Row],[Precio Unitario en Pesos]]</f>
        <v>146000</v>
      </c>
      <c r="I91" s="158">
        <f>+Tabla134781215[[#This Row],[Precio Total en Pesos]]/2</f>
        <v>73000</v>
      </c>
    </row>
    <row r="92" spans="2:9" ht="15" customHeight="1" x14ac:dyDescent="0.3">
      <c r="B92" s="159" t="s">
        <v>128</v>
      </c>
      <c r="C92" s="161">
        <v>46</v>
      </c>
      <c r="D92" s="162">
        <f>SUM(Tabla1343[[#This Row],[Columna1]:[Columna5]])</f>
        <v>2</v>
      </c>
      <c r="E92" s="157" t="s">
        <v>314</v>
      </c>
      <c r="F92" s="168"/>
      <c r="G92" s="163">
        <v>2420</v>
      </c>
      <c r="H92" s="158">
        <f>+Tabla134781215[[#This Row],[Cantidad]]*Tabla134781215[[#This Row],[Precio Unitario en Pesos]]</f>
        <v>111320</v>
      </c>
      <c r="I92" s="158">
        <f>+Tabla134781215[[#This Row],[Precio Total en Pesos]]/2</f>
        <v>55660</v>
      </c>
    </row>
    <row r="93" spans="2:9" ht="15" customHeight="1" x14ac:dyDescent="0.3">
      <c r="B93" s="159" t="s">
        <v>68</v>
      </c>
      <c r="C93" s="161">
        <v>1024</v>
      </c>
      <c r="D93" s="162">
        <f>SUM(Tabla1343[[#This Row],[Columna1]:[Columna5]])</f>
        <v>6</v>
      </c>
      <c r="E93" s="157" t="s">
        <v>314</v>
      </c>
      <c r="F93" s="168"/>
      <c r="G93" s="163">
        <v>3900</v>
      </c>
      <c r="H93" s="158">
        <f>+Tabla134781215[[#This Row],[Cantidad]]*Tabla134781215[[#This Row],[Precio Unitario en Pesos]]</f>
        <v>3993600</v>
      </c>
      <c r="I93" s="158">
        <f>+Tabla134781215[[#This Row],[Precio Total en Pesos]]/2</f>
        <v>1996800</v>
      </c>
    </row>
    <row r="94" spans="2:9" ht="15" customHeight="1" x14ac:dyDescent="0.3">
      <c r="B94" s="159" t="s">
        <v>146</v>
      </c>
      <c r="C94" s="161">
        <v>2</v>
      </c>
      <c r="D94" s="162">
        <f>SUM(Tabla1343[[#This Row],[Columna1]:[Columna5]])</f>
        <v>73</v>
      </c>
      <c r="E94" s="157" t="s">
        <v>314</v>
      </c>
      <c r="F94" s="168"/>
      <c r="G94" s="163">
        <v>6500</v>
      </c>
      <c r="H94" s="158">
        <f>+Tabla134781215[[#This Row],[Cantidad]]*Tabla134781215[[#This Row],[Precio Unitario en Pesos]]</f>
        <v>13000</v>
      </c>
      <c r="I94" s="158">
        <f>+Tabla134781215[[#This Row],[Precio Total en Pesos]]/2</f>
        <v>6500</v>
      </c>
    </row>
    <row r="95" spans="2:9" ht="15" customHeight="1" x14ac:dyDescent="0.3">
      <c r="B95" s="159" t="s">
        <v>89</v>
      </c>
      <c r="C95" s="161">
        <v>3</v>
      </c>
      <c r="D95" s="162">
        <f>SUM(Tabla1343[[#This Row],[Columna1]:[Columna5]])</f>
        <v>46</v>
      </c>
      <c r="E95" s="157" t="s">
        <v>313</v>
      </c>
      <c r="F95" s="168"/>
      <c r="G95" s="163">
        <v>12500</v>
      </c>
      <c r="H95" s="158">
        <f>+Tabla134781215[[#This Row],[Cantidad]]*Tabla134781215[[#This Row],[Precio Unitario en Pesos]]</f>
        <v>37500</v>
      </c>
      <c r="I95" s="158">
        <f>+Tabla134781215[[#This Row],[Precio Total en Pesos]]/2</f>
        <v>18750</v>
      </c>
    </row>
    <row r="96" spans="2:9" ht="15" customHeight="1" x14ac:dyDescent="0.3">
      <c r="B96" s="159" t="s">
        <v>205</v>
      </c>
      <c r="C96" s="161">
        <v>21</v>
      </c>
      <c r="D96" s="162">
        <f>SUM(Tabla1343[[#This Row],[Columna1]:[Columna5]])</f>
        <v>1024</v>
      </c>
      <c r="E96" s="157" t="s">
        <v>313</v>
      </c>
      <c r="F96" s="105"/>
      <c r="G96" s="163">
        <v>400</v>
      </c>
      <c r="H96" s="158">
        <f>+Tabla134781215[[#This Row],[Cantidad]]*Tabla134781215[[#This Row],[Precio Unitario en Pesos]]</f>
        <v>8400</v>
      </c>
      <c r="I96" s="158">
        <f>+Tabla134781215[[#This Row],[Precio Total en Pesos]]/2</f>
        <v>4200</v>
      </c>
    </row>
    <row r="97" spans="2:9" ht="15" customHeight="1" x14ac:dyDescent="0.3">
      <c r="B97" s="159" t="s">
        <v>254</v>
      </c>
      <c r="C97" s="161">
        <v>6</v>
      </c>
      <c r="D97" s="162">
        <f>SUM(Tabla1343[[#This Row],[Columna1]:[Columna5]])</f>
        <v>2</v>
      </c>
      <c r="E97" s="157" t="s">
        <v>313</v>
      </c>
      <c r="F97" s="105"/>
      <c r="G97" s="163">
        <v>7500</v>
      </c>
      <c r="H97" s="158">
        <f>+Tabla134781215[[#This Row],[Cantidad]]*Tabla134781215[[#This Row],[Precio Unitario en Pesos]]</f>
        <v>45000</v>
      </c>
      <c r="I97" s="158">
        <f>+Tabla134781215[[#This Row],[Precio Total en Pesos]]/2</f>
        <v>22500</v>
      </c>
    </row>
    <row r="98" spans="2:9" ht="15" customHeight="1" x14ac:dyDescent="0.3">
      <c r="B98" s="164" t="s">
        <v>197</v>
      </c>
      <c r="C98" s="165">
        <v>2</v>
      </c>
      <c r="D98" s="166">
        <f>SUM(Tabla1343[[#This Row],[Columna1]:[Columna5]])</f>
        <v>3</v>
      </c>
      <c r="E98" s="167" t="s">
        <v>314</v>
      </c>
      <c r="F98" s="105"/>
      <c r="G98" s="163">
        <v>90000</v>
      </c>
      <c r="H98" s="158">
        <f>+Tabla134781215[[#This Row],[Cantidad]]*Tabla134781215[[#This Row],[Precio Unitario en Pesos]]</f>
        <v>180000</v>
      </c>
      <c r="I98" s="158">
        <f>+Tabla134781215[[#This Row],[Precio Total en Pesos]]/2</f>
        <v>90000</v>
      </c>
    </row>
    <row r="99" spans="2:9" ht="15" customHeight="1" x14ac:dyDescent="0.3">
      <c r="B99" s="159" t="s">
        <v>100</v>
      </c>
      <c r="C99" s="161">
        <v>6</v>
      </c>
      <c r="D99" s="162">
        <v>6</v>
      </c>
      <c r="E99" s="167" t="s">
        <v>314</v>
      </c>
      <c r="F99" s="105"/>
      <c r="G99" s="163">
        <v>65000</v>
      </c>
      <c r="H99" s="158">
        <f>+Tabla134781215[[#This Row],[Cantidad]]*Tabla134781215[[#This Row],[Precio Unitario en Pesos]]</f>
        <v>390000</v>
      </c>
      <c r="I99" s="158">
        <f>+Tabla134781215[[#This Row],[Precio Total en Pesos]]/2</f>
        <v>195000</v>
      </c>
    </row>
    <row r="100" spans="2:9" ht="15" customHeight="1" x14ac:dyDescent="0.3">
      <c r="B100" s="159" t="s">
        <v>99</v>
      </c>
      <c r="C100" s="161">
        <v>7</v>
      </c>
      <c r="D100" s="162">
        <v>7</v>
      </c>
      <c r="E100" s="167" t="s">
        <v>314</v>
      </c>
      <c r="F100" s="105"/>
      <c r="G100" s="163">
        <v>70000</v>
      </c>
      <c r="H100" s="158">
        <f>+Tabla134781215[[#This Row],[Cantidad]]*Tabla134781215[[#This Row],[Precio Unitario en Pesos]]</f>
        <v>490000</v>
      </c>
      <c r="I100" s="158">
        <f>+Tabla134781215[[#This Row],[Precio Total en Pesos]]/2</f>
        <v>245000</v>
      </c>
    </row>
    <row r="101" spans="2:9" ht="15" customHeight="1" x14ac:dyDescent="0.3">
      <c r="B101" s="159" t="s">
        <v>264</v>
      </c>
      <c r="C101" s="161">
        <v>8</v>
      </c>
      <c r="D101" s="162">
        <f>SUM(Tabla1343[[#This Row],[Columna1]:[Columna5]])</f>
        <v>2</v>
      </c>
      <c r="E101" s="167" t="s">
        <v>314</v>
      </c>
      <c r="F101" s="105"/>
      <c r="G101" s="163">
        <v>55000</v>
      </c>
      <c r="H101" s="158">
        <f>+Tabla134781215[[#This Row],[Cantidad]]*Tabla134781215[[#This Row],[Precio Unitario en Pesos]]</f>
        <v>440000</v>
      </c>
      <c r="I101" s="158">
        <f>+Tabla134781215[[#This Row],[Precio Total en Pesos]]/2</f>
        <v>220000</v>
      </c>
    </row>
    <row r="102" spans="2:9" ht="15" customHeight="1" x14ac:dyDescent="0.3">
      <c r="B102" s="159" t="s">
        <v>93</v>
      </c>
      <c r="C102" s="161">
        <v>12</v>
      </c>
      <c r="D102" s="162">
        <f>SUM(Tabla1343[[#This Row],[Columna1]:[Columna5]])</f>
        <v>0</v>
      </c>
      <c r="E102" s="167" t="s">
        <v>314</v>
      </c>
      <c r="F102" s="105"/>
      <c r="G102" s="163">
        <v>50000</v>
      </c>
      <c r="H102" s="158">
        <f>+Tabla134781215[[#This Row],[Cantidad]]*Tabla134781215[[#This Row],[Precio Unitario en Pesos]]</f>
        <v>600000</v>
      </c>
      <c r="I102" s="158">
        <f>+Tabla134781215[[#This Row],[Precio Total en Pesos]]/2</f>
        <v>300000</v>
      </c>
    </row>
    <row r="103" spans="2:9" ht="15" customHeight="1" x14ac:dyDescent="0.3">
      <c r="B103" s="159" t="s">
        <v>54</v>
      </c>
      <c r="C103" s="161">
        <v>200</v>
      </c>
      <c r="D103" s="162">
        <f>SUM(Tabla1343[[#This Row],[Columna1]:[Columna5]])</f>
        <v>0</v>
      </c>
      <c r="E103" s="167" t="s">
        <v>314</v>
      </c>
      <c r="F103" s="168"/>
      <c r="G103" s="163">
        <v>11000</v>
      </c>
      <c r="H103" s="158">
        <f>+Tabla134781215[[#This Row],[Cantidad]]*Tabla134781215[[#This Row],[Precio Unitario en Pesos]]</f>
        <v>2200000</v>
      </c>
      <c r="I103" s="158">
        <f>+Tabla134781215[[#This Row],[Precio Total en Pesos]]/2</f>
        <v>1100000</v>
      </c>
    </row>
    <row r="104" spans="2:9" ht="15" customHeight="1" x14ac:dyDescent="0.3">
      <c r="B104" s="159" t="s">
        <v>55</v>
      </c>
      <c r="C104" s="161">
        <v>380</v>
      </c>
      <c r="D104" s="162">
        <f>SUM(Tabla1343[[#This Row],[Columna1]:[Columna5]])</f>
        <v>8</v>
      </c>
      <c r="E104" s="167" t="s">
        <v>314</v>
      </c>
      <c r="F104" s="168"/>
      <c r="G104" s="163">
        <v>20000</v>
      </c>
      <c r="H104" s="158">
        <f>+Tabla134781215[[#This Row],[Cantidad]]*Tabla134781215[[#This Row],[Precio Unitario en Pesos]]</f>
        <v>7600000</v>
      </c>
      <c r="I104" s="158">
        <f>+Tabla134781215[[#This Row],[Precio Total en Pesos]]/2</f>
        <v>3800000</v>
      </c>
    </row>
    <row r="105" spans="2:9" ht="15" customHeight="1" thickBot="1" x14ac:dyDescent="0.35">
      <c r="B105" s="159" t="s">
        <v>316</v>
      </c>
      <c r="C105" s="161">
        <v>3</v>
      </c>
      <c r="D105" s="162">
        <f>SUM(Tabla1343[[#This Row],[Columna1]:[Columna5]])</f>
        <v>12</v>
      </c>
      <c r="E105" s="167" t="s">
        <v>313</v>
      </c>
      <c r="F105" s="105"/>
      <c r="G105" s="163">
        <v>300</v>
      </c>
      <c r="H105" s="158">
        <f>+Tabla134781215[[#This Row],[Cantidad]]*Tabla134781215[[#This Row],[Precio Unitario en Pesos]]</f>
        <v>900</v>
      </c>
      <c r="I105" s="106">
        <f>+Tabla134781215[[#This Row],[Precio Total en Pesos]]/2</f>
        <v>450</v>
      </c>
    </row>
    <row r="106" spans="2:9" ht="15" thickBot="1" x14ac:dyDescent="0.35">
      <c r="B106"/>
      <c r="C106"/>
      <c r="D106"/>
      <c r="F106"/>
      <c r="G106"/>
      <c r="H106" s="186"/>
      <c r="I106" s="187">
        <f>SUBTOTAL(109,Tabla134781215[Valor Compra 50%])</f>
        <v>14968575.5</v>
      </c>
    </row>
    <row r="107" spans="2:9" ht="16.95" customHeight="1" thickBot="1" x14ac:dyDescent="0.35">
      <c r="B107"/>
      <c r="C107"/>
      <c r="D107"/>
      <c r="F107"/>
      <c r="G107"/>
      <c r="H107" s="169"/>
      <c r="I107" s="169"/>
    </row>
    <row r="108" spans="2:9" ht="16.95" customHeight="1" x14ac:dyDescent="0.3">
      <c r="B108" s="426" t="s">
        <v>339</v>
      </c>
      <c r="C108" s="427"/>
      <c r="D108" s="427"/>
      <c r="E108" s="427"/>
      <c r="F108" s="427"/>
      <c r="G108" s="428"/>
      <c r="H108" s="190" t="s">
        <v>340</v>
      </c>
      <c r="I108" s="424">
        <v>204</v>
      </c>
    </row>
    <row r="109" spans="2:9" ht="16.95" customHeight="1" thickBot="1" x14ac:dyDescent="0.35">
      <c r="B109" s="429"/>
      <c r="C109" s="430"/>
      <c r="D109" s="430"/>
      <c r="E109" s="430"/>
      <c r="F109" s="430"/>
      <c r="G109" s="431"/>
      <c r="H109" s="213" t="s">
        <v>341</v>
      </c>
      <c r="I109" s="425"/>
    </row>
    <row r="110" spans="2:9" ht="33" customHeight="1" thickBot="1" x14ac:dyDescent="0.35">
      <c r="B110" s="40" t="s">
        <v>0</v>
      </c>
      <c r="C110" s="41" t="s">
        <v>1</v>
      </c>
      <c r="D110" s="41" t="s">
        <v>308</v>
      </c>
      <c r="E110" s="41" t="s">
        <v>269</v>
      </c>
      <c r="F110" s="42" t="s">
        <v>225</v>
      </c>
      <c r="G110" s="175" t="s">
        <v>342</v>
      </c>
      <c r="H110" s="176" t="s">
        <v>343</v>
      </c>
      <c r="I110" s="127" t="s">
        <v>344</v>
      </c>
    </row>
    <row r="111" spans="2:9" ht="15" customHeight="1" x14ac:dyDescent="0.3">
      <c r="B111" s="215" t="s">
        <v>164</v>
      </c>
      <c r="C111" s="216">
        <v>6</v>
      </c>
      <c r="D111" s="110">
        <f>SUM(Tabla1343[[#This Row],[Columna1]:[Columna5]])</f>
        <v>43</v>
      </c>
      <c r="E111" s="50" t="s">
        <v>279</v>
      </c>
      <c r="F111" s="94" t="s">
        <v>230</v>
      </c>
      <c r="G111" s="96">
        <v>39.65</v>
      </c>
      <c r="H111" s="214">
        <f>+Tabla101418[[#This Row],[Cantidad]]*Tabla101418[[#This Row],[Precio Unitario en €]]</f>
        <v>237.89999999999998</v>
      </c>
      <c r="I111" s="214">
        <f>+Tabla101418[[#This Row],[Precio Total en €]]*80%</f>
        <v>190.32</v>
      </c>
    </row>
    <row r="112" spans="2:9" ht="15" customHeight="1" x14ac:dyDescent="0.3">
      <c r="B112" s="215" t="s">
        <v>10</v>
      </c>
      <c r="C112" s="217">
        <v>301</v>
      </c>
      <c r="D112" s="111">
        <f>SUM(Tabla1343[[#This Row],[Columna1]:[Columna5]])</f>
        <v>2</v>
      </c>
      <c r="E112" s="50" t="s">
        <v>279</v>
      </c>
      <c r="F112" s="95" t="s">
        <v>230</v>
      </c>
      <c r="G112" s="97">
        <v>28.34</v>
      </c>
      <c r="H112" s="214">
        <f>+Tabla101418[[#This Row],[Cantidad]]*Tabla101418[[#This Row],[Precio Unitario en €]]</f>
        <v>8530.34</v>
      </c>
      <c r="I112" s="214">
        <f>+Tabla101418[[#This Row],[Precio Total en €]]*80%</f>
        <v>6824.2720000000008</v>
      </c>
    </row>
    <row r="113" spans="2:9" ht="15" customHeight="1" x14ac:dyDescent="0.3">
      <c r="B113" s="215" t="s">
        <v>73</v>
      </c>
      <c r="C113" s="216">
        <v>43</v>
      </c>
      <c r="D113" s="110">
        <f>SUM(Tabla1343[[#This Row],[Columna1]:[Columna5]])</f>
        <v>311</v>
      </c>
      <c r="E113" s="50" t="s">
        <v>279</v>
      </c>
      <c r="F113" s="94" t="s">
        <v>230</v>
      </c>
      <c r="G113" s="96">
        <v>263.64</v>
      </c>
      <c r="H113" s="214">
        <f>+Tabla101418[[#This Row],[Cantidad]]*Tabla101418[[#This Row],[Precio Unitario en €]]</f>
        <v>11336.519999999999</v>
      </c>
      <c r="I113" s="214">
        <f>+Tabla101418[[#This Row],[Precio Total en €]]*80%</f>
        <v>9069.2159999999985</v>
      </c>
    </row>
    <row r="114" spans="2:9" ht="15" customHeight="1" x14ac:dyDescent="0.3">
      <c r="B114" s="215" t="s">
        <v>92</v>
      </c>
      <c r="C114" s="216">
        <v>2</v>
      </c>
      <c r="D114" s="110">
        <f>SUM(Tabla1343[[#This Row],[Columna1]:[Columna5]])</f>
        <v>6</v>
      </c>
      <c r="E114" s="50" t="s">
        <v>279</v>
      </c>
      <c r="F114" s="94" t="s">
        <v>230</v>
      </c>
      <c r="G114" s="96">
        <v>626.99</v>
      </c>
      <c r="H114" s="214">
        <f>+Tabla101418[[#This Row],[Cantidad]]*Tabla101418[[#This Row],[Precio Unitario en €]]</f>
        <v>1253.98</v>
      </c>
      <c r="I114" s="214">
        <f>+Tabla101418[[#This Row],[Precio Total en €]]*80%</f>
        <v>1003.1840000000001</v>
      </c>
    </row>
    <row r="115" spans="2:9" ht="15" customHeight="1" x14ac:dyDescent="0.3">
      <c r="B115" s="215" t="s">
        <v>30</v>
      </c>
      <c r="C115" s="216">
        <v>311</v>
      </c>
      <c r="D115" s="110">
        <f>SUM(Tabla1343[[#This Row],[Columna1]:[Columna5]])</f>
        <v>13</v>
      </c>
      <c r="E115" s="50" t="s">
        <v>279</v>
      </c>
      <c r="F115" s="94" t="s">
        <v>230</v>
      </c>
      <c r="G115" s="96">
        <v>19.89</v>
      </c>
      <c r="H115" s="214">
        <f>+Tabla101418[[#This Row],[Cantidad]]*Tabla101418[[#This Row],[Precio Unitario en €]]</f>
        <v>6185.79</v>
      </c>
      <c r="I115" s="214">
        <f>+Tabla101418[[#This Row],[Precio Total en €]]*80%</f>
        <v>4948.6320000000005</v>
      </c>
    </row>
    <row r="116" spans="2:9" ht="15" customHeight="1" x14ac:dyDescent="0.3">
      <c r="B116" s="215" t="s">
        <v>60</v>
      </c>
      <c r="C116" s="216">
        <v>6</v>
      </c>
      <c r="D116" s="110">
        <f>SUM(Tabla1343[[#This Row],[Columna1]:[Columna5]])</f>
        <v>25</v>
      </c>
      <c r="E116" s="50" t="s">
        <v>279</v>
      </c>
      <c r="F116" s="94" t="s">
        <v>230</v>
      </c>
      <c r="G116" s="96">
        <v>36.14</v>
      </c>
      <c r="H116" s="214">
        <f>+Tabla101418[[#This Row],[Cantidad]]*Tabla101418[[#This Row],[Precio Unitario en €]]</f>
        <v>216.84</v>
      </c>
      <c r="I116" s="214">
        <f>+Tabla101418[[#This Row],[Precio Total en €]]*80%</f>
        <v>173.47200000000001</v>
      </c>
    </row>
    <row r="117" spans="2:9" ht="15" customHeight="1" x14ac:dyDescent="0.3">
      <c r="B117" s="215" t="s">
        <v>149</v>
      </c>
      <c r="C117" s="216">
        <v>13</v>
      </c>
      <c r="D117" s="110">
        <f>SUM(Tabla1343[[#This Row],[Columna1]:[Columna5]])</f>
        <v>4</v>
      </c>
      <c r="E117" s="50" t="s">
        <v>279</v>
      </c>
      <c r="F117" s="94" t="s">
        <v>230</v>
      </c>
      <c r="G117" s="96">
        <v>36.14</v>
      </c>
      <c r="H117" s="214">
        <f>+Tabla101418[[#This Row],[Cantidad]]*Tabla101418[[#This Row],[Precio Unitario en €]]</f>
        <v>469.82</v>
      </c>
      <c r="I117" s="214">
        <f>+Tabla101418[[#This Row],[Precio Total en €]]*80%</f>
        <v>375.85599999999999</v>
      </c>
    </row>
    <row r="118" spans="2:9" ht="15" customHeight="1" x14ac:dyDescent="0.3">
      <c r="B118" s="215" t="s">
        <v>256</v>
      </c>
      <c r="C118" s="216">
        <v>25</v>
      </c>
      <c r="D118" s="110">
        <f>SUM(Tabla1343[[#This Row],[Columna1]:[Columna5]])</f>
        <v>111</v>
      </c>
      <c r="E118" s="50" t="s">
        <v>279</v>
      </c>
      <c r="F118" s="94" t="s">
        <v>230</v>
      </c>
      <c r="G118" s="96">
        <v>68.900000000000006</v>
      </c>
      <c r="H118" s="214">
        <f>+Tabla101418[[#This Row],[Cantidad]]*Tabla101418[[#This Row],[Precio Unitario en €]]</f>
        <v>1722.5000000000002</v>
      </c>
      <c r="I118" s="214">
        <f>+Tabla101418[[#This Row],[Precio Total en €]]*80%</f>
        <v>1378.0000000000002</v>
      </c>
    </row>
    <row r="119" spans="2:9" ht="15" customHeight="1" x14ac:dyDescent="0.3">
      <c r="B119" s="215" t="s">
        <v>260</v>
      </c>
      <c r="C119" s="216">
        <v>4</v>
      </c>
      <c r="D119" s="110">
        <f>SUM(Tabla1343[[#This Row],[Columna1]:[Columna5]])</f>
        <v>21</v>
      </c>
      <c r="E119" s="50" t="s">
        <v>279</v>
      </c>
      <c r="F119" s="94" t="s">
        <v>230</v>
      </c>
      <c r="G119" s="96">
        <v>70.59</v>
      </c>
      <c r="H119" s="214">
        <f>+Tabla101418[[#This Row],[Cantidad]]*Tabla101418[[#This Row],[Precio Unitario en €]]</f>
        <v>282.36</v>
      </c>
      <c r="I119" s="214">
        <f>+Tabla101418[[#This Row],[Precio Total en €]]*80%</f>
        <v>225.88800000000003</v>
      </c>
    </row>
    <row r="120" spans="2:9" ht="15" customHeight="1" x14ac:dyDescent="0.3">
      <c r="B120" s="215" t="s">
        <v>261</v>
      </c>
      <c r="C120" s="216">
        <v>111</v>
      </c>
      <c r="D120" s="110">
        <f>SUM(Tabla1343[[#This Row],[Columna1]:[Columna5]])</f>
        <v>725</v>
      </c>
      <c r="E120" s="50" t="s">
        <v>279</v>
      </c>
      <c r="F120" s="94" t="s">
        <v>230</v>
      </c>
      <c r="G120" s="96">
        <v>65.650000000000006</v>
      </c>
      <c r="H120" s="214">
        <f>+Tabla101418[[#This Row],[Cantidad]]*Tabla101418[[#This Row],[Precio Unitario en €]]</f>
        <v>7287.1500000000005</v>
      </c>
      <c r="I120" s="214">
        <f>+Tabla101418[[#This Row],[Precio Total en €]]*80%</f>
        <v>5829.7200000000012</v>
      </c>
    </row>
    <row r="121" spans="2:9" ht="15" customHeight="1" x14ac:dyDescent="0.3">
      <c r="B121" s="215" t="s">
        <v>257</v>
      </c>
      <c r="C121" s="216">
        <v>21</v>
      </c>
      <c r="D121" s="110">
        <f>SUM(Tabla1343[[#This Row],[Columna1]:[Columna5]])</f>
        <v>7</v>
      </c>
      <c r="E121" s="50" t="s">
        <v>279</v>
      </c>
      <c r="F121" s="94" t="s">
        <v>230</v>
      </c>
      <c r="G121" s="96">
        <v>78.650000000000006</v>
      </c>
      <c r="H121" s="214">
        <f>+Tabla101418[[#This Row],[Cantidad]]*Tabla101418[[#This Row],[Precio Unitario en €]]</f>
        <v>1651.65</v>
      </c>
      <c r="I121" s="214">
        <f>+Tabla101418[[#This Row],[Precio Total en €]]*80%</f>
        <v>1321.3200000000002</v>
      </c>
    </row>
    <row r="122" spans="2:9" ht="15" customHeight="1" x14ac:dyDescent="0.3">
      <c r="B122" s="215" t="s">
        <v>262</v>
      </c>
      <c r="C122" s="216">
        <v>725</v>
      </c>
      <c r="D122" s="110">
        <f>SUM(Tabla1343[[#This Row],[Columna1]:[Columna5]])</f>
        <v>8</v>
      </c>
      <c r="E122" s="50" t="s">
        <v>279</v>
      </c>
      <c r="F122" s="94" t="s">
        <v>230</v>
      </c>
      <c r="G122" s="96">
        <v>76.83</v>
      </c>
      <c r="H122" s="214">
        <f>+Tabla101418[[#This Row],[Cantidad]]*Tabla101418[[#This Row],[Precio Unitario en €]]</f>
        <v>55701.75</v>
      </c>
      <c r="I122" s="214">
        <f>+Tabla101418[[#This Row],[Precio Total en €]]*80%</f>
        <v>44561.4</v>
      </c>
    </row>
    <row r="123" spans="2:9" ht="15" customHeight="1" x14ac:dyDescent="0.3">
      <c r="B123" s="215" t="s">
        <v>258</v>
      </c>
      <c r="C123" s="216">
        <v>7</v>
      </c>
      <c r="D123" s="110">
        <f>SUM(Tabla1343[[#This Row],[Columna1]:[Columna5]])</f>
        <v>8</v>
      </c>
      <c r="E123" s="50" t="s">
        <v>279</v>
      </c>
      <c r="F123" s="94" t="s">
        <v>230</v>
      </c>
      <c r="G123" s="96">
        <v>81</v>
      </c>
      <c r="H123" s="214">
        <f>+Tabla101418[[#This Row],[Cantidad]]*Tabla101418[[#This Row],[Precio Unitario en €]]</f>
        <v>567</v>
      </c>
      <c r="I123" s="214">
        <f>+Tabla101418[[#This Row],[Precio Total en €]]*80%</f>
        <v>453.6</v>
      </c>
    </row>
    <row r="124" spans="2:9" ht="15" customHeight="1" x14ac:dyDescent="0.3">
      <c r="B124" s="215" t="s">
        <v>302</v>
      </c>
      <c r="C124" s="216">
        <v>8</v>
      </c>
      <c r="D124" s="110">
        <f>SUM(Tabla1343[[#This Row],[Columna1]:[Columna5]])</f>
        <v>4</v>
      </c>
      <c r="E124" s="50" t="s">
        <v>279</v>
      </c>
      <c r="F124" s="94" t="s">
        <v>230</v>
      </c>
      <c r="G124" s="96">
        <v>624.78</v>
      </c>
      <c r="H124" s="214">
        <f>+Tabla101418[[#This Row],[Cantidad]]*Tabla101418[[#This Row],[Precio Unitario en €]]</f>
        <v>4998.24</v>
      </c>
      <c r="I124" s="214">
        <f>+Tabla101418[[#This Row],[Precio Total en €]]*80%</f>
        <v>3998.5920000000001</v>
      </c>
    </row>
    <row r="125" spans="2:9" ht="15" customHeight="1" x14ac:dyDescent="0.3">
      <c r="B125" s="215" t="s">
        <v>232</v>
      </c>
      <c r="C125" s="216">
        <v>8</v>
      </c>
      <c r="D125" s="110">
        <f>SUM(Tabla1343[[#This Row],[Columna1]:[Columna5]])</f>
        <v>258</v>
      </c>
      <c r="E125" s="50" t="s">
        <v>279</v>
      </c>
      <c r="F125" s="94" t="s">
        <v>230</v>
      </c>
      <c r="G125" s="96">
        <v>539.76</v>
      </c>
      <c r="H125" s="214">
        <f>+Tabla101418[[#This Row],[Cantidad]]*Tabla101418[[#This Row],[Precio Unitario en €]]</f>
        <v>4318.08</v>
      </c>
      <c r="I125" s="214">
        <f>+Tabla101418[[#This Row],[Precio Total en €]]*80%</f>
        <v>3454.4639999999999</v>
      </c>
    </row>
    <row r="126" spans="2:9" ht="15" customHeight="1" x14ac:dyDescent="0.3">
      <c r="B126" s="215" t="s">
        <v>16</v>
      </c>
      <c r="C126" s="216">
        <v>4</v>
      </c>
      <c r="D126" s="110">
        <f>SUM(Tabla1343[[#This Row],[Columna1]:[Columna5]])</f>
        <v>65</v>
      </c>
      <c r="E126" s="50" t="s">
        <v>279</v>
      </c>
      <c r="F126" s="94" t="s">
        <v>230</v>
      </c>
      <c r="G126" s="96">
        <v>449.41</v>
      </c>
      <c r="H126" s="214">
        <f>+Tabla101418[[#This Row],[Cantidad]]*Tabla101418[[#This Row],[Precio Unitario en €]]</f>
        <v>1797.64</v>
      </c>
      <c r="I126" s="214">
        <f>+Tabla101418[[#This Row],[Precio Total en €]]*80%</f>
        <v>1438.1120000000001</v>
      </c>
    </row>
    <row r="127" spans="2:9" ht="15" customHeight="1" x14ac:dyDescent="0.3">
      <c r="B127" s="215" t="s">
        <v>107</v>
      </c>
      <c r="C127" s="216">
        <v>260</v>
      </c>
      <c r="D127" s="110">
        <f>SUM(Tabla1343[[#This Row],[Columna1]:[Columna5]])</f>
        <v>1526</v>
      </c>
      <c r="E127" s="50" t="s">
        <v>279</v>
      </c>
      <c r="F127" s="94" t="s">
        <v>230</v>
      </c>
      <c r="G127" s="96">
        <v>33.020000000000003</v>
      </c>
      <c r="H127" s="214">
        <f>+Tabla101418[[#This Row],[Cantidad]]*Tabla101418[[#This Row],[Precio Unitario en €]]</f>
        <v>8585.2000000000007</v>
      </c>
      <c r="I127" s="214">
        <f>+Tabla101418[[#This Row],[Precio Total en €]]*80%</f>
        <v>6868.1600000000008</v>
      </c>
    </row>
    <row r="128" spans="2:9" ht="15" customHeight="1" x14ac:dyDescent="0.3">
      <c r="B128" s="215" t="s">
        <v>101</v>
      </c>
      <c r="C128" s="216">
        <v>67</v>
      </c>
      <c r="D128" s="110">
        <f>SUM(Tabla1343[[#This Row],[Columna1]:[Columna5]])</f>
        <v>15</v>
      </c>
      <c r="E128" s="50" t="s">
        <v>279</v>
      </c>
      <c r="F128" s="94" t="s">
        <v>230</v>
      </c>
      <c r="G128" s="96">
        <v>39.39</v>
      </c>
      <c r="H128" s="214">
        <f>+Tabla101418[[#This Row],[Cantidad]]*Tabla101418[[#This Row],[Precio Unitario en €]]</f>
        <v>2639.13</v>
      </c>
      <c r="I128" s="214">
        <f>+Tabla101418[[#This Row],[Precio Total en €]]*80%</f>
        <v>2111.3040000000001</v>
      </c>
    </row>
    <row r="129" spans="2:9" ht="15" customHeight="1" x14ac:dyDescent="0.3">
      <c r="B129" s="215" t="s">
        <v>227</v>
      </c>
      <c r="C129" s="216">
        <v>1526</v>
      </c>
      <c r="D129" s="110">
        <f>SUM(Tabla1343[[#This Row],[Columna1]:[Columna5]])</f>
        <v>29</v>
      </c>
      <c r="E129" s="50" t="s">
        <v>279</v>
      </c>
      <c r="F129" s="94" t="s">
        <v>230</v>
      </c>
      <c r="G129" s="96">
        <v>64.349999999999994</v>
      </c>
      <c r="H129" s="214">
        <f>+Tabla101418[[#This Row],[Cantidad]]*Tabla101418[[#This Row],[Precio Unitario en €]]</f>
        <v>98198.099999999991</v>
      </c>
      <c r="I129" s="214">
        <f>+Tabla101418[[#This Row],[Precio Total en €]]*80%</f>
        <v>78558.48</v>
      </c>
    </row>
    <row r="130" spans="2:9" ht="15" customHeight="1" x14ac:dyDescent="0.3">
      <c r="B130" s="215" t="s">
        <v>108</v>
      </c>
      <c r="C130" s="216">
        <v>15</v>
      </c>
      <c r="D130" s="110">
        <f>SUM(Tabla1343[[#This Row],[Columna1]:[Columna5]])</f>
        <v>71</v>
      </c>
      <c r="E130" s="50" t="s">
        <v>279</v>
      </c>
      <c r="F130" s="94" t="s">
        <v>230</v>
      </c>
      <c r="G130" s="96">
        <v>39.39</v>
      </c>
      <c r="H130" s="214">
        <f>+Tabla101418[[#This Row],[Cantidad]]*Tabla101418[[#This Row],[Precio Unitario en €]]</f>
        <v>590.85</v>
      </c>
      <c r="I130" s="214">
        <f>+Tabla101418[[#This Row],[Precio Total en €]]*80%</f>
        <v>472.68000000000006</v>
      </c>
    </row>
    <row r="131" spans="2:9" ht="15" customHeight="1" x14ac:dyDescent="0.3">
      <c r="B131" s="215" t="s">
        <v>109</v>
      </c>
      <c r="C131" s="216">
        <v>29</v>
      </c>
      <c r="D131" s="110">
        <f>SUM(Tabla1343[[#This Row],[Columna1]:[Columna5]])</f>
        <v>9</v>
      </c>
      <c r="E131" s="50" t="s">
        <v>279</v>
      </c>
      <c r="F131" s="94" t="s">
        <v>230</v>
      </c>
      <c r="G131" s="96">
        <v>64.349999999999994</v>
      </c>
      <c r="H131" s="214">
        <f>+Tabla101418[[#This Row],[Cantidad]]*Tabla101418[[#This Row],[Precio Unitario en €]]</f>
        <v>1866.1499999999999</v>
      </c>
      <c r="I131" s="214">
        <f>+Tabla101418[[#This Row],[Precio Total en €]]*80%</f>
        <v>1492.92</v>
      </c>
    </row>
    <row r="132" spans="2:9" ht="15" customHeight="1" x14ac:dyDescent="0.3">
      <c r="B132" s="215" t="s">
        <v>26</v>
      </c>
      <c r="C132" s="216">
        <v>71</v>
      </c>
      <c r="D132" s="110">
        <f>SUM(Tabla1343[[#This Row],[Columna1]:[Columna5]])</f>
        <v>12</v>
      </c>
      <c r="E132" s="50" t="s">
        <v>279</v>
      </c>
      <c r="F132" s="94" t="s">
        <v>230</v>
      </c>
      <c r="G132" s="96">
        <v>112.06</v>
      </c>
      <c r="H132" s="214">
        <f>+Tabla101418[[#This Row],[Cantidad]]*Tabla101418[[#This Row],[Precio Unitario en €]]</f>
        <v>7956.26</v>
      </c>
      <c r="I132" s="214">
        <f>+Tabla101418[[#This Row],[Precio Total en €]]*80%</f>
        <v>6365.0080000000007</v>
      </c>
    </row>
    <row r="133" spans="2:9" ht="15" customHeight="1" x14ac:dyDescent="0.3">
      <c r="B133" s="215" t="s">
        <v>113</v>
      </c>
      <c r="C133" s="216">
        <v>9</v>
      </c>
      <c r="D133" s="110">
        <f>SUM(Tabla1343[[#This Row],[Columna1]:[Columna5]])</f>
        <v>109</v>
      </c>
      <c r="E133" s="50" t="s">
        <v>279</v>
      </c>
      <c r="F133" s="94" t="s">
        <v>230</v>
      </c>
      <c r="G133" s="96">
        <v>64.48</v>
      </c>
      <c r="H133" s="214">
        <f>+Tabla101418[[#This Row],[Cantidad]]*Tabla101418[[#This Row],[Precio Unitario en €]]</f>
        <v>580.32000000000005</v>
      </c>
      <c r="I133" s="214">
        <f>+Tabla101418[[#This Row],[Precio Total en €]]*80%</f>
        <v>464.25600000000009</v>
      </c>
    </row>
    <row r="134" spans="2:9" ht="15" customHeight="1" x14ac:dyDescent="0.3">
      <c r="B134" s="218" t="s">
        <v>111</v>
      </c>
      <c r="C134" s="219">
        <v>12</v>
      </c>
      <c r="D134" s="112">
        <f>SUM(Tabla1343[[#This Row],[Columna1]:[Columna5]])</f>
        <v>15</v>
      </c>
      <c r="E134" s="69" t="s">
        <v>279</v>
      </c>
      <c r="F134" s="94" t="s">
        <v>230</v>
      </c>
      <c r="G134" s="96">
        <v>103.22</v>
      </c>
      <c r="H134" s="214">
        <f>+Tabla101418[[#This Row],[Cantidad]]*Tabla101418[[#This Row],[Precio Unitario en €]]</f>
        <v>1238.6399999999999</v>
      </c>
      <c r="I134" s="214">
        <f>+Tabla101418[[#This Row],[Precio Total en €]]*80%</f>
        <v>990.91199999999992</v>
      </c>
    </row>
    <row r="135" spans="2:9" ht="15" customHeight="1" x14ac:dyDescent="0.3">
      <c r="B135" s="215" t="s">
        <v>110</v>
      </c>
      <c r="C135" s="216">
        <v>109</v>
      </c>
      <c r="D135" s="110">
        <f>SUM(Tabla1343[[#This Row],[Columna1]:[Columna5]])</f>
        <v>2</v>
      </c>
      <c r="E135" s="50" t="s">
        <v>279</v>
      </c>
      <c r="F135" s="94" t="s">
        <v>230</v>
      </c>
      <c r="G135" s="96">
        <v>117.39</v>
      </c>
      <c r="H135" s="214">
        <f>+Tabla101418[[#This Row],[Cantidad]]*Tabla101418[[#This Row],[Precio Unitario en €]]</f>
        <v>12795.51</v>
      </c>
      <c r="I135" s="214">
        <f>+Tabla101418[[#This Row],[Precio Total en €]]*80%</f>
        <v>10236.408000000001</v>
      </c>
    </row>
    <row r="136" spans="2:9" ht="15" customHeight="1" x14ac:dyDescent="0.3">
      <c r="B136" s="215" t="s">
        <v>263</v>
      </c>
      <c r="C136" s="216">
        <v>15</v>
      </c>
      <c r="D136" s="110">
        <f>SUM(Tabla1343[[#This Row],[Columna1]:[Columna5]])</f>
        <v>926</v>
      </c>
      <c r="E136" s="50" t="s">
        <v>279</v>
      </c>
      <c r="F136" s="94" t="s">
        <v>230</v>
      </c>
      <c r="G136" s="96">
        <v>133.38</v>
      </c>
      <c r="H136" s="214">
        <f>+Tabla101418[[#This Row],[Cantidad]]*Tabla101418[[#This Row],[Precio Unitario en €]]</f>
        <v>2000.6999999999998</v>
      </c>
      <c r="I136" s="214">
        <f>+Tabla101418[[#This Row],[Precio Total en €]]*80%</f>
        <v>1600.56</v>
      </c>
    </row>
    <row r="137" spans="2:9" ht="15" customHeight="1" x14ac:dyDescent="0.3">
      <c r="B137" s="218" t="s">
        <v>163</v>
      </c>
      <c r="C137" s="219">
        <v>2</v>
      </c>
      <c r="D137" s="112">
        <f>SUM(Tabla1343[[#This Row],[Columna1]:[Columna5]])</f>
        <v>56</v>
      </c>
      <c r="E137" s="69" t="s">
        <v>279</v>
      </c>
      <c r="F137" s="94" t="s">
        <v>230</v>
      </c>
      <c r="G137" s="96">
        <v>47.71</v>
      </c>
      <c r="H137" s="214">
        <f>+Tabla101418[[#This Row],[Cantidad]]*Tabla101418[[#This Row],[Precio Unitario en €]]</f>
        <v>95.42</v>
      </c>
      <c r="I137" s="214">
        <f>+Tabla101418[[#This Row],[Precio Total en €]]*80%</f>
        <v>76.335999999999999</v>
      </c>
    </row>
    <row r="138" spans="2:9" ht="15" customHeight="1" x14ac:dyDescent="0.3">
      <c r="B138" s="215" t="s">
        <v>228</v>
      </c>
      <c r="C138" s="216">
        <v>926</v>
      </c>
      <c r="D138" s="110">
        <f>SUM(Tabla1343[[#This Row],[Columna1]:[Columna5]])</f>
        <v>50</v>
      </c>
      <c r="E138" s="50" t="s">
        <v>279</v>
      </c>
      <c r="F138" s="94" t="s">
        <v>230</v>
      </c>
      <c r="G138" s="96">
        <v>75.010000000000005</v>
      </c>
      <c r="H138" s="214">
        <f>+Tabla101418[[#This Row],[Cantidad]]*Tabla101418[[#This Row],[Precio Unitario en €]]</f>
        <v>69459.260000000009</v>
      </c>
      <c r="I138" s="214">
        <f>+Tabla101418[[#This Row],[Precio Total en €]]*80%</f>
        <v>55567.40800000001</v>
      </c>
    </row>
    <row r="139" spans="2:9" ht="15" customHeight="1" x14ac:dyDescent="0.3">
      <c r="B139" s="218" t="s">
        <v>229</v>
      </c>
      <c r="C139" s="219">
        <v>56</v>
      </c>
      <c r="D139" s="112">
        <f>SUM(Tabla1343[[#This Row],[Columna1]:[Columna5]])</f>
        <v>50</v>
      </c>
      <c r="E139" s="69" t="s">
        <v>279</v>
      </c>
      <c r="F139" s="94" t="s">
        <v>230</v>
      </c>
      <c r="G139" s="96">
        <v>70.069999999999993</v>
      </c>
      <c r="H139" s="214">
        <f>+Tabla101418[[#This Row],[Cantidad]]*Tabla101418[[#This Row],[Precio Unitario en €]]</f>
        <v>3923.9199999999996</v>
      </c>
      <c r="I139" s="214">
        <f>+Tabla101418[[#This Row],[Precio Total en €]]*80%</f>
        <v>3139.136</v>
      </c>
    </row>
    <row r="140" spans="2:9" ht="15" customHeight="1" x14ac:dyDescent="0.3">
      <c r="B140" s="215" t="s">
        <v>235</v>
      </c>
      <c r="C140" s="216">
        <v>50</v>
      </c>
      <c r="D140" s="110">
        <f>SUM(Tabla1343[[#This Row],[Columna1]:[Columna5]])</f>
        <v>17</v>
      </c>
      <c r="E140" s="50" t="s">
        <v>279</v>
      </c>
      <c r="F140" s="94" t="s">
        <v>230</v>
      </c>
      <c r="G140" s="96">
        <v>36.14</v>
      </c>
      <c r="H140" s="214">
        <f>+Tabla101418[[#This Row],[Cantidad]]*Tabla101418[[#This Row],[Precio Unitario en €]]</f>
        <v>1807</v>
      </c>
      <c r="I140" s="214">
        <f>+Tabla101418[[#This Row],[Precio Total en €]]*80%</f>
        <v>1445.6000000000001</v>
      </c>
    </row>
    <row r="141" spans="2:9" ht="15" customHeight="1" x14ac:dyDescent="0.3">
      <c r="B141" s="215" t="s">
        <v>236</v>
      </c>
      <c r="C141" s="216">
        <v>50</v>
      </c>
      <c r="D141" s="110">
        <f>SUM(Tabla1343[[#This Row],[Columna1]:[Columna5]])</f>
        <v>145</v>
      </c>
      <c r="E141" s="50" t="s">
        <v>279</v>
      </c>
      <c r="F141" s="94" t="s">
        <v>230</v>
      </c>
      <c r="G141" s="96">
        <v>33.409999999999997</v>
      </c>
      <c r="H141" s="214">
        <f>+Tabla101418[[#This Row],[Cantidad]]*Tabla101418[[#This Row],[Precio Unitario en €]]</f>
        <v>1670.4999999999998</v>
      </c>
      <c r="I141" s="214">
        <f>+Tabla101418[[#This Row],[Precio Total en €]]*80%</f>
        <v>1336.3999999999999</v>
      </c>
    </row>
    <row r="142" spans="2:9" ht="15" customHeight="1" x14ac:dyDescent="0.3">
      <c r="B142" s="215" t="s">
        <v>105</v>
      </c>
      <c r="C142" s="216">
        <v>17</v>
      </c>
      <c r="D142" s="110">
        <f>SUM(Tabla1343[[#This Row],[Columna1]:[Columna5]])</f>
        <v>23</v>
      </c>
      <c r="E142" s="50" t="s">
        <v>279</v>
      </c>
      <c r="F142" s="94" t="s">
        <v>230</v>
      </c>
      <c r="G142" s="96">
        <v>45.76</v>
      </c>
      <c r="H142" s="214">
        <f>+Tabla101418[[#This Row],[Cantidad]]*Tabla101418[[#This Row],[Precio Unitario en €]]</f>
        <v>777.92</v>
      </c>
      <c r="I142" s="214">
        <f>+Tabla101418[[#This Row],[Precio Total en €]]*80%</f>
        <v>622.33600000000001</v>
      </c>
    </row>
    <row r="143" spans="2:9" ht="15" customHeight="1" x14ac:dyDescent="0.3">
      <c r="B143" s="215" t="s">
        <v>106</v>
      </c>
      <c r="C143" s="216">
        <v>145</v>
      </c>
      <c r="D143" s="110">
        <f>SUM(Tabla1343[[#This Row],[Columna1]:[Columna5]])</f>
        <v>80</v>
      </c>
      <c r="E143" s="50" t="s">
        <v>279</v>
      </c>
      <c r="F143" s="94" t="s">
        <v>230</v>
      </c>
      <c r="G143" s="96">
        <v>43.03</v>
      </c>
      <c r="H143" s="214">
        <f>+Tabla101418[[#This Row],[Cantidad]]*Tabla101418[[#This Row],[Precio Unitario en €]]</f>
        <v>6239.35</v>
      </c>
      <c r="I143" s="214">
        <f>+Tabla101418[[#This Row],[Precio Total en €]]*80%</f>
        <v>4991.4800000000005</v>
      </c>
    </row>
    <row r="144" spans="2:9" ht="15" customHeight="1" x14ac:dyDescent="0.3">
      <c r="B144" s="215" t="s">
        <v>144</v>
      </c>
      <c r="C144" s="216">
        <v>27</v>
      </c>
      <c r="D144" s="121">
        <f>SUM(Tabla1343[[#This Row],[Columna1]:[Columna5]])</f>
        <v>15</v>
      </c>
      <c r="E144" s="50" t="s">
        <v>279</v>
      </c>
      <c r="F144" s="94" t="s">
        <v>230</v>
      </c>
      <c r="G144" s="96">
        <v>61.23</v>
      </c>
      <c r="H144" s="214">
        <f>+Tabla101418[[#This Row],[Cantidad]]*Tabla101418[[#This Row],[Precio Unitario en €]]</f>
        <v>1653.2099999999998</v>
      </c>
      <c r="I144" s="214">
        <f>+Tabla101418[[#This Row],[Precio Total en €]]*80%</f>
        <v>1322.568</v>
      </c>
    </row>
    <row r="145" spans="2:9" ht="15" customHeight="1" x14ac:dyDescent="0.3">
      <c r="B145" s="215" t="s">
        <v>234</v>
      </c>
      <c r="C145" s="216">
        <v>80</v>
      </c>
      <c r="D145" s="110">
        <f>SUM(Tabla1343[[#This Row],[Columna1]:[Columna5]])</f>
        <v>237</v>
      </c>
      <c r="E145" s="50" t="s">
        <v>279</v>
      </c>
      <c r="F145" s="94" t="s">
        <v>230</v>
      </c>
      <c r="G145" s="96">
        <v>37.96</v>
      </c>
      <c r="H145" s="214">
        <f>+Tabla101418[[#This Row],[Cantidad]]*Tabla101418[[#This Row],[Precio Unitario en €]]</f>
        <v>3036.8</v>
      </c>
      <c r="I145" s="214">
        <f>+Tabla101418[[#This Row],[Precio Total en €]]*80%</f>
        <v>2429.44</v>
      </c>
    </row>
    <row r="146" spans="2:9" ht="15" customHeight="1" x14ac:dyDescent="0.3">
      <c r="B146" s="218" t="s">
        <v>102</v>
      </c>
      <c r="C146" s="219">
        <v>15</v>
      </c>
      <c r="D146" s="112" t="e">
        <f>SUM(Tabla1343[[#This Row],[Columna1]:[Columna5]])</f>
        <v>#VALUE!</v>
      </c>
      <c r="E146" s="69" t="s">
        <v>279</v>
      </c>
      <c r="F146" s="94" t="s">
        <v>230</v>
      </c>
      <c r="G146" s="96">
        <v>55.64</v>
      </c>
      <c r="H146" s="214">
        <f>+Tabla101418[[#This Row],[Cantidad]]*Tabla101418[[#This Row],[Precio Unitario en €]]</f>
        <v>834.6</v>
      </c>
      <c r="I146" s="214">
        <f>+Tabla101418[[#This Row],[Precio Total en €]]*80%</f>
        <v>667.68000000000006</v>
      </c>
    </row>
    <row r="147" spans="2:9" s="170" customFormat="1" ht="15" customHeight="1" x14ac:dyDescent="0.3">
      <c r="B147" s="218" t="s">
        <v>67</v>
      </c>
      <c r="C147" s="219">
        <v>237</v>
      </c>
      <c r="D147" s="112" t="e">
        <f>SUM(Tabla1343[[#This Row],[Columna1]:[Columna5]])</f>
        <v>#VALUE!</v>
      </c>
      <c r="E147" s="69" t="s">
        <v>279</v>
      </c>
      <c r="F147" s="172" t="s">
        <v>230</v>
      </c>
      <c r="G147" s="173">
        <v>148.19999999999999</v>
      </c>
      <c r="H147" s="214">
        <f>+Tabla101418[[#This Row],[Cantidad]]*Tabla101418[[#This Row],[Precio Unitario en €]]</f>
        <v>35123.399999999994</v>
      </c>
      <c r="I147" s="214">
        <f>+Tabla101418[[#This Row],[Precio Total en €]]*80%</f>
        <v>28098.719999999998</v>
      </c>
    </row>
    <row r="148" spans="2:9" x14ac:dyDescent="0.3">
      <c r="B148" s="164"/>
      <c r="C148" s="171"/>
      <c r="D148" s="178" t="e">
        <f>SUM(Tabla1343[[#This Row],[Columna1]:[Columna5]])</f>
        <v>#VALUE!</v>
      </c>
      <c r="E148" s="179"/>
      <c r="F148" s="180"/>
      <c r="G148" s="180"/>
      <c r="H148" s="220">
        <f>SUBTOTAL(109,H111:H147)</f>
        <v>367629.80000000005</v>
      </c>
      <c r="I148" s="220">
        <f>SUBTOTAL(109,I111:I147)</f>
        <v>294103.84000000003</v>
      </c>
    </row>
    <row r="149" spans="2:9" ht="15" thickBot="1" x14ac:dyDescent="0.35"/>
    <row r="150" spans="2:9" ht="15" hidden="1" thickBot="1" x14ac:dyDescent="0.35">
      <c r="I150" s="131">
        <f>+I148+Tabla134781215[[#Totals],[Valor Compra 50%]]</f>
        <v>15262679.34</v>
      </c>
    </row>
    <row r="151" spans="2:9" ht="15" hidden="1" thickBot="1" x14ac:dyDescent="0.35"/>
    <row r="152" spans="2:9" ht="20.25" customHeight="1" thickBot="1" x14ac:dyDescent="0.35">
      <c r="B152" s="412" t="s">
        <v>345</v>
      </c>
      <c r="C152" s="413"/>
      <c r="D152" s="413"/>
      <c r="E152" s="413"/>
      <c r="F152" s="413"/>
      <c r="G152" s="414"/>
      <c r="H152"/>
      <c r="I152"/>
    </row>
    <row r="153" spans="2:9" ht="15" thickBot="1" x14ac:dyDescent="0.35">
      <c r="B153" s="421" t="s">
        <v>346</v>
      </c>
      <c r="C153" s="422"/>
      <c r="D153" s="422"/>
      <c r="E153" s="422"/>
      <c r="F153" s="422"/>
      <c r="G153" s="423"/>
      <c r="H153"/>
      <c r="I153"/>
    </row>
    <row r="154" spans="2:9" s="1" customFormat="1" ht="28.5" customHeight="1" thickBot="1" x14ac:dyDescent="0.35">
      <c r="B154" s="100" t="s">
        <v>0</v>
      </c>
      <c r="C154" s="101" t="s">
        <v>1</v>
      </c>
      <c r="D154" s="101" t="s">
        <v>308</v>
      </c>
      <c r="E154" s="101" t="s">
        <v>269</v>
      </c>
      <c r="F154" s="102" t="s">
        <v>300</v>
      </c>
      <c r="G154" s="102" t="s">
        <v>225</v>
      </c>
      <c r="H154"/>
    </row>
    <row r="155" spans="2:9" x14ac:dyDescent="0.3">
      <c r="B155" s="192" t="s">
        <v>275</v>
      </c>
      <c r="C155" s="182">
        <v>12</v>
      </c>
      <c r="D155" s="182"/>
      <c r="E155" s="183" t="s">
        <v>315</v>
      </c>
      <c r="F155" s="146"/>
      <c r="G155" s="193" t="s">
        <v>319</v>
      </c>
      <c r="H155"/>
      <c r="I155"/>
    </row>
    <row r="156" spans="2:9" ht="13.8" customHeight="1" x14ac:dyDescent="0.3">
      <c r="B156" s="194" t="s">
        <v>200</v>
      </c>
      <c r="C156" s="118">
        <v>2</v>
      </c>
      <c r="D156" s="10"/>
      <c r="E156" s="148" t="s">
        <v>313</v>
      </c>
      <c r="F156" s="60"/>
      <c r="G156" s="195"/>
      <c r="H156"/>
      <c r="I156"/>
    </row>
    <row r="157" spans="2:9" x14ac:dyDescent="0.3">
      <c r="B157" s="192" t="s">
        <v>202</v>
      </c>
      <c r="C157" s="182">
        <v>2</v>
      </c>
      <c r="D157" s="182"/>
      <c r="E157" s="183" t="s">
        <v>315</v>
      </c>
      <c r="F157" s="146"/>
      <c r="G157" s="193" t="s">
        <v>319</v>
      </c>
      <c r="H157"/>
      <c r="I157"/>
    </row>
    <row r="158" spans="2:9" x14ac:dyDescent="0.3">
      <c r="B158" s="192" t="s">
        <v>201</v>
      </c>
      <c r="C158" s="182">
        <v>1</v>
      </c>
      <c r="D158" s="182"/>
      <c r="E158" s="183" t="s">
        <v>315</v>
      </c>
      <c r="F158" s="146"/>
      <c r="G158" s="193" t="s">
        <v>319</v>
      </c>
      <c r="H158"/>
      <c r="I158"/>
    </row>
    <row r="159" spans="2:9" x14ac:dyDescent="0.3">
      <c r="B159" s="192" t="s">
        <v>137</v>
      </c>
      <c r="C159" s="182">
        <v>2</v>
      </c>
      <c r="D159" s="182"/>
      <c r="E159" s="183" t="s">
        <v>315</v>
      </c>
      <c r="F159" s="146"/>
      <c r="G159" s="193" t="s">
        <v>319</v>
      </c>
      <c r="H159"/>
      <c r="I159"/>
    </row>
    <row r="160" spans="2:9" x14ac:dyDescent="0.3">
      <c r="B160" s="194" t="s">
        <v>214</v>
      </c>
      <c r="C160" s="118">
        <v>24</v>
      </c>
      <c r="D160" s="10"/>
      <c r="E160" s="148" t="s">
        <v>313</v>
      </c>
      <c r="F160" s="60"/>
      <c r="G160" s="195" t="s">
        <v>265</v>
      </c>
      <c r="H160"/>
      <c r="I160"/>
    </row>
    <row r="161" spans="2:9" x14ac:dyDescent="0.3">
      <c r="B161" s="194" t="s">
        <v>213</v>
      </c>
      <c r="C161" s="118">
        <v>8</v>
      </c>
      <c r="D161" s="10"/>
      <c r="E161" s="148" t="s">
        <v>313</v>
      </c>
      <c r="F161" s="60"/>
      <c r="G161" s="195" t="s">
        <v>265</v>
      </c>
      <c r="H161"/>
      <c r="I161"/>
    </row>
    <row r="162" spans="2:9" x14ac:dyDescent="0.3">
      <c r="B162" s="194" t="s">
        <v>126</v>
      </c>
      <c r="C162" s="118">
        <v>2</v>
      </c>
      <c r="D162" s="10"/>
      <c r="E162" s="148" t="s">
        <v>313</v>
      </c>
      <c r="F162" s="60"/>
      <c r="G162" s="195" t="s">
        <v>270</v>
      </c>
      <c r="H162"/>
      <c r="I162"/>
    </row>
    <row r="163" spans="2:9" x14ac:dyDescent="0.3">
      <c r="B163" s="192" t="s">
        <v>50</v>
      </c>
      <c r="C163" s="182">
        <v>13</v>
      </c>
      <c r="D163" s="182"/>
      <c r="E163" s="183" t="s">
        <v>315</v>
      </c>
      <c r="F163" s="146"/>
      <c r="G163" s="193" t="s">
        <v>319</v>
      </c>
      <c r="H163"/>
      <c r="I163"/>
    </row>
    <row r="164" spans="2:9" x14ac:dyDescent="0.3">
      <c r="B164" s="194" t="s">
        <v>252</v>
      </c>
      <c r="C164" s="118">
        <v>74</v>
      </c>
      <c r="D164" s="10"/>
      <c r="E164" s="148" t="s">
        <v>313</v>
      </c>
      <c r="F164" s="60"/>
      <c r="G164" s="195" t="s">
        <v>253</v>
      </c>
      <c r="H164"/>
      <c r="I164"/>
    </row>
    <row r="165" spans="2:9" x14ac:dyDescent="0.3">
      <c r="B165" s="194" t="s">
        <v>222</v>
      </c>
      <c r="C165" s="118">
        <v>2</v>
      </c>
      <c r="D165" s="114"/>
      <c r="E165" s="148" t="s">
        <v>313</v>
      </c>
      <c r="F165" s="60"/>
      <c r="G165" s="195" t="s">
        <v>265</v>
      </c>
      <c r="H165"/>
      <c r="I165"/>
    </row>
    <row r="166" spans="2:9" x14ac:dyDescent="0.3">
      <c r="B166" s="194" t="s">
        <v>223</v>
      </c>
      <c r="C166" s="118">
        <v>3</v>
      </c>
      <c r="D166" s="10"/>
      <c r="E166" s="148" t="s">
        <v>313</v>
      </c>
      <c r="F166" s="60"/>
      <c r="G166" s="195" t="s">
        <v>265</v>
      </c>
      <c r="H166"/>
      <c r="I166"/>
    </row>
    <row r="167" spans="2:9" x14ac:dyDescent="0.3">
      <c r="B167" s="194" t="s">
        <v>215</v>
      </c>
      <c r="C167" s="118">
        <v>12</v>
      </c>
      <c r="D167" s="114"/>
      <c r="E167" s="148" t="s">
        <v>313</v>
      </c>
      <c r="F167" s="60"/>
      <c r="G167" s="195" t="s">
        <v>265</v>
      </c>
      <c r="H167"/>
      <c r="I167"/>
    </row>
    <row r="168" spans="2:9" x14ac:dyDescent="0.3">
      <c r="B168" s="194" t="s">
        <v>212</v>
      </c>
      <c r="C168" s="118">
        <v>1</v>
      </c>
      <c r="D168" s="10"/>
      <c r="E168" s="148" t="s">
        <v>313</v>
      </c>
      <c r="F168" s="60"/>
      <c r="G168" s="195" t="s">
        <v>265</v>
      </c>
      <c r="H168"/>
      <c r="I168"/>
    </row>
    <row r="169" spans="2:9" x14ac:dyDescent="0.3">
      <c r="B169" s="194" t="s">
        <v>211</v>
      </c>
      <c r="C169" s="118">
        <v>1</v>
      </c>
      <c r="D169" s="114"/>
      <c r="E169" s="148" t="s">
        <v>313</v>
      </c>
      <c r="F169" s="60"/>
      <c r="G169" s="195" t="s">
        <v>265</v>
      </c>
      <c r="H169"/>
      <c r="I169"/>
    </row>
    <row r="170" spans="2:9" x14ac:dyDescent="0.3">
      <c r="B170" s="194" t="s">
        <v>94</v>
      </c>
      <c r="C170" s="118">
        <v>1</v>
      </c>
      <c r="D170" s="10"/>
      <c r="E170" s="148" t="s">
        <v>313</v>
      </c>
      <c r="F170" s="60"/>
      <c r="G170" s="195" t="s">
        <v>272</v>
      </c>
      <c r="H170"/>
      <c r="I170"/>
    </row>
    <row r="171" spans="2:9" x14ac:dyDescent="0.3">
      <c r="B171" s="192" t="s">
        <v>207</v>
      </c>
      <c r="C171" s="182">
        <v>1</v>
      </c>
      <c r="D171" s="182"/>
      <c r="E171" s="183" t="s">
        <v>315</v>
      </c>
      <c r="F171" s="146"/>
      <c r="G171" s="193" t="s">
        <v>319</v>
      </c>
      <c r="H171"/>
      <c r="I171"/>
    </row>
    <row r="172" spans="2:9" x14ac:dyDescent="0.3">
      <c r="B172" s="194" t="s">
        <v>233</v>
      </c>
      <c r="C172" s="118">
        <v>1</v>
      </c>
      <c r="D172" s="10"/>
      <c r="E172" s="148" t="s">
        <v>313</v>
      </c>
      <c r="F172" s="60"/>
      <c r="G172" s="195" t="s">
        <v>265</v>
      </c>
      <c r="H172"/>
      <c r="I172"/>
    </row>
    <row r="173" spans="2:9" x14ac:dyDescent="0.3">
      <c r="B173" s="194" t="s">
        <v>237</v>
      </c>
      <c r="C173" s="118">
        <v>1</v>
      </c>
      <c r="D173" s="114"/>
      <c r="E173" s="148" t="s">
        <v>313</v>
      </c>
      <c r="F173" s="60"/>
      <c r="G173" s="195" t="s">
        <v>265</v>
      </c>
      <c r="H173"/>
      <c r="I173"/>
    </row>
    <row r="174" spans="2:9" x14ac:dyDescent="0.3">
      <c r="B174" s="194" t="s">
        <v>238</v>
      </c>
      <c r="C174" s="118">
        <v>4</v>
      </c>
      <c r="D174" s="10"/>
      <c r="E174" s="148" t="s">
        <v>313</v>
      </c>
      <c r="F174" s="60"/>
      <c r="G174" s="195" t="s">
        <v>265</v>
      </c>
      <c r="H174"/>
      <c r="I174"/>
    </row>
    <row r="175" spans="2:9" x14ac:dyDescent="0.3">
      <c r="B175" s="196" t="s">
        <v>220</v>
      </c>
      <c r="C175" s="150">
        <v>2</v>
      </c>
      <c r="D175" s="115"/>
      <c r="E175" s="148" t="s">
        <v>313</v>
      </c>
      <c r="F175" s="64"/>
      <c r="G175" s="197" t="s">
        <v>265</v>
      </c>
      <c r="H175"/>
      <c r="I175"/>
    </row>
    <row r="176" spans="2:9" x14ac:dyDescent="0.3">
      <c r="B176" s="196" t="s">
        <v>221</v>
      </c>
      <c r="C176" s="150">
        <v>2</v>
      </c>
      <c r="D176" s="113"/>
      <c r="E176" s="148" t="s">
        <v>313</v>
      </c>
      <c r="F176" s="64"/>
      <c r="G176" s="197" t="s">
        <v>265</v>
      </c>
      <c r="H176"/>
      <c r="I176"/>
    </row>
    <row r="177" spans="2:9" ht="15" thickBot="1" x14ac:dyDescent="0.35">
      <c r="B177" s="198" t="s">
        <v>216</v>
      </c>
      <c r="C177" s="199">
        <v>8</v>
      </c>
      <c r="D177" s="200"/>
      <c r="E177" s="201" t="s">
        <v>313</v>
      </c>
      <c r="F177" s="202"/>
      <c r="G177" s="203" t="s">
        <v>265</v>
      </c>
      <c r="H177"/>
      <c r="I177"/>
    </row>
  </sheetData>
  <mergeCells count="6">
    <mergeCell ref="B1:I1"/>
    <mergeCell ref="B2:I2"/>
    <mergeCell ref="B152:G152"/>
    <mergeCell ref="B153:G153"/>
    <mergeCell ref="I108:I109"/>
    <mergeCell ref="B108:G109"/>
  </mergeCells>
  <pageMargins left="0.39370078740157483" right="0.11811023622047245" top="0.19685039370078741" bottom="0.19685039370078741" header="0.31496062992125984" footer="0.31496062992125984"/>
  <pageSetup scale="80" orientation="portrait" r:id="rId1"/>
  <tableParts count="3">
    <tablePart r:id="rId2"/>
    <tablePart r:id="rId3"/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62"/>
  <sheetViews>
    <sheetView tabSelected="1" topLeftCell="A50" zoomScaleNormal="100" workbookViewId="0">
      <selection activeCell="D121" activeCellId="5" sqref="C162 C154 C146 C138 C130 D121"/>
    </sheetView>
  </sheetViews>
  <sheetFormatPr baseColWidth="10" defaultRowHeight="14.4" x14ac:dyDescent="0.3"/>
  <cols>
    <col min="1" max="1" width="1.6640625" customWidth="1"/>
    <col min="2" max="2" width="38.88671875" style="2" customWidth="1"/>
    <col min="3" max="3" width="18" style="1" customWidth="1"/>
    <col min="4" max="4" width="19.109375" style="1" customWidth="1"/>
    <col min="5" max="5" width="19.77734375" customWidth="1"/>
    <col min="6" max="6" width="20.109375" style="43" customWidth="1"/>
    <col min="7" max="7" width="19.77734375" style="43" customWidth="1"/>
  </cols>
  <sheetData>
    <row r="1" spans="2:7" ht="16.95" customHeight="1" x14ac:dyDescent="0.3">
      <c r="B1" s="426" t="s">
        <v>519</v>
      </c>
      <c r="C1" s="427"/>
      <c r="D1" s="427"/>
      <c r="E1" s="427"/>
      <c r="F1" s="427"/>
      <c r="G1" s="428"/>
    </row>
    <row r="2" spans="2:7" ht="16.95" customHeight="1" thickBot="1" x14ac:dyDescent="0.35">
      <c r="B2" s="429"/>
      <c r="C2" s="430"/>
      <c r="D2" s="430"/>
      <c r="E2" s="430"/>
      <c r="F2" s="430"/>
      <c r="G2" s="431"/>
    </row>
    <row r="3" spans="2:7" ht="33" customHeight="1" thickBot="1" x14ac:dyDescent="0.35">
      <c r="B3" s="40" t="s">
        <v>0</v>
      </c>
      <c r="C3" s="41" t="s">
        <v>1</v>
      </c>
      <c r="D3" s="175" t="s">
        <v>342</v>
      </c>
      <c r="E3" s="176" t="s">
        <v>343</v>
      </c>
      <c r="F3" s="176" t="s">
        <v>489</v>
      </c>
      <c r="G3" s="175" t="s">
        <v>300</v>
      </c>
    </row>
    <row r="4" spans="2:7" ht="15" customHeight="1" x14ac:dyDescent="0.3">
      <c r="B4" s="215" t="s">
        <v>164</v>
      </c>
      <c r="C4" s="216">
        <v>6</v>
      </c>
      <c r="D4" s="96">
        <v>39.65</v>
      </c>
      <c r="E4" s="214">
        <f>+Tabla10141827[[#This Row],[Cantidad]]*Tabla10141827[[#This Row],[Precio Unitario en €]]</f>
        <v>237.89999999999998</v>
      </c>
      <c r="F4" s="214">
        <v>47.7</v>
      </c>
      <c r="G4" s="96">
        <v>286.19</v>
      </c>
    </row>
    <row r="5" spans="2:7" ht="15" customHeight="1" x14ac:dyDescent="0.3">
      <c r="B5" s="215" t="s">
        <v>10</v>
      </c>
      <c r="C5" s="217">
        <v>301</v>
      </c>
      <c r="D5" s="97">
        <v>28.34</v>
      </c>
      <c r="E5" s="214">
        <f>+Tabla10141827[[#This Row],[Cantidad]]*Tabla10141827[[#This Row],[Precio Unitario en €]]</f>
        <v>8530.34</v>
      </c>
      <c r="F5" s="214">
        <v>34.090000000000003</v>
      </c>
      <c r="G5" s="97">
        <v>10262</v>
      </c>
    </row>
    <row r="6" spans="2:7" ht="15" customHeight="1" x14ac:dyDescent="0.3">
      <c r="B6" s="215" t="s">
        <v>73</v>
      </c>
      <c r="C6" s="216">
        <v>43</v>
      </c>
      <c r="D6" s="96">
        <v>263.64</v>
      </c>
      <c r="E6" s="214">
        <f>+Tabla10141827[[#This Row],[Cantidad]]*Tabla10141827[[#This Row],[Precio Unitario en €]]</f>
        <v>11336.519999999999</v>
      </c>
      <c r="F6" s="214">
        <v>317.16000000000003</v>
      </c>
      <c r="G6" s="96">
        <v>13637.83</v>
      </c>
    </row>
    <row r="7" spans="2:7" ht="15" customHeight="1" x14ac:dyDescent="0.3">
      <c r="B7" s="215" t="s">
        <v>92</v>
      </c>
      <c r="C7" s="216">
        <v>2</v>
      </c>
      <c r="D7" s="96">
        <v>626.99</v>
      </c>
      <c r="E7" s="214">
        <f>+Tabla10141827[[#This Row],[Cantidad]]*Tabla10141827[[#This Row],[Precio Unitario en €]]</f>
        <v>1253.98</v>
      </c>
      <c r="F7" s="214">
        <v>754.27</v>
      </c>
      <c r="G7" s="96">
        <f>+Tabla10141827[[#This Row],[Cantidad]]*Tabla10141827[[#This Row],[Precio Uni Julio 2023 €]]</f>
        <v>1508.54</v>
      </c>
    </row>
    <row r="8" spans="2:7" ht="15" customHeight="1" x14ac:dyDescent="0.3">
      <c r="B8" s="215" t="s">
        <v>30</v>
      </c>
      <c r="C8" s="216">
        <v>311</v>
      </c>
      <c r="D8" s="96">
        <v>19.89</v>
      </c>
      <c r="E8" s="214">
        <f>+Tabla10141827[[#This Row],[Cantidad]]*Tabla10141827[[#This Row],[Precio Unitario en €]]</f>
        <v>6185.79</v>
      </c>
      <c r="F8" s="214">
        <v>23.93</v>
      </c>
      <c r="G8" s="96">
        <v>7441.51</v>
      </c>
    </row>
    <row r="9" spans="2:7" ht="15" customHeight="1" x14ac:dyDescent="0.3">
      <c r="B9" s="215" t="s">
        <v>60</v>
      </c>
      <c r="C9" s="216">
        <v>6</v>
      </c>
      <c r="D9" s="96">
        <v>36.14</v>
      </c>
      <c r="E9" s="214">
        <f>+Tabla10141827[[#This Row],[Cantidad]]*Tabla10141827[[#This Row],[Precio Unitario en €]]</f>
        <v>216.84</v>
      </c>
      <c r="F9" s="214">
        <v>43.48</v>
      </c>
      <c r="G9" s="96">
        <v>260.86</v>
      </c>
    </row>
    <row r="10" spans="2:7" ht="15" customHeight="1" x14ac:dyDescent="0.3">
      <c r="B10" s="215" t="s">
        <v>149</v>
      </c>
      <c r="C10" s="216">
        <v>13</v>
      </c>
      <c r="D10" s="96">
        <v>36.14</v>
      </c>
      <c r="E10" s="214">
        <f>+Tabla10141827[[#This Row],[Cantidad]]*Tabla10141827[[#This Row],[Precio Unitario en €]]</f>
        <v>469.82</v>
      </c>
      <c r="F10" s="214">
        <v>43.48</v>
      </c>
      <c r="G10" s="96">
        <v>565.19000000000005</v>
      </c>
    </row>
    <row r="11" spans="2:7" ht="15" customHeight="1" x14ac:dyDescent="0.3">
      <c r="B11" s="215" t="s">
        <v>256</v>
      </c>
      <c r="C11" s="216">
        <v>25</v>
      </c>
      <c r="D11" s="96">
        <v>68.900000000000006</v>
      </c>
      <c r="E11" s="214">
        <f>+Tabla10141827[[#This Row],[Cantidad]]*Tabla10141827[[#This Row],[Precio Unitario en €]]</f>
        <v>1722.5000000000002</v>
      </c>
      <c r="F11" s="214">
        <v>82.89</v>
      </c>
      <c r="G11" s="96">
        <v>2072.17</v>
      </c>
    </row>
    <row r="12" spans="2:7" ht="15" customHeight="1" x14ac:dyDescent="0.3">
      <c r="B12" s="215" t="s">
        <v>260</v>
      </c>
      <c r="C12" s="216">
        <v>4</v>
      </c>
      <c r="D12" s="96">
        <v>70.59</v>
      </c>
      <c r="E12" s="214">
        <f>+Tabla10141827[[#This Row],[Cantidad]]*Tabla10141827[[#This Row],[Precio Unitario en €]]</f>
        <v>282.36</v>
      </c>
      <c r="F12" s="214">
        <v>84.92</v>
      </c>
      <c r="G12" s="96">
        <f>+Tabla10141827[[#This Row],[Cantidad]]*Tabla10141827[[#This Row],[Precio Uni Julio 2023 €]]</f>
        <v>339.68</v>
      </c>
    </row>
    <row r="13" spans="2:7" ht="15" customHeight="1" x14ac:dyDescent="0.3">
      <c r="B13" s="215" t="s">
        <v>261</v>
      </c>
      <c r="C13" s="216">
        <v>111</v>
      </c>
      <c r="D13" s="96">
        <v>65.650000000000006</v>
      </c>
      <c r="E13" s="214">
        <f>+Tabla10141827[[#This Row],[Cantidad]]*Tabla10141827[[#This Row],[Precio Unitario en €]]</f>
        <v>7287.1500000000005</v>
      </c>
      <c r="F13" s="214">
        <v>78.98</v>
      </c>
      <c r="G13" s="96">
        <v>8766.44</v>
      </c>
    </row>
    <row r="14" spans="2:7" ht="15" customHeight="1" x14ac:dyDescent="0.3">
      <c r="B14" s="215" t="s">
        <v>257</v>
      </c>
      <c r="C14" s="216">
        <v>21</v>
      </c>
      <c r="D14" s="96">
        <v>78.650000000000006</v>
      </c>
      <c r="E14" s="214">
        <f>+Tabla10141827[[#This Row],[Cantidad]]*Tabla10141827[[#This Row],[Precio Unitario en €]]</f>
        <v>1651.65</v>
      </c>
      <c r="F14" s="214">
        <v>94.62</v>
      </c>
      <c r="G14" s="96">
        <v>1986.93</v>
      </c>
    </row>
    <row r="15" spans="2:7" ht="15" customHeight="1" x14ac:dyDescent="0.3">
      <c r="B15" s="215" t="s">
        <v>262</v>
      </c>
      <c r="C15" s="216">
        <v>725</v>
      </c>
      <c r="D15" s="96">
        <v>76.83</v>
      </c>
      <c r="E15" s="214">
        <f>+Tabla10141827[[#This Row],[Cantidad]]*Tabla10141827[[#This Row],[Precio Unitario en €]]</f>
        <v>55701.75</v>
      </c>
      <c r="F15" s="214">
        <v>92.43</v>
      </c>
      <c r="G15" s="96">
        <v>67009.210000000006</v>
      </c>
    </row>
    <row r="16" spans="2:7" ht="15" customHeight="1" x14ac:dyDescent="0.3">
      <c r="B16" s="215" t="s">
        <v>258</v>
      </c>
      <c r="C16" s="216">
        <v>7</v>
      </c>
      <c r="D16" s="96">
        <v>81</v>
      </c>
      <c r="E16" s="214">
        <f>+Tabla10141827[[#This Row],[Cantidad]]*Tabla10141827[[#This Row],[Precio Unitario en €]]</f>
        <v>567</v>
      </c>
      <c r="F16" s="214">
        <v>97.44</v>
      </c>
      <c r="G16" s="96">
        <v>682.1</v>
      </c>
    </row>
    <row r="17" spans="2:7" ht="15" customHeight="1" x14ac:dyDescent="0.3">
      <c r="B17" s="215" t="s">
        <v>302</v>
      </c>
      <c r="C17" s="216">
        <v>8</v>
      </c>
      <c r="D17" s="96">
        <v>624.78</v>
      </c>
      <c r="E17" s="214">
        <f>+Tabla10141827[[#This Row],[Cantidad]]*Tabla10141827[[#This Row],[Precio Unitario en €]]</f>
        <v>4998.24</v>
      </c>
      <c r="F17" s="214">
        <v>751.61</v>
      </c>
      <c r="G17" s="96">
        <f>+Tabla10141827[[#This Row],[Cantidad]]*Tabla10141827[[#This Row],[Precio Uni Julio 2023 €]]</f>
        <v>6012.88</v>
      </c>
    </row>
    <row r="18" spans="2:7" ht="15" customHeight="1" x14ac:dyDescent="0.3">
      <c r="B18" s="215" t="s">
        <v>232</v>
      </c>
      <c r="C18" s="216">
        <v>8</v>
      </c>
      <c r="D18" s="96">
        <v>539.76</v>
      </c>
      <c r="E18" s="214">
        <f>+Tabla10141827[[#This Row],[Cantidad]]*Tabla10141827[[#This Row],[Precio Unitario en €]]</f>
        <v>4318.08</v>
      </c>
      <c r="F18" s="214">
        <v>649.33000000000004</v>
      </c>
      <c r="G18" s="96">
        <v>5194.6499999999996</v>
      </c>
    </row>
    <row r="19" spans="2:7" ht="15" customHeight="1" x14ac:dyDescent="0.3">
      <c r="B19" s="215" t="s">
        <v>16</v>
      </c>
      <c r="C19" s="216">
        <v>4</v>
      </c>
      <c r="D19" s="96">
        <v>449.41</v>
      </c>
      <c r="E19" s="214">
        <f>+Tabla10141827[[#This Row],[Cantidad]]*Tabla10141827[[#This Row],[Precio Unitario en €]]</f>
        <v>1797.64</v>
      </c>
      <c r="F19" s="214">
        <v>540.64</v>
      </c>
      <c r="G19" s="96">
        <f>+Tabla10141827[[#This Row],[Cantidad]]*Tabla10141827[[#This Row],[Precio Uni Julio 2023 €]]</f>
        <v>2162.56</v>
      </c>
    </row>
    <row r="20" spans="2:7" ht="15" customHeight="1" x14ac:dyDescent="0.3">
      <c r="B20" s="215" t="s">
        <v>107</v>
      </c>
      <c r="C20" s="216">
        <v>260</v>
      </c>
      <c r="D20" s="96">
        <v>33.020000000000003</v>
      </c>
      <c r="E20" s="214">
        <f>+Tabla10141827[[#This Row],[Cantidad]]*Tabla10141827[[#This Row],[Precio Unitario en €]]</f>
        <v>8585.2000000000007</v>
      </c>
      <c r="F20" s="214">
        <v>39.72</v>
      </c>
      <c r="G20" s="96">
        <v>10328</v>
      </c>
    </row>
    <row r="21" spans="2:7" ht="15" customHeight="1" x14ac:dyDescent="0.3">
      <c r="B21" s="215" t="s">
        <v>101</v>
      </c>
      <c r="C21" s="216">
        <v>67</v>
      </c>
      <c r="D21" s="96">
        <v>39.39</v>
      </c>
      <c r="E21" s="214">
        <f>+Tabla10141827[[#This Row],[Cantidad]]*Tabla10141827[[#This Row],[Precio Unitario en €]]</f>
        <v>2639.13</v>
      </c>
      <c r="F21" s="214">
        <v>47.39</v>
      </c>
      <c r="G21" s="96">
        <v>3174.87</v>
      </c>
    </row>
    <row r="22" spans="2:7" ht="15" customHeight="1" x14ac:dyDescent="0.3">
      <c r="B22" s="215" t="s">
        <v>227</v>
      </c>
      <c r="C22" s="216">
        <v>1526</v>
      </c>
      <c r="D22" s="96">
        <v>64.349999999999994</v>
      </c>
      <c r="E22" s="214">
        <f>+Tabla10141827[[#This Row],[Cantidad]]*Tabla10141827[[#This Row],[Precio Unitario en €]]</f>
        <v>98198.099999999991</v>
      </c>
      <c r="F22" s="214">
        <v>77.41</v>
      </c>
      <c r="G22" s="96">
        <v>118132.31</v>
      </c>
    </row>
    <row r="23" spans="2:7" ht="15" customHeight="1" x14ac:dyDescent="0.3">
      <c r="B23" s="215" t="s">
        <v>108</v>
      </c>
      <c r="C23" s="216">
        <v>15</v>
      </c>
      <c r="D23" s="96">
        <v>39.39</v>
      </c>
      <c r="E23" s="214">
        <f>+Tabla10141827[[#This Row],[Cantidad]]*Tabla10141827[[#This Row],[Precio Unitario en €]]</f>
        <v>590.85</v>
      </c>
      <c r="F23" s="214">
        <v>47.39</v>
      </c>
      <c r="G23" s="96">
        <v>710.79</v>
      </c>
    </row>
    <row r="24" spans="2:7" ht="15" customHeight="1" x14ac:dyDescent="0.3">
      <c r="B24" s="215" t="s">
        <v>109</v>
      </c>
      <c r="C24" s="216">
        <v>29</v>
      </c>
      <c r="D24" s="96">
        <v>64.349999999999994</v>
      </c>
      <c r="E24" s="214">
        <f>+Tabla10141827[[#This Row],[Cantidad]]*Tabla10141827[[#This Row],[Precio Unitario en €]]</f>
        <v>1866.1499999999999</v>
      </c>
      <c r="F24" s="214">
        <v>77.41</v>
      </c>
      <c r="G24" s="96">
        <v>2244.98</v>
      </c>
    </row>
    <row r="25" spans="2:7" ht="15" customHeight="1" x14ac:dyDescent="0.3">
      <c r="B25" s="215" t="s">
        <v>26</v>
      </c>
      <c r="C25" s="216">
        <v>71</v>
      </c>
      <c r="D25" s="96">
        <v>112.06</v>
      </c>
      <c r="E25" s="214">
        <f>+Tabla10141827[[#This Row],[Cantidad]]*Tabla10141827[[#This Row],[Precio Unitario en €]]</f>
        <v>7956.26</v>
      </c>
      <c r="F25" s="214">
        <v>134.81</v>
      </c>
      <c r="G25" s="96">
        <v>9571.3799999999992</v>
      </c>
    </row>
    <row r="26" spans="2:7" ht="15" customHeight="1" x14ac:dyDescent="0.3">
      <c r="B26" s="215" t="s">
        <v>113</v>
      </c>
      <c r="C26" s="216">
        <v>9</v>
      </c>
      <c r="D26" s="96">
        <v>64.48</v>
      </c>
      <c r="E26" s="214">
        <f>+Tabla10141827[[#This Row],[Cantidad]]*Tabla10141827[[#This Row],[Precio Unitario en €]]</f>
        <v>580.32000000000005</v>
      </c>
      <c r="F26" s="214">
        <v>77.569999999999993</v>
      </c>
      <c r="G26" s="96">
        <v>698.12</v>
      </c>
    </row>
    <row r="27" spans="2:7" ht="15" customHeight="1" x14ac:dyDescent="0.3">
      <c r="B27" s="218" t="s">
        <v>111</v>
      </c>
      <c r="C27" s="219">
        <v>12</v>
      </c>
      <c r="D27" s="96">
        <v>103.22</v>
      </c>
      <c r="E27" s="214">
        <f>+Tabla10141827[[#This Row],[Cantidad]]*Tabla10141827[[#This Row],[Precio Unitario en €]]</f>
        <v>1238.6399999999999</v>
      </c>
      <c r="F27" s="214">
        <v>124.17</v>
      </c>
      <c r="G27" s="96">
        <v>1490.08</v>
      </c>
    </row>
    <row r="28" spans="2:7" ht="15" customHeight="1" x14ac:dyDescent="0.3">
      <c r="B28" s="215" t="s">
        <v>110</v>
      </c>
      <c r="C28" s="216">
        <v>109</v>
      </c>
      <c r="D28" s="96">
        <v>117.39</v>
      </c>
      <c r="E28" s="214">
        <f>+Tabla10141827[[#This Row],[Cantidad]]*Tabla10141827[[#This Row],[Precio Unitario en €]]</f>
        <v>12795.51</v>
      </c>
      <c r="F28" s="214">
        <v>141.22</v>
      </c>
      <c r="G28" s="96">
        <v>15393</v>
      </c>
    </row>
    <row r="29" spans="2:7" ht="15" customHeight="1" x14ac:dyDescent="0.3">
      <c r="B29" s="215" t="s">
        <v>263</v>
      </c>
      <c r="C29" s="216">
        <v>15</v>
      </c>
      <c r="D29" s="96">
        <v>133.38</v>
      </c>
      <c r="E29" s="214">
        <f>+Tabla10141827[[#This Row],[Cantidad]]*Tabla10141827[[#This Row],[Precio Unitario en €]]</f>
        <v>2000.6999999999998</v>
      </c>
      <c r="F29" s="214">
        <v>160.46</v>
      </c>
      <c r="G29" s="96">
        <v>2406.84</v>
      </c>
    </row>
    <row r="30" spans="2:7" ht="15" customHeight="1" x14ac:dyDescent="0.3">
      <c r="B30" s="218" t="s">
        <v>163</v>
      </c>
      <c r="C30" s="219">
        <v>2</v>
      </c>
      <c r="D30" s="96">
        <v>47.71</v>
      </c>
      <c r="E30" s="214">
        <f>+Tabla10141827[[#This Row],[Cantidad]]*Tabla10141827[[#This Row],[Precio Unitario en €]]</f>
        <v>95.42</v>
      </c>
      <c r="F30" s="214">
        <v>57.4</v>
      </c>
      <c r="G30" s="96">
        <v>114.79</v>
      </c>
    </row>
    <row r="31" spans="2:7" ht="15" customHeight="1" x14ac:dyDescent="0.3">
      <c r="B31" s="215" t="s">
        <v>228</v>
      </c>
      <c r="C31" s="216">
        <v>926</v>
      </c>
      <c r="D31" s="96">
        <v>75.010000000000005</v>
      </c>
      <c r="E31" s="214">
        <f>+Tabla10141827[[#This Row],[Cantidad]]*Tabla10141827[[#This Row],[Precio Unitario en €]]</f>
        <v>69459.260000000009</v>
      </c>
      <c r="F31" s="214">
        <v>90.24</v>
      </c>
      <c r="G31" s="96">
        <v>83559.490000000005</v>
      </c>
    </row>
    <row r="32" spans="2:7" ht="15" customHeight="1" x14ac:dyDescent="0.3">
      <c r="B32" s="218" t="s">
        <v>229</v>
      </c>
      <c r="C32" s="219">
        <v>56</v>
      </c>
      <c r="D32" s="96">
        <v>70.069999999999993</v>
      </c>
      <c r="E32" s="214">
        <f>+Tabla10141827[[#This Row],[Cantidad]]*Tabla10141827[[#This Row],[Precio Unitario en €]]</f>
        <v>3923.9199999999996</v>
      </c>
      <c r="F32" s="214">
        <v>84.29</v>
      </c>
      <c r="G32" s="96">
        <v>4720.4799999999996</v>
      </c>
    </row>
    <row r="33" spans="2:7" ht="15" customHeight="1" x14ac:dyDescent="0.3">
      <c r="B33" s="215" t="s">
        <v>235</v>
      </c>
      <c r="C33" s="216">
        <v>50</v>
      </c>
      <c r="D33" s="96">
        <v>36.14</v>
      </c>
      <c r="E33" s="214">
        <f>+Tabla10141827[[#This Row],[Cantidad]]*Tabla10141827[[#This Row],[Precio Unitario en €]]</f>
        <v>1807</v>
      </c>
      <c r="F33" s="214">
        <v>43.48</v>
      </c>
      <c r="G33" s="96">
        <v>2173.8200000000002</v>
      </c>
    </row>
    <row r="34" spans="2:7" ht="15" customHeight="1" x14ac:dyDescent="0.3">
      <c r="B34" s="215" t="s">
        <v>236</v>
      </c>
      <c r="C34" s="216">
        <v>50</v>
      </c>
      <c r="D34" s="96">
        <v>33.409999999999997</v>
      </c>
      <c r="E34" s="214">
        <f>+Tabla10141827[[#This Row],[Cantidad]]*Tabla10141827[[#This Row],[Precio Unitario en €]]</f>
        <v>1670.4999999999998</v>
      </c>
      <c r="F34" s="214">
        <v>40.19</v>
      </c>
      <c r="G34" s="96">
        <v>2009.61</v>
      </c>
    </row>
    <row r="35" spans="2:7" ht="15" customHeight="1" x14ac:dyDescent="0.3">
      <c r="B35" s="215" t="s">
        <v>105</v>
      </c>
      <c r="C35" s="216">
        <v>17</v>
      </c>
      <c r="D35" s="96">
        <v>45.76</v>
      </c>
      <c r="E35" s="214">
        <f>+Tabla10141827[[#This Row],[Cantidad]]*Tabla10141827[[#This Row],[Precio Unitario en €]]</f>
        <v>777.92</v>
      </c>
      <c r="F35" s="214">
        <v>55.05</v>
      </c>
      <c r="G35" s="96">
        <v>935.84</v>
      </c>
    </row>
    <row r="36" spans="2:7" ht="15" customHeight="1" x14ac:dyDescent="0.3">
      <c r="B36" s="215" t="s">
        <v>106</v>
      </c>
      <c r="C36" s="216">
        <v>145</v>
      </c>
      <c r="D36" s="96">
        <v>43.03</v>
      </c>
      <c r="E36" s="214">
        <f>+Tabla10141827[[#This Row],[Cantidad]]*Tabla10141827[[#This Row],[Precio Unitario en €]]</f>
        <v>6239.35</v>
      </c>
      <c r="F36" s="214">
        <v>51.77</v>
      </c>
      <c r="G36" s="96">
        <v>7505.94</v>
      </c>
    </row>
    <row r="37" spans="2:7" ht="15" customHeight="1" x14ac:dyDescent="0.3">
      <c r="B37" s="215" t="s">
        <v>144</v>
      </c>
      <c r="C37" s="216">
        <v>27</v>
      </c>
      <c r="D37" s="96">
        <v>61.23</v>
      </c>
      <c r="E37" s="214">
        <f>+Tabla10141827[[#This Row],[Cantidad]]*Tabla10141827[[#This Row],[Precio Unitario en €]]</f>
        <v>1653.2099999999998</v>
      </c>
      <c r="F37" s="214">
        <v>73.66</v>
      </c>
      <c r="G37" s="96">
        <v>1988.81</v>
      </c>
    </row>
    <row r="38" spans="2:7" ht="15" customHeight="1" x14ac:dyDescent="0.3">
      <c r="B38" s="215" t="s">
        <v>234</v>
      </c>
      <c r="C38" s="216">
        <v>80</v>
      </c>
      <c r="D38" s="96">
        <v>37.96</v>
      </c>
      <c r="E38" s="214">
        <f>+Tabla10141827[[#This Row],[Cantidad]]*Tabla10141827[[#This Row],[Precio Unitario en €]]</f>
        <v>3036.8</v>
      </c>
      <c r="F38" s="214">
        <v>45.67</v>
      </c>
      <c r="G38" s="96">
        <v>3653.27</v>
      </c>
    </row>
    <row r="39" spans="2:7" ht="15" customHeight="1" x14ac:dyDescent="0.3">
      <c r="B39" s="218" t="s">
        <v>102</v>
      </c>
      <c r="C39" s="219">
        <v>15</v>
      </c>
      <c r="D39" s="96">
        <v>55.64</v>
      </c>
      <c r="E39" s="214">
        <f>+Tabla10141827[[#This Row],[Cantidad]]*Tabla10141827[[#This Row],[Precio Unitario en €]]</f>
        <v>834.6</v>
      </c>
      <c r="F39" s="214">
        <v>66.930000000000007</v>
      </c>
      <c r="G39" s="96">
        <v>1004.02</v>
      </c>
    </row>
    <row r="40" spans="2:7" s="170" customFormat="1" ht="15" customHeight="1" x14ac:dyDescent="0.3">
      <c r="B40" s="218" t="s">
        <v>67</v>
      </c>
      <c r="C40" s="219">
        <v>237</v>
      </c>
      <c r="D40" s="173">
        <v>148.19999999999999</v>
      </c>
      <c r="E40" s="214">
        <f>+Tabla10141827[[#This Row],[Cantidad]]*Tabla10141827[[#This Row],[Precio Unitario en €]]</f>
        <v>35123.399999999994</v>
      </c>
      <c r="F40" s="214">
        <v>178.28</v>
      </c>
      <c r="G40" s="173">
        <v>42253.45</v>
      </c>
    </row>
    <row r="41" spans="2:7" x14ac:dyDescent="0.3">
      <c r="B41" s="382"/>
      <c r="C41" s="383"/>
      <c r="D41" s="384"/>
      <c r="E41" s="385"/>
      <c r="F41" s="385"/>
      <c r="G41" s="400">
        <v>442258.65</v>
      </c>
    </row>
    <row r="42" spans="2:7" x14ac:dyDescent="0.3">
      <c r="B42" s="433" t="s">
        <v>496</v>
      </c>
      <c r="C42" s="433"/>
      <c r="E42" s="435" t="s">
        <v>490</v>
      </c>
      <c r="F42" s="435"/>
      <c r="G42" s="399">
        <f>+G41</f>
        <v>442258.65</v>
      </c>
    </row>
    <row r="43" spans="2:7" x14ac:dyDescent="0.3">
      <c r="B43" s="2" t="s">
        <v>491</v>
      </c>
      <c r="C43" s="387">
        <v>0.15</v>
      </c>
      <c r="E43" s="1"/>
      <c r="F43" s="1"/>
      <c r="G43" s="1"/>
    </row>
    <row r="44" spans="2:7" x14ac:dyDescent="0.3">
      <c r="B44" s="2" t="s">
        <v>492</v>
      </c>
      <c r="C44" s="387">
        <v>0.25</v>
      </c>
      <c r="E44" s="1"/>
      <c r="F44" s="1"/>
      <c r="G44" s="1"/>
    </row>
    <row r="45" spans="2:7" x14ac:dyDescent="0.3">
      <c r="B45" s="2" t="s">
        <v>493</v>
      </c>
      <c r="C45" s="387">
        <v>0.25</v>
      </c>
      <c r="E45" s="1"/>
      <c r="F45" s="1"/>
      <c r="G45" s="1"/>
    </row>
    <row r="46" spans="2:7" x14ac:dyDescent="0.3">
      <c r="B46" s="2" t="s">
        <v>494</v>
      </c>
      <c r="C46" s="387">
        <v>0.15</v>
      </c>
      <c r="E46" s="1"/>
      <c r="F46" s="1"/>
      <c r="G46" s="1"/>
    </row>
    <row r="47" spans="2:7" x14ac:dyDescent="0.3">
      <c r="B47" s="2" t="s">
        <v>495</v>
      </c>
      <c r="C47" s="387">
        <v>0.2</v>
      </c>
      <c r="E47" s="1"/>
      <c r="F47" s="1"/>
      <c r="G47" s="1"/>
    </row>
    <row r="48" spans="2:7" x14ac:dyDescent="0.3">
      <c r="C48" s="388">
        <f>SUM(C43:C47)</f>
        <v>1</v>
      </c>
    </row>
    <row r="50" spans="2:4" x14ac:dyDescent="0.3">
      <c r="B50" s="391" t="s">
        <v>497</v>
      </c>
      <c r="C50" s="392">
        <v>0.15</v>
      </c>
      <c r="D50" s="393" t="s">
        <v>491</v>
      </c>
    </row>
    <row r="51" spans="2:4" x14ac:dyDescent="0.3">
      <c r="B51" s="2" t="s">
        <v>490</v>
      </c>
      <c r="C51" s="389">
        <f>+G42</f>
        <v>442258.65</v>
      </c>
    </row>
    <row r="52" spans="2:4" x14ac:dyDescent="0.3">
      <c r="B52" s="2" t="s">
        <v>498</v>
      </c>
      <c r="C52" s="389">
        <f>+C51*C43</f>
        <v>66338.797500000001</v>
      </c>
    </row>
    <row r="53" spans="2:4" x14ac:dyDescent="0.3">
      <c r="B53" s="2" t="s">
        <v>507</v>
      </c>
      <c r="C53" s="386">
        <v>314</v>
      </c>
    </row>
    <row r="54" spans="2:4" x14ac:dyDescent="0.3">
      <c r="B54" s="2" t="s">
        <v>499</v>
      </c>
      <c r="C54" s="386">
        <f>+C52*C53</f>
        <v>20830382.414999999</v>
      </c>
    </row>
    <row r="55" spans="2:4" x14ac:dyDescent="0.3">
      <c r="B55" s="2" t="s">
        <v>506</v>
      </c>
      <c r="C55" s="386">
        <v>566</v>
      </c>
    </row>
    <row r="56" spans="2:4" x14ac:dyDescent="0.3">
      <c r="B56" s="395" t="s">
        <v>500</v>
      </c>
      <c r="C56" s="396">
        <f>+C54/C55</f>
        <v>36802.795786219081</v>
      </c>
    </row>
    <row r="57" spans="2:4" x14ac:dyDescent="0.3">
      <c r="B57" s="2" t="s">
        <v>501</v>
      </c>
      <c r="C57" s="390">
        <f>+C56*2%</f>
        <v>736.05591572438163</v>
      </c>
      <c r="D57" s="390">
        <f>+C56+C57</f>
        <v>37538.851701943466</v>
      </c>
    </row>
    <row r="58" spans="2:4" x14ac:dyDescent="0.3">
      <c r="B58" s="2" t="s">
        <v>502</v>
      </c>
      <c r="C58" s="390">
        <f>+D$57*2%</f>
        <v>750.77703403886937</v>
      </c>
      <c r="D58" s="390">
        <f>+D57+C58</f>
        <v>38289.628735982333</v>
      </c>
    </row>
    <row r="59" spans="2:4" x14ac:dyDescent="0.3">
      <c r="B59" s="2" t="s">
        <v>503</v>
      </c>
      <c r="C59" s="390">
        <f>+D$58*2%</f>
        <v>765.79257471964672</v>
      </c>
      <c r="D59" s="390">
        <f>+C59+D58</f>
        <v>39055.421310701982</v>
      </c>
    </row>
    <row r="60" spans="2:4" x14ac:dyDescent="0.3">
      <c r="B60" s="2" t="s">
        <v>504</v>
      </c>
      <c r="C60" s="390">
        <f>+D$59*2%</f>
        <v>781.1084262140397</v>
      </c>
      <c r="D60" s="390">
        <f>+D59+C60</f>
        <v>39836.529736916025</v>
      </c>
    </row>
    <row r="61" spans="2:4" x14ac:dyDescent="0.3">
      <c r="B61" s="2" t="s">
        <v>505</v>
      </c>
      <c r="C61" s="390">
        <f>+D$60*2%</f>
        <v>796.73059473832052</v>
      </c>
      <c r="D61" s="394">
        <f>+D60+C61</f>
        <v>40633.260331654346</v>
      </c>
    </row>
    <row r="87" spans="2:4" x14ac:dyDescent="0.3">
      <c r="B87" s="391" t="s">
        <v>508</v>
      </c>
      <c r="C87" s="392">
        <v>0.25</v>
      </c>
      <c r="D87" s="398" t="s">
        <v>492</v>
      </c>
    </row>
    <row r="88" spans="2:4" x14ac:dyDescent="0.3">
      <c r="B88" s="2" t="s">
        <v>509</v>
      </c>
      <c r="C88" s="389">
        <f>442258.65-C52</f>
        <v>375919.85250000004</v>
      </c>
    </row>
    <row r="89" spans="2:4" x14ac:dyDescent="0.3">
      <c r="B89" s="2" t="s">
        <v>498</v>
      </c>
      <c r="C89" s="389">
        <f>+C88*C87</f>
        <v>93979.963125000009</v>
      </c>
    </row>
    <row r="90" spans="2:4" x14ac:dyDescent="0.3">
      <c r="B90" s="2" t="s">
        <v>510</v>
      </c>
      <c r="C90" s="386">
        <v>387</v>
      </c>
    </row>
    <row r="91" spans="2:4" x14ac:dyDescent="0.3">
      <c r="B91" s="2" t="s">
        <v>499</v>
      </c>
      <c r="C91" s="386">
        <f>+C89*C90</f>
        <v>36370245.729375005</v>
      </c>
    </row>
    <row r="92" spans="2:4" x14ac:dyDescent="0.3">
      <c r="B92" s="2" t="s">
        <v>511</v>
      </c>
      <c r="C92" s="386">
        <v>915</v>
      </c>
    </row>
    <row r="93" spans="2:4" x14ac:dyDescent="0.3">
      <c r="B93" s="2" t="s">
        <v>500</v>
      </c>
      <c r="C93" s="390">
        <f>+C91/C92</f>
        <v>39748.902436475415</v>
      </c>
    </row>
    <row r="94" spans="2:4" x14ac:dyDescent="0.3">
      <c r="B94" s="2" t="s">
        <v>504</v>
      </c>
      <c r="C94" s="390">
        <f>+C93*2%</f>
        <v>794.97804872950837</v>
      </c>
      <c r="D94" s="390">
        <f>+C93+C94</f>
        <v>40543.880485204922</v>
      </c>
    </row>
    <row r="95" spans="2:4" x14ac:dyDescent="0.3">
      <c r="B95" s="2" t="s">
        <v>505</v>
      </c>
      <c r="C95" s="390">
        <f>+D94*2%</f>
        <v>810.8776097040984</v>
      </c>
      <c r="D95" s="394">
        <f>+D94+C95</f>
        <v>41354.758094909019</v>
      </c>
    </row>
    <row r="121" spans="2:7" x14ac:dyDescent="0.3">
      <c r="B121" s="434" t="s">
        <v>520</v>
      </c>
      <c r="C121" s="434"/>
      <c r="D121" s="394">
        <f>+D61+D95</f>
        <v>81988.018426563358</v>
      </c>
      <c r="E121" s="401" t="s">
        <v>521</v>
      </c>
    </row>
    <row r="124" spans="2:7" x14ac:dyDescent="0.3">
      <c r="B124" s="391" t="s">
        <v>512</v>
      </c>
      <c r="C124" s="392">
        <v>0.25</v>
      </c>
      <c r="D124" s="391" t="s">
        <v>493</v>
      </c>
      <c r="E124" s="397" t="s">
        <v>517</v>
      </c>
      <c r="F124" s="432" t="s">
        <v>518</v>
      </c>
      <c r="G124" s="432"/>
    </row>
    <row r="125" spans="2:7" x14ac:dyDescent="0.3">
      <c r="B125" s="2" t="s">
        <v>509</v>
      </c>
      <c r="C125" s="389">
        <f>+C88-C89</f>
        <v>281939.88937500003</v>
      </c>
    </row>
    <row r="126" spans="2:7" x14ac:dyDescent="0.3">
      <c r="B126" s="2" t="s">
        <v>498</v>
      </c>
      <c r="C126" s="389">
        <f>+C125*C124</f>
        <v>70484.972343750007</v>
      </c>
    </row>
    <row r="127" spans="2:7" x14ac:dyDescent="0.3">
      <c r="B127" s="2" t="s">
        <v>513</v>
      </c>
      <c r="C127" s="386">
        <v>941</v>
      </c>
    </row>
    <row r="128" spans="2:7" x14ac:dyDescent="0.3">
      <c r="B128" s="2" t="s">
        <v>499</v>
      </c>
      <c r="C128" s="386">
        <f>+C126*C127</f>
        <v>66326358.975468755</v>
      </c>
    </row>
    <row r="129" spans="2:4" x14ac:dyDescent="0.3">
      <c r="B129" s="2" t="s">
        <v>514</v>
      </c>
      <c r="C129" s="386">
        <v>1200</v>
      </c>
    </row>
    <row r="130" spans="2:4" x14ac:dyDescent="0.3">
      <c r="B130" s="2" t="s">
        <v>500</v>
      </c>
      <c r="C130" s="394">
        <f>+C128/C129</f>
        <v>55271.96581289063</v>
      </c>
    </row>
    <row r="132" spans="2:4" x14ac:dyDescent="0.3">
      <c r="B132" s="391" t="s">
        <v>515</v>
      </c>
      <c r="C132" s="392">
        <v>0.15</v>
      </c>
      <c r="D132" s="391" t="s">
        <v>494</v>
      </c>
    </row>
    <row r="133" spans="2:4" x14ac:dyDescent="0.3">
      <c r="B133" s="2" t="s">
        <v>509</v>
      </c>
      <c r="C133" s="389">
        <f>+C125-C126</f>
        <v>211454.91703125002</v>
      </c>
    </row>
    <row r="134" spans="2:4" x14ac:dyDescent="0.3">
      <c r="B134" s="2" t="s">
        <v>498</v>
      </c>
      <c r="C134" s="389">
        <f>+C133*C132</f>
        <v>31718.237554687501</v>
      </c>
    </row>
    <row r="135" spans="2:4" x14ac:dyDescent="0.3">
      <c r="B135" s="2" t="s">
        <v>523</v>
      </c>
      <c r="C135" s="386">
        <v>977</v>
      </c>
    </row>
    <row r="136" spans="2:4" x14ac:dyDescent="0.3">
      <c r="B136" s="2" t="s">
        <v>499</v>
      </c>
      <c r="C136" s="386">
        <f>+C134*C135</f>
        <v>30988718.090929687</v>
      </c>
    </row>
    <row r="137" spans="2:4" x14ac:dyDescent="0.3">
      <c r="B137" s="2" t="s">
        <v>522</v>
      </c>
      <c r="C137" s="386">
        <v>1050</v>
      </c>
    </row>
    <row r="138" spans="2:4" x14ac:dyDescent="0.3">
      <c r="B138" s="2" t="s">
        <v>500</v>
      </c>
      <c r="C138" s="394">
        <f>+C136/C137</f>
        <v>29513.064848504462</v>
      </c>
    </row>
    <row r="140" spans="2:4" x14ac:dyDescent="0.3">
      <c r="B140" s="391" t="s">
        <v>516</v>
      </c>
      <c r="C140" s="392">
        <v>0.2</v>
      </c>
      <c r="D140" s="391" t="s">
        <v>495</v>
      </c>
    </row>
    <row r="141" spans="2:4" x14ac:dyDescent="0.3">
      <c r="B141" s="2" t="s">
        <v>509</v>
      </c>
      <c r="C141" s="389">
        <f>+C133-C134</f>
        <v>179736.67947656251</v>
      </c>
    </row>
    <row r="142" spans="2:4" x14ac:dyDescent="0.3">
      <c r="B142" s="2" t="s">
        <v>498</v>
      </c>
      <c r="C142" s="389">
        <f>+C141*C140</f>
        <v>35947.335895312506</v>
      </c>
    </row>
    <row r="143" spans="2:4" x14ac:dyDescent="0.3">
      <c r="B143" s="2" t="s">
        <v>524</v>
      </c>
      <c r="C143" s="386">
        <v>1014</v>
      </c>
    </row>
    <row r="144" spans="2:4" x14ac:dyDescent="0.3">
      <c r="B144" s="2" t="s">
        <v>499</v>
      </c>
      <c r="C144" s="386">
        <f>+C142*C143</f>
        <v>36450598.597846881</v>
      </c>
    </row>
    <row r="145" spans="2:4" x14ac:dyDescent="0.3">
      <c r="B145" s="2" t="s">
        <v>525</v>
      </c>
      <c r="C145" s="386">
        <v>1230</v>
      </c>
    </row>
    <row r="146" spans="2:4" x14ac:dyDescent="0.3">
      <c r="B146" s="2" t="s">
        <v>500</v>
      </c>
      <c r="C146" s="394">
        <f>+C144/C145</f>
        <v>29634.633006379579</v>
      </c>
    </row>
    <row r="148" spans="2:4" x14ac:dyDescent="0.3">
      <c r="B148" s="391" t="s">
        <v>526</v>
      </c>
      <c r="C148" s="392">
        <v>0.5</v>
      </c>
      <c r="D148" s="391" t="s">
        <v>527</v>
      </c>
    </row>
    <row r="149" spans="2:4" x14ac:dyDescent="0.3">
      <c r="B149" s="2" t="s">
        <v>509</v>
      </c>
      <c r="C149" s="389">
        <f>+C141-C142</f>
        <v>143789.34358125</v>
      </c>
    </row>
    <row r="150" spans="2:4" x14ac:dyDescent="0.3">
      <c r="B150" s="2" t="s">
        <v>498</v>
      </c>
      <c r="C150" s="389">
        <f>+C149*C148</f>
        <v>71894.671790624998</v>
      </c>
    </row>
    <row r="151" spans="2:4" x14ac:dyDescent="0.3">
      <c r="B151" s="2" t="s">
        <v>528</v>
      </c>
      <c r="C151" s="386">
        <v>1024</v>
      </c>
    </row>
    <row r="152" spans="2:4" x14ac:dyDescent="0.3">
      <c r="B152" s="2" t="s">
        <v>499</v>
      </c>
      <c r="C152" s="386">
        <f>+C150*C151</f>
        <v>73620143.913599998</v>
      </c>
    </row>
    <row r="153" spans="2:4" x14ac:dyDescent="0.3">
      <c r="B153" s="2" t="s">
        <v>529</v>
      </c>
      <c r="C153" s="386">
        <v>1400</v>
      </c>
    </row>
    <row r="154" spans="2:4" x14ac:dyDescent="0.3">
      <c r="B154" s="2" t="s">
        <v>500</v>
      </c>
      <c r="C154" s="394">
        <f>+C152/C153</f>
        <v>52585.817081142857</v>
      </c>
    </row>
    <row r="156" spans="2:4" x14ac:dyDescent="0.3">
      <c r="B156" s="391" t="s">
        <v>530</v>
      </c>
      <c r="C156" s="392">
        <v>1</v>
      </c>
      <c r="D156" s="391" t="s">
        <v>531</v>
      </c>
    </row>
    <row r="157" spans="2:4" x14ac:dyDescent="0.3">
      <c r="B157" s="2" t="s">
        <v>509</v>
      </c>
      <c r="C157" s="389">
        <f>+C149-C150</f>
        <v>71894.671790624998</v>
      </c>
    </row>
    <row r="158" spans="2:4" x14ac:dyDescent="0.3">
      <c r="B158" s="2" t="s">
        <v>498</v>
      </c>
      <c r="C158" s="389">
        <f>+C157*C156</f>
        <v>71894.671790624998</v>
      </c>
    </row>
    <row r="159" spans="2:4" x14ac:dyDescent="0.3">
      <c r="B159" s="2" t="s">
        <v>532</v>
      </c>
      <c r="C159" s="386">
        <v>1044</v>
      </c>
    </row>
    <row r="160" spans="2:4" x14ac:dyDescent="0.3">
      <c r="B160" s="2" t="s">
        <v>499</v>
      </c>
      <c r="C160" s="386">
        <f>+C158*C159</f>
        <v>75058037.349412501</v>
      </c>
    </row>
    <row r="161" spans="2:3" x14ac:dyDescent="0.3">
      <c r="B161" s="2" t="s">
        <v>533</v>
      </c>
      <c r="C161" s="386">
        <v>1375</v>
      </c>
    </row>
    <row r="162" spans="2:3" x14ac:dyDescent="0.3">
      <c r="B162" s="2" t="s">
        <v>500</v>
      </c>
      <c r="C162" s="394">
        <f>+C160/C161</f>
        <v>54587.663526845456</v>
      </c>
    </row>
  </sheetData>
  <mergeCells count="5">
    <mergeCell ref="F124:G124"/>
    <mergeCell ref="B42:C42"/>
    <mergeCell ref="B1:G2"/>
    <mergeCell ref="B121:C121"/>
    <mergeCell ref="E42:F42"/>
  </mergeCells>
  <pageMargins left="0.19685039370078741" right="0.11811023622047245" top="0.59055118110236227" bottom="0.19685039370078741" header="0.31496062992125984" footer="0.31496062992125984"/>
  <pageSetup scale="75" orientation="portrait" r:id="rId1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1"/>
  <sheetViews>
    <sheetView topLeftCell="A20" zoomScale="130" zoomScaleNormal="130" workbookViewId="0">
      <selection activeCell="I41" sqref="I41"/>
    </sheetView>
  </sheetViews>
  <sheetFormatPr baseColWidth="10" defaultRowHeight="14.4" x14ac:dyDescent="0.3"/>
  <cols>
    <col min="1" max="1" width="1.6640625" customWidth="1"/>
    <col min="2" max="2" width="38.88671875" style="2" customWidth="1"/>
    <col min="3" max="3" width="19.77734375" style="1" customWidth="1"/>
    <col min="4" max="4" width="19.77734375" style="1" hidden="1" customWidth="1"/>
    <col min="5" max="5" width="19.77734375" hidden="1" customWidth="1"/>
    <col min="6" max="6" width="19.77734375" style="43" hidden="1" customWidth="1"/>
    <col min="7" max="9" width="19.77734375" style="43" customWidth="1"/>
    <col min="10" max="10" width="11.5546875" customWidth="1"/>
  </cols>
  <sheetData>
    <row r="1" spans="2:9" ht="26.25" customHeight="1" thickBot="1" x14ac:dyDescent="0.35">
      <c r="B1" s="412" t="s">
        <v>438</v>
      </c>
      <c r="C1" s="413"/>
      <c r="D1" s="413"/>
      <c r="E1" s="413"/>
      <c r="F1" s="413"/>
      <c r="G1" s="413"/>
      <c r="H1" s="413"/>
      <c r="I1" s="414"/>
    </row>
    <row r="2" spans="2:9" ht="16.95" customHeight="1" thickBot="1" x14ac:dyDescent="0.35">
      <c r="B2" s="421" t="s">
        <v>327</v>
      </c>
      <c r="C2" s="422"/>
      <c r="D2" s="422"/>
      <c r="E2" s="422"/>
      <c r="F2" s="422"/>
      <c r="G2" s="423"/>
      <c r="H2" s="190" t="s">
        <v>330</v>
      </c>
      <c r="I2" s="191">
        <v>185.75</v>
      </c>
    </row>
    <row r="3" spans="2:9" ht="15.6" customHeight="1" thickBot="1" x14ac:dyDescent="0.35">
      <c r="B3" s="40" t="s">
        <v>0</v>
      </c>
      <c r="C3" s="41" t="s">
        <v>1</v>
      </c>
      <c r="D3" s="41" t="s">
        <v>308</v>
      </c>
      <c r="E3" s="41" t="s">
        <v>269</v>
      </c>
      <c r="F3" s="42" t="s">
        <v>225</v>
      </c>
      <c r="G3" s="175" t="s">
        <v>338</v>
      </c>
      <c r="H3" s="176" t="s">
        <v>312</v>
      </c>
      <c r="I3" s="127" t="s">
        <v>331</v>
      </c>
    </row>
    <row r="4" spans="2:9" s="170" customFormat="1" ht="15" customHeight="1" x14ac:dyDescent="0.3">
      <c r="B4" s="207" t="s">
        <v>73</v>
      </c>
      <c r="C4" s="208">
        <v>12</v>
      </c>
      <c r="D4" s="162" t="e">
        <f>SUM(Tabla1343[[#This Row],[Columna1]:[Columna5]])</f>
        <v>#VALUE!</v>
      </c>
      <c r="E4" s="157" t="s">
        <v>279</v>
      </c>
      <c r="F4" s="163" t="s">
        <v>230</v>
      </c>
      <c r="G4" s="204">
        <v>263.64</v>
      </c>
      <c r="H4" s="205">
        <f>+G4*C4*I$2</f>
        <v>587653.55999999994</v>
      </c>
      <c r="I4" s="205">
        <f>+Tabla101417[[#This Row],[Precio Total en Pesos]]*9%</f>
        <v>52888.82039999999</v>
      </c>
    </row>
    <row r="5" spans="2:9" s="170" customFormat="1" ht="15" customHeight="1" x14ac:dyDescent="0.3">
      <c r="B5" s="207" t="s">
        <v>262</v>
      </c>
      <c r="C5" s="208">
        <v>310</v>
      </c>
      <c r="D5" s="161">
        <f>SUM(Tabla1343[[#This Row],[Columna1]:[Columna5]])</f>
        <v>7</v>
      </c>
      <c r="E5" s="209" t="s">
        <v>279</v>
      </c>
      <c r="F5" s="163" t="s">
        <v>230</v>
      </c>
      <c r="G5" s="204">
        <v>76.83</v>
      </c>
      <c r="H5" s="205">
        <f t="shared" ref="H5:H30" si="0">+G5*C5*I$2</f>
        <v>4424063.4749999996</v>
      </c>
      <c r="I5" s="205">
        <f>+Tabla101417[[#This Row],[Precio Total en Pesos]]*9%</f>
        <v>398165.71274999995</v>
      </c>
    </row>
    <row r="6" spans="2:9" s="170" customFormat="1" ht="15" customHeight="1" x14ac:dyDescent="0.3">
      <c r="B6" s="207" t="s">
        <v>334</v>
      </c>
      <c r="C6" s="208">
        <v>8</v>
      </c>
      <c r="D6" s="161">
        <f>SUM(Tabla1343[[#This Row],[Columna1]:[Columna5]])</f>
        <v>4</v>
      </c>
      <c r="E6" s="209"/>
      <c r="F6" s="163"/>
      <c r="G6" s="204">
        <v>66.95</v>
      </c>
      <c r="H6" s="205">
        <f t="shared" si="0"/>
        <v>99487.7</v>
      </c>
      <c r="I6" s="205">
        <f>+Tabla101417[[#This Row],[Precio Total en Pesos]]*9%</f>
        <v>8953.893</v>
      </c>
    </row>
    <row r="7" spans="2:9" s="170" customFormat="1" ht="15" customHeight="1" x14ac:dyDescent="0.3">
      <c r="B7" s="207" t="s">
        <v>333</v>
      </c>
      <c r="C7" s="208">
        <v>88</v>
      </c>
      <c r="D7" s="161">
        <f>SUM(Tabla1343[[#This Row],[Columna1]:[Columna5]])</f>
        <v>8</v>
      </c>
      <c r="E7" s="209"/>
      <c r="F7" s="163"/>
      <c r="G7" s="204">
        <v>65.650000000000006</v>
      </c>
      <c r="H7" s="205">
        <f>+G7*C7*I$2</f>
        <v>1073114.9000000001</v>
      </c>
      <c r="I7" s="205">
        <f>+Tabla101417[[#This Row],[Precio Total en Pesos]]*9%</f>
        <v>96580.341000000015</v>
      </c>
    </row>
    <row r="8" spans="2:9" s="170" customFormat="1" ht="15" customHeight="1" x14ac:dyDescent="0.3">
      <c r="B8" s="207" t="s">
        <v>232</v>
      </c>
      <c r="C8" s="208">
        <v>2</v>
      </c>
      <c r="D8" s="161">
        <f>SUM(Tabla1343[[#This Row],[Columna1]:[Columna5]])</f>
        <v>2</v>
      </c>
      <c r="E8" s="209" t="s">
        <v>279</v>
      </c>
      <c r="F8" s="163" t="s">
        <v>230</v>
      </c>
      <c r="G8" s="204">
        <v>539.76</v>
      </c>
      <c r="H8" s="205">
        <f t="shared" si="0"/>
        <v>200520.84</v>
      </c>
      <c r="I8" s="205">
        <f>+Tabla101417[[#This Row],[Precio Total en Pesos]]*9%</f>
        <v>18046.875599999999</v>
      </c>
    </row>
    <row r="9" spans="2:9" s="170" customFormat="1" ht="15" customHeight="1" x14ac:dyDescent="0.3">
      <c r="B9" s="207" t="s">
        <v>16</v>
      </c>
      <c r="C9" s="208">
        <v>4</v>
      </c>
      <c r="D9" s="161">
        <f>SUM(Tabla1343[[#This Row],[Columna1]:[Columna5]])</f>
        <v>9</v>
      </c>
      <c r="E9" s="209" t="s">
        <v>279</v>
      </c>
      <c r="F9" s="163" t="s">
        <v>230</v>
      </c>
      <c r="G9" s="204">
        <v>449.41</v>
      </c>
      <c r="H9" s="205">
        <f t="shared" si="0"/>
        <v>333911.63</v>
      </c>
      <c r="I9" s="205">
        <f>+Tabla101417[[#This Row],[Precio Total en Pesos]]*9%</f>
        <v>30052.046699999999</v>
      </c>
    </row>
    <row r="10" spans="2:9" s="170" customFormat="1" ht="15" customHeight="1" x14ac:dyDescent="0.3">
      <c r="B10" s="207" t="s">
        <v>110</v>
      </c>
      <c r="C10" s="208">
        <v>25</v>
      </c>
      <c r="D10" s="161">
        <f>SUM(Tabla1343[[#This Row],[Columna1]:[Columna5]])</f>
        <v>3</v>
      </c>
      <c r="E10" s="209" t="s">
        <v>279</v>
      </c>
      <c r="F10" s="163" t="s">
        <v>230</v>
      </c>
      <c r="G10" s="204">
        <v>117.39</v>
      </c>
      <c r="H10" s="205">
        <f t="shared" si="0"/>
        <v>545129.8125</v>
      </c>
      <c r="I10" s="205">
        <f>+Tabla101417[[#This Row],[Precio Total en Pesos]]*9%</f>
        <v>49061.683124999996</v>
      </c>
    </row>
    <row r="11" spans="2:9" s="170" customFormat="1" ht="15" customHeight="1" x14ac:dyDescent="0.3">
      <c r="B11" s="207" t="s">
        <v>228</v>
      </c>
      <c r="C11" s="208">
        <v>410</v>
      </c>
      <c r="D11" s="161">
        <f>SUM(Tabla1343[[#This Row],[Columna1]:[Columna5]])</f>
        <v>97</v>
      </c>
      <c r="E11" s="209" t="s">
        <v>279</v>
      </c>
      <c r="F11" s="163" t="s">
        <v>230</v>
      </c>
      <c r="G11" s="204">
        <v>75.010000000000005</v>
      </c>
      <c r="H11" s="205">
        <f t="shared" si="0"/>
        <v>5712574.0750000002</v>
      </c>
      <c r="I11" s="205">
        <f>+Tabla101417[[#This Row],[Precio Total en Pesos]]*9%</f>
        <v>514131.66674999997</v>
      </c>
    </row>
    <row r="12" spans="2:9" s="170" customFormat="1" ht="15" customHeight="1" x14ac:dyDescent="0.3">
      <c r="B12" s="207" t="s">
        <v>229</v>
      </c>
      <c r="C12" s="208">
        <v>11</v>
      </c>
      <c r="D12" s="161">
        <f>SUM(Tabla1343[[#This Row],[Columna1]:[Columna5]])</f>
        <v>137</v>
      </c>
      <c r="E12" s="209"/>
      <c r="F12" s="163"/>
      <c r="G12" s="204">
        <v>70.069999999999993</v>
      </c>
      <c r="H12" s="205">
        <f t="shared" si="0"/>
        <v>143170.5275</v>
      </c>
      <c r="I12" s="205">
        <f>+Tabla101417[[#This Row],[Precio Total en Pesos]]*9%</f>
        <v>12885.347474999999</v>
      </c>
    </row>
    <row r="13" spans="2:9" s="170" customFormat="1" ht="15" customHeight="1" x14ac:dyDescent="0.3">
      <c r="B13" s="207" t="s">
        <v>144</v>
      </c>
      <c r="C13" s="208">
        <v>32</v>
      </c>
      <c r="D13" s="161">
        <f>SUM(Tabla1343[[#This Row],[Columna1]:[Columna5]])</f>
        <v>14</v>
      </c>
      <c r="E13" s="209"/>
      <c r="F13" s="163"/>
      <c r="G13" s="204">
        <v>61.23</v>
      </c>
      <c r="H13" s="205">
        <f t="shared" si="0"/>
        <v>363951.12</v>
      </c>
      <c r="I13" s="205">
        <f>+Tabla101417[[#This Row],[Precio Total en Pesos]]*9%</f>
        <v>32755.6008</v>
      </c>
    </row>
    <row r="14" spans="2:9" s="170" customFormat="1" ht="15" customHeight="1" x14ac:dyDescent="0.3">
      <c r="B14" s="207" t="s">
        <v>105</v>
      </c>
      <c r="C14" s="208">
        <v>65</v>
      </c>
      <c r="D14" s="161">
        <f>SUM(Tabla1343[[#This Row],[Columna1]:[Columna5]])</f>
        <v>136</v>
      </c>
      <c r="E14" s="209"/>
      <c r="F14" s="163"/>
      <c r="G14" s="204">
        <v>45.76</v>
      </c>
      <c r="H14" s="205">
        <f t="shared" si="0"/>
        <v>552494.80000000005</v>
      </c>
      <c r="I14" s="205">
        <f>+Tabla101417[[#This Row],[Precio Total en Pesos]]*9%</f>
        <v>49724.531999999999</v>
      </c>
    </row>
    <row r="15" spans="2:9" s="170" customFormat="1" ht="15" customHeight="1" x14ac:dyDescent="0.3">
      <c r="B15" s="207" t="s">
        <v>106</v>
      </c>
      <c r="C15" s="208">
        <v>59</v>
      </c>
      <c r="D15" s="161">
        <f>SUM(Tabla1343[[#This Row],[Columna1]:[Columna5]])</f>
        <v>3</v>
      </c>
      <c r="E15" s="209"/>
      <c r="F15" s="163"/>
      <c r="G15" s="204">
        <v>43.03</v>
      </c>
      <c r="H15" s="205">
        <f t="shared" si="0"/>
        <v>471576.52750000003</v>
      </c>
      <c r="I15" s="205">
        <f>+Tabla101417[[#This Row],[Precio Total en Pesos]]*9%</f>
        <v>42441.887475000003</v>
      </c>
    </row>
    <row r="16" spans="2:9" s="170" customFormat="1" ht="15" customHeight="1" x14ac:dyDescent="0.3">
      <c r="B16" s="207" t="s">
        <v>67</v>
      </c>
      <c r="C16" s="208">
        <v>36</v>
      </c>
      <c r="D16" s="161">
        <f>SUM(Tabla1343[[#This Row],[Columna1]:[Columna5]])</f>
        <v>7</v>
      </c>
      <c r="E16" s="209" t="s">
        <v>279</v>
      </c>
      <c r="F16" s="163" t="s">
        <v>230</v>
      </c>
      <c r="G16" s="204">
        <v>148.19999999999999</v>
      </c>
      <c r="H16" s="205">
        <f t="shared" si="0"/>
        <v>991013.4</v>
      </c>
      <c r="I16" s="205">
        <f>+Tabla101417[[#This Row],[Precio Total en Pesos]]*9%</f>
        <v>89191.206000000006</v>
      </c>
    </row>
    <row r="17" spans="2:9" s="170" customFormat="1" ht="15" customHeight="1" x14ac:dyDescent="0.3">
      <c r="B17" s="207" t="s">
        <v>102</v>
      </c>
      <c r="C17" s="208">
        <v>33</v>
      </c>
      <c r="D17" s="161">
        <f>SUM(Tabla1343[[#This Row],[Columna1]:[Columna5]])</f>
        <v>1</v>
      </c>
      <c r="E17" s="209"/>
      <c r="F17" s="163"/>
      <c r="G17" s="204">
        <v>55.64</v>
      </c>
      <c r="H17" s="205">
        <f t="shared" si="0"/>
        <v>341059.29000000004</v>
      </c>
      <c r="I17" s="205">
        <f>+Tabla101417[[#This Row],[Precio Total en Pesos]]*9%</f>
        <v>30695.3361</v>
      </c>
    </row>
    <row r="18" spans="2:9" s="170" customFormat="1" ht="15" customHeight="1" x14ac:dyDescent="0.3">
      <c r="B18" s="207" t="s">
        <v>234</v>
      </c>
      <c r="C18" s="208">
        <v>35</v>
      </c>
      <c r="D18" s="161">
        <f>SUM(Tabla1343[[#This Row],[Columna1]:[Columna5]])</f>
        <v>1</v>
      </c>
      <c r="E18" s="209"/>
      <c r="F18" s="163"/>
      <c r="G18" s="204">
        <v>37.96</v>
      </c>
      <c r="H18" s="205">
        <f t="shared" si="0"/>
        <v>246787.45</v>
      </c>
      <c r="I18" s="205">
        <f>+Tabla101417[[#This Row],[Precio Total en Pesos]]*9%</f>
        <v>22210.870500000001</v>
      </c>
    </row>
    <row r="19" spans="2:9" s="170" customFormat="1" ht="15" customHeight="1" x14ac:dyDescent="0.3">
      <c r="B19" s="207" t="s">
        <v>10</v>
      </c>
      <c r="C19" s="208">
        <v>130</v>
      </c>
      <c r="D19" s="161">
        <f>SUM(Tabla1343[[#This Row],[Columna1]:[Columna5]])</f>
        <v>9</v>
      </c>
      <c r="E19" s="209" t="s">
        <v>279</v>
      </c>
      <c r="F19" s="163" t="s">
        <v>230</v>
      </c>
      <c r="G19" s="204">
        <v>28.34</v>
      </c>
      <c r="H19" s="205">
        <f t="shared" si="0"/>
        <v>684340.15</v>
      </c>
      <c r="I19" s="205">
        <f>+Tabla101417[[#This Row],[Precio Total en Pesos]]*9%</f>
        <v>61590.613499999999</v>
      </c>
    </row>
    <row r="20" spans="2:9" s="170" customFormat="1" ht="15" customHeight="1" x14ac:dyDescent="0.3">
      <c r="B20" s="207" t="s">
        <v>30</v>
      </c>
      <c r="C20" s="208">
        <v>130</v>
      </c>
      <c r="D20" s="161">
        <f>SUM(Tabla1343[[#This Row],[Columna1]:[Columna5]])</f>
        <v>15</v>
      </c>
      <c r="E20" s="209" t="s">
        <v>279</v>
      </c>
      <c r="F20" s="163" t="s">
        <v>230</v>
      </c>
      <c r="G20" s="204">
        <v>19.89</v>
      </c>
      <c r="H20" s="205">
        <f t="shared" si="0"/>
        <v>480293.77500000002</v>
      </c>
      <c r="I20" s="205">
        <f>+Tabla101417[[#This Row],[Precio Total en Pesos]]*9%</f>
        <v>43226.439749999998</v>
      </c>
    </row>
    <row r="21" spans="2:9" s="170" customFormat="1" ht="15" customHeight="1" x14ac:dyDescent="0.3">
      <c r="B21" s="207" t="s">
        <v>332</v>
      </c>
      <c r="C21" s="208">
        <v>33</v>
      </c>
      <c r="D21" s="161">
        <f>SUM(Tabla1343[[#This Row],[Columna1]:[Columna5]])</f>
        <v>1</v>
      </c>
      <c r="E21" s="209"/>
      <c r="F21" s="163"/>
      <c r="G21" s="204">
        <v>72.739999999999995</v>
      </c>
      <c r="H21" s="205">
        <f t="shared" si="0"/>
        <v>445878.01499999996</v>
      </c>
      <c r="I21" s="205">
        <f>+Tabla101417[[#This Row],[Precio Total en Pesos]]*9%</f>
        <v>40129.021349999995</v>
      </c>
    </row>
    <row r="22" spans="2:9" s="170" customFormat="1" ht="15" customHeight="1" x14ac:dyDescent="0.3">
      <c r="B22" s="207" t="s">
        <v>227</v>
      </c>
      <c r="C22" s="208">
        <v>825</v>
      </c>
      <c r="D22" s="161">
        <f>SUM(Tabla1343[[#This Row],[Columna1]:[Columna5]])</f>
        <v>3</v>
      </c>
      <c r="E22" s="209" t="s">
        <v>279</v>
      </c>
      <c r="F22" s="163" t="s">
        <v>230</v>
      </c>
      <c r="G22" s="204">
        <v>64.349999999999994</v>
      </c>
      <c r="H22" s="205">
        <f t="shared" si="0"/>
        <v>9861235.3124999981</v>
      </c>
      <c r="I22" s="205">
        <f>+Tabla101417[[#This Row],[Precio Total en Pesos]]*9%</f>
        <v>887511.17812499974</v>
      </c>
    </row>
    <row r="23" spans="2:9" s="170" customFormat="1" ht="15" customHeight="1" x14ac:dyDescent="0.3">
      <c r="B23" s="207" t="s">
        <v>101</v>
      </c>
      <c r="C23" s="208">
        <v>40</v>
      </c>
      <c r="D23" s="161">
        <f>SUM(Tabla1343[[#This Row],[Columna1]:[Columna5]])</f>
        <v>3</v>
      </c>
      <c r="E23" s="209"/>
      <c r="F23" s="163"/>
      <c r="G23" s="204">
        <v>39.39</v>
      </c>
      <c r="H23" s="205">
        <f t="shared" si="0"/>
        <v>292667.7</v>
      </c>
      <c r="I23" s="205">
        <f>+Tabla101417[[#This Row],[Precio Total en Pesos]]*9%</f>
        <v>26340.093000000001</v>
      </c>
    </row>
    <row r="24" spans="2:9" s="170" customFormat="1" ht="15" customHeight="1" x14ac:dyDescent="0.3">
      <c r="B24" s="207" t="s">
        <v>107</v>
      </c>
      <c r="C24" s="208">
        <v>85</v>
      </c>
      <c r="D24" s="161">
        <f>SUM(Tabla1343[[#This Row],[Columna1]:[Columna5]])</f>
        <v>7</v>
      </c>
      <c r="E24" s="209"/>
      <c r="F24" s="163"/>
      <c r="G24" s="204">
        <v>33.020000000000003</v>
      </c>
      <c r="H24" s="205">
        <f t="shared" si="0"/>
        <v>521344.52500000002</v>
      </c>
      <c r="I24" s="205">
        <f>+Tabla101417[[#This Row],[Precio Total en Pesos]]*9%</f>
        <v>46921.007250000002</v>
      </c>
    </row>
    <row r="25" spans="2:9" s="170" customFormat="1" ht="15" customHeight="1" x14ac:dyDescent="0.3">
      <c r="B25" s="207" t="s">
        <v>68</v>
      </c>
      <c r="C25" s="208">
        <v>0</v>
      </c>
      <c r="D25" s="161">
        <f>SUM(Tabla1343[[#This Row],[Columna1]:[Columna5]])</f>
        <v>11</v>
      </c>
      <c r="E25" s="209"/>
      <c r="F25" s="163"/>
      <c r="G25" s="204">
        <v>0</v>
      </c>
      <c r="H25" s="205">
        <f t="shared" si="0"/>
        <v>0</v>
      </c>
      <c r="I25" s="205">
        <f>+Tabla101417[[#This Row],[Precio Total en Pesos]]*9%</f>
        <v>0</v>
      </c>
    </row>
    <row r="26" spans="2:9" s="170" customFormat="1" ht="15" customHeight="1" x14ac:dyDescent="0.3">
      <c r="B26" s="207" t="s">
        <v>328</v>
      </c>
      <c r="C26" s="208">
        <v>0</v>
      </c>
      <c r="D26" s="161">
        <f>SUM(Tabla1343[[#This Row],[Columna1]:[Columna5]])</f>
        <v>19</v>
      </c>
      <c r="E26" s="209"/>
      <c r="F26" s="163"/>
      <c r="G26" s="204">
        <v>0</v>
      </c>
      <c r="H26" s="205">
        <f t="shared" si="0"/>
        <v>0</v>
      </c>
      <c r="I26" s="205">
        <f>+Tabla101417[[#This Row],[Precio Total en Pesos]]*9%</f>
        <v>0</v>
      </c>
    </row>
    <row r="27" spans="2:9" s="170" customFormat="1" ht="15" customHeight="1" x14ac:dyDescent="0.3">
      <c r="B27" s="207" t="s">
        <v>329</v>
      </c>
      <c r="C27" s="208">
        <v>28</v>
      </c>
      <c r="D27" s="161">
        <f>SUM(Tabla1343[[#This Row],[Columna1]:[Columna5]])</f>
        <v>165</v>
      </c>
      <c r="E27" s="209"/>
      <c r="F27" s="163"/>
      <c r="G27" s="204">
        <v>0</v>
      </c>
      <c r="H27" s="205">
        <f t="shared" si="0"/>
        <v>0</v>
      </c>
      <c r="I27" s="205">
        <f>+Tabla101417[[#This Row],[Precio Total en Pesos]]*9%</f>
        <v>0</v>
      </c>
    </row>
    <row r="28" spans="2:9" s="170" customFormat="1" ht="15" customHeight="1" x14ac:dyDescent="0.3">
      <c r="B28" s="207" t="s">
        <v>335</v>
      </c>
      <c r="C28" s="208">
        <v>19</v>
      </c>
      <c r="D28" s="161">
        <f>SUM(Tabla1343[[#This Row],[Columna1]:[Columna5]])</f>
        <v>0</v>
      </c>
      <c r="E28" s="209"/>
      <c r="F28" s="163"/>
      <c r="G28" s="204">
        <v>0</v>
      </c>
      <c r="H28" s="205">
        <f t="shared" si="0"/>
        <v>0</v>
      </c>
      <c r="I28" s="205">
        <f>+Tabla101417[[#This Row],[Precio Total en Pesos]]*9%</f>
        <v>0</v>
      </c>
    </row>
    <row r="29" spans="2:9" s="170" customFormat="1" ht="15" customHeight="1" x14ac:dyDescent="0.3">
      <c r="B29" s="207" t="s">
        <v>337</v>
      </c>
      <c r="C29" s="208">
        <v>5</v>
      </c>
      <c r="D29" s="161">
        <f>SUM(Tabla1343[[#This Row],[Columna1]:[Columna5]])</f>
        <v>1</v>
      </c>
      <c r="E29" s="209"/>
      <c r="F29" s="163"/>
      <c r="G29" s="204">
        <v>0</v>
      </c>
      <c r="H29" s="205">
        <f t="shared" si="0"/>
        <v>0</v>
      </c>
      <c r="I29" s="205">
        <f>+Tabla101417[[#This Row],[Precio Total en Pesos]]*9%</f>
        <v>0</v>
      </c>
    </row>
    <row r="30" spans="2:9" s="170" customFormat="1" ht="15" customHeight="1" thickBot="1" x14ac:dyDescent="0.35">
      <c r="B30" s="207" t="s">
        <v>336</v>
      </c>
      <c r="C30" s="208">
        <v>1</v>
      </c>
      <c r="D30" s="161">
        <f>SUM(Tabla1343[[#This Row],[Columna1]:[Columna5]])</f>
        <v>130</v>
      </c>
      <c r="E30" s="209"/>
      <c r="F30" s="163"/>
      <c r="G30" s="204">
        <v>0</v>
      </c>
      <c r="H30" s="205">
        <f t="shared" si="0"/>
        <v>0</v>
      </c>
      <c r="I30" s="205">
        <f>+Tabla101417[[#This Row],[Precio Total en Pesos]]*9%</f>
        <v>0</v>
      </c>
    </row>
    <row r="31" spans="2:9" ht="15" thickBot="1" x14ac:dyDescent="0.35">
      <c r="B31" s="3"/>
      <c r="C31" s="4"/>
      <c r="D31" s="4"/>
      <c r="E31" s="210"/>
      <c r="F31" s="206"/>
      <c r="G31" s="206"/>
      <c r="H31" s="211"/>
      <c r="I31" s="212">
        <f>SUM(I4:I30)</f>
        <v>2553504.1726499987</v>
      </c>
    </row>
  </sheetData>
  <mergeCells count="2">
    <mergeCell ref="B1:I1"/>
    <mergeCell ref="B2:G2"/>
  </mergeCells>
  <pageMargins left="0.39370078740157483" right="0.11811023622047245" top="0.19685039370078741" bottom="0.19685039370078741" header="0.31496062992125984" footer="0.31496062992125984"/>
  <pageSetup scale="80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1"/>
  <sheetViews>
    <sheetView topLeftCell="A11" zoomScale="130" zoomScaleNormal="130" workbookViewId="0">
      <selection activeCell="D25" sqref="D25"/>
    </sheetView>
  </sheetViews>
  <sheetFormatPr baseColWidth="10" defaultRowHeight="14.4" x14ac:dyDescent="0.3"/>
  <cols>
    <col min="1" max="1" width="1.6640625" customWidth="1"/>
    <col min="2" max="2" width="21.33203125" style="2" customWidth="1"/>
    <col min="3" max="4" width="16.77734375" style="1" customWidth="1"/>
    <col min="5" max="6" width="16.77734375" customWidth="1"/>
    <col min="7" max="7" width="16.77734375" style="43" customWidth="1"/>
    <col min="8" max="10" width="19.77734375" style="43" customWidth="1"/>
    <col min="11" max="11" width="11.5546875" customWidth="1"/>
  </cols>
  <sheetData>
    <row r="1" spans="2:6" ht="15" thickBot="1" x14ac:dyDescent="0.35"/>
    <row r="2" spans="2:6" ht="15.6" thickTop="1" thickBot="1" x14ac:dyDescent="0.35">
      <c r="B2" s="436" t="s">
        <v>350</v>
      </c>
      <c r="C2" s="437"/>
      <c r="D2" s="437"/>
      <c r="E2" s="437"/>
      <c r="F2" s="438"/>
    </row>
    <row r="3" spans="2:6" ht="15.6" thickTop="1" thickBot="1" x14ac:dyDescent="0.35">
      <c r="B3" s="439" t="s">
        <v>339</v>
      </c>
      <c r="C3" s="440"/>
      <c r="D3" s="440"/>
      <c r="E3" s="440"/>
      <c r="F3" s="441"/>
    </row>
    <row r="4" spans="2:6" ht="15.6" customHeight="1" thickBot="1" x14ac:dyDescent="0.35">
      <c r="B4" s="284" t="s">
        <v>0</v>
      </c>
      <c r="C4" s="285" t="s">
        <v>351</v>
      </c>
      <c r="D4" s="286" t="s">
        <v>429</v>
      </c>
      <c r="E4" s="286" t="s">
        <v>430</v>
      </c>
      <c r="F4" s="287" t="s">
        <v>225</v>
      </c>
    </row>
    <row r="5" spans="2:6" ht="15" thickBot="1" x14ac:dyDescent="0.35">
      <c r="B5" s="221" t="s">
        <v>73</v>
      </c>
      <c r="C5" s="222">
        <v>12</v>
      </c>
      <c r="D5" s="309">
        <v>12</v>
      </c>
      <c r="E5" s="222">
        <v>0</v>
      </c>
      <c r="F5" s="223" t="s">
        <v>352</v>
      </c>
    </row>
    <row r="6" spans="2:6" ht="15" thickBot="1" x14ac:dyDescent="0.35">
      <c r="B6" s="224" t="s">
        <v>262</v>
      </c>
      <c r="C6" s="225">
        <v>310</v>
      </c>
      <c r="D6" s="310">
        <v>311</v>
      </c>
      <c r="E6" s="226">
        <v>1</v>
      </c>
      <c r="F6" s="227" t="s">
        <v>353</v>
      </c>
    </row>
    <row r="7" spans="2:6" ht="15" thickBot="1" x14ac:dyDescent="0.35">
      <c r="B7" s="221" t="s">
        <v>334</v>
      </c>
      <c r="C7" s="222">
        <v>8</v>
      </c>
      <c r="D7" s="309">
        <v>8</v>
      </c>
      <c r="E7" s="222">
        <v>0</v>
      </c>
      <c r="F7" s="223" t="s">
        <v>354</v>
      </c>
    </row>
    <row r="8" spans="2:6" ht="15" thickBot="1" x14ac:dyDescent="0.35">
      <c r="B8" s="224" t="s">
        <v>333</v>
      </c>
      <c r="C8" s="225">
        <v>88</v>
      </c>
      <c r="D8" s="310">
        <v>88</v>
      </c>
      <c r="E8" s="225">
        <v>0</v>
      </c>
      <c r="F8" s="227" t="s">
        <v>352</v>
      </c>
    </row>
    <row r="9" spans="2:6" ht="15" thickBot="1" x14ac:dyDescent="0.35">
      <c r="B9" s="221" t="s">
        <v>232</v>
      </c>
      <c r="C9" s="222">
        <v>2</v>
      </c>
      <c r="D9" s="309">
        <v>2</v>
      </c>
      <c r="E9" s="222">
        <v>0</v>
      </c>
      <c r="F9" s="223" t="s">
        <v>352</v>
      </c>
    </row>
    <row r="10" spans="2:6" ht="15" thickBot="1" x14ac:dyDescent="0.35">
      <c r="B10" s="224" t="s">
        <v>16</v>
      </c>
      <c r="C10" s="225">
        <v>4</v>
      </c>
      <c r="D10" s="310">
        <v>4</v>
      </c>
      <c r="E10" s="225">
        <v>0</v>
      </c>
      <c r="F10" s="227" t="s">
        <v>352</v>
      </c>
    </row>
    <row r="11" spans="2:6" ht="15" thickBot="1" x14ac:dyDescent="0.35">
      <c r="B11" s="221" t="s">
        <v>110</v>
      </c>
      <c r="C11" s="222">
        <v>25</v>
      </c>
      <c r="D11" s="309">
        <v>25</v>
      </c>
      <c r="E11" s="222">
        <v>0</v>
      </c>
      <c r="F11" s="223" t="s">
        <v>352</v>
      </c>
    </row>
    <row r="12" spans="2:6" ht="15" thickBot="1" x14ac:dyDescent="0.35">
      <c r="B12" s="224" t="s">
        <v>228</v>
      </c>
      <c r="C12" s="225">
        <v>410</v>
      </c>
      <c r="D12" s="310">
        <v>500</v>
      </c>
      <c r="E12" s="226">
        <v>90</v>
      </c>
      <c r="F12" s="227" t="s">
        <v>353</v>
      </c>
    </row>
    <row r="13" spans="2:6" ht="15" thickBot="1" x14ac:dyDescent="0.35">
      <c r="B13" s="221" t="s">
        <v>229</v>
      </c>
      <c r="C13" s="222">
        <v>11</v>
      </c>
      <c r="D13" s="309">
        <v>11</v>
      </c>
      <c r="E13" s="222">
        <v>0</v>
      </c>
      <c r="F13" s="223" t="s">
        <v>352</v>
      </c>
    </row>
    <row r="14" spans="2:6" ht="15" thickBot="1" x14ac:dyDescent="0.35">
      <c r="B14" s="224" t="s">
        <v>144</v>
      </c>
      <c r="C14" s="225">
        <v>32</v>
      </c>
      <c r="D14" s="310">
        <v>30</v>
      </c>
      <c r="E14" s="228">
        <v>-2</v>
      </c>
      <c r="F14" s="229" t="s">
        <v>355</v>
      </c>
    </row>
    <row r="15" spans="2:6" ht="15" thickBot="1" x14ac:dyDescent="0.35">
      <c r="B15" s="221" t="s">
        <v>105</v>
      </c>
      <c r="C15" s="222">
        <v>65</v>
      </c>
      <c r="D15" s="309">
        <v>67</v>
      </c>
      <c r="E15" s="226">
        <v>2</v>
      </c>
      <c r="F15" s="223" t="s">
        <v>353</v>
      </c>
    </row>
    <row r="16" spans="2:6" ht="15" thickBot="1" x14ac:dyDescent="0.35">
      <c r="B16" s="224" t="s">
        <v>106</v>
      </c>
      <c r="C16" s="225">
        <v>59</v>
      </c>
      <c r="D16" s="310">
        <v>60</v>
      </c>
      <c r="E16" s="226">
        <v>1</v>
      </c>
      <c r="F16" s="227" t="s">
        <v>353</v>
      </c>
    </row>
    <row r="17" spans="2:6" ht="15" thickBot="1" x14ac:dyDescent="0.35">
      <c r="B17" s="221" t="s">
        <v>67</v>
      </c>
      <c r="C17" s="222">
        <v>36</v>
      </c>
      <c r="D17" s="309">
        <v>36</v>
      </c>
      <c r="E17" s="222">
        <v>0</v>
      </c>
      <c r="F17" s="223" t="s">
        <v>352</v>
      </c>
    </row>
    <row r="18" spans="2:6" ht="15" thickBot="1" x14ac:dyDescent="0.35">
      <c r="B18" s="224" t="s">
        <v>102</v>
      </c>
      <c r="C18" s="225">
        <v>33</v>
      </c>
      <c r="D18" s="310">
        <v>33</v>
      </c>
      <c r="E18" s="225">
        <v>0</v>
      </c>
      <c r="F18" s="227" t="s">
        <v>352</v>
      </c>
    </row>
    <row r="19" spans="2:6" ht="15" thickBot="1" x14ac:dyDescent="0.35">
      <c r="B19" s="221" t="s">
        <v>234</v>
      </c>
      <c r="C19" s="222">
        <v>35</v>
      </c>
      <c r="D19" s="309">
        <v>35</v>
      </c>
      <c r="E19" s="222">
        <v>0</v>
      </c>
      <c r="F19" s="223" t="s">
        <v>352</v>
      </c>
    </row>
    <row r="20" spans="2:6" ht="15" thickBot="1" x14ac:dyDescent="0.35">
      <c r="B20" s="224" t="s">
        <v>10</v>
      </c>
      <c r="C20" s="225">
        <v>130</v>
      </c>
      <c r="D20" s="310">
        <v>136</v>
      </c>
      <c r="E20" s="226">
        <v>6</v>
      </c>
      <c r="F20" s="227" t="s">
        <v>353</v>
      </c>
    </row>
    <row r="21" spans="2:6" ht="15" thickBot="1" x14ac:dyDescent="0.35">
      <c r="B21" s="221" t="s">
        <v>30</v>
      </c>
      <c r="C21" s="222">
        <v>130</v>
      </c>
      <c r="D21" s="309">
        <v>136</v>
      </c>
      <c r="E21" s="226">
        <v>6</v>
      </c>
      <c r="F21" s="223" t="s">
        <v>353</v>
      </c>
    </row>
    <row r="22" spans="2:6" ht="15" thickBot="1" x14ac:dyDescent="0.35">
      <c r="B22" s="224" t="s">
        <v>472</v>
      </c>
      <c r="C22" s="225">
        <v>33</v>
      </c>
      <c r="D22" s="310">
        <v>28</v>
      </c>
      <c r="E22" s="228">
        <v>-5</v>
      </c>
      <c r="F22" s="229" t="s">
        <v>355</v>
      </c>
    </row>
    <row r="23" spans="2:6" ht="15" thickBot="1" x14ac:dyDescent="0.35">
      <c r="B23" s="221" t="s">
        <v>227</v>
      </c>
      <c r="C23" s="222">
        <v>825</v>
      </c>
      <c r="D23" s="309">
        <v>825</v>
      </c>
      <c r="E23" s="222">
        <v>0</v>
      </c>
      <c r="F23" s="223" t="s">
        <v>352</v>
      </c>
    </row>
    <row r="24" spans="2:6" ht="15" thickBot="1" x14ac:dyDescent="0.35">
      <c r="B24" s="224" t="s">
        <v>101</v>
      </c>
      <c r="C24" s="225">
        <v>40</v>
      </c>
      <c r="D24" s="310">
        <v>38</v>
      </c>
      <c r="E24" s="228">
        <v>-2</v>
      </c>
      <c r="F24" s="229" t="s">
        <v>355</v>
      </c>
    </row>
    <row r="25" spans="2:6" ht="15" thickBot="1" x14ac:dyDescent="0.35">
      <c r="B25" s="221" t="s">
        <v>107</v>
      </c>
      <c r="C25" s="222">
        <v>85</v>
      </c>
      <c r="D25" s="309">
        <v>85</v>
      </c>
      <c r="E25" s="222">
        <v>0</v>
      </c>
      <c r="F25" s="223" t="s">
        <v>352</v>
      </c>
    </row>
    <row r="26" spans="2:6" ht="15" thickBot="1" x14ac:dyDescent="0.35">
      <c r="B26" s="224" t="s">
        <v>68</v>
      </c>
      <c r="C26" s="225">
        <v>0</v>
      </c>
      <c r="D26" s="310">
        <v>0</v>
      </c>
      <c r="E26" s="225">
        <v>0</v>
      </c>
      <c r="F26" s="227" t="s">
        <v>352</v>
      </c>
    </row>
    <row r="27" spans="2:6" ht="15" thickBot="1" x14ac:dyDescent="0.35">
      <c r="B27" s="221" t="s">
        <v>328</v>
      </c>
      <c r="C27" s="222">
        <v>0</v>
      </c>
      <c r="D27" s="309">
        <v>0</v>
      </c>
      <c r="E27" s="222">
        <v>0</v>
      </c>
      <c r="F27" s="223" t="s">
        <v>352</v>
      </c>
    </row>
    <row r="28" spans="2:6" ht="15" thickBot="1" x14ac:dyDescent="0.35">
      <c r="B28" s="224" t="s">
        <v>329</v>
      </c>
      <c r="C28" s="225">
        <v>28</v>
      </c>
      <c r="D28" s="310">
        <v>28</v>
      </c>
      <c r="E28" s="225">
        <v>0</v>
      </c>
      <c r="F28" s="227" t="s">
        <v>352</v>
      </c>
    </row>
    <row r="29" spans="2:6" ht="15" thickBot="1" x14ac:dyDescent="0.35">
      <c r="B29" s="221" t="s">
        <v>335</v>
      </c>
      <c r="C29" s="222">
        <v>19</v>
      </c>
      <c r="D29" s="309">
        <v>19</v>
      </c>
      <c r="E29" s="222">
        <v>0</v>
      </c>
      <c r="F29" s="223" t="s">
        <v>352</v>
      </c>
    </row>
    <row r="30" spans="2:6" ht="15" thickBot="1" x14ac:dyDescent="0.35">
      <c r="B30" s="224" t="s">
        <v>356</v>
      </c>
      <c r="C30" s="225">
        <v>5</v>
      </c>
      <c r="D30" s="310">
        <v>0</v>
      </c>
      <c r="E30" s="228">
        <v>-5</v>
      </c>
      <c r="F30" s="230" t="s">
        <v>357</v>
      </c>
    </row>
    <row r="31" spans="2:6" ht="15" thickBot="1" x14ac:dyDescent="0.35">
      <c r="B31" s="221" t="s">
        <v>358</v>
      </c>
      <c r="C31" s="222">
        <v>1</v>
      </c>
      <c r="D31" s="309">
        <v>1</v>
      </c>
      <c r="E31" s="222">
        <v>0</v>
      </c>
      <c r="F31" s="223" t="s">
        <v>352</v>
      </c>
    </row>
  </sheetData>
  <mergeCells count="2">
    <mergeCell ref="B2:F2"/>
    <mergeCell ref="B3:F3"/>
  </mergeCells>
  <pageMargins left="0.11811023622047245" right="0.11811023622047245" top="0.19685039370078741" bottom="0.19685039370078741" header="0.31496062992125984" footer="0.31496062992125984"/>
  <pageSetup scale="9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opLeftCell="A7" zoomScale="130" zoomScaleNormal="130" workbookViewId="0">
      <selection activeCell="G18" sqref="G18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5.77734375" style="1" hidden="1" customWidth="1"/>
    <col min="4" max="5" width="25.77734375" style="1" customWidth="1"/>
    <col min="6" max="6" width="25.77734375" customWidth="1"/>
    <col min="7" max="7" width="16.77734375" style="43" customWidth="1"/>
    <col min="8" max="10" width="19.77734375" style="43" customWidth="1"/>
    <col min="11" max="11" width="11.5546875" customWidth="1"/>
  </cols>
  <sheetData>
    <row r="1" spans="1:12" ht="15" thickBot="1" x14ac:dyDescent="0.35"/>
    <row r="2" spans="1:12" ht="15" thickBot="1" x14ac:dyDescent="0.35">
      <c r="B2" s="442" t="s">
        <v>473</v>
      </c>
      <c r="C2" s="443"/>
      <c r="D2" s="443"/>
      <c r="E2" s="443"/>
      <c r="F2" s="444"/>
    </row>
    <row r="3" spans="1:12" ht="15.6" thickTop="1" thickBot="1" x14ac:dyDescent="0.35">
      <c r="B3" s="445" t="s">
        <v>339</v>
      </c>
      <c r="C3" s="446"/>
      <c r="D3" s="446"/>
      <c r="E3" s="446"/>
      <c r="F3" s="447"/>
    </row>
    <row r="4" spans="1:12" ht="15.6" customHeight="1" x14ac:dyDescent="0.3">
      <c r="B4" s="352" t="s">
        <v>0</v>
      </c>
      <c r="C4" s="318" t="s">
        <v>474</v>
      </c>
      <c r="D4" s="318" t="s">
        <v>481</v>
      </c>
      <c r="E4" s="318" t="s">
        <v>480</v>
      </c>
      <c r="F4" s="353" t="s">
        <v>225</v>
      </c>
    </row>
    <row r="5" spans="1:12" x14ac:dyDescent="0.3">
      <c r="B5" s="354" t="s">
        <v>73</v>
      </c>
      <c r="C5" s="355">
        <v>12</v>
      </c>
      <c r="D5" s="373">
        <v>12</v>
      </c>
      <c r="E5" s="373">
        <v>12</v>
      </c>
      <c r="F5" s="356"/>
    </row>
    <row r="6" spans="1:12" x14ac:dyDescent="0.3">
      <c r="B6" s="354" t="s">
        <v>262</v>
      </c>
      <c r="C6" s="355">
        <v>311</v>
      </c>
      <c r="D6" s="373">
        <v>343</v>
      </c>
      <c r="E6" s="373">
        <v>343</v>
      </c>
      <c r="F6" s="356"/>
    </row>
    <row r="7" spans="1:12" x14ac:dyDescent="0.3">
      <c r="B7" s="354" t="s">
        <v>334</v>
      </c>
      <c r="C7" s="355">
        <v>8</v>
      </c>
      <c r="D7" s="373">
        <v>0</v>
      </c>
      <c r="E7" s="373">
        <v>12</v>
      </c>
      <c r="F7" s="356" t="s">
        <v>486</v>
      </c>
    </row>
    <row r="8" spans="1:12" x14ac:dyDescent="0.3">
      <c r="B8" s="354" t="s">
        <v>333</v>
      </c>
      <c r="C8" s="355">
        <v>88</v>
      </c>
      <c r="D8" s="373">
        <v>64</v>
      </c>
      <c r="E8" s="373">
        <v>52</v>
      </c>
      <c r="F8" s="356" t="s">
        <v>482</v>
      </c>
    </row>
    <row r="9" spans="1:12" s="43" customFormat="1" x14ac:dyDescent="0.3">
      <c r="A9"/>
      <c r="B9" s="354" t="s">
        <v>110</v>
      </c>
      <c r="C9" s="355">
        <v>25</v>
      </c>
      <c r="D9" s="373">
        <v>15</v>
      </c>
      <c r="E9" s="373">
        <v>15</v>
      </c>
      <c r="F9" s="356"/>
      <c r="K9"/>
      <c r="L9"/>
    </row>
    <row r="10" spans="1:12" s="43" customFormat="1" x14ac:dyDescent="0.3">
      <c r="A10"/>
      <c r="B10" s="354" t="s">
        <v>228</v>
      </c>
      <c r="C10" s="355">
        <v>500</v>
      </c>
      <c r="D10" s="377">
        <v>460</v>
      </c>
      <c r="E10" s="377">
        <v>462</v>
      </c>
      <c r="F10" s="356"/>
      <c r="K10"/>
      <c r="L10"/>
    </row>
    <row r="11" spans="1:12" s="43" customFormat="1" x14ac:dyDescent="0.3">
      <c r="A11"/>
      <c r="B11" s="354" t="s">
        <v>229</v>
      </c>
      <c r="C11" s="374">
        <v>0</v>
      </c>
      <c r="D11" s="375">
        <v>18</v>
      </c>
      <c r="E11" s="375">
        <v>18</v>
      </c>
      <c r="F11" s="376"/>
      <c r="K11"/>
      <c r="L11"/>
    </row>
    <row r="12" spans="1:12" s="43" customFormat="1" x14ac:dyDescent="0.3">
      <c r="A12"/>
      <c r="B12" s="354" t="s">
        <v>144</v>
      </c>
      <c r="C12" s="355">
        <v>30</v>
      </c>
      <c r="D12" s="373">
        <v>32</v>
      </c>
      <c r="E12" s="373">
        <v>32</v>
      </c>
      <c r="F12" s="357"/>
      <c r="K12"/>
      <c r="L12"/>
    </row>
    <row r="13" spans="1:12" s="43" customFormat="1" x14ac:dyDescent="0.3">
      <c r="A13"/>
      <c r="B13" s="354" t="s">
        <v>105</v>
      </c>
      <c r="C13" s="355">
        <v>67</v>
      </c>
      <c r="D13" s="373">
        <v>57</v>
      </c>
      <c r="E13" s="373">
        <v>57</v>
      </c>
      <c r="F13" s="356"/>
      <c r="K13"/>
      <c r="L13"/>
    </row>
    <row r="14" spans="1:12" s="43" customFormat="1" x14ac:dyDescent="0.3">
      <c r="A14"/>
      <c r="B14" s="354" t="s">
        <v>106</v>
      </c>
      <c r="C14" s="355">
        <v>60</v>
      </c>
      <c r="D14" s="377">
        <v>24</v>
      </c>
      <c r="E14" s="377">
        <v>21</v>
      </c>
      <c r="F14" s="356"/>
      <c r="K14"/>
      <c r="L14"/>
    </row>
    <row r="15" spans="1:12" s="43" customFormat="1" x14ac:dyDescent="0.3">
      <c r="A15"/>
      <c r="B15" s="354" t="s">
        <v>67</v>
      </c>
      <c r="C15" s="355">
        <v>36</v>
      </c>
      <c r="D15" s="373">
        <v>26</v>
      </c>
      <c r="E15" s="373">
        <v>26</v>
      </c>
      <c r="F15" s="356" t="s">
        <v>483</v>
      </c>
      <c r="K15"/>
      <c r="L15"/>
    </row>
    <row r="16" spans="1:12" s="43" customFormat="1" x14ac:dyDescent="0.3">
      <c r="A16"/>
      <c r="B16" s="354" t="s">
        <v>102</v>
      </c>
      <c r="C16" s="355">
        <v>33</v>
      </c>
      <c r="D16" s="373">
        <v>29</v>
      </c>
      <c r="E16" s="373">
        <v>29</v>
      </c>
      <c r="F16" s="356"/>
      <c r="K16"/>
      <c r="L16"/>
    </row>
    <row r="17" spans="1:12" s="43" customFormat="1" x14ac:dyDescent="0.3">
      <c r="A17"/>
      <c r="B17" s="354" t="s">
        <v>234</v>
      </c>
      <c r="C17" s="355">
        <v>35</v>
      </c>
      <c r="D17" s="377">
        <v>31</v>
      </c>
      <c r="E17" s="377">
        <v>32</v>
      </c>
      <c r="F17" s="356" t="s">
        <v>484</v>
      </c>
      <c r="K17"/>
      <c r="L17"/>
    </row>
    <row r="18" spans="1:12" s="43" customFormat="1" x14ac:dyDescent="0.3">
      <c r="A18"/>
      <c r="B18" s="354" t="s">
        <v>10</v>
      </c>
      <c r="C18" s="355">
        <v>136</v>
      </c>
      <c r="D18" s="373">
        <v>120</v>
      </c>
      <c r="E18" s="373">
        <v>120</v>
      </c>
      <c r="F18" s="356" t="s">
        <v>485</v>
      </c>
      <c r="K18"/>
      <c r="L18"/>
    </row>
    <row r="19" spans="1:12" s="43" customFormat="1" x14ac:dyDescent="0.3">
      <c r="A19"/>
      <c r="B19" s="354" t="s">
        <v>30</v>
      </c>
      <c r="C19" s="355">
        <v>136</v>
      </c>
      <c r="D19" s="373">
        <v>120</v>
      </c>
      <c r="E19" s="373">
        <v>120</v>
      </c>
      <c r="F19" s="356" t="s">
        <v>485</v>
      </c>
      <c r="K19"/>
      <c r="L19"/>
    </row>
    <row r="20" spans="1:12" s="43" customFormat="1" x14ac:dyDescent="0.3">
      <c r="A20"/>
      <c r="B20" s="354" t="s">
        <v>476</v>
      </c>
      <c r="C20" s="355">
        <v>28</v>
      </c>
      <c r="D20" s="377">
        <v>22</v>
      </c>
      <c r="E20" s="377">
        <v>21</v>
      </c>
      <c r="F20" s="356"/>
      <c r="K20"/>
      <c r="L20"/>
    </row>
    <row r="21" spans="1:12" s="43" customFormat="1" x14ac:dyDescent="0.3">
      <c r="A21"/>
      <c r="B21" s="354" t="s">
        <v>227</v>
      </c>
      <c r="C21" s="355">
        <v>825</v>
      </c>
      <c r="D21" s="377">
        <v>792</v>
      </c>
      <c r="E21" s="377">
        <v>790</v>
      </c>
      <c r="F21" s="356"/>
      <c r="K21"/>
      <c r="L21"/>
    </row>
    <row r="22" spans="1:12" s="43" customFormat="1" x14ac:dyDescent="0.3">
      <c r="A22"/>
      <c r="B22" s="354" t="s">
        <v>101</v>
      </c>
      <c r="C22" s="355">
        <v>38</v>
      </c>
      <c r="D22" s="377">
        <v>50</v>
      </c>
      <c r="E22" s="377">
        <v>48</v>
      </c>
      <c r="F22" s="357"/>
      <c r="K22"/>
      <c r="L22"/>
    </row>
    <row r="23" spans="1:12" s="43" customFormat="1" x14ac:dyDescent="0.3">
      <c r="A23"/>
      <c r="B23" s="354" t="s">
        <v>107</v>
      </c>
      <c r="C23" s="355">
        <v>85</v>
      </c>
      <c r="D23" s="377">
        <v>61</v>
      </c>
      <c r="E23" s="377">
        <v>62</v>
      </c>
      <c r="F23" s="356"/>
      <c r="K23"/>
      <c r="L23"/>
    </row>
  </sheetData>
  <mergeCells count="2">
    <mergeCell ref="B2:F2"/>
    <mergeCell ref="B3:F3"/>
  </mergeCells>
  <pageMargins left="0.51181102362204722" right="0.11811023622047245" top="0.19685039370078741" bottom="0.19685039370078741" header="0.31496062992125984" footer="0.31496062992125984"/>
  <pageSetup scale="95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="130" zoomScaleNormal="130" workbookViewId="0">
      <selection activeCell="G5" sqref="G5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5.77734375" style="1" hidden="1" customWidth="1"/>
    <col min="4" max="5" width="15.77734375" style="1" customWidth="1"/>
    <col min="6" max="6" width="23.33203125" customWidth="1"/>
    <col min="7" max="9" width="15.77734375" style="43" customWidth="1"/>
    <col min="10" max="10" width="19.77734375" style="43" customWidth="1"/>
    <col min="11" max="11" width="11.5546875" customWidth="1"/>
  </cols>
  <sheetData>
    <row r="1" spans="1:12" ht="15" thickBot="1" x14ac:dyDescent="0.35"/>
    <row r="2" spans="1:12" ht="15" customHeight="1" thickBot="1" x14ac:dyDescent="0.35">
      <c r="B2" s="448" t="s">
        <v>473</v>
      </c>
      <c r="C2" s="449"/>
      <c r="D2" s="449"/>
      <c r="E2" s="449"/>
      <c r="F2" s="449"/>
      <c r="G2" s="449"/>
      <c r="H2" s="449"/>
      <c r="I2" s="450"/>
    </row>
    <row r="3" spans="1:12" ht="15" thickBot="1" x14ac:dyDescent="0.35">
      <c r="B3" s="451" t="s">
        <v>339</v>
      </c>
      <c r="C3" s="452"/>
      <c r="D3" s="452"/>
      <c r="E3" s="452"/>
      <c r="F3" s="452"/>
      <c r="G3" s="453"/>
      <c r="H3" s="379" t="s">
        <v>475</v>
      </c>
      <c r="I3" s="380">
        <v>385</v>
      </c>
    </row>
    <row r="4" spans="1:12" ht="30" customHeight="1" x14ac:dyDescent="0.3">
      <c r="B4" s="352" t="s">
        <v>0</v>
      </c>
      <c r="C4" s="318" t="s">
        <v>474</v>
      </c>
      <c r="D4" s="318" t="s">
        <v>481</v>
      </c>
      <c r="E4" s="318" t="s">
        <v>480</v>
      </c>
      <c r="F4" s="353" t="s">
        <v>225</v>
      </c>
      <c r="G4" s="234" t="s">
        <v>487</v>
      </c>
      <c r="H4" s="234" t="s">
        <v>488</v>
      </c>
      <c r="I4" s="234" t="s">
        <v>417</v>
      </c>
    </row>
    <row r="5" spans="1:12" x14ac:dyDescent="0.3">
      <c r="B5" s="354" t="s">
        <v>73</v>
      </c>
      <c r="C5" s="355">
        <v>12</v>
      </c>
      <c r="D5" s="373">
        <v>12</v>
      </c>
      <c r="E5" s="373">
        <v>12</v>
      </c>
      <c r="F5" s="356"/>
      <c r="G5" s="381"/>
      <c r="H5" s="381"/>
      <c r="I5" s="381"/>
    </row>
    <row r="6" spans="1:12" x14ac:dyDescent="0.3">
      <c r="B6" s="354" t="s">
        <v>262</v>
      </c>
      <c r="C6" s="355">
        <v>311</v>
      </c>
      <c r="D6" s="373">
        <v>343</v>
      </c>
      <c r="E6" s="373">
        <v>343</v>
      </c>
      <c r="F6" s="356"/>
      <c r="G6" s="381"/>
      <c r="H6" s="381"/>
      <c r="I6" s="381"/>
    </row>
    <row r="7" spans="1:12" x14ac:dyDescent="0.3">
      <c r="B7" s="354" t="s">
        <v>334</v>
      </c>
      <c r="C7" s="355">
        <v>8</v>
      </c>
      <c r="D7" s="373">
        <v>0</v>
      </c>
      <c r="E7" s="373">
        <v>12</v>
      </c>
      <c r="F7" s="356" t="s">
        <v>486</v>
      </c>
      <c r="G7" s="381"/>
      <c r="H7" s="381"/>
      <c r="I7" s="381"/>
    </row>
    <row r="8" spans="1:12" x14ac:dyDescent="0.3">
      <c r="B8" s="354" t="s">
        <v>333</v>
      </c>
      <c r="C8" s="355">
        <v>88</v>
      </c>
      <c r="D8" s="373">
        <v>64</v>
      </c>
      <c r="E8" s="373">
        <v>52</v>
      </c>
      <c r="F8" s="356" t="s">
        <v>482</v>
      </c>
      <c r="G8" s="381"/>
      <c r="H8" s="381"/>
      <c r="I8" s="381"/>
    </row>
    <row r="9" spans="1:12" s="43" customFormat="1" x14ac:dyDescent="0.3">
      <c r="A9"/>
      <c r="B9" s="354" t="s">
        <v>110</v>
      </c>
      <c r="C9" s="355">
        <v>25</v>
      </c>
      <c r="D9" s="373">
        <v>15</v>
      </c>
      <c r="E9" s="373">
        <v>15</v>
      </c>
      <c r="F9" s="356"/>
      <c r="G9" s="381"/>
      <c r="H9" s="381"/>
      <c r="I9" s="381"/>
      <c r="K9"/>
      <c r="L9"/>
    </row>
    <row r="10" spans="1:12" s="43" customFormat="1" x14ac:dyDescent="0.3">
      <c r="A10"/>
      <c r="B10" s="354" t="s">
        <v>228</v>
      </c>
      <c r="C10" s="355">
        <v>500</v>
      </c>
      <c r="D10" s="377">
        <v>460</v>
      </c>
      <c r="E10" s="377">
        <v>462</v>
      </c>
      <c r="F10" s="356"/>
      <c r="G10" s="381"/>
      <c r="H10" s="381"/>
      <c r="I10" s="381"/>
      <c r="K10"/>
      <c r="L10"/>
    </row>
    <row r="11" spans="1:12" s="43" customFormat="1" x14ac:dyDescent="0.3">
      <c r="A11"/>
      <c r="B11" s="354" t="s">
        <v>229</v>
      </c>
      <c r="C11" s="374">
        <v>0</v>
      </c>
      <c r="D11" s="375">
        <v>18</v>
      </c>
      <c r="E11" s="375">
        <v>18</v>
      </c>
      <c r="F11" s="376"/>
      <c r="G11" s="381"/>
      <c r="H11" s="381"/>
      <c r="I11" s="381"/>
      <c r="K11"/>
      <c r="L11"/>
    </row>
    <row r="12" spans="1:12" s="43" customFormat="1" x14ac:dyDescent="0.3">
      <c r="A12"/>
      <c r="B12" s="354" t="s">
        <v>144</v>
      </c>
      <c r="C12" s="355">
        <v>30</v>
      </c>
      <c r="D12" s="373">
        <v>32</v>
      </c>
      <c r="E12" s="373">
        <v>32</v>
      </c>
      <c r="F12" s="357"/>
      <c r="G12" s="381"/>
      <c r="H12" s="381"/>
      <c r="I12" s="381"/>
      <c r="K12"/>
      <c r="L12"/>
    </row>
    <row r="13" spans="1:12" s="43" customFormat="1" x14ac:dyDescent="0.3">
      <c r="A13"/>
      <c r="B13" s="354" t="s">
        <v>105</v>
      </c>
      <c r="C13" s="355">
        <v>67</v>
      </c>
      <c r="D13" s="373">
        <v>57</v>
      </c>
      <c r="E13" s="373">
        <v>57</v>
      </c>
      <c r="F13" s="356"/>
      <c r="G13" s="381"/>
      <c r="H13" s="381"/>
      <c r="I13" s="381"/>
      <c r="K13"/>
      <c r="L13"/>
    </row>
    <row r="14" spans="1:12" s="43" customFormat="1" x14ac:dyDescent="0.3">
      <c r="A14"/>
      <c r="B14" s="354" t="s">
        <v>106</v>
      </c>
      <c r="C14" s="355">
        <v>60</v>
      </c>
      <c r="D14" s="377">
        <v>24</v>
      </c>
      <c r="E14" s="377">
        <v>21</v>
      </c>
      <c r="F14" s="356"/>
      <c r="G14" s="381"/>
      <c r="H14" s="381"/>
      <c r="I14" s="381"/>
      <c r="K14"/>
      <c r="L14"/>
    </row>
    <row r="15" spans="1:12" s="43" customFormat="1" x14ac:dyDescent="0.3">
      <c r="A15"/>
      <c r="B15" s="354" t="s">
        <v>67</v>
      </c>
      <c r="C15" s="355">
        <v>36</v>
      </c>
      <c r="D15" s="373">
        <v>26</v>
      </c>
      <c r="E15" s="373">
        <v>26</v>
      </c>
      <c r="F15" s="356" t="s">
        <v>483</v>
      </c>
      <c r="G15" s="381"/>
      <c r="H15" s="381"/>
      <c r="I15" s="381"/>
      <c r="K15"/>
      <c r="L15"/>
    </row>
    <row r="16" spans="1:12" s="43" customFormat="1" x14ac:dyDescent="0.3">
      <c r="A16"/>
      <c r="B16" s="354" t="s">
        <v>102</v>
      </c>
      <c r="C16" s="355">
        <v>33</v>
      </c>
      <c r="D16" s="373">
        <v>29</v>
      </c>
      <c r="E16" s="373">
        <v>29</v>
      </c>
      <c r="F16" s="356"/>
      <c r="G16" s="381"/>
      <c r="H16" s="381"/>
      <c r="I16" s="381"/>
      <c r="K16"/>
      <c r="L16"/>
    </row>
    <row r="17" spans="1:12" s="43" customFormat="1" x14ac:dyDescent="0.3">
      <c r="A17"/>
      <c r="B17" s="354" t="s">
        <v>234</v>
      </c>
      <c r="C17" s="355">
        <v>35</v>
      </c>
      <c r="D17" s="377">
        <v>31</v>
      </c>
      <c r="E17" s="377">
        <v>32</v>
      </c>
      <c r="F17" s="356" t="s">
        <v>484</v>
      </c>
      <c r="G17" s="381"/>
      <c r="H17" s="381"/>
      <c r="I17" s="381"/>
      <c r="K17"/>
      <c r="L17"/>
    </row>
    <row r="18" spans="1:12" s="43" customFormat="1" x14ac:dyDescent="0.3">
      <c r="A18"/>
      <c r="B18" s="354" t="s">
        <v>10</v>
      </c>
      <c r="C18" s="355">
        <v>136</v>
      </c>
      <c r="D18" s="373">
        <v>120</v>
      </c>
      <c r="E18" s="373">
        <v>120</v>
      </c>
      <c r="F18" s="356" t="s">
        <v>485</v>
      </c>
      <c r="G18" s="381"/>
      <c r="H18" s="381"/>
      <c r="I18" s="381"/>
      <c r="K18"/>
      <c r="L18"/>
    </row>
    <row r="19" spans="1:12" s="43" customFormat="1" x14ac:dyDescent="0.3">
      <c r="A19"/>
      <c r="B19" s="354" t="s">
        <v>30</v>
      </c>
      <c r="C19" s="355">
        <v>136</v>
      </c>
      <c r="D19" s="373">
        <v>120</v>
      </c>
      <c r="E19" s="373">
        <v>120</v>
      </c>
      <c r="F19" s="356" t="s">
        <v>485</v>
      </c>
      <c r="G19" s="381"/>
      <c r="H19" s="381"/>
      <c r="I19" s="381"/>
      <c r="K19"/>
      <c r="L19"/>
    </row>
    <row r="20" spans="1:12" s="43" customFormat="1" x14ac:dyDescent="0.3">
      <c r="A20"/>
      <c r="B20" s="354" t="s">
        <v>476</v>
      </c>
      <c r="C20" s="355">
        <v>28</v>
      </c>
      <c r="D20" s="377">
        <v>22</v>
      </c>
      <c r="E20" s="377">
        <v>21</v>
      </c>
      <c r="F20" s="356"/>
      <c r="G20" s="381"/>
      <c r="H20" s="381"/>
      <c r="I20" s="381"/>
      <c r="K20"/>
      <c r="L20"/>
    </row>
    <row r="21" spans="1:12" s="43" customFormat="1" x14ac:dyDescent="0.3">
      <c r="A21"/>
      <c r="B21" s="354" t="s">
        <v>227</v>
      </c>
      <c r="C21" s="355">
        <v>825</v>
      </c>
      <c r="D21" s="377">
        <v>792</v>
      </c>
      <c r="E21" s="377">
        <v>790</v>
      </c>
      <c r="F21" s="356"/>
      <c r="G21" s="381"/>
      <c r="H21" s="381"/>
      <c r="I21" s="381"/>
      <c r="K21"/>
      <c r="L21"/>
    </row>
    <row r="22" spans="1:12" s="43" customFormat="1" x14ac:dyDescent="0.3">
      <c r="A22"/>
      <c r="B22" s="354" t="s">
        <v>101</v>
      </c>
      <c r="C22" s="355">
        <v>38</v>
      </c>
      <c r="D22" s="377">
        <v>50</v>
      </c>
      <c r="E22" s="377">
        <v>48</v>
      </c>
      <c r="F22" s="357"/>
      <c r="G22" s="381"/>
      <c r="H22" s="381"/>
      <c r="I22" s="381"/>
      <c r="K22"/>
      <c r="L22"/>
    </row>
    <row r="23" spans="1:12" s="43" customFormat="1" x14ac:dyDescent="0.3">
      <c r="A23"/>
      <c r="B23" s="354" t="s">
        <v>107</v>
      </c>
      <c r="C23" s="355">
        <v>85</v>
      </c>
      <c r="D23" s="377">
        <v>61</v>
      </c>
      <c r="E23" s="377">
        <v>62</v>
      </c>
      <c r="F23" s="356"/>
      <c r="G23" s="381"/>
      <c r="H23" s="381"/>
      <c r="I23" s="381"/>
      <c r="K23"/>
      <c r="L23"/>
    </row>
  </sheetData>
  <mergeCells count="2">
    <mergeCell ref="B2:I2"/>
    <mergeCell ref="B3:G3"/>
  </mergeCells>
  <pageMargins left="0.51181102362204722" right="0.11811023622047245" top="0.19685039370078741" bottom="0.19685039370078741" header="0.31496062992125984" footer="0.31496062992125984"/>
  <pageSetup scale="95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="140" zoomScaleNormal="140" workbookViewId="0">
      <selection activeCell="G9" sqref="G9"/>
    </sheetView>
  </sheetViews>
  <sheetFormatPr baseColWidth="10" defaultRowHeight="14.4" x14ac:dyDescent="0.3"/>
  <cols>
    <col min="1" max="1" width="1.6640625" customWidth="1"/>
    <col min="2" max="2" width="20.77734375" style="2" customWidth="1"/>
    <col min="3" max="4" width="20.77734375" style="1" customWidth="1"/>
    <col min="5" max="7" width="20.77734375" style="43" customWidth="1"/>
    <col min="8" max="9" width="19.77734375" style="43" customWidth="1"/>
    <col min="10" max="10" width="11.5546875" customWidth="1"/>
  </cols>
  <sheetData>
    <row r="1" spans="1:11" ht="15" thickBot="1" x14ac:dyDescent="0.35">
      <c r="E1"/>
    </row>
    <row r="2" spans="1:11" ht="15" customHeight="1" thickBot="1" x14ac:dyDescent="0.35">
      <c r="B2" s="454" t="s">
        <v>477</v>
      </c>
      <c r="C2" s="455"/>
      <c r="D2" s="455"/>
      <c r="E2" s="455"/>
      <c r="F2" s="455"/>
      <c r="G2" s="456"/>
    </row>
    <row r="3" spans="1:11" ht="15.6" thickTop="1" thickBot="1" x14ac:dyDescent="0.35">
      <c r="B3" s="445" t="s">
        <v>339</v>
      </c>
      <c r="C3" s="446"/>
      <c r="D3" s="446"/>
      <c r="E3" s="447"/>
      <c r="F3" s="358" t="s">
        <v>475</v>
      </c>
      <c r="G3" s="359">
        <v>385</v>
      </c>
    </row>
    <row r="4" spans="1:11" ht="15.6" customHeight="1" x14ac:dyDescent="0.3">
      <c r="B4" s="352" t="s">
        <v>0</v>
      </c>
      <c r="C4" s="318" t="s">
        <v>474</v>
      </c>
      <c r="D4" s="234" t="s">
        <v>479</v>
      </c>
      <c r="E4" s="360" t="s">
        <v>478</v>
      </c>
      <c r="F4" s="360" t="s">
        <v>312</v>
      </c>
      <c r="G4" s="360" t="s">
        <v>465</v>
      </c>
    </row>
    <row r="5" spans="1:11" x14ac:dyDescent="0.3">
      <c r="B5" s="354" t="s">
        <v>73</v>
      </c>
      <c r="C5" s="355">
        <v>12</v>
      </c>
      <c r="D5" s="367">
        <f>+Tabla2022[[#This Row],[Material Requerido]]/2</f>
        <v>6</v>
      </c>
      <c r="E5" s="361">
        <v>263.64</v>
      </c>
      <c r="F5" s="362">
        <f>+Tabla2022[[#This Row],[Canje]]*Tabla2022[[#This Row],[Valor Alq de Referencia €]]*G$3</f>
        <v>609008.4</v>
      </c>
      <c r="G5" s="362">
        <f>+Tabla2022[[#This Row],[Precio Total en Pesos]]*4%</f>
        <v>24360.336000000003</v>
      </c>
    </row>
    <row r="6" spans="1:11" x14ac:dyDescent="0.3">
      <c r="B6" s="354" t="s">
        <v>262</v>
      </c>
      <c r="C6" s="355">
        <v>311</v>
      </c>
      <c r="D6" s="367">
        <f>+Tabla2022[[#This Row],[Material Requerido]]/2</f>
        <v>155.5</v>
      </c>
      <c r="E6" s="361">
        <v>76.83</v>
      </c>
      <c r="F6" s="362">
        <f>+Tabla2022[[#This Row],[Canje]]*Tabla2022[[#This Row],[Valor Alq de Referencia €]]*G$3</f>
        <v>4599620.0250000004</v>
      </c>
      <c r="G6" s="362">
        <f>+Tabla2022[[#This Row],[Precio Total en Pesos]]*4%</f>
        <v>183984.80100000001</v>
      </c>
    </row>
    <row r="7" spans="1:11" x14ac:dyDescent="0.3">
      <c r="B7" s="354" t="s">
        <v>334</v>
      </c>
      <c r="C7" s="355">
        <v>8</v>
      </c>
      <c r="D7" s="367">
        <f>+Tabla2022[[#This Row],[Material Requerido]]/2</f>
        <v>4</v>
      </c>
      <c r="E7" s="361">
        <v>66.95</v>
      </c>
      <c r="F7" s="362">
        <f>+Tabla2022[[#This Row],[Canje]]*Tabla2022[[#This Row],[Valor Alq de Referencia €]]*G$3</f>
        <v>103103</v>
      </c>
      <c r="G7" s="362">
        <f>+Tabla2022[[#This Row],[Precio Total en Pesos]]*4%</f>
        <v>4124.12</v>
      </c>
    </row>
    <row r="8" spans="1:11" x14ac:dyDescent="0.3">
      <c r="B8" s="354" t="s">
        <v>333</v>
      </c>
      <c r="C8" s="355">
        <v>88</v>
      </c>
      <c r="D8" s="367">
        <f>+Tabla2022[[#This Row],[Material Requerido]]/2</f>
        <v>44</v>
      </c>
      <c r="E8" s="361">
        <v>65.650000000000006</v>
      </c>
      <c r="F8" s="362">
        <f>+Tabla2022[[#This Row],[Canje]]*Tabla2022[[#This Row],[Valor Alq de Referencia €]]*G$3</f>
        <v>1112111.0000000002</v>
      </c>
      <c r="G8" s="362">
        <f>+Tabla2022[[#This Row],[Precio Total en Pesos]]*4%</f>
        <v>44484.44000000001</v>
      </c>
    </row>
    <row r="9" spans="1:11" s="43" customFormat="1" x14ac:dyDescent="0.3">
      <c r="A9"/>
      <c r="B9" s="354" t="s">
        <v>110</v>
      </c>
      <c r="C9" s="355">
        <v>25</v>
      </c>
      <c r="D9" s="367">
        <f>+Tabla2022[[#This Row],[Material Requerido]]/2</f>
        <v>12.5</v>
      </c>
      <c r="E9" s="361">
        <v>117.39</v>
      </c>
      <c r="F9" s="362">
        <f>+Tabla2022[[#This Row],[Canje]]*Tabla2022[[#This Row],[Valor Alq de Referencia €]]*G$3</f>
        <v>564939.375</v>
      </c>
      <c r="G9" s="362">
        <f>+Tabla2022[[#This Row],[Precio Total en Pesos]]*4%</f>
        <v>22597.575000000001</v>
      </c>
      <c r="J9"/>
      <c r="K9"/>
    </row>
    <row r="10" spans="1:11" s="43" customFormat="1" x14ac:dyDescent="0.3">
      <c r="A10"/>
      <c r="B10" s="354" t="s">
        <v>228</v>
      </c>
      <c r="C10" s="355">
        <v>500</v>
      </c>
      <c r="D10" s="367">
        <f>+Tabla2022[[#This Row],[Material Requerido]]/2</f>
        <v>250</v>
      </c>
      <c r="E10" s="361">
        <v>75.010000000000005</v>
      </c>
      <c r="F10" s="362">
        <f>+Tabla2022[[#This Row],[Canje]]*Tabla2022[[#This Row],[Valor Alq de Referencia €]]*G$3</f>
        <v>7219712.5</v>
      </c>
      <c r="G10" s="362">
        <f>+Tabla2022[[#This Row],[Precio Total en Pesos]]*4%</f>
        <v>288788.5</v>
      </c>
      <c r="J10"/>
      <c r="K10"/>
    </row>
    <row r="11" spans="1:11" s="43" customFormat="1" x14ac:dyDescent="0.3">
      <c r="A11"/>
      <c r="B11" s="354" t="s">
        <v>144</v>
      </c>
      <c r="C11" s="355">
        <v>30</v>
      </c>
      <c r="D11" s="367">
        <f>+Tabla2022[[#This Row],[Material Requerido]]/2</f>
        <v>15</v>
      </c>
      <c r="E11" s="361">
        <v>61.23</v>
      </c>
      <c r="F11" s="362">
        <f>+Tabla2022[[#This Row],[Canje]]*Tabla2022[[#This Row],[Valor Alq de Referencia €]]*G$3</f>
        <v>353603.25</v>
      </c>
      <c r="G11" s="362">
        <f>+Tabla2022[[#This Row],[Precio Total en Pesos]]*4%</f>
        <v>14144.130000000001</v>
      </c>
      <c r="J11"/>
      <c r="K11"/>
    </row>
    <row r="12" spans="1:11" s="43" customFormat="1" x14ac:dyDescent="0.3">
      <c r="A12"/>
      <c r="B12" s="354" t="s">
        <v>105</v>
      </c>
      <c r="C12" s="355">
        <v>67</v>
      </c>
      <c r="D12" s="367">
        <f>+Tabla2022[[#This Row],[Material Requerido]]/2</f>
        <v>33.5</v>
      </c>
      <c r="E12" s="361">
        <v>45.76</v>
      </c>
      <c r="F12" s="362">
        <f>+Tabla2022[[#This Row],[Canje]]*Tabla2022[[#This Row],[Valor Alq de Referencia €]]*G$3</f>
        <v>590189.6</v>
      </c>
      <c r="G12" s="362">
        <f>+Tabla2022[[#This Row],[Precio Total en Pesos]]*4%</f>
        <v>23607.583999999999</v>
      </c>
      <c r="J12"/>
      <c r="K12"/>
    </row>
    <row r="13" spans="1:11" s="43" customFormat="1" x14ac:dyDescent="0.3">
      <c r="A13"/>
      <c r="B13" s="354" t="s">
        <v>106</v>
      </c>
      <c r="C13" s="355">
        <v>60</v>
      </c>
      <c r="D13" s="367">
        <f>+Tabla2022[[#This Row],[Material Requerido]]/2</f>
        <v>30</v>
      </c>
      <c r="E13" s="361">
        <v>43.03</v>
      </c>
      <c r="F13" s="362">
        <f>+Tabla2022[[#This Row],[Canje]]*Tabla2022[[#This Row],[Valor Alq de Referencia €]]*G$3</f>
        <v>496996.50000000006</v>
      </c>
      <c r="G13" s="362">
        <f>+Tabla2022[[#This Row],[Precio Total en Pesos]]*4%</f>
        <v>19879.860000000004</v>
      </c>
      <c r="J13"/>
      <c r="K13"/>
    </row>
    <row r="14" spans="1:11" s="43" customFormat="1" x14ac:dyDescent="0.3">
      <c r="A14"/>
      <c r="B14" s="354" t="s">
        <v>67</v>
      </c>
      <c r="C14" s="355">
        <v>36</v>
      </c>
      <c r="D14" s="367">
        <f>+Tabla2022[[#This Row],[Material Requerido]]/2</f>
        <v>18</v>
      </c>
      <c r="E14" s="361">
        <v>148.19999999999999</v>
      </c>
      <c r="F14" s="362">
        <f>+Tabla2022[[#This Row],[Canje]]*Tabla2022[[#This Row],[Valor Alq de Referencia €]]*G$3</f>
        <v>1027026</v>
      </c>
      <c r="G14" s="362">
        <f>+Tabla2022[[#This Row],[Precio Total en Pesos]]*4%</f>
        <v>41081.040000000001</v>
      </c>
      <c r="J14"/>
      <c r="K14"/>
    </row>
    <row r="15" spans="1:11" s="43" customFormat="1" x14ac:dyDescent="0.3">
      <c r="A15"/>
      <c r="B15" s="354" t="s">
        <v>102</v>
      </c>
      <c r="C15" s="355">
        <v>33</v>
      </c>
      <c r="D15" s="367">
        <f>+Tabla2022[[#This Row],[Material Requerido]]/2</f>
        <v>16.5</v>
      </c>
      <c r="E15" s="361">
        <v>55.64</v>
      </c>
      <c r="F15" s="362">
        <f>+Tabla2022[[#This Row],[Canje]]*Tabla2022[[#This Row],[Valor Alq de Referencia €]]*G$3</f>
        <v>353453.10000000003</v>
      </c>
      <c r="G15" s="362">
        <f>+Tabla2022[[#This Row],[Precio Total en Pesos]]*4%</f>
        <v>14138.124000000002</v>
      </c>
      <c r="J15"/>
      <c r="K15"/>
    </row>
    <row r="16" spans="1:11" s="43" customFormat="1" x14ac:dyDescent="0.3">
      <c r="A16"/>
      <c r="B16" s="354" t="s">
        <v>234</v>
      </c>
      <c r="C16" s="355">
        <v>35</v>
      </c>
      <c r="D16" s="367">
        <f>+Tabla2022[[#This Row],[Material Requerido]]/2</f>
        <v>17.5</v>
      </c>
      <c r="E16" s="361">
        <v>37.96</v>
      </c>
      <c r="F16" s="362">
        <f>+Tabla2022[[#This Row],[Canje]]*Tabla2022[[#This Row],[Valor Alq de Referencia €]]*G$3</f>
        <v>255755.50000000003</v>
      </c>
      <c r="G16" s="362">
        <f>+Tabla2022[[#This Row],[Precio Total en Pesos]]*4%</f>
        <v>10230.220000000001</v>
      </c>
      <c r="J16"/>
      <c r="K16"/>
    </row>
    <row r="17" spans="1:11" s="43" customFormat="1" x14ac:dyDescent="0.3">
      <c r="A17"/>
      <c r="B17" s="354" t="s">
        <v>10</v>
      </c>
      <c r="C17" s="355">
        <v>136</v>
      </c>
      <c r="D17" s="367">
        <f>+Tabla2022[[#This Row],[Material Requerido]]/2</f>
        <v>68</v>
      </c>
      <c r="E17" s="361">
        <v>28.34</v>
      </c>
      <c r="F17" s="362">
        <f>+Tabla2022[[#This Row],[Canje]]*Tabla2022[[#This Row],[Valor Alq de Referencia €]]*G$3</f>
        <v>741941.2</v>
      </c>
      <c r="G17" s="362">
        <f>+Tabla2022[[#This Row],[Precio Total en Pesos]]*4%</f>
        <v>29677.647999999997</v>
      </c>
      <c r="J17"/>
      <c r="K17"/>
    </row>
    <row r="18" spans="1:11" s="43" customFormat="1" x14ac:dyDescent="0.3">
      <c r="A18"/>
      <c r="B18" s="354" t="s">
        <v>30</v>
      </c>
      <c r="C18" s="355">
        <v>136</v>
      </c>
      <c r="D18" s="367">
        <f>+Tabla2022[[#This Row],[Material Requerido]]/2</f>
        <v>68</v>
      </c>
      <c r="E18" s="361">
        <v>19.89</v>
      </c>
      <c r="F18" s="362">
        <f>+Tabla2022[[#This Row],[Canje]]*Tabla2022[[#This Row],[Valor Alq de Referencia €]]*G$3</f>
        <v>520720.2</v>
      </c>
      <c r="G18" s="362">
        <f>+Tabla2022[[#This Row],[Precio Total en Pesos]]*4%</f>
        <v>20828.808000000001</v>
      </c>
      <c r="J18"/>
      <c r="K18"/>
    </row>
    <row r="19" spans="1:11" s="43" customFormat="1" x14ac:dyDescent="0.3">
      <c r="A19"/>
      <c r="B19" s="354" t="s">
        <v>472</v>
      </c>
      <c r="C19" s="355">
        <v>28</v>
      </c>
      <c r="D19" s="367">
        <f>+Tabla2022[[#This Row],[Material Requerido]]/2</f>
        <v>14</v>
      </c>
      <c r="E19" s="361">
        <v>72.739999999999995</v>
      </c>
      <c r="F19" s="362">
        <f>+Tabla2022[[#This Row],[Canje]]*Tabla2022[[#This Row],[Valor Alq de Referencia €]]*G$3</f>
        <v>392068.6</v>
      </c>
      <c r="G19" s="362">
        <f>+Tabla2022[[#This Row],[Precio Total en Pesos]]*4%</f>
        <v>15682.743999999999</v>
      </c>
      <c r="J19"/>
      <c r="K19"/>
    </row>
    <row r="20" spans="1:11" s="43" customFormat="1" x14ac:dyDescent="0.3">
      <c r="A20"/>
      <c r="B20" s="354" t="s">
        <v>227</v>
      </c>
      <c r="C20" s="355">
        <v>825</v>
      </c>
      <c r="D20" s="367">
        <f>+Tabla2022[[#This Row],[Material Requerido]]/2</f>
        <v>412.5</v>
      </c>
      <c r="E20" s="361">
        <v>64.349999999999994</v>
      </c>
      <c r="F20" s="362">
        <f>+Tabla2022[[#This Row],[Canje]]*Tabla2022[[#This Row],[Valor Alq de Referencia €]]*G$3</f>
        <v>10219584.374999998</v>
      </c>
      <c r="G20" s="362">
        <f>+Tabla2022[[#This Row],[Precio Total en Pesos]]*4%</f>
        <v>408783.37499999994</v>
      </c>
      <c r="J20"/>
      <c r="K20"/>
    </row>
    <row r="21" spans="1:11" s="43" customFormat="1" x14ac:dyDescent="0.3">
      <c r="A21"/>
      <c r="B21" s="354" t="s">
        <v>101</v>
      </c>
      <c r="C21" s="355">
        <v>38</v>
      </c>
      <c r="D21" s="367">
        <f>+Tabla2022[[#This Row],[Material Requerido]]/2</f>
        <v>19</v>
      </c>
      <c r="E21" s="361">
        <v>39.39</v>
      </c>
      <c r="F21" s="362">
        <f>+Tabla2022[[#This Row],[Canje]]*Tabla2022[[#This Row],[Valor Alq de Referencia €]]*G$3</f>
        <v>288137.84999999998</v>
      </c>
      <c r="G21" s="362">
        <f>+Tabla2022[[#This Row],[Precio Total en Pesos]]*4%</f>
        <v>11525.513999999999</v>
      </c>
      <c r="J21"/>
      <c r="K21"/>
    </row>
    <row r="22" spans="1:11" s="43" customFormat="1" ht="15" thickBot="1" x14ac:dyDescent="0.35">
      <c r="A22"/>
      <c r="B22" s="363" t="s">
        <v>107</v>
      </c>
      <c r="C22" s="364">
        <v>85</v>
      </c>
      <c r="D22" s="368">
        <f>+Tabla2022[[#This Row],[Material Requerido]]/2</f>
        <v>42.5</v>
      </c>
      <c r="E22" s="365">
        <v>33.020000000000003</v>
      </c>
      <c r="F22" s="362">
        <f>+Tabla2022[[#This Row],[Canje]]*Tabla2022[[#This Row],[Valor Alq de Referencia €]]*G$3</f>
        <v>540289.75</v>
      </c>
      <c r="G22" s="362">
        <f>+Tabla2022[[#This Row],[Precio Total en Pesos]]*4%</f>
        <v>21611.59</v>
      </c>
      <c r="J22"/>
      <c r="K22"/>
    </row>
    <row r="23" spans="1:11" ht="15" thickBot="1" x14ac:dyDescent="0.35">
      <c r="B23" s="369"/>
      <c r="C23" s="366"/>
      <c r="D23" s="366"/>
      <c r="E23" s="370"/>
      <c r="F23" s="371"/>
      <c r="G23" s="372">
        <f>SUM(G5:G22)</f>
        <v>1199530.409</v>
      </c>
    </row>
  </sheetData>
  <mergeCells count="2">
    <mergeCell ref="B3:E3"/>
    <mergeCell ref="B2:G2"/>
  </mergeCells>
  <pageMargins left="0.11811023622047245" right="0.11811023622047245" top="0.19685039370078741" bottom="0.19685039370078741" header="0.31496062992125984" footer="0.31496062992125984"/>
  <pageSetup scale="95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="140" zoomScaleNormal="140" workbookViewId="0">
      <selection activeCell="E7" sqref="E7"/>
    </sheetView>
  </sheetViews>
  <sheetFormatPr baseColWidth="10" defaultRowHeight="14.4" x14ac:dyDescent="0.3"/>
  <cols>
    <col min="1" max="1" width="1.6640625" customWidth="1"/>
    <col min="2" max="4" width="20.77734375" style="2" customWidth="1"/>
    <col min="5" max="6" width="20.77734375" style="1" customWidth="1"/>
    <col min="7" max="9" width="20.77734375" style="43" customWidth="1"/>
    <col min="10" max="11" width="19.77734375" style="43" customWidth="1"/>
    <col min="12" max="12" width="11.5546875" customWidth="1"/>
  </cols>
  <sheetData>
    <row r="1" spans="1:13" ht="15" thickBot="1" x14ac:dyDescent="0.35">
      <c r="G1"/>
    </row>
    <row r="2" spans="1:13" ht="15" customHeight="1" thickBot="1" x14ac:dyDescent="0.35">
      <c r="B2" s="454" t="s">
        <v>477</v>
      </c>
      <c r="C2" s="455"/>
      <c r="D2" s="455"/>
      <c r="E2" s="455"/>
      <c r="F2" s="455"/>
      <c r="G2" s="455"/>
      <c r="H2" s="455"/>
      <c r="I2" s="456"/>
    </row>
    <row r="3" spans="1:13" ht="15.6" thickTop="1" thickBot="1" x14ac:dyDescent="0.35">
      <c r="B3" s="445" t="s">
        <v>339</v>
      </c>
      <c r="C3" s="446"/>
      <c r="D3" s="446"/>
      <c r="E3" s="446"/>
      <c r="F3" s="446"/>
      <c r="G3" s="447"/>
      <c r="H3" s="358" t="s">
        <v>475</v>
      </c>
      <c r="I3" s="359">
        <v>385</v>
      </c>
    </row>
    <row r="4" spans="1:13" ht="15.6" customHeight="1" x14ac:dyDescent="0.3">
      <c r="B4" s="352" t="s">
        <v>0</v>
      </c>
      <c r="C4" s="352" t="s">
        <v>300</v>
      </c>
      <c r="D4" s="352" t="s">
        <v>304</v>
      </c>
      <c r="E4" s="318" t="s">
        <v>474</v>
      </c>
      <c r="F4" s="234" t="s">
        <v>479</v>
      </c>
      <c r="G4" s="360" t="s">
        <v>478</v>
      </c>
      <c r="H4" s="360" t="s">
        <v>312</v>
      </c>
      <c r="I4" s="360" t="s">
        <v>465</v>
      </c>
    </row>
    <row r="5" spans="1:13" x14ac:dyDescent="0.3">
      <c r="B5" s="354" t="s">
        <v>73</v>
      </c>
      <c r="C5" s="354"/>
      <c r="D5" s="354"/>
      <c r="E5" s="355">
        <v>12</v>
      </c>
      <c r="F5" s="367">
        <f>+Tabla202223[[#This Row],[Material Requerido]]/2</f>
        <v>6</v>
      </c>
      <c r="G5" s="361">
        <v>263.64</v>
      </c>
      <c r="H5" s="362">
        <f>+Tabla202223[[#This Row],[Canje]]*Tabla202223[[#This Row],[Valor Alq de Referencia €]]*I$3</f>
        <v>609008.4</v>
      </c>
      <c r="I5" s="362">
        <f>+Tabla202223[[#This Row],[Precio Total en Pesos]]*4%</f>
        <v>24360.336000000003</v>
      </c>
    </row>
    <row r="6" spans="1:13" x14ac:dyDescent="0.3">
      <c r="B6" s="354" t="s">
        <v>262</v>
      </c>
      <c r="C6" s="354"/>
      <c r="D6" s="354"/>
      <c r="E6" s="355">
        <v>311</v>
      </c>
      <c r="F6" s="367">
        <f>+Tabla202223[[#This Row],[Material Requerido]]/2</f>
        <v>155.5</v>
      </c>
      <c r="G6" s="361">
        <v>76.83</v>
      </c>
      <c r="H6" s="362">
        <f>+Tabla202223[[#This Row],[Canje]]*Tabla202223[[#This Row],[Valor Alq de Referencia €]]*I$3</f>
        <v>4599620.0250000004</v>
      </c>
      <c r="I6" s="362">
        <f>+Tabla202223[[#This Row],[Precio Total en Pesos]]*4%</f>
        <v>183984.80100000001</v>
      </c>
    </row>
    <row r="7" spans="1:13" x14ac:dyDescent="0.3">
      <c r="B7" s="354" t="s">
        <v>334</v>
      </c>
      <c r="C7" s="354"/>
      <c r="D7" s="354"/>
      <c r="E7" s="355">
        <v>8</v>
      </c>
      <c r="F7" s="367">
        <f>+Tabla202223[[#This Row],[Material Requerido]]/2</f>
        <v>4</v>
      </c>
      <c r="G7" s="361">
        <v>66.95</v>
      </c>
      <c r="H7" s="362">
        <f>+Tabla202223[[#This Row],[Canje]]*Tabla202223[[#This Row],[Valor Alq de Referencia €]]*I$3</f>
        <v>103103</v>
      </c>
      <c r="I7" s="362">
        <f>+Tabla202223[[#This Row],[Precio Total en Pesos]]*4%</f>
        <v>4124.12</v>
      </c>
    </row>
    <row r="8" spans="1:13" x14ac:dyDescent="0.3">
      <c r="B8" s="354" t="s">
        <v>333</v>
      </c>
      <c r="C8" s="354"/>
      <c r="D8" s="354"/>
      <c r="E8" s="355">
        <v>88</v>
      </c>
      <c r="F8" s="367">
        <f>+Tabla202223[[#This Row],[Material Requerido]]/2</f>
        <v>44</v>
      </c>
      <c r="G8" s="361">
        <v>65.650000000000006</v>
      </c>
      <c r="H8" s="362">
        <f>+Tabla202223[[#This Row],[Canje]]*Tabla202223[[#This Row],[Valor Alq de Referencia €]]*I$3</f>
        <v>1112111.0000000002</v>
      </c>
      <c r="I8" s="362">
        <f>+Tabla202223[[#This Row],[Precio Total en Pesos]]*4%</f>
        <v>44484.44000000001</v>
      </c>
    </row>
    <row r="9" spans="1:13" s="43" customFormat="1" x14ac:dyDescent="0.3">
      <c r="A9"/>
      <c r="B9" s="354" t="s">
        <v>110</v>
      </c>
      <c r="C9" s="354"/>
      <c r="D9" s="354"/>
      <c r="E9" s="355">
        <v>25</v>
      </c>
      <c r="F9" s="367">
        <f>+Tabla202223[[#This Row],[Material Requerido]]/2</f>
        <v>12.5</v>
      </c>
      <c r="G9" s="361">
        <v>117.39</v>
      </c>
      <c r="H9" s="362">
        <f>+Tabla202223[[#This Row],[Canje]]*Tabla202223[[#This Row],[Valor Alq de Referencia €]]*I$3</f>
        <v>564939.375</v>
      </c>
      <c r="I9" s="362">
        <f>+Tabla202223[[#This Row],[Precio Total en Pesos]]*4%</f>
        <v>22597.575000000001</v>
      </c>
      <c r="L9"/>
      <c r="M9"/>
    </row>
    <row r="10" spans="1:13" s="43" customFormat="1" x14ac:dyDescent="0.3">
      <c r="A10"/>
      <c r="B10" s="354" t="s">
        <v>228</v>
      </c>
      <c r="C10" s="354"/>
      <c r="D10" s="354"/>
      <c r="E10" s="355">
        <v>500</v>
      </c>
      <c r="F10" s="367">
        <f>+Tabla202223[[#This Row],[Material Requerido]]/2</f>
        <v>250</v>
      </c>
      <c r="G10" s="361">
        <v>75.010000000000005</v>
      </c>
      <c r="H10" s="362">
        <f>+Tabla202223[[#This Row],[Canje]]*Tabla202223[[#This Row],[Valor Alq de Referencia €]]*I$3</f>
        <v>7219712.5</v>
      </c>
      <c r="I10" s="362">
        <f>+Tabla202223[[#This Row],[Precio Total en Pesos]]*4%</f>
        <v>288788.5</v>
      </c>
      <c r="L10"/>
      <c r="M10"/>
    </row>
    <row r="11" spans="1:13" s="43" customFormat="1" x14ac:dyDescent="0.3">
      <c r="A11"/>
      <c r="B11" s="354" t="s">
        <v>144</v>
      </c>
      <c r="C11" s="354"/>
      <c r="D11" s="354"/>
      <c r="E11" s="355">
        <v>30</v>
      </c>
      <c r="F11" s="367">
        <f>+Tabla202223[[#This Row],[Material Requerido]]/2</f>
        <v>15</v>
      </c>
      <c r="G11" s="361">
        <v>61.23</v>
      </c>
      <c r="H11" s="362">
        <f>+Tabla202223[[#This Row],[Canje]]*Tabla202223[[#This Row],[Valor Alq de Referencia €]]*I$3</f>
        <v>353603.25</v>
      </c>
      <c r="I11" s="362">
        <f>+Tabla202223[[#This Row],[Precio Total en Pesos]]*4%</f>
        <v>14144.130000000001</v>
      </c>
      <c r="L11"/>
      <c r="M11"/>
    </row>
    <row r="12" spans="1:13" s="43" customFormat="1" x14ac:dyDescent="0.3">
      <c r="A12"/>
      <c r="B12" s="354" t="s">
        <v>105</v>
      </c>
      <c r="C12" s="354"/>
      <c r="D12" s="354"/>
      <c r="E12" s="355">
        <v>67</v>
      </c>
      <c r="F12" s="367">
        <f>+Tabla202223[[#This Row],[Material Requerido]]/2</f>
        <v>33.5</v>
      </c>
      <c r="G12" s="361">
        <v>45.76</v>
      </c>
      <c r="H12" s="362">
        <f>+Tabla202223[[#This Row],[Canje]]*Tabla202223[[#This Row],[Valor Alq de Referencia €]]*I$3</f>
        <v>590189.6</v>
      </c>
      <c r="I12" s="362">
        <f>+Tabla202223[[#This Row],[Precio Total en Pesos]]*4%</f>
        <v>23607.583999999999</v>
      </c>
      <c r="L12"/>
      <c r="M12"/>
    </row>
    <row r="13" spans="1:13" s="43" customFormat="1" x14ac:dyDescent="0.3">
      <c r="A13"/>
      <c r="B13" s="354" t="s">
        <v>106</v>
      </c>
      <c r="C13" s="354"/>
      <c r="D13" s="354"/>
      <c r="E13" s="355">
        <v>60</v>
      </c>
      <c r="F13" s="367">
        <f>+Tabla202223[[#This Row],[Material Requerido]]/2</f>
        <v>30</v>
      </c>
      <c r="G13" s="361">
        <v>43.03</v>
      </c>
      <c r="H13" s="362">
        <f>+Tabla202223[[#This Row],[Canje]]*Tabla202223[[#This Row],[Valor Alq de Referencia €]]*I$3</f>
        <v>496996.50000000006</v>
      </c>
      <c r="I13" s="362">
        <f>+Tabla202223[[#This Row],[Precio Total en Pesos]]*4%</f>
        <v>19879.860000000004</v>
      </c>
      <c r="L13"/>
      <c r="M13"/>
    </row>
    <row r="14" spans="1:13" s="43" customFormat="1" x14ac:dyDescent="0.3">
      <c r="A14"/>
      <c r="B14" s="354" t="s">
        <v>67</v>
      </c>
      <c r="C14" s="354"/>
      <c r="D14" s="354"/>
      <c r="E14" s="355">
        <v>36</v>
      </c>
      <c r="F14" s="367">
        <f>+Tabla202223[[#This Row],[Material Requerido]]/2</f>
        <v>18</v>
      </c>
      <c r="G14" s="361">
        <v>148.19999999999999</v>
      </c>
      <c r="H14" s="362">
        <f>+Tabla202223[[#This Row],[Canje]]*Tabla202223[[#This Row],[Valor Alq de Referencia €]]*I$3</f>
        <v>1027026</v>
      </c>
      <c r="I14" s="362">
        <f>+Tabla202223[[#This Row],[Precio Total en Pesos]]*4%</f>
        <v>41081.040000000001</v>
      </c>
      <c r="L14"/>
      <c r="M14"/>
    </row>
    <row r="15" spans="1:13" s="43" customFormat="1" x14ac:dyDescent="0.3">
      <c r="A15"/>
      <c r="B15" s="354" t="s">
        <v>102</v>
      </c>
      <c r="C15" s="354"/>
      <c r="D15" s="354"/>
      <c r="E15" s="355">
        <v>33</v>
      </c>
      <c r="F15" s="367">
        <f>+Tabla202223[[#This Row],[Material Requerido]]/2</f>
        <v>16.5</v>
      </c>
      <c r="G15" s="361">
        <v>55.64</v>
      </c>
      <c r="H15" s="362">
        <f>+Tabla202223[[#This Row],[Canje]]*Tabla202223[[#This Row],[Valor Alq de Referencia €]]*I$3</f>
        <v>353453.10000000003</v>
      </c>
      <c r="I15" s="362">
        <f>+Tabla202223[[#This Row],[Precio Total en Pesos]]*4%</f>
        <v>14138.124000000002</v>
      </c>
      <c r="L15"/>
      <c r="M15"/>
    </row>
    <row r="16" spans="1:13" s="43" customFormat="1" x14ac:dyDescent="0.3">
      <c r="A16"/>
      <c r="B16" s="354" t="s">
        <v>234</v>
      </c>
      <c r="C16" s="354"/>
      <c r="D16" s="354"/>
      <c r="E16" s="355">
        <v>35</v>
      </c>
      <c r="F16" s="367">
        <f>+Tabla202223[[#This Row],[Material Requerido]]/2</f>
        <v>17.5</v>
      </c>
      <c r="G16" s="361">
        <v>37.96</v>
      </c>
      <c r="H16" s="362">
        <f>+Tabla202223[[#This Row],[Canje]]*Tabla202223[[#This Row],[Valor Alq de Referencia €]]*I$3</f>
        <v>255755.50000000003</v>
      </c>
      <c r="I16" s="362">
        <f>+Tabla202223[[#This Row],[Precio Total en Pesos]]*4%</f>
        <v>10230.220000000001</v>
      </c>
      <c r="L16"/>
      <c r="M16"/>
    </row>
    <row r="17" spans="1:13" s="43" customFormat="1" x14ac:dyDescent="0.3">
      <c r="A17"/>
      <c r="B17" s="354" t="s">
        <v>10</v>
      </c>
      <c r="C17" s="354"/>
      <c r="D17" s="354"/>
      <c r="E17" s="355">
        <v>136</v>
      </c>
      <c r="F17" s="367">
        <f>+Tabla202223[[#This Row],[Material Requerido]]/2</f>
        <v>68</v>
      </c>
      <c r="G17" s="361">
        <v>28.34</v>
      </c>
      <c r="H17" s="362">
        <f>+Tabla202223[[#This Row],[Canje]]*Tabla202223[[#This Row],[Valor Alq de Referencia €]]*I$3</f>
        <v>741941.2</v>
      </c>
      <c r="I17" s="362">
        <f>+Tabla202223[[#This Row],[Precio Total en Pesos]]*4%</f>
        <v>29677.647999999997</v>
      </c>
      <c r="L17"/>
      <c r="M17"/>
    </row>
    <row r="18" spans="1:13" s="43" customFormat="1" x14ac:dyDescent="0.3">
      <c r="A18"/>
      <c r="B18" s="354" t="s">
        <v>30</v>
      </c>
      <c r="C18" s="354"/>
      <c r="D18" s="354"/>
      <c r="E18" s="355">
        <v>136</v>
      </c>
      <c r="F18" s="367">
        <f>+Tabla202223[[#This Row],[Material Requerido]]/2</f>
        <v>68</v>
      </c>
      <c r="G18" s="361">
        <v>19.89</v>
      </c>
      <c r="H18" s="362">
        <f>+Tabla202223[[#This Row],[Canje]]*Tabla202223[[#This Row],[Valor Alq de Referencia €]]*I$3</f>
        <v>520720.2</v>
      </c>
      <c r="I18" s="362">
        <f>+Tabla202223[[#This Row],[Precio Total en Pesos]]*4%</f>
        <v>20828.808000000001</v>
      </c>
      <c r="L18"/>
      <c r="M18"/>
    </row>
    <row r="19" spans="1:13" s="43" customFormat="1" x14ac:dyDescent="0.3">
      <c r="A19"/>
      <c r="B19" s="354" t="s">
        <v>472</v>
      </c>
      <c r="C19" s="354"/>
      <c r="D19" s="354"/>
      <c r="E19" s="355">
        <v>28</v>
      </c>
      <c r="F19" s="367">
        <f>+Tabla202223[[#This Row],[Material Requerido]]/2</f>
        <v>14</v>
      </c>
      <c r="G19" s="361">
        <v>72.739999999999995</v>
      </c>
      <c r="H19" s="362">
        <f>+Tabla202223[[#This Row],[Canje]]*Tabla202223[[#This Row],[Valor Alq de Referencia €]]*I$3</f>
        <v>392068.6</v>
      </c>
      <c r="I19" s="362">
        <f>+Tabla202223[[#This Row],[Precio Total en Pesos]]*4%</f>
        <v>15682.743999999999</v>
      </c>
      <c r="L19"/>
      <c r="M19"/>
    </row>
    <row r="20" spans="1:13" s="43" customFormat="1" x14ac:dyDescent="0.3">
      <c r="A20"/>
      <c r="B20" s="354" t="s">
        <v>227</v>
      </c>
      <c r="C20" s="354"/>
      <c r="D20" s="354"/>
      <c r="E20" s="355">
        <v>825</v>
      </c>
      <c r="F20" s="367">
        <f>+Tabla202223[[#This Row],[Material Requerido]]/2</f>
        <v>412.5</v>
      </c>
      <c r="G20" s="361">
        <v>64.349999999999994</v>
      </c>
      <c r="H20" s="362">
        <f>+Tabla202223[[#This Row],[Canje]]*Tabla202223[[#This Row],[Valor Alq de Referencia €]]*I$3</f>
        <v>10219584.374999998</v>
      </c>
      <c r="I20" s="362">
        <f>+Tabla202223[[#This Row],[Precio Total en Pesos]]*4%</f>
        <v>408783.37499999994</v>
      </c>
      <c r="L20"/>
      <c r="M20"/>
    </row>
    <row r="21" spans="1:13" s="43" customFormat="1" x14ac:dyDescent="0.3">
      <c r="A21"/>
      <c r="B21" s="354" t="s">
        <v>101</v>
      </c>
      <c r="C21" s="354"/>
      <c r="D21" s="354"/>
      <c r="E21" s="355">
        <v>38</v>
      </c>
      <c r="F21" s="367">
        <f>+Tabla202223[[#This Row],[Material Requerido]]/2</f>
        <v>19</v>
      </c>
      <c r="G21" s="361">
        <v>39.39</v>
      </c>
      <c r="H21" s="362">
        <f>+Tabla202223[[#This Row],[Canje]]*Tabla202223[[#This Row],[Valor Alq de Referencia €]]*I$3</f>
        <v>288137.84999999998</v>
      </c>
      <c r="I21" s="362">
        <f>+Tabla202223[[#This Row],[Precio Total en Pesos]]*4%</f>
        <v>11525.513999999999</v>
      </c>
      <c r="L21"/>
      <c r="M21"/>
    </row>
    <row r="22" spans="1:13" s="43" customFormat="1" ht="15" thickBot="1" x14ac:dyDescent="0.35">
      <c r="A22"/>
      <c r="B22" s="363" t="s">
        <v>107</v>
      </c>
      <c r="C22" s="363"/>
      <c r="D22" s="363"/>
      <c r="E22" s="364">
        <v>85</v>
      </c>
      <c r="F22" s="368">
        <f>+Tabla202223[[#This Row],[Material Requerido]]/2</f>
        <v>42.5</v>
      </c>
      <c r="G22" s="365">
        <v>33.020000000000003</v>
      </c>
      <c r="H22" s="362">
        <f>+Tabla202223[[#This Row],[Canje]]*Tabla202223[[#This Row],[Valor Alq de Referencia €]]*I$3</f>
        <v>540289.75</v>
      </c>
      <c r="I22" s="362">
        <f>+Tabla202223[[#This Row],[Precio Total en Pesos]]*4%</f>
        <v>21611.59</v>
      </c>
      <c r="L22"/>
      <c r="M22"/>
    </row>
    <row r="23" spans="1:13" ht="15" thickBot="1" x14ac:dyDescent="0.35">
      <c r="B23" s="369"/>
      <c r="C23" s="378"/>
      <c r="D23" s="378"/>
      <c r="E23" s="366"/>
      <c r="F23" s="366"/>
      <c r="G23" s="370"/>
      <c r="H23" s="371"/>
      <c r="I23" s="372">
        <f>SUM(I5:I22)</f>
        <v>1199530.409</v>
      </c>
    </row>
  </sheetData>
  <mergeCells count="2">
    <mergeCell ref="B2:I2"/>
    <mergeCell ref="B3:G3"/>
  </mergeCells>
  <pageMargins left="0.11811023622047245" right="0.11811023622047245" top="0.19685039370078741" bottom="0.19685039370078741" header="0.31496062992125984" footer="0.31496062992125984"/>
  <pageSetup scale="95"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0"/>
  <sheetViews>
    <sheetView zoomScale="130" zoomScaleNormal="130" workbookViewId="0">
      <selection activeCell="D4" sqref="D4:D29"/>
    </sheetView>
  </sheetViews>
  <sheetFormatPr baseColWidth="10" defaultRowHeight="14.4" x14ac:dyDescent="0.3"/>
  <cols>
    <col min="1" max="1" width="1.6640625" customWidth="1"/>
    <col min="2" max="2" width="18.77734375" style="2" customWidth="1"/>
    <col min="3" max="4" width="18.77734375" style="1" customWidth="1"/>
    <col min="5" max="6" width="18.77734375" customWidth="1"/>
    <col min="7" max="7" width="18.77734375" style="43" customWidth="1"/>
    <col min="8" max="9" width="19.77734375" style="43" customWidth="1"/>
    <col min="10" max="10" width="11.5546875" customWidth="1"/>
  </cols>
  <sheetData>
    <row r="1" spans="2:9" ht="14.4" customHeight="1" thickBot="1" x14ac:dyDescent="0.35">
      <c r="B1" s="448" t="s">
        <v>365</v>
      </c>
      <c r="C1" s="449"/>
      <c r="D1" s="449"/>
      <c r="E1" s="449"/>
      <c r="F1" s="449"/>
      <c r="G1" s="449"/>
    </row>
    <row r="2" spans="2:9" ht="15" thickBot="1" x14ac:dyDescent="0.35">
      <c r="B2" s="451" t="s">
        <v>339</v>
      </c>
      <c r="C2" s="452"/>
      <c r="D2" s="452"/>
      <c r="E2" s="452"/>
      <c r="F2" s="452"/>
      <c r="G2" s="452"/>
    </row>
    <row r="3" spans="2:9" s="2" customFormat="1" ht="19.8" customHeight="1" thickBot="1" x14ac:dyDescent="0.35">
      <c r="B3" s="233" t="s">
        <v>0</v>
      </c>
      <c r="C3" s="234" t="s">
        <v>360</v>
      </c>
      <c r="D3" s="234" t="s">
        <v>359</v>
      </c>
      <c r="E3" s="234" t="s">
        <v>362</v>
      </c>
      <c r="F3" s="234" t="s">
        <v>363</v>
      </c>
      <c r="G3" s="235" t="s">
        <v>364</v>
      </c>
      <c r="H3" s="43"/>
      <c r="I3" s="43"/>
    </row>
    <row r="4" spans="2:9" x14ac:dyDescent="0.3">
      <c r="B4" s="254" t="s">
        <v>73</v>
      </c>
      <c r="C4" s="256">
        <v>12</v>
      </c>
      <c r="D4" s="256">
        <v>0</v>
      </c>
      <c r="E4" s="256">
        <f>+C4-D4</f>
        <v>12</v>
      </c>
      <c r="F4" s="256">
        <v>0</v>
      </c>
      <c r="G4" s="289">
        <f>+F4-D4</f>
        <v>0</v>
      </c>
    </row>
    <row r="5" spans="2:9" x14ac:dyDescent="0.3">
      <c r="B5" s="232" t="s">
        <v>262</v>
      </c>
      <c r="C5" s="231">
        <v>310</v>
      </c>
      <c r="D5" s="231">
        <v>120</v>
      </c>
      <c r="E5" s="231">
        <f t="shared" ref="E5:E29" si="0">+C5-D5</f>
        <v>190</v>
      </c>
      <c r="F5" s="231">
        <v>102</v>
      </c>
      <c r="G5" s="290">
        <f t="shared" ref="G5:G29" si="1">+F5-D5</f>
        <v>-18</v>
      </c>
    </row>
    <row r="6" spans="2:9" x14ac:dyDescent="0.3">
      <c r="B6" s="259" t="s">
        <v>334</v>
      </c>
      <c r="C6" s="257">
        <v>8</v>
      </c>
      <c r="D6" s="257">
        <v>0</v>
      </c>
      <c r="E6" s="257">
        <f t="shared" si="0"/>
        <v>8</v>
      </c>
      <c r="F6" s="257">
        <v>0</v>
      </c>
      <c r="G6" s="291">
        <f t="shared" si="1"/>
        <v>0</v>
      </c>
    </row>
    <row r="7" spans="2:9" x14ac:dyDescent="0.3">
      <c r="B7" s="232" t="s">
        <v>333</v>
      </c>
      <c r="C7" s="231">
        <v>88</v>
      </c>
      <c r="D7" s="231">
        <v>0</v>
      </c>
      <c r="E7" s="231">
        <f t="shared" si="0"/>
        <v>88</v>
      </c>
      <c r="F7" s="231">
        <v>0</v>
      </c>
      <c r="G7" s="290">
        <f t="shared" si="1"/>
        <v>0</v>
      </c>
    </row>
    <row r="8" spans="2:9" x14ac:dyDescent="0.3">
      <c r="B8" s="259" t="s">
        <v>232</v>
      </c>
      <c r="C8" s="257">
        <v>2</v>
      </c>
      <c r="D8" s="257">
        <v>0</v>
      </c>
      <c r="E8" s="257">
        <f t="shared" si="0"/>
        <v>2</v>
      </c>
      <c r="F8" s="257">
        <v>0</v>
      </c>
      <c r="G8" s="291">
        <f t="shared" si="1"/>
        <v>0</v>
      </c>
    </row>
    <row r="9" spans="2:9" x14ac:dyDescent="0.3">
      <c r="B9" s="232" t="s">
        <v>16</v>
      </c>
      <c r="C9" s="231">
        <v>4</v>
      </c>
      <c r="D9" s="231">
        <v>2</v>
      </c>
      <c r="E9" s="231">
        <f t="shared" si="0"/>
        <v>2</v>
      </c>
      <c r="F9" s="231">
        <v>2</v>
      </c>
      <c r="G9" s="290">
        <f t="shared" si="1"/>
        <v>0</v>
      </c>
    </row>
    <row r="10" spans="2:9" x14ac:dyDescent="0.3">
      <c r="B10" s="259" t="s">
        <v>110</v>
      </c>
      <c r="C10" s="257">
        <v>25</v>
      </c>
      <c r="D10" s="257">
        <v>9</v>
      </c>
      <c r="E10" s="257">
        <f>+C10-D10</f>
        <v>16</v>
      </c>
      <c r="F10" s="257">
        <v>9</v>
      </c>
      <c r="G10" s="291">
        <f t="shared" si="1"/>
        <v>0</v>
      </c>
    </row>
    <row r="11" spans="2:9" x14ac:dyDescent="0.3">
      <c r="B11" s="232" t="s">
        <v>228</v>
      </c>
      <c r="C11" s="231">
        <v>410</v>
      </c>
      <c r="D11" s="231">
        <v>150</v>
      </c>
      <c r="E11" s="231">
        <f>+C11-D11</f>
        <v>260</v>
      </c>
      <c r="F11" s="231">
        <v>147</v>
      </c>
      <c r="G11" s="290">
        <f>+F11-D11</f>
        <v>-3</v>
      </c>
    </row>
    <row r="12" spans="2:9" x14ac:dyDescent="0.3">
      <c r="B12" s="259" t="s">
        <v>229</v>
      </c>
      <c r="C12" s="257">
        <v>11</v>
      </c>
      <c r="D12" s="257">
        <v>0</v>
      </c>
      <c r="E12" s="257">
        <f t="shared" si="0"/>
        <v>11</v>
      </c>
      <c r="F12" s="257">
        <v>0</v>
      </c>
      <c r="G12" s="291">
        <f t="shared" si="1"/>
        <v>0</v>
      </c>
    </row>
    <row r="13" spans="2:9" x14ac:dyDescent="0.3">
      <c r="B13" s="232" t="s">
        <v>144</v>
      </c>
      <c r="C13" s="231">
        <v>32</v>
      </c>
      <c r="D13" s="231">
        <v>1</v>
      </c>
      <c r="E13" s="231">
        <f t="shared" si="0"/>
        <v>31</v>
      </c>
      <c r="F13" s="231">
        <v>0</v>
      </c>
      <c r="G13" s="290">
        <f t="shared" si="1"/>
        <v>-1</v>
      </c>
    </row>
    <row r="14" spans="2:9" x14ac:dyDescent="0.3">
      <c r="B14" s="259" t="s">
        <v>105</v>
      </c>
      <c r="C14" s="257">
        <v>65</v>
      </c>
      <c r="D14" s="257">
        <v>0</v>
      </c>
      <c r="E14" s="257">
        <f t="shared" si="0"/>
        <v>65</v>
      </c>
      <c r="F14" s="257">
        <v>0</v>
      </c>
      <c r="G14" s="291">
        <f t="shared" si="1"/>
        <v>0</v>
      </c>
    </row>
    <row r="15" spans="2:9" x14ac:dyDescent="0.3">
      <c r="B15" s="232" t="s">
        <v>106</v>
      </c>
      <c r="C15" s="231">
        <v>59</v>
      </c>
      <c r="D15" s="231">
        <v>26</v>
      </c>
      <c r="E15" s="231">
        <f t="shared" si="0"/>
        <v>33</v>
      </c>
      <c r="F15" s="231">
        <v>16</v>
      </c>
      <c r="G15" s="290">
        <f t="shared" si="1"/>
        <v>-10</v>
      </c>
    </row>
    <row r="16" spans="2:9" x14ac:dyDescent="0.3">
      <c r="B16" s="259" t="s">
        <v>67</v>
      </c>
      <c r="C16" s="257">
        <v>36</v>
      </c>
      <c r="D16" s="257">
        <v>36</v>
      </c>
      <c r="E16" s="257">
        <f t="shared" si="0"/>
        <v>0</v>
      </c>
      <c r="F16" s="257">
        <v>36</v>
      </c>
      <c r="G16" s="291">
        <f t="shared" si="1"/>
        <v>0</v>
      </c>
    </row>
    <row r="17" spans="2:7" x14ac:dyDescent="0.3">
      <c r="B17" s="232" t="s">
        <v>102</v>
      </c>
      <c r="C17" s="231">
        <v>33</v>
      </c>
      <c r="D17" s="231">
        <v>0</v>
      </c>
      <c r="E17" s="231">
        <f t="shared" si="0"/>
        <v>33</v>
      </c>
      <c r="F17" s="231">
        <v>0</v>
      </c>
      <c r="G17" s="290">
        <f t="shared" si="1"/>
        <v>0</v>
      </c>
    </row>
    <row r="18" spans="2:7" x14ac:dyDescent="0.3">
      <c r="B18" s="259" t="s">
        <v>234</v>
      </c>
      <c r="C18" s="257">
        <v>35</v>
      </c>
      <c r="D18" s="257">
        <v>49</v>
      </c>
      <c r="E18" s="257">
        <f t="shared" si="0"/>
        <v>-14</v>
      </c>
      <c r="F18" s="257">
        <v>42</v>
      </c>
      <c r="G18" s="291">
        <f t="shared" si="1"/>
        <v>-7</v>
      </c>
    </row>
    <row r="19" spans="2:7" x14ac:dyDescent="0.3">
      <c r="B19" s="232" t="s">
        <v>10</v>
      </c>
      <c r="C19" s="231">
        <v>130</v>
      </c>
      <c r="D19" s="231">
        <v>70</v>
      </c>
      <c r="E19" s="231">
        <f t="shared" si="0"/>
        <v>60</v>
      </c>
      <c r="F19" s="231">
        <v>70</v>
      </c>
      <c r="G19" s="290">
        <f t="shared" si="1"/>
        <v>0</v>
      </c>
    </row>
    <row r="20" spans="2:7" x14ac:dyDescent="0.3">
      <c r="B20" s="259" t="s">
        <v>30</v>
      </c>
      <c r="C20" s="257">
        <v>130</v>
      </c>
      <c r="D20" s="257">
        <v>70</v>
      </c>
      <c r="E20" s="257">
        <f t="shared" si="0"/>
        <v>60</v>
      </c>
      <c r="F20" s="257">
        <v>70</v>
      </c>
      <c r="G20" s="291">
        <f t="shared" si="1"/>
        <v>0</v>
      </c>
    </row>
    <row r="21" spans="2:7" x14ac:dyDescent="0.3">
      <c r="B21" s="232" t="s">
        <v>227</v>
      </c>
      <c r="C21" s="231">
        <v>825</v>
      </c>
      <c r="D21" s="231">
        <v>290</v>
      </c>
      <c r="E21" s="231">
        <f t="shared" si="0"/>
        <v>535</v>
      </c>
      <c r="F21" s="231">
        <v>301</v>
      </c>
      <c r="G21" s="290">
        <f t="shared" si="1"/>
        <v>11</v>
      </c>
    </row>
    <row r="22" spans="2:7" x14ac:dyDescent="0.3">
      <c r="B22" s="259" t="s">
        <v>101</v>
      </c>
      <c r="C22" s="257">
        <v>40</v>
      </c>
      <c r="D22" s="257">
        <v>0</v>
      </c>
      <c r="E22" s="257">
        <f t="shared" si="0"/>
        <v>40</v>
      </c>
      <c r="F22" s="257">
        <v>0</v>
      </c>
      <c r="G22" s="291">
        <f t="shared" si="1"/>
        <v>0</v>
      </c>
    </row>
    <row r="23" spans="2:7" x14ac:dyDescent="0.3">
      <c r="B23" s="232" t="s">
        <v>107</v>
      </c>
      <c r="C23" s="231">
        <v>85</v>
      </c>
      <c r="D23" s="231">
        <v>12</v>
      </c>
      <c r="E23" s="231">
        <f t="shared" si="0"/>
        <v>73</v>
      </c>
      <c r="F23" s="231">
        <v>12</v>
      </c>
      <c r="G23" s="290">
        <f t="shared" si="1"/>
        <v>0</v>
      </c>
    </row>
    <row r="24" spans="2:7" x14ac:dyDescent="0.3">
      <c r="B24" s="259" t="s">
        <v>361</v>
      </c>
      <c r="C24" s="257">
        <v>33</v>
      </c>
      <c r="D24" s="257">
        <v>15</v>
      </c>
      <c r="E24" s="257">
        <f>+C24-D24</f>
        <v>18</v>
      </c>
      <c r="F24" s="257">
        <v>15</v>
      </c>
      <c r="G24" s="291">
        <f t="shared" si="1"/>
        <v>0</v>
      </c>
    </row>
    <row r="25" spans="2:7" x14ac:dyDescent="0.3">
      <c r="B25" s="232" t="s">
        <v>68</v>
      </c>
      <c r="C25" s="231">
        <v>0</v>
      </c>
      <c r="D25" s="231">
        <v>0</v>
      </c>
      <c r="E25" s="231">
        <f t="shared" si="0"/>
        <v>0</v>
      </c>
      <c r="F25" s="231">
        <v>0</v>
      </c>
      <c r="G25" s="290">
        <f t="shared" si="1"/>
        <v>0</v>
      </c>
    </row>
    <row r="26" spans="2:7" x14ac:dyDescent="0.3">
      <c r="B26" s="259" t="s">
        <v>328</v>
      </c>
      <c r="C26" s="257">
        <v>0</v>
      </c>
      <c r="D26" s="257">
        <v>0</v>
      </c>
      <c r="E26" s="257">
        <f t="shared" si="0"/>
        <v>0</v>
      </c>
      <c r="F26" s="257">
        <v>0</v>
      </c>
      <c r="G26" s="291">
        <f t="shared" si="1"/>
        <v>0</v>
      </c>
    </row>
    <row r="27" spans="2:7" x14ac:dyDescent="0.3">
      <c r="B27" s="232" t="s">
        <v>329</v>
      </c>
      <c r="C27" s="231">
        <v>28</v>
      </c>
      <c r="D27" s="231">
        <v>28</v>
      </c>
      <c r="E27" s="231">
        <f t="shared" si="0"/>
        <v>0</v>
      </c>
      <c r="F27" s="231">
        <v>27</v>
      </c>
      <c r="G27" s="290">
        <f t="shared" si="1"/>
        <v>-1</v>
      </c>
    </row>
    <row r="28" spans="2:7" x14ac:dyDescent="0.3">
      <c r="B28" s="259" t="s">
        <v>335</v>
      </c>
      <c r="C28" s="257">
        <v>19</v>
      </c>
      <c r="D28" s="257">
        <v>6</v>
      </c>
      <c r="E28" s="257">
        <f t="shared" si="0"/>
        <v>13</v>
      </c>
      <c r="F28" s="257">
        <v>0</v>
      </c>
      <c r="G28" s="291">
        <f t="shared" si="1"/>
        <v>-6</v>
      </c>
    </row>
    <row r="29" spans="2:7" ht="15" thickBot="1" x14ac:dyDescent="0.35">
      <c r="B29" s="292" t="s">
        <v>358</v>
      </c>
      <c r="C29" s="293">
        <v>1</v>
      </c>
      <c r="D29" s="293">
        <v>0</v>
      </c>
      <c r="E29" s="293">
        <f t="shared" si="0"/>
        <v>1</v>
      </c>
      <c r="F29" s="293">
        <v>0</v>
      </c>
      <c r="G29" s="294">
        <f t="shared" si="1"/>
        <v>0</v>
      </c>
    </row>
    <row r="30" spans="2:7" ht="9" customHeight="1" x14ac:dyDescent="0.3"/>
  </sheetData>
  <mergeCells count="2">
    <mergeCell ref="B1:G1"/>
    <mergeCell ref="B2:G2"/>
  </mergeCells>
  <pageMargins left="1.4960629921259843" right="0.11811023622047245" top="0.19685039370078741" bottom="0.19685039370078741" header="0.31496062992125984" footer="0.31496062992125984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7"/>
  <sheetViews>
    <sheetView zoomScale="130" zoomScaleNormal="130" workbookViewId="0">
      <selection activeCell="E11" sqref="E11"/>
    </sheetView>
  </sheetViews>
  <sheetFormatPr baseColWidth="10" defaultRowHeight="14.4" x14ac:dyDescent="0.3"/>
  <cols>
    <col min="1" max="1" width="1.6640625" customWidth="1"/>
    <col min="2" max="2" width="17.33203125" style="2" bestFit="1" customWidth="1"/>
    <col min="3" max="4" width="15.77734375" style="1" hidden="1" customWidth="1"/>
    <col min="5" max="6" width="15.77734375" customWidth="1"/>
    <col min="7" max="9" width="15.77734375" style="43" customWidth="1"/>
    <col min="10" max="10" width="11.5546875" customWidth="1"/>
  </cols>
  <sheetData>
    <row r="1" spans="2:9" ht="14.4" customHeight="1" thickBot="1" x14ac:dyDescent="0.35">
      <c r="B1" s="448" t="s">
        <v>365</v>
      </c>
      <c r="C1" s="449"/>
      <c r="D1" s="449"/>
      <c r="E1" s="449"/>
      <c r="F1" s="450"/>
    </row>
    <row r="2" spans="2:9" ht="15" thickBot="1" x14ac:dyDescent="0.35">
      <c r="B2" s="451" t="s">
        <v>339</v>
      </c>
      <c r="C2" s="452"/>
      <c r="D2" s="452"/>
      <c r="E2" s="452"/>
      <c r="F2" s="453"/>
    </row>
    <row r="3" spans="2:9" s="2" customFormat="1" ht="19.8" customHeight="1" thickBot="1" x14ac:dyDescent="0.35">
      <c r="B3" s="233" t="s">
        <v>0</v>
      </c>
      <c r="C3" s="234" t="s">
        <v>360</v>
      </c>
      <c r="D3" s="234" t="s">
        <v>359</v>
      </c>
      <c r="E3" s="234" t="s">
        <v>362</v>
      </c>
      <c r="F3" s="235" t="s">
        <v>366</v>
      </c>
      <c r="G3" s="43"/>
      <c r="H3" s="43"/>
      <c r="I3" s="43"/>
    </row>
    <row r="4" spans="2:9" x14ac:dyDescent="0.3">
      <c r="B4" s="254" t="s">
        <v>73</v>
      </c>
      <c r="C4" s="256">
        <v>12</v>
      </c>
      <c r="D4" s="256">
        <v>0</v>
      </c>
      <c r="E4" s="288">
        <f>+C4-D4</f>
        <v>12</v>
      </c>
      <c r="F4" s="236" t="s">
        <v>367</v>
      </c>
    </row>
    <row r="5" spans="2:9" x14ac:dyDescent="0.3">
      <c r="B5" s="232" t="s">
        <v>262</v>
      </c>
      <c r="C5" s="231">
        <v>310</v>
      </c>
      <c r="D5" s="231">
        <v>120</v>
      </c>
      <c r="E5" s="231">
        <f t="shared" ref="E5:E24" si="0">+C5-D5</f>
        <v>190</v>
      </c>
      <c r="F5" s="237" t="s">
        <v>368</v>
      </c>
    </row>
    <row r="6" spans="2:9" x14ac:dyDescent="0.3">
      <c r="B6" s="259" t="s">
        <v>334</v>
      </c>
      <c r="C6" s="257">
        <v>8</v>
      </c>
      <c r="D6" s="257">
        <v>0</v>
      </c>
      <c r="E6" s="257">
        <f t="shared" si="0"/>
        <v>8</v>
      </c>
      <c r="F6" s="238" t="s">
        <v>368</v>
      </c>
    </row>
    <row r="7" spans="2:9" x14ac:dyDescent="0.3">
      <c r="B7" s="232" t="s">
        <v>333</v>
      </c>
      <c r="C7" s="231">
        <v>88</v>
      </c>
      <c r="D7" s="231">
        <v>0</v>
      </c>
      <c r="E7" s="231">
        <f t="shared" si="0"/>
        <v>88</v>
      </c>
      <c r="F7" s="237" t="s">
        <v>368</v>
      </c>
    </row>
    <row r="8" spans="2:9" x14ac:dyDescent="0.3">
      <c r="B8" s="259" t="s">
        <v>232</v>
      </c>
      <c r="C8" s="257">
        <v>2</v>
      </c>
      <c r="D8" s="257">
        <v>0</v>
      </c>
      <c r="E8" s="257">
        <f t="shared" si="0"/>
        <v>2</v>
      </c>
      <c r="F8" s="238" t="s">
        <v>368</v>
      </c>
    </row>
    <row r="9" spans="2:9" x14ac:dyDescent="0.3">
      <c r="B9" s="232" t="s">
        <v>16</v>
      </c>
      <c r="C9" s="231">
        <v>4</v>
      </c>
      <c r="D9" s="231">
        <v>2</v>
      </c>
      <c r="E9" s="231">
        <f t="shared" si="0"/>
        <v>2</v>
      </c>
      <c r="F9" s="237" t="s">
        <v>368</v>
      </c>
    </row>
    <row r="10" spans="2:9" x14ac:dyDescent="0.3">
      <c r="B10" s="259" t="s">
        <v>110</v>
      </c>
      <c r="C10" s="257">
        <v>25</v>
      </c>
      <c r="D10" s="257">
        <v>9</v>
      </c>
      <c r="E10" s="257">
        <f t="shared" si="0"/>
        <v>16</v>
      </c>
      <c r="F10" s="238" t="s">
        <v>368</v>
      </c>
    </row>
    <row r="11" spans="2:9" x14ac:dyDescent="0.3">
      <c r="B11" s="232" t="s">
        <v>228</v>
      </c>
      <c r="C11" s="231">
        <v>410</v>
      </c>
      <c r="D11" s="231">
        <v>150</v>
      </c>
      <c r="E11" s="231">
        <f t="shared" si="0"/>
        <v>260</v>
      </c>
      <c r="F11" s="237" t="s">
        <v>368</v>
      </c>
    </row>
    <row r="12" spans="2:9" x14ac:dyDescent="0.3">
      <c r="B12" s="259" t="s">
        <v>229</v>
      </c>
      <c r="C12" s="257">
        <v>11</v>
      </c>
      <c r="D12" s="257">
        <v>0</v>
      </c>
      <c r="E12" s="257">
        <f t="shared" si="0"/>
        <v>11</v>
      </c>
      <c r="F12" s="238" t="s">
        <v>368</v>
      </c>
    </row>
    <row r="13" spans="2:9" x14ac:dyDescent="0.3">
      <c r="B13" s="232" t="s">
        <v>144</v>
      </c>
      <c r="C13" s="231">
        <v>32</v>
      </c>
      <c r="D13" s="231">
        <v>1</v>
      </c>
      <c r="E13" s="231">
        <f t="shared" si="0"/>
        <v>31</v>
      </c>
      <c r="F13" s="237" t="s">
        <v>368</v>
      </c>
    </row>
    <row r="14" spans="2:9" x14ac:dyDescent="0.3">
      <c r="B14" s="259" t="s">
        <v>105</v>
      </c>
      <c r="C14" s="257">
        <v>65</v>
      </c>
      <c r="D14" s="257">
        <v>0</v>
      </c>
      <c r="E14" s="257">
        <f t="shared" si="0"/>
        <v>65</v>
      </c>
      <c r="F14" s="238" t="s">
        <v>368</v>
      </c>
    </row>
    <row r="15" spans="2:9" x14ac:dyDescent="0.3">
      <c r="B15" s="232" t="s">
        <v>106</v>
      </c>
      <c r="C15" s="231">
        <v>59</v>
      </c>
      <c r="D15" s="231">
        <v>26</v>
      </c>
      <c r="E15" s="231">
        <f t="shared" si="0"/>
        <v>33</v>
      </c>
      <c r="F15" s="237" t="s">
        <v>368</v>
      </c>
    </row>
    <row r="16" spans="2:9" s="43" customFormat="1" x14ac:dyDescent="0.3">
      <c r="B16" s="259" t="s">
        <v>102</v>
      </c>
      <c r="C16" s="257">
        <v>33</v>
      </c>
      <c r="D16" s="257">
        <v>0</v>
      </c>
      <c r="E16" s="257">
        <f t="shared" si="0"/>
        <v>33</v>
      </c>
      <c r="F16" s="238" t="s">
        <v>368</v>
      </c>
    </row>
    <row r="17" spans="2:6" s="43" customFormat="1" x14ac:dyDescent="0.3">
      <c r="B17" s="232" t="s">
        <v>10</v>
      </c>
      <c r="C17" s="231">
        <v>130</v>
      </c>
      <c r="D17" s="231">
        <v>70</v>
      </c>
      <c r="E17" s="231">
        <f t="shared" si="0"/>
        <v>60</v>
      </c>
      <c r="F17" s="237" t="s">
        <v>368</v>
      </c>
    </row>
    <row r="18" spans="2:6" s="43" customFormat="1" x14ac:dyDescent="0.3">
      <c r="B18" s="259" t="s">
        <v>30</v>
      </c>
      <c r="C18" s="257">
        <v>130</v>
      </c>
      <c r="D18" s="257">
        <v>70</v>
      </c>
      <c r="E18" s="257">
        <f t="shared" si="0"/>
        <v>60</v>
      </c>
      <c r="F18" s="238" t="s">
        <v>368</v>
      </c>
    </row>
    <row r="19" spans="2:6" s="43" customFormat="1" x14ac:dyDescent="0.3">
      <c r="B19" s="232" t="s">
        <v>227</v>
      </c>
      <c r="C19" s="231">
        <v>825</v>
      </c>
      <c r="D19" s="231">
        <v>290</v>
      </c>
      <c r="E19" s="231">
        <f t="shared" si="0"/>
        <v>535</v>
      </c>
      <c r="F19" s="237" t="s">
        <v>368</v>
      </c>
    </row>
    <row r="20" spans="2:6" s="43" customFormat="1" x14ac:dyDescent="0.3">
      <c r="B20" s="259" t="s">
        <v>101</v>
      </c>
      <c r="C20" s="257">
        <v>40</v>
      </c>
      <c r="D20" s="257">
        <v>0</v>
      </c>
      <c r="E20" s="257">
        <f t="shared" si="0"/>
        <v>40</v>
      </c>
      <c r="F20" s="238" t="s">
        <v>368</v>
      </c>
    </row>
    <row r="21" spans="2:6" s="43" customFormat="1" x14ac:dyDescent="0.3">
      <c r="B21" s="232" t="s">
        <v>107</v>
      </c>
      <c r="C21" s="231">
        <v>85</v>
      </c>
      <c r="D21" s="231">
        <v>12</v>
      </c>
      <c r="E21" s="231">
        <f t="shared" si="0"/>
        <v>73</v>
      </c>
      <c r="F21" s="237" t="s">
        <v>368</v>
      </c>
    </row>
    <row r="22" spans="2:6" s="43" customFormat="1" x14ac:dyDescent="0.3">
      <c r="B22" s="259" t="s">
        <v>361</v>
      </c>
      <c r="C22" s="257">
        <v>33</v>
      </c>
      <c r="D22" s="257">
        <v>15</v>
      </c>
      <c r="E22" s="257">
        <f>+C22-D22</f>
        <v>18</v>
      </c>
      <c r="F22" s="238" t="s">
        <v>368</v>
      </c>
    </row>
    <row r="23" spans="2:6" s="43" customFormat="1" x14ac:dyDescent="0.3">
      <c r="B23" s="232" t="s">
        <v>68</v>
      </c>
      <c r="C23" s="231">
        <v>0</v>
      </c>
      <c r="D23" s="231">
        <v>0</v>
      </c>
      <c r="E23" s="231">
        <f t="shared" si="0"/>
        <v>0</v>
      </c>
      <c r="F23" s="237" t="s">
        <v>368</v>
      </c>
    </row>
    <row r="24" spans="2:6" s="43" customFormat="1" ht="15" thickBot="1" x14ac:dyDescent="0.35">
      <c r="B24" s="255" t="s">
        <v>335</v>
      </c>
      <c r="C24" s="258">
        <v>19</v>
      </c>
      <c r="D24" s="258">
        <v>6</v>
      </c>
      <c r="E24" s="258">
        <f t="shared" si="0"/>
        <v>13</v>
      </c>
      <c r="F24" s="239" t="s">
        <v>368</v>
      </c>
    </row>
    <row r="25" spans="2:6" s="43" customFormat="1" ht="9" customHeight="1" thickBot="1" x14ac:dyDescent="0.35">
      <c r="B25" s="2"/>
      <c r="C25" s="1"/>
      <c r="D25" s="1"/>
      <c r="E25"/>
      <c r="F25"/>
    </row>
    <row r="26" spans="2:6" s="43" customFormat="1" ht="15" customHeight="1" thickBot="1" x14ac:dyDescent="0.35">
      <c r="B26" s="448" t="s">
        <v>369</v>
      </c>
      <c r="C26" s="449"/>
      <c r="D26" s="449"/>
      <c r="E26" s="449"/>
      <c r="F26" s="450"/>
    </row>
    <row r="27" spans="2:6" s="43" customFormat="1" ht="15" thickBot="1" x14ac:dyDescent="0.35">
      <c r="B27" s="451" t="s">
        <v>339</v>
      </c>
      <c r="C27" s="452"/>
      <c r="D27" s="452"/>
      <c r="E27" s="452"/>
      <c r="F27" s="453"/>
    </row>
    <row r="28" spans="2:6" s="43" customFormat="1" ht="22.2" customHeight="1" thickBot="1" x14ac:dyDescent="0.35">
      <c r="B28" s="468" t="s">
        <v>0</v>
      </c>
      <c r="C28" s="469"/>
      <c r="D28" s="470" t="s">
        <v>370</v>
      </c>
      <c r="E28" s="469"/>
      <c r="F28" s="235" t="s">
        <v>366</v>
      </c>
    </row>
    <row r="29" spans="2:6" s="43" customFormat="1" x14ac:dyDescent="0.3">
      <c r="B29" s="466" t="s">
        <v>377</v>
      </c>
      <c r="C29" s="467"/>
      <c r="D29" s="466">
        <v>100</v>
      </c>
      <c r="E29" s="467"/>
      <c r="F29" s="236" t="s">
        <v>368</v>
      </c>
    </row>
    <row r="30" spans="2:6" s="43" customFormat="1" x14ac:dyDescent="0.3">
      <c r="B30" s="462" t="s">
        <v>371</v>
      </c>
      <c r="C30" s="463"/>
      <c r="D30" s="463">
        <v>250</v>
      </c>
      <c r="E30" s="463"/>
      <c r="F30" s="237" t="s">
        <v>368</v>
      </c>
    </row>
    <row r="31" spans="2:6" s="43" customFormat="1" x14ac:dyDescent="0.3">
      <c r="B31" s="460" t="s">
        <v>378</v>
      </c>
      <c r="C31" s="461"/>
      <c r="D31" s="461">
        <v>42</v>
      </c>
      <c r="E31" s="461"/>
      <c r="F31" s="238" t="s">
        <v>368</v>
      </c>
    </row>
    <row r="32" spans="2:6" s="43" customFormat="1" x14ac:dyDescent="0.3">
      <c r="B32" s="462" t="s">
        <v>372</v>
      </c>
      <c r="C32" s="463"/>
      <c r="D32" s="463">
        <v>400</v>
      </c>
      <c r="E32" s="463"/>
      <c r="F32" s="237" t="s">
        <v>368</v>
      </c>
    </row>
    <row r="33" spans="2:9" s="43" customFormat="1" x14ac:dyDescent="0.3">
      <c r="B33" s="460" t="s">
        <v>373</v>
      </c>
      <c r="C33" s="461"/>
      <c r="D33" s="461">
        <v>4</v>
      </c>
      <c r="E33" s="461"/>
      <c r="F33" s="238" t="s">
        <v>368</v>
      </c>
    </row>
    <row r="34" spans="2:9" s="43" customFormat="1" x14ac:dyDescent="0.3">
      <c r="B34" s="462" t="s">
        <v>374</v>
      </c>
      <c r="C34" s="463"/>
      <c r="D34" s="463">
        <v>50</v>
      </c>
      <c r="E34" s="463"/>
      <c r="F34" s="237" t="s">
        <v>368</v>
      </c>
    </row>
    <row r="35" spans="2:9" s="43" customFormat="1" x14ac:dyDescent="0.3">
      <c r="B35" s="460" t="s">
        <v>375</v>
      </c>
      <c r="C35" s="461"/>
      <c r="D35" s="461">
        <v>50</v>
      </c>
      <c r="E35" s="461"/>
      <c r="F35" s="238" t="s">
        <v>368</v>
      </c>
    </row>
    <row r="36" spans="2:9" s="43" customFormat="1" x14ac:dyDescent="0.3">
      <c r="B36" s="462" t="s">
        <v>379</v>
      </c>
      <c r="C36" s="463"/>
      <c r="D36" s="463">
        <v>8</v>
      </c>
      <c r="E36" s="463"/>
      <c r="F36" s="237" t="s">
        <v>367</v>
      </c>
    </row>
    <row r="37" spans="2:9" s="43" customFormat="1" ht="15" thickBot="1" x14ac:dyDescent="0.35">
      <c r="B37" s="464" t="s">
        <v>376</v>
      </c>
      <c r="C37" s="465"/>
      <c r="D37" s="465">
        <v>10</v>
      </c>
      <c r="E37" s="465"/>
      <c r="F37" s="239" t="s">
        <v>368</v>
      </c>
    </row>
    <row r="38" spans="2:9" ht="15" thickBot="1" x14ac:dyDescent="0.35"/>
    <row r="39" spans="2:9" ht="15" customHeight="1" x14ac:dyDescent="0.3">
      <c r="B39" s="454" t="s">
        <v>365</v>
      </c>
      <c r="C39" s="455"/>
      <c r="D39" s="455"/>
      <c r="E39" s="455"/>
      <c r="F39" s="455"/>
      <c r="G39" s="455"/>
      <c r="H39" s="455"/>
      <c r="I39" s="456"/>
    </row>
    <row r="40" spans="2:9" ht="15" customHeight="1" thickBot="1" x14ac:dyDescent="0.35">
      <c r="B40" s="457" t="s">
        <v>436</v>
      </c>
      <c r="C40" s="458"/>
      <c r="D40" s="458"/>
      <c r="E40" s="458"/>
      <c r="F40" s="458"/>
      <c r="G40" s="458"/>
      <c r="H40" s="458"/>
      <c r="I40" s="459"/>
    </row>
    <row r="41" spans="2:9" ht="23.4" thickBot="1" x14ac:dyDescent="0.35">
      <c r="B41" s="301" t="s">
        <v>0</v>
      </c>
      <c r="C41" s="302" t="s">
        <v>360</v>
      </c>
      <c r="D41" s="302" t="s">
        <v>359</v>
      </c>
      <c r="E41" s="302" t="s">
        <v>362</v>
      </c>
      <c r="F41" s="253" t="s">
        <v>432</v>
      </c>
      <c r="G41" s="303" t="s">
        <v>431</v>
      </c>
      <c r="H41" s="302" t="s">
        <v>363</v>
      </c>
      <c r="I41" s="303" t="s">
        <v>435</v>
      </c>
    </row>
    <row r="42" spans="2:9" x14ac:dyDescent="0.3">
      <c r="B42" s="254" t="s">
        <v>73</v>
      </c>
      <c r="C42" s="256">
        <v>12</v>
      </c>
      <c r="D42" s="256">
        <v>0</v>
      </c>
      <c r="E42" s="256">
        <f>+C42-D42</f>
        <v>12</v>
      </c>
      <c r="F42" s="256">
        <v>4</v>
      </c>
      <c r="G42" s="304">
        <f>+E42+F42</f>
        <v>16</v>
      </c>
      <c r="H42" s="256">
        <v>16</v>
      </c>
      <c r="I42" s="289">
        <f>+H42-G42</f>
        <v>0</v>
      </c>
    </row>
    <row r="43" spans="2:9" x14ac:dyDescent="0.3">
      <c r="B43" s="232" t="s">
        <v>262</v>
      </c>
      <c r="C43" s="231">
        <v>310</v>
      </c>
      <c r="D43" s="231">
        <v>120</v>
      </c>
      <c r="E43" s="231">
        <f t="shared" ref="E43:E60" si="1">+C43-D43</f>
        <v>190</v>
      </c>
      <c r="F43" s="231">
        <v>400</v>
      </c>
      <c r="G43" s="298">
        <f t="shared" ref="G43:G62" si="2">+E43+F43</f>
        <v>590</v>
      </c>
      <c r="H43" s="231">
        <v>594</v>
      </c>
      <c r="I43" s="295">
        <f t="shared" ref="I43:I66" si="3">+H43-G43</f>
        <v>4</v>
      </c>
    </row>
    <row r="44" spans="2:9" x14ac:dyDescent="0.3">
      <c r="B44" s="259" t="s">
        <v>334</v>
      </c>
      <c r="C44" s="257">
        <v>8</v>
      </c>
      <c r="D44" s="257">
        <v>0</v>
      </c>
      <c r="E44" s="257">
        <f t="shared" si="1"/>
        <v>8</v>
      </c>
      <c r="F44" s="257">
        <v>0</v>
      </c>
      <c r="G44" s="298">
        <f t="shared" si="2"/>
        <v>8</v>
      </c>
      <c r="H44" s="257">
        <v>0</v>
      </c>
      <c r="I44" s="305">
        <f t="shared" si="3"/>
        <v>-8</v>
      </c>
    </row>
    <row r="45" spans="2:9" x14ac:dyDescent="0.3">
      <c r="B45" s="232" t="s">
        <v>333</v>
      </c>
      <c r="C45" s="231">
        <v>88</v>
      </c>
      <c r="D45" s="231">
        <v>0</v>
      </c>
      <c r="E45" s="231">
        <f t="shared" si="1"/>
        <v>88</v>
      </c>
      <c r="F45" s="231">
        <v>0</v>
      </c>
      <c r="G45" s="298">
        <f t="shared" si="2"/>
        <v>88</v>
      </c>
      <c r="H45" s="231">
        <v>0</v>
      </c>
      <c r="I45" s="299">
        <f t="shared" si="3"/>
        <v>-88</v>
      </c>
    </row>
    <row r="46" spans="2:9" x14ac:dyDescent="0.3">
      <c r="B46" s="259" t="s">
        <v>232</v>
      </c>
      <c r="C46" s="257">
        <v>2</v>
      </c>
      <c r="D46" s="257">
        <v>0</v>
      </c>
      <c r="E46" s="257">
        <f t="shared" si="1"/>
        <v>2</v>
      </c>
      <c r="F46" s="257">
        <v>0</v>
      </c>
      <c r="G46" s="298">
        <f t="shared" si="2"/>
        <v>2</v>
      </c>
      <c r="H46" s="257">
        <v>2</v>
      </c>
      <c r="I46" s="291">
        <f t="shared" si="3"/>
        <v>0</v>
      </c>
    </row>
    <row r="47" spans="2:9" x14ac:dyDescent="0.3">
      <c r="B47" s="232" t="s">
        <v>16</v>
      </c>
      <c r="C47" s="231">
        <v>4</v>
      </c>
      <c r="D47" s="231">
        <v>2</v>
      </c>
      <c r="E47" s="231">
        <f t="shared" si="1"/>
        <v>2</v>
      </c>
      <c r="F47" s="231">
        <v>0</v>
      </c>
      <c r="G47" s="298">
        <f t="shared" si="2"/>
        <v>2</v>
      </c>
      <c r="H47" s="231">
        <v>2</v>
      </c>
      <c r="I47" s="295">
        <f t="shared" si="3"/>
        <v>0</v>
      </c>
    </row>
    <row r="48" spans="2:9" x14ac:dyDescent="0.3">
      <c r="B48" s="259" t="s">
        <v>110</v>
      </c>
      <c r="C48" s="257">
        <v>25</v>
      </c>
      <c r="D48" s="257">
        <v>9</v>
      </c>
      <c r="E48" s="257">
        <f t="shared" si="1"/>
        <v>16</v>
      </c>
      <c r="F48" s="257">
        <v>0</v>
      </c>
      <c r="G48" s="298">
        <f t="shared" si="2"/>
        <v>16</v>
      </c>
      <c r="H48" s="257">
        <v>17</v>
      </c>
      <c r="I48" s="291">
        <f t="shared" si="3"/>
        <v>1</v>
      </c>
    </row>
    <row r="49" spans="2:9" x14ac:dyDescent="0.3">
      <c r="B49" s="232" t="s">
        <v>228</v>
      </c>
      <c r="C49" s="231">
        <v>410</v>
      </c>
      <c r="D49" s="231">
        <v>150</v>
      </c>
      <c r="E49" s="231">
        <f t="shared" si="1"/>
        <v>260</v>
      </c>
      <c r="F49" s="231">
        <v>100</v>
      </c>
      <c r="G49" s="298">
        <f t="shared" si="2"/>
        <v>360</v>
      </c>
      <c r="H49" s="231">
        <v>358</v>
      </c>
      <c r="I49" s="299">
        <f t="shared" si="3"/>
        <v>-2</v>
      </c>
    </row>
    <row r="50" spans="2:9" x14ac:dyDescent="0.3">
      <c r="B50" s="259" t="s">
        <v>229</v>
      </c>
      <c r="C50" s="257">
        <v>11</v>
      </c>
      <c r="D50" s="257">
        <v>0</v>
      </c>
      <c r="E50" s="257">
        <f t="shared" si="1"/>
        <v>11</v>
      </c>
      <c r="F50" s="257">
        <v>0</v>
      </c>
      <c r="G50" s="298">
        <f t="shared" si="2"/>
        <v>11</v>
      </c>
      <c r="H50" s="257">
        <v>11</v>
      </c>
      <c r="I50" s="291">
        <f t="shared" si="3"/>
        <v>0</v>
      </c>
    </row>
    <row r="51" spans="2:9" x14ac:dyDescent="0.3">
      <c r="B51" s="232" t="s">
        <v>144</v>
      </c>
      <c r="C51" s="231">
        <v>32</v>
      </c>
      <c r="D51" s="231">
        <v>1</v>
      </c>
      <c r="E51" s="231">
        <f t="shared" si="1"/>
        <v>31</v>
      </c>
      <c r="F51" s="231">
        <v>0</v>
      </c>
      <c r="G51" s="298">
        <f t="shared" si="2"/>
        <v>31</v>
      </c>
      <c r="H51" s="231">
        <v>0</v>
      </c>
      <c r="I51" s="299">
        <f t="shared" si="3"/>
        <v>-31</v>
      </c>
    </row>
    <row r="52" spans="2:9" x14ac:dyDescent="0.3">
      <c r="B52" s="259" t="s">
        <v>105</v>
      </c>
      <c r="C52" s="257">
        <v>65</v>
      </c>
      <c r="D52" s="257">
        <v>0</v>
      </c>
      <c r="E52" s="257">
        <f t="shared" si="1"/>
        <v>65</v>
      </c>
      <c r="F52" s="257">
        <v>0</v>
      </c>
      <c r="G52" s="298">
        <f t="shared" si="2"/>
        <v>65</v>
      </c>
      <c r="H52" s="257">
        <v>0</v>
      </c>
      <c r="I52" s="305">
        <f t="shared" si="3"/>
        <v>-65</v>
      </c>
    </row>
    <row r="53" spans="2:9" x14ac:dyDescent="0.3">
      <c r="B53" s="232" t="s">
        <v>106</v>
      </c>
      <c r="C53" s="231">
        <v>59</v>
      </c>
      <c r="D53" s="231">
        <v>26</v>
      </c>
      <c r="E53" s="231">
        <f t="shared" si="1"/>
        <v>33</v>
      </c>
      <c r="F53" s="231">
        <v>0</v>
      </c>
      <c r="G53" s="298">
        <f t="shared" si="2"/>
        <v>33</v>
      </c>
      <c r="H53" s="231">
        <v>0</v>
      </c>
      <c r="I53" s="299">
        <f t="shared" si="3"/>
        <v>-33</v>
      </c>
    </row>
    <row r="54" spans="2:9" x14ac:dyDescent="0.3">
      <c r="B54" s="259" t="s">
        <v>67</v>
      </c>
      <c r="C54" s="257">
        <v>36</v>
      </c>
      <c r="D54" s="257">
        <v>36</v>
      </c>
      <c r="E54" s="257">
        <f t="shared" si="1"/>
        <v>0</v>
      </c>
      <c r="F54" s="257">
        <v>42</v>
      </c>
      <c r="G54" s="298">
        <f t="shared" si="2"/>
        <v>42</v>
      </c>
      <c r="H54" s="257">
        <v>42</v>
      </c>
      <c r="I54" s="291">
        <f t="shared" si="3"/>
        <v>0</v>
      </c>
    </row>
    <row r="55" spans="2:9" x14ac:dyDescent="0.3">
      <c r="B55" s="232" t="s">
        <v>102</v>
      </c>
      <c r="C55" s="231">
        <v>33</v>
      </c>
      <c r="D55" s="231">
        <v>0</v>
      </c>
      <c r="E55" s="231">
        <f t="shared" si="1"/>
        <v>33</v>
      </c>
      <c r="F55" s="231">
        <v>0</v>
      </c>
      <c r="G55" s="298">
        <f t="shared" si="2"/>
        <v>33</v>
      </c>
      <c r="H55" s="231">
        <v>0</v>
      </c>
      <c r="I55" s="299">
        <f t="shared" si="3"/>
        <v>-33</v>
      </c>
    </row>
    <row r="56" spans="2:9" x14ac:dyDescent="0.3">
      <c r="B56" s="259" t="s">
        <v>10</v>
      </c>
      <c r="C56" s="257">
        <v>130</v>
      </c>
      <c r="D56" s="257">
        <v>70</v>
      </c>
      <c r="E56" s="257">
        <f t="shared" si="1"/>
        <v>60</v>
      </c>
      <c r="F56" s="257">
        <v>50</v>
      </c>
      <c r="G56" s="298">
        <f t="shared" si="2"/>
        <v>110</v>
      </c>
      <c r="H56" s="257">
        <v>95</v>
      </c>
      <c r="I56" s="305">
        <f t="shared" si="3"/>
        <v>-15</v>
      </c>
    </row>
    <row r="57" spans="2:9" x14ac:dyDescent="0.3">
      <c r="B57" s="232" t="s">
        <v>30</v>
      </c>
      <c r="C57" s="231">
        <v>130</v>
      </c>
      <c r="D57" s="231">
        <v>70</v>
      </c>
      <c r="E57" s="231">
        <f t="shared" si="1"/>
        <v>60</v>
      </c>
      <c r="F57" s="231">
        <v>50</v>
      </c>
      <c r="G57" s="298">
        <f t="shared" si="2"/>
        <v>110</v>
      </c>
      <c r="H57" s="231">
        <v>95</v>
      </c>
      <c r="I57" s="299">
        <f t="shared" si="3"/>
        <v>-15</v>
      </c>
    </row>
    <row r="58" spans="2:9" x14ac:dyDescent="0.3">
      <c r="B58" s="259" t="s">
        <v>227</v>
      </c>
      <c r="C58" s="257">
        <v>825</v>
      </c>
      <c r="D58" s="257">
        <v>290</v>
      </c>
      <c r="E58" s="257">
        <f t="shared" si="1"/>
        <v>535</v>
      </c>
      <c r="F58" s="257">
        <v>250</v>
      </c>
      <c r="G58" s="298">
        <f t="shared" si="2"/>
        <v>785</v>
      </c>
      <c r="H58" s="257">
        <v>785</v>
      </c>
      <c r="I58" s="291">
        <f t="shared" si="3"/>
        <v>0</v>
      </c>
    </row>
    <row r="59" spans="2:9" x14ac:dyDescent="0.3">
      <c r="B59" s="232" t="s">
        <v>101</v>
      </c>
      <c r="C59" s="231">
        <v>40</v>
      </c>
      <c r="D59" s="231">
        <v>0</v>
      </c>
      <c r="E59" s="231">
        <f t="shared" si="1"/>
        <v>40</v>
      </c>
      <c r="F59" s="231">
        <v>0</v>
      </c>
      <c r="G59" s="298">
        <f t="shared" si="2"/>
        <v>40</v>
      </c>
      <c r="H59" s="231">
        <v>33</v>
      </c>
      <c r="I59" s="299">
        <f t="shared" si="3"/>
        <v>-7</v>
      </c>
    </row>
    <row r="60" spans="2:9" x14ac:dyDescent="0.3">
      <c r="B60" s="259" t="s">
        <v>107</v>
      </c>
      <c r="C60" s="257">
        <v>85</v>
      </c>
      <c r="D60" s="257">
        <v>12</v>
      </c>
      <c r="E60" s="257">
        <f t="shared" si="1"/>
        <v>73</v>
      </c>
      <c r="F60" s="257">
        <v>0</v>
      </c>
      <c r="G60" s="298">
        <f t="shared" si="2"/>
        <v>73</v>
      </c>
      <c r="H60" s="257">
        <v>73</v>
      </c>
      <c r="I60" s="291">
        <f t="shared" si="3"/>
        <v>0</v>
      </c>
    </row>
    <row r="61" spans="2:9" x14ac:dyDescent="0.3">
      <c r="B61" s="232" t="s">
        <v>361</v>
      </c>
      <c r="C61" s="231">
        <v>33</v>
      </c>
      <c r="D61" s="231">
        <v>15</v>
      </c>
      <c r="E61" s="231">
        <f>+C61-D61</f>
        <v>18</v>
      </c>
      <c r="F61" s="231">
        <v>0</v>
      </c>
      <c r="G61" s="298">
        <f t="shared" si="2"/>
        <v>18</v>
      </c>
      <c r="H61" s="231">
        <v>18</v>
      </c>
      <c r="I61" s="295">
        <f t="shared" si="3"/>
        <v>0</v>
      </c>
    </row>
    <row r="62" spans="2:9" x14ac:dyDescent="0.3">
      <c r="B62" s="259" t="s">
        <v>329</v>
      </c>
      <c r="C62" s="257">
        <v>28</v>
      </c>
      <c r="D62" s="257">
        <v>28</v>
      </c>
      <c r="E62" s="257">
        <f t="shared" ref="E62:E63" si="4">+C62-D62</f>
        <v>0</v>
      </c>
      <c r="F62" s="257">
        <v>0</v>
      </c>
      <c r="G62" s="298">
        <f t="shared" si="2"/>
        <v>0</v>
      </c>
      <c r="H62" s="257">
        <v>0</v>
      </c>
      <c r="I62" s="291">
        <f t="shared" si="3"/>
        <v>0</v>
      </c>
    </row>
    <row r="63" spans="2:9" s="170" customFormat="1" x14ac:dyDescent="0.3">
      <c r="B63" s="297" t="s">
        <v>434</v>
      </c>
      <c r="C63" s="296">
        <v>19</v>
      </c>
      <c r="D63" s="296">
        <v>6</v>
      </c>
      <c r="E63" s="296">
        <f t="shared" si="4"/>
        <v>13</v>
      </c>
      <c r="F63" s="296">
        <v>0</v>
      </c>
      <c r="G63" s="298">
        <v>18</v>
      </c>
      <c r="H63" s="296">
        <v>0</v>
      </c>
      <c r="I63" s="300">
        <f t="shared" si="3"/>
        <v>-18</v>
      </c>
    </row>
    <row r="64" spans="2:9" x14ac:dyDescent="0.3">
      <c r="B64" s="259" t="s">
        <v>433</v>
      </c>
      <c r="C64" s="257"/>
      <c r="D64" s="257"/>
      <c r="E64" s="257">
        <v>0</v>
      </c>
      <c r="F64" s="257">
        <v>0</v>
      </c>
      <c r="G64" s="298">
        <v>2</v>
      </c>
      <c r="H64" s="257">
        <v>0</v>
      </c>
      <c r="I64" s="305">
        <f t="shared" si="3"/>
        <v>-2</v>
      </c>
    </row>
    <row r="65" spans="2:9" x14ac:dyDescent="0.3">
      <c r="B65" s="232" t="s">
        <v>379</v>
      </c>
      <c r="C65" s="231"/>
      <c r="D65" s="231">
        <v>28</v>
      </c>
      <c r="E65" s="231">
        <v>0</v>
      </c>
      <c r="F65" s="231">
        <v>8</v>
      </c>
      <c r="G65" s="298">
        <f t="shared" ref="G65:G66" si="5">+E65+F65</f>
        <v>8</v>
      </c>
      <c r="H65" s="231">
        <v>0</v>
      </c>
      <c r="I65" s="299">
        <f t="shared" si="3"/>
        <v>-8</v>
      </c>
    </row>
    <row r="66" spans="2:9" x14ac:dyDescent="0.3">
      <c r="B66" s="259" t="s">
        <v>376</v>
      </c>
      <c r="C66" s="257"/>
      <c r="D66" s="257">
        <v>6</v>
      </c>
      <c r="E66" s="257">
        <v>0</v>
      </c>
      <c r="F66" s="257">
        <v>10</v>
      </c>
      <c r="G66" s="298">
        <f t="shared" si="5"/>
        <v>10</v>
      </c>
      <c r="H66" s="257">
        <v>10</v>
      </c>
      <c r="I66" s="291">
        <f t="shared" si="3"/>
        <v>0</v>
      </c>
    </row>
    <row r="67" spans="2:9" s="170" customFormat="1" ht="15" thickBot="1" x14ac:dyDescent="0.35">
      <c r="B67" s="308" t="s">
        <v>437</v>
      </c>
      <c r="C67" s="306"/>
      <c r="D67" s="306"/>
      <c r="E67" s="306">
        <v>0</v>
      </c>
      <c r="F67" s="306">
        <v>0</v>
      </c>
      <c r="G67" s="306">
        <v>0</v>
      </c>
      <c r="H67" s="306">
        <v>0</v>
      </c>
      <c r="I67" s="307">
        <v>2</v>
      </c>
    </row>
  </sheetData>
  <mergeCells count="26">
    <mergeCell ref="B28:C28"/>
    <mergeCell ref="D28:E28"/>
    <mergeCell ref="B26:F26"/>
    <mergeCell ref="B27:F27"/>
    <mergeCell ref="B1:F1"/>
    <mergeCell ref="B2:F2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9:I39"/>
    <mergeCell ref="B40:I40"/>
    <mergeCell ref="B35:C35"/>
    <mergeCell ref="D35:E35"/>
    <mergeCell ref="B36:C36"/>
    <mergeCell ref="D36:E36"/>
    <mergeCell ref="B37:C37"/>
    <mergeCell ref="D37:E37"/>
  </mergeCells>
  <pageMargins left="1.4960629921259843" right="0.11811023622047245" top="0.19685039370078741" bottom="0.19685039370078741" header="0.31496062992125984" footer="0.31496062992125984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0"/>
  <sheetViews>
    <sheetView topLeftCell="A2" zoomScale="110" zoomScaleNormal="110" workbookViewId="0">
      <pane xSplit="1" topLeftCell="D1" activePane="topRight" state="frozen"/>
      <selection pane="topRight" activeCell="I7" sqref="I7"/>
    </sheetView>
  </sheetViews>
  <sheetFormatPr baseColWidth="10" defaultRowHeight="14.4" x14ac:dyDescent="0.3"/>
  <cols>
    <col min="1" max="1" width="21.33203125" style="2" customWidth="1"/>
    <col min="2" max="3" width="16.77734375" style="1" customWidth="1"/>
    <col min="4" max="5" width="16.77734375" customWidth="1"/>
    <col min="6" max="6" width="16.77734375" style="1" customWidth="1"/>
    <col min="7" max="12" width="16.77734375" customWidth="1"/>
    <col min="13" max="13" width="1.6640625" customWidth="1"/>
  </cols>
  <sheetData>
    <row r="1" spans="1:12" ht="15" thickBot="1" x14ac:dyDescent="0.35"/>
    <row r="2" spans="1:12" ht="39.6" customHeight="1" x14ac:dyDescent="0.3">
      <c r="A2" s="454" t="s">
        <v>456</v>
      </c>
      <c r="B2" s="455"/>
      <c r="C2" s="455"/>
      <c r="D2" s="339"/>
      <c r="E2" s="339"/>
      <c r="F2" s="339"/>
      <c r="G2" s="339"/>
      <c r="H2" s="339"/>
      <c r="I2" s="339"/>
      <c r="J2" s="339"/>
      <c r="K2" s="339"/>
      <c r="L2" s="340"/>
    </row>
    <row r="3" spans="1:12" ht="15" thickBot="1" x14ac:dyDescent="0.35">
      <c r="A3" s="471" t="s">
        <v>339</v>
      </c>
      <c r="B3" s="472"/>
      <c r="C3" s="472"/>
      <c r="D3" s="341"/>
      <c r="E3" s="341"/>
      <c r="F3" s="341"/>
      <c r="G3" s="341"/>
      <c r="H3" s="341"/>
      <c r="I3" s="341"/>
      <c r="J3" s="341"/>
      <c r="K3" s="341"/>
      <c r="L3" s="342"/>
    </row>
    <row r="4" spans="1:12" ht="22.8" customHeight="1" x14ac:dyDescent="0.3">
      <c r="A4" s="318" t="s">
        <v>0</v>
      </c>
      <c r="B4" s="318" t="s">
        <v>440</v>
      </c>
      <c r="C4" s="318" t="s">
        <v>441</v>
      </c>
      <c r="D4" s="318" t="s">
        <v>439</v>
      </c>
      <c r="E4" s="318" t="s">
        <v>442</v>
      </c>
      <c r="F4" s="318" t="s">
        <v>444</v>
      </c>
      <c r="G4" s="318" t="s">
        <v>443</v>
      </c>
      <c r="H4" s="318" t="s">
        <v>445</v>
      </c>
      <c r="I4" s="318" t="s">
        <v>446</v>
      </c>
      <c r="J4" s="323" t="s">
        <v>451</v>
      </c>
      <c r="K4" s="318" t="s">
        <v>459</v>
      </c>
      <c r="L4" s="318" t="s">
        <v>460</v>
      </c>
    </row>
    <row r="5" spans="1:12" x14ac:dyDescent="0.3">
      <c r="A5" s="321" t="s">
        <v>73</v>
      </c>
      <c r="B5" s="321">
        <v>12</v>
      </c>
      <c r="C5" s="322">
        <v>12</v>
      </c>
      <c r="D5" s="322">
        <f>+C5-B5</f>
        <v>0</v>
      </c>
      <c r="E5" s="321" t="s">
        <v>352</v>
      </c>
      <c r="F5" s="322">
        <v>12</v>
      </c>
      <c r="G5" s="322">
        <v>0</v>
      </c>
      <c r="H5" s="322">
        <v>16</v>
      </c>
      <c r="I5" s="322">
        <f>+F5-G5-H5</f>
        <v>-4</v>
      </c>
      <c r="J5" s="329">
        <v>-4</v>
      </c>
      <c r="K5" s="322">
        <v>4</v>
      </c>
      <c r="L5" s="322">
        <f>+J5+K5</f>
        <v>0</v>
      </c>
    </row>
    <row r="6" spans="1:12" x14ac:dyDescent="0.3">
      <c r="A6" s="331" t="s">
        <v>262</v>
      </c>
      <c r="B6" s="331">
        <v>310</v>
      </c>
      <c r="C6" s="332">
        <v>311</v>
      </c>
      <c r="D6" s="332">
        <f t="shared" ref="D6:D33" si="0">+C6-B6</f>
        <v>1</v>
      </c>
      <c r="E6" s="331" t="s">
        <v>353</v>
      </c>
      <c r="F6" s="332">
        <v>311</v>
      </c>
      <c r="G6" s="332">
        <v>120</v>
      </c>
      <c r="H6" s="332">
        <v>590</v>
      </c>
      <c r="I6" s="332">
        <f>+F6-G6-H6</f>
        <v>-399</v>
      </c>
      <c r="J6" s="333">
        <v>-399</v>
      </c>
      <c r="K6" s="332">
        <v>376</v>
      </c>
      <c r="L6" s="326">
        <f t="shared" ref="L6:L40" si="1">+J6+K6</f>
        <v>-23</v>
      </c>
    </row>
    <row r="7" spans="1:12" x14ac:dyDescent="0.3">
      <c r="A7" s="282" t="s">
        <v>334</v>
      </c>
      <c r="B7" s="282">
        <v>8</v>
      </c>
      <c r="C7" s="311">
        <v>8</v>
      </c>
      <c r="D7" s="311">
        <f t="shared" si="0"/>
        <v>0</v>
      </c>
      <c r="E7" s="282" t="s">
        <v>354</v>
      </c>
      <c r="F7" s="311">
        <v>8</v>
      </c>
      <c r="G7" s="311">
        <v>0</v>
      </c>
      <c r="H7" s="311">
        <v>8</v>
      </c>
      <c r="I7" s="311">
        <f t="shared" ref="I7:I36" si="2">+F7-G7-H7</f>
        <v>0</v>
      </c>
      <c r="J7" s="324">
        <v>0</v>
      </c>
      <c r="K7" s="311">
        <v>0</v>
      </c>
      <c r="L7" s="311">
        <f t="shared" si="1"/>
        <v>0</v>
      </c>
    </row>
    <row r="8" spans="1:12" x14ac:dyDescent="0.3">
      <c r="A8" s="312" t="s">
        <v>333</v>
      </c>
      <c r="B8" s="312">
        <v>88</v>
      </c>
      <c r="C8" s="313">
        <v>88</v>
      </c>
      <c r="D8" s="313">
        <f t="shared" si="0"/>
        <v>0</v>
      </c>
      <c r="E8" s="312" t="s">
        <v>352</v>
      </c>
      <c r="F8" s="313">
        <v>88</v>
      </c>
      <c r="G8" s="313">
        <v>0</v>
      </c>
      <c r="H8" s="313">
        <v>88</v>
      </c>
      <c r="I8" s="313">
        <f t="shared" si="2"/>
        <v>0</v>
      </c>
      <c r="J8" s="324">
        <v>0</v>
      </c>
      <c r="K8" s="313">
        <v>0</v>
      </c>
      <c r="L8" s="313">
        <f t="shared" si="1"/>
        <v>0</v>
      </c>
    </row>
    <row r="9" spans="1:12" x14ac:dyDescent="0.3">
      <c r="A9" s="282" t="s">
        <v>232</v>
      </c>
      <c r="B9" s="282">
        <v>2</v>
      </c>
      <c r="C9" s="311">
        <v>2</v>
      </c>
      <c r="D9" s="311">
        <f t="shared" si="0"/>
        <v>0</v>
      </c>
      <c r="E9" s="282" t="s">
        <v>352</v>
      </c>
      <c r="F9" s="311">
        <v>2</v>
      </c>
      <c r="G9" s="311">
        <v>0</v>
      </c>
      <c r="H9" s="311">
        <v>2</v>
      </c>
      <c r="I9" s="311">
        <f t="shared" si="2"/>
        <v>0</v>
      </c>
      <c r="J9" s="324">
        <v>0</v>
      </c>
      <c r="K9" s="311">
        <v>0</v>
      </c>
      <c r="L9" s="311">
        <f t="shared" si="1"/>
        <v>0</v>
      </c>
    </row>
    <row r="10" spans="1:12" x14ac:dyDescent="0.3">
      <c r="A10" s="312" t="s">
        <v>16</v>
      </c>
      <c r="B10" s="312">
        <v>4</v>
      </c>
      <c r="C10" s="313">
        <v>4</v>
      </c>
      <c r="D10" s="313">
        <f t="shared" si="0"/>
        <v>0</v>
      </c>
      <c r="E10" s="312" t="s">
        <v>352</v>
      </c>
      <c r="F10" s="313">
        <v>4</v>
      </c>
      <c r="G10" s="313">
        <v>2</v>
      </c>
      <c r="H10" s="313">
        <v>2</v>
      </c>
      <c r="I10" s="313">
        <f t="shared" si="2"/>
        <v>0</v>
      </c>
      <c r="J10" s="324">
        <v>0</v>
      </c>
      <c r="K10" s="313">
        <v>0</v>
      </c>
      <c r="L10" s="313">
        <f t="shared" si="1"/>
        <v>0</v>
      </c>
    </row>
    <row r="11" spans="1:12" x14ac:dyDescent="0.3">
      <c r="A11" s="282" t="s">
        <v>110</v>
      </c>
      <c r="B11" s="282">
        <v>25</v>
      </c>
      <c r="C11" s="311">
        <v>25</v>
      </c>
      <c r="D11" s="311">
        <f t="shared" si="0"/>
        <v>0</v>
      </c>
      <c r="E11" s="282" t="s">
        <v>352</v>
      </c>
      <c r="F11" s="311">
        <v>25</v>
      </c>
      <c r="G11" s="311">
        <v>9</v>
      </c>
      <c r="H11" s="311">
        <v>16</v>
      </c>
      <c r="I11" s="311">
        <f t="shared" si="2"/>
        <v>0</v>
      </c>
      <c r="J11" s="324">
        <v>0</v>
      </c>
      <c r="K11" s="311">
        <v>0</v>
      </c>
      <c r="L11" s="311">
        <f t="shared" si="1"/>
        <v>0</v>
      </c>
    </row>
    <row r="12" spans="1:12" x14ac:dyDescent="0.3">
      <c r="A12" s="331" t="s">
        <v>228</v>
      </c>
      <c r="B12" s="331">
        <v>410</v>
      </c>
      <c r="C12" s="332">
        <v>500</v>
      </c>
      <c r="D12" s="332">
        <f t="shared" si="0"/>
        <v>90</v>
      </c>
      <c r="E12" s="331" t="s">
        <v>353</v>
      </c>
      <c r="F12" s="332">
        <v>500</v>
      </c>
      <c r="G12" s="332">
        <v>150</v>
      </c>
      <c r="H12" s="332">
        <v>360</v>
      </c>
      <c r="I12" s="332">
        <f t="shared" si="2"/>
        <v>-10</v>
      </c>
      <c r="J12" s="334">
        <v>-10</v>
      </c>
      <c r="K12" s="332">
        <v>12</v>
      </c>
      <c r="L12" s="327">
        <f t="shared" si="1"/>
        <v>2</v>
      </c>
    </row>
    <row r="13" spans="1:12" x14ac:dyDescent="0.3">
      <c r="A13" s="282" t="s">
        <v>229</v>
      </c>
      <c r="B13" s="282">
        <v>11</v>
      </c>
      <c r="C13" s="311">
        <v>11</v>
      </c>
      <c r="D13" s="311">
        <f t="shared" si="0"/>
        <v>0</v>
      </c>
      <c r="E13" s="282" t="s">
        <v>352</v>
      </c>
      <c r="F13" s="311">
        <v>11</v>
      </c>
      <c r="G13" s="311">
        <v>0</v>
      </c>
      <c r="H13" s="311">
        <v>11</v>
      </c>
      <c r="I13" s="311">
        <f t="shared" si="2"/>
        <v>0</v>
      </c>
      <c r="J13" s="324">
        <v>0</v>
      </c>
      <c r="K13" s="311">
        <v>0</v>
      </c>
      <c r="L13" s="311">
        <f t="shared" si="1"/>
        <v>0</v>
      </c>
    </row>
    <row r="14" spans="1:12" x14ac:dyDescent="0.3">
      <c r="A14" s="335" t="s">
        <v>144</v>
      </c>
      <c r="B14" s="335">
        <v>32</v>
      </c>
      <c r="C14" s="334">
        <v>30</v>
      </c>
      <c r="D14" s="336">
        <f t="shared" si="0"/>
        <v>-2</v>
      </c>
      <c r="E14" s="337" t="s">
        <v>355</v>
      </c>
      <c r="F14" s="334">
        <v>30</v>
      </c>
      <c r="G14" s="334">
        <v>1</v>
      </c>
      <c r="H14" s="334">
        <v>31</v>
      </c>
      <c r="I14" s="334">
        <f t="shared" si="2"/>
        <v>-2</v>
      </c>
      <c r="J14" s="333">
        <v>-2</v>
      </c>
      <c r="K14" s="334">
        <v>0</v>
      </c>
      <c r="L14" s="326">
        <f t="shared" si="1"/>
        <v>-2</v>
      </c>
    </row>
    <row r="15" spans="1:12" x14ac:dyDescent="0.3">
      <c r="A15" s="335" t="s">
        <v>105</v>
      </c>
      <c r="B15" s="335">
        <v>65</v>
      </c>
      <c r="C15" s="334">
        <v>67</v>
      </c>
      <c r="D15" s="334">
        <f t="shared" si="0"/>
        <v>2</v>
      </c>
      <c r="E15" s="335" t="s">
        <v>353</v>
      </c>
      <c r="F15" s="334">
        <v>67</v>
      </c>
      <c r="G15" s="334">
        <v>0</v>
      </c>
      <c r="H15" s="334">
        <v>65</v>
      </c>
      <c r="I15" s="334">
        <f t="shared" si="2"/>
        <v>2</v>
      </c>
      <c r="J15" s="334">
        <v>2</v>
      </c>
      <c r="K15" s="334">
        <v>0</v>
      </c>
      <c r="L15" s="327">
        <f t="shared" si="1"/>
        <v>2</v>
      </c>
    </row>
    <row r="16" spans="1:12" x14ac:dyDescent="0.3">
      <c r="A16" s="335" t="s">
        <v>106</v>
      </c>
      <c r="B16" s="335">
        <v>59</v>
      </c>
      <c r="C16" s="334">
        <v>60</v>
      </c>
      <c r="D16" s="334">
        <f t="shared" si="0"/>
        <v>1</v>
      </c>
      <c r="E16" s="335" t="s">
        <v>353</v>
      </c>
      <c r="F16" s="334">
        <v>60</v>
      </c>
      <c r="G16" s="334">
        <v>26</v>
      </c>
      <c r="H16" s="334">
        <v>33</v>
      </c>
      <c r="I16" s="334">
        <f t="shared" si="2"/>
        <v>1</v>
      </c>
      <c r="J16" s="334">
        <v>1</v>
      </c>
      <c r="K16" s="334">
        <v>0</v>
      </c>
      <c r="L16" s="327">
        <f t="shared" si="1"/>
        <v>1</v>
      </c>
    </row>
    <row r="17" spans="1:12" x14ac:dyDescent="0.3">
      <c r="A17" s="321" t="s">
        <v>67</v>
      </c>
      <c r="B17" s="321">
        <v>36</v>
      </c>
      <c r="C17" s="322">
        <v>36</v>
      </c>
      <c r="D17" s="322">
        <f t="shared" si="0"/>
        <v>0</v>
      </c>
      <c r="E17" s="321" t="s">
        <v>352</v>
      </c>
      <c r="F17" s="322">
        <v>36</v>
      </c>
      <c r="G17" s="322">
        <v>36</v>
      </c>
      <c r="H17" s="322">
        <v>42</v>
      </c>
      <c r="I17" s="322">
        <f>+F17-G17-H17</f>
        <v>-42</v>
      </c>
      <c r="J17" s="329">
        <v>-42</v>
      </c>
      <c r="K17" s="322">
        <v>42</v>
      </c>
      <c r="L17" s="322">
        <f t="shared" si="1"/>
        <v>0</v>
      </c>
    </row>
    <row r="18" spans="1:12" x14ac:dyDescent="0.3">
      <c r="A18" s="312" t="s">
        <v>102</v>
      </c>
      <c r="B18" s="312">
        <v>33</v>
      </c>
      <c r="C18" s="313">
        <v>33</v>
      </c>
      <c r="D18" s="313">
        <f t="shared" si="0"/>
        <v>0</v>
      </c>
      <c r="E18" s="312" t="s">
        <v>352</v>
      </c>
      <c r="F18" s="313">
        <v>33</v>
      </c>
      <c r="G18" s="313">
        <v>0</v>
      </c>
      <c r="H18" s="313">
        <v>33</v>
      </c>
      <c r="I18" s="313">
        <f t="shared" si="2"/>
        <v>0</v>
      </c>
      <c r="J18" s="324">
        <v>0</v>
      </c>
      <c r="K18" s="313">
        <v>0</v>
      </c>
      <c r="L18" s="313">
        <f t="shared" si="1"/>
        <v>0</v>
      </c>
    </row>
    <row r="19" spans="1:12" x14ac:dyDescent="0.3">
      <c r="A19" s="335" t="s">
        <v>234</v>
      </c>
      <c r="B19" s="335">
        <v>35</v>
      </c>
      <c r="C19" s="334">
        <v>35</v>
      </c>
      <c r="D19" s="334">
        <f t="shared" si="0"/>
        <v>0</v>
      </c>
      <c r="E19" s="335" t="s">
        <v>352</v>
      </c>
      <c r="F19" s="334">
        <v>35</v>
      </c>
      <c r="G19" s="334">
        <v>49</v>
      </c>
      <c r="H19" s="334">
        <v>0</v>
      </c>
      <c r="I19" s="334">
        <f t="shared" si="2"/>
        <v>-14</v>
      </c>
      <c r="J19" s="333">
        <v>-14</v>
      </c>
      <c r="K19" s="334">
        <v>0</v>
      </c>
      <c r="L19" s="325">
        <f t="shared" si="1"/>
        <v>-14</v>
      </c>
    </row>
    <row r="20" spans="1:12" x14ac:dyDescent="0.3">
      <c r="A20" s="319" t="s">
        <v>10</v>
      </c>
      <c r="B20" s="319">
        <v>130</v>
      </c>
      <c r="C20" s="320">
        <v>136</v>
      </c>
      <c r="D20" s="320">
        <f t="shared" si="0"/>
        <v>6</v>
      </c>
      <c r="E20" s="319" t="s">
        <v>353</v>
      </c>
      <c r="F20" s="320">
        <v>136</v>
      </c>
      <c r="G20" s="320">
        <v>70</v>
      </c>
      <c r="H20" s="320">
        <v>110</v>
      </c>
      <c r="I20" s="320">
        <f t="shared" si="2"/>
        <v>-44</v>
      </c>
      <c r="J20" s="329">
        <v>-44</v>
      </c>
      <c r="K20" s="320">
        <v>44</v>
      </c>
      <c r="L20" s="320">
        <f t="shared" si="1"/>
        <v>0</v>
      </c>
    </row>
    <row r="21" spans="1:12" x14ac:dyDescent="0.3">
      <c r="A21" s="331" t="s">
        <v>30</v>
      </c>
      <c r="B21" s="331">
        <v>130</v>
      </c>
      <c r="C21" s="332">
        <v>136</v>
      </c>
      <c r="D21" s="332">
        <f t="shared" si="0"/>
        <v>6</v>
      </c>
      <c r="E21" s="331" t="s">
        <v>353</v>
      </c>
      <c r="F21" s="332">
        <v>136</v>
      </c>
      <c r="G21" s="332">
        <v>70</v>
      </c>
      <c r="H21" s="332">
        <v>110</v>
      </c>
      <c r="I21" s="332">
        <f t="shared" si="2"/>
        <v>-44</v>
      </c>
      <c r="J21" s="333">
        <v>-44</v>
      </c>
      <c r="K21" s="332">
        <v>42</v>
      </c>
      <c r="L21" s="325">
        <f t="shared" si="1"/>
        <v>-2</v>
      </c>
    </row>
    <row r="22" spans="1:12" x14ac:dyDescent="0.3">
      <c r="A22" s="312" t="s">
        <v>457</v>
      </c>
      <c r="B22" s="312">
        <v>33</v>
      </c>
      <c r="C22" s="313">
        <v>28</v>
      </c>
      <c r="D22" s="314">
        <f t="shared" si="0"/>
        <v>-5</v>
      </c>
      <c r="E22" s="315" t="s">
        <v>355</v>
      </c>
      <c r="F22" s="313">
        <v>28</v>
      </c>
      <c r="G22" s="313">
        <v>15</v>
      </c>
      <c r="H22" s="313">
        <v>18</v>
      </c>
      <c r="I22" s="313">
        <f t="shared" si="2"/>
        <v>-5</v>
      </c>
      <c r="J22" s="329">
        <v>-5</v>
      </c>
      <c r="K22" s="313">
        <v>5</v>
      </c>
      <c r="L22" s="313">
        <f t="shared" si="1"/>
        <v>0</v>
      </c>
    </row>
    <row r="23" spans="1:12" x14ac:dyDescent="0.3">
      <c r="A23" s="331" t="s">
        <v>227</v>
      </c>
      <c r="B23" s="331">
        <v>825</v>
      </c>
      <c r="C23" s="332">
        <v>825</v>
      </c>
      <c r="D23" s="332">
        <f t="shared" si="0"/>
        <v>0</v>
      </c>
      <c r="E23" s="331" t="s">
        <v>352</v>
      </c>
      <c r="F23" s="332">
        <v>825</v>
      </c>
      <c r="G23" s="332">
        <v>290</v>
      </c>
      <c r="H23" s="332">
        <v>785</v>
      </c>
      <c r="I23" s="332">
        <f t="shared" si="2"/>
        <v>-250</v>
      </c>
      <c r="J23" s="333">
        <v>-250</v>
      </c>
      <c r="K23" s="332">
        <v>267</v>
      </c>
      <c r="L23" s="328">
        <f t="shared" si="1"/>
        <v>17</v>
      </c>
    </row>
    <row r="24" spans="1:12" s="43" customFormat="1" x14ac:dyDescent="0.25">
      <c r="A24" s="335" t="s">
        <v>101</v>
      </c>
      <c r="B24" s="335">
        <v>40</v>
      </c>
      <c r="C24" s="334">
        <v>38</v>
      </c>
      <c r="D24" s="336">
        <f t="shared" si="0"/>
        <v>-2</v>
      </c>
      <c r="E24" s="337" t="s">
        <v>355</v>
      </c>
      <c r="F24" s="334">
        <v>38</v>
      </c>
      <c r="G24" s="334">
        <v>0</v>
      </c>
      <c r="H24" s="334">
        <v>40</v>
      </c>
      <c r="I24" s="334">
        <f t="shared" si="2"/>
        <v>-2</v>
      </c>
      <c r="J24" s="333">
        <v>-2</v>
      </c>
      <c r="K24" s="334">
        <v>0</v>
      </c>
      <c r="L24" s="326">
        <f t="shared" si="1"/>
        <v>-2</v>
      </c>
    </row>
    <row r="25" spans="1:12" s="43" customFormat="1" x14ac:dyDescent="0.25">
      <c r="A25" s="282" t="s">
        <v>107</v>
      </c>
      <c r="B25" s="282">
        <v>85</v>
      </c>
      <c r="C25" s="311">
        <v>85</v>
      </c>
      <c r="D25" s="311">
        <f t="shared" si="0"/>
        <v>0</v>
      </c>
      <c r="E25" s="282" t="s">
        <v>352</v>
      </c>
      <c r="F25" s="311">
        <v>85</v>
      </c>
      <c r="G25" s="311">
        <v>12</v>
      </c>
      <c r="H25" s="311">
        <v>73</v>
      </c>
      <c r="I25" s="311">
        <f t="shared" si="2"/>
        <v>0</v>
      </c>
      <c r="J25" s="324">
        <v>0</v>
      </c>
      <c r="K25" s="311">
        <v>0</v>
      </c>
      <c r="L25" s="311">
        <f t="shared" si="1"/>
        <v>0</v>
      </c>
    </row>
    <row r="26" spans="1:12" s="43" customFormat="1" x14ac:dyDescent="0.25">
      <c r="A26" s="282" t="s">
        <v>68</v>
      </c>
      <c r="B26" s="282">
        <v>0</v>
      </c>
      <c r="C26" s="311">
        <v>0</v>
      </c>
      <c r="D26" s="311">
        <f t="shared" si="0"/>
        <v>0</v>
      </c>
      <c r="E26" s="282" t="s">
        <v>352</v>
      </c>
      <c r="F26" s="311">
        <v>0</v>
      </c>
      <c r="G26" s="311">
        <v>0</v>
      </c>
      <c r="H26" s="311">
        <v>0</v>
      </c>
      <c r="I26" s="311">
        <f t="shared" si="2"/>
        <v>0</v>
      </c>
      <c r="J26" s="324">
        <v>0</v>
      </c>
      <c r="K26" s="311">
        <v>0</v>
      </c>
      <c r="L26" s="311">
        <f t="shared" si="1"/>
        <v>0</v>
      </c>
    </row>
    <row r="27" spans="1:12" s="43" customFormat="1" x14ac:dyDescent="0.25">
      <c r="A27" s="312" t="s">
        <v>328</v>
      </c>
      <c r="B27" s="312">
        <v>0</v>
      </c>
      <c r="C27" s="313">
        <v>0</v>
      </c>
      <c r="D27" s="316">
        <f t="shared" si="0"/>
        <v>0</v>
      </c>
      <c r="E27" s="315" t="s">
        <v>352</v>
      </c>
      <c r="F27" s="313">
        <v>0</v>
      </c>
      <c r="G27" s="313">
        <v>0</v>
      </c>
      <c r="H27" s="313">
        <v>0</v>
      </c>
      <c r="I27" s="313">
        <f t="shared" si="2"/>
        <v>0</v>
      </c>
      <c r="J27" s="324">
        <v>0</v>
      </c>
      <c r="K27" s="313">
        <v>0</v>
      </c>
      <c r="L27" s="313">
        <f t="shared" si="1"/>
        <v>0</v>
      </c>
    </row>
    <row r="28" spans="1:12" s="43" customFormat="1" x14ac:dyDescent="0.25">
      <c r="A28" s="282" t="s">
        <v>329</v>
      </c>
      <c r="B28" s="282">
        <v>28</v>
      </c>
      <c r="C28" s="311">
        <v>28</v>
      </c>
      <c r="D28" s="317">
        <f t="shared" si="0"/>
        <v>0</v>
      </c>
      <c r="E28" s="282" t="s">
        <v>352</v>
      </c>
      <c r="F28" s="311">
        <v>28</v>
      </c>
      <c r="G28" s="311">
        <v>28</v>
      </c>
      <c r="H28" s="311">
        <v>0</v>
      </c>
      <c r="I28" s="311">
        <f t="shared" si="2"/>
        <v>0</v>
      </c>
      <c r="J28" s="324">
        <v>0</v>
      </c>
      <c r="K28" s="311">
        <v>0</v>
      </c>
      <c r="L28" s="311">
        <f t="shared" si="1"/>
        <v>0</v>
      </c>
    </row>
    <row r="29" spans="1:12" s="43" customFormat="1" x14ac:dyDescent="0.25">
      <c r="A29" s="335" t="s">
        <v>447</v>
      </c>
      <c r="B29" s="335">
        <v>19</v>
      </c>
      <c r="C29" s="334">
        <v>19</v>
      </c>
      <c r="D29" s="338">
        <f t="shared" si="0"/>
        <v>0</v>
      </c>
      <c r="E29" s="337" t="s">
        <v>352</v>
      </c>
      <c r="F29" s="334">
        <v>19</v>
      </c>
      <c r="G29" s="334">
        <v>0</v>
      </c>
      <c r="H29" s="334">
        <v>0</v>
      </c>
      <c r="I29" s="334">
        <f t="shared" si="2"/>
        <v>19</v>
      </c>
      <c r="J29" s="333">
        <v>-19</v>
      </c>
      <c r="K29" s="334" t="s">
        <v>461</v>
      </c>
      <c r="L29" s="313" t="s">
        <v>461</v>
      </c>
    </row>
    <row r="30" spans="1:12" s="43" customFormat="1" x14ac:dyDescent="0.25">
      <c r="A30" s="335" t="s">
        <v>448</v>
      </c>
      <c r="B30" s="335">
        <v>0</v>
      </c>
      <c r="C30" s="334">
        <v>0</v>
      </c>
      <c r="D30" s="338">
        <v>0</v>
      </c>
      <c r="E30" s="335">
        <v>0</v>
      </c>
      <c r="F30" s="334">
        <v>0</v>
      </c>
      <c r="G30" s="334">
        <v>6</v>
      </c>
      <c r="H30" s="334">
        <v>18</v>
      </c>
      <c r="I30" s="334">
        <f t="shared" si="2"/>
        <v>-24</v>
      </c>
      <c r="J30" s="333">
        <v>-24</v>
      </c>
      <c r="K30" s="334" t="s">
        <v>461</v>
      </c>
      <c r="L30" s="311" t="s">
        <v>461</v>
      </c>
    </row>
    <row r="31" spans="1:12" s="43" customFormat="1" x14ac:dyDescent="0.25">
      <c r="A31" s="312" t="s">
        <v>449</v>
      </c>
      <c r="B31" s="312">
        <v>5</v>
      </c>
      <c r="C31" s="313">
        <v>0</v>
      </c>
      <c r="D31" s="316">
        <f t="shared" si="0"/>
        <v>-5</v>
      </c>
      <c r="E31" s="315" t="s">
        <v>357</v>
      </c>
      <c r="F31" s="313">
        <v>0</v>
      </c>
      <c r="G31" s="313">
        <v>0</v>
      </c>
      <c r="H31" s="313">
        <v>0</v>
      </c>
      <c r="I31" s="313">
        <f t="shared" si="2"/>
        <v>0</v>
      </c>
      <c r="J31" s="324">
        <v>0</v>
      </c>
      <c r="K31" s="313">
        <v>0</v>
      </c>
      <c r="L31" s="313">
        <f t="shared" si="1"/>
        <v>0</v>
      </c>
    </row>
    <row r="32" spans="1:12" s="43" customFormat="1" x14ac:dyDescent="0.25">
      <c r="A32" s="335" t="s">
        <v>450</v>
      </c>
      <c r="B32" s="335">
        <v>0</v>
      </c>
      <c r="C32" s="334">
        <v>0</v>
      </c>
      <c r="D32" s="338">
        <v>0</v>
      </c>
      <c r="E32" s="335">
        <v>0</v>
      </c>
      <c r="F32" s="334">
        <v>0</v>
      </c>
      <c r="G32" s="334">
        <v>4</v>
      </c>
      <c r="H32" s="334">
        <v>0</v>
      </c>
      <c r="I32" s="334">
        <f t="shared" si="2"/>
        <v>-4</v>
      </c>
      <c r="J32" s="333">
        <v>-4</v>
      </c>
      <c r="K32" s="334">
        <v>0</v>
      </c>
      <c r="L32" s="325">
        <f t="shared" si="1"/>
        <v>-4</v>
      </c>
    </row>
    <row r="33" spans="1:14" s="43" customFormat="1" x14ac:dyDescent="0.25">
      <c r="A33" s="335" t="s">
        <v>358</v>
      </c>
      <c r="B33" s="335">
        <v>1</v>
      </c>
      <c r="C33" s="334">
        <v>1</v>
      </c>
      <c r="D33" s="338">
        <f t="shared" si="0"/>
        <v>0</v>
      </c>
      <c r="E33" s="337" t="s">
        <v>352</v>
      </c>
      <c r="F33" s="334">
        <v>1</v>
      </c>
      <c r="G33" s="334">
        <v>0</v>
      </c>
      <c r="H33" s="334">
        <v>0</v>
      </c>
      <c r="I33" s="334">
        <f t="shared" si="2"/>
        <v>1</v>
      </c>
      <c r="J33" s="334">
        <v>1</v>
      </c>
      <c r="K33" s="334">
        <v>0</v>
      </c>
      <c r="L33" s="327">
        <f t="shared" si="1"/>
        <v>1</v>
      </c>
    </row>
    <row r="34" spans="1:14" s="43" customFormat="1" x14ac:dyDescent="0.25">
      <c r="A34" s="335" t="s">
        <v>433</v>
      </c>
      <c r="B34" s="335">
        <v>0</v>
      </c>
      <c r="C34" s="334">
        <v>0</v>
      </c>
      <c r="D34" s="338">
        <v>0</v>
      </c>
      <c r="E34" s="335">
        <v>0</v>
      </c>
      <c r="F34" s="334">
        <v>0</v>
      </c>
      <c r="G34" s="334">
        <v>1</v>
      </c>
      <c r="H34" s="334">
        <v>2</v>
      </c>
      <c r="I34" s="334">
        <f t="shared" si="2"/>
        <v>-3</v>
      </c>
      <c r="J34" s="333">
        <v>-3</v>
      </c>
      <c r="K34" s="334" t="s">
        <v>461</v>
      </c>
      <c r="L34" s="311" t="s">
        <v>461</v>
      </c>
    </row>
    <row r="35" spans="1:14" s="43" customFormat="1" x14ac:dyDescent="0.25">
      <c r="A35" s="312" t="s">
        <v>379</v>
      </c>
      <c r="B35" s="312">
        <v>0</v>
      </c>
      <c r="C35" s="313">
        <v>0</v>
      </c>
      <c r="D35" s="316">
        <v>0</v>
      </c>
      <c r="E35" s="315">
        <v>0</v>
      </c>
      <c r="F35" s="313">
        <v>0</v>
      </c>
      <c r="G35" s="313">
        <v>0</v>
      </c>
      <c r="H35" s="313">
        <v>8</v>
      </c>
      <c r="I35" s="313">
        <f t="shared" si="2"/>
        <v>-8</v>
      </c>
      <c r="J35" s="329">
        <v>-8</v>
      </c>
      <c r="K35" s="313">
        <v>8</v>
      </c>
      <c r="L35" s="313">
        <f t="shared" si="1"/>
        <v>0</v>
      </c>
    </row>
    <row r="36" spans="1:14" s="43" customFormat="1" x14ac:dyDescent="0.25">
      <c r="A36" s="335" t="s">
        <v>376</v>
      </c>
      <c r="B36" s="335">
        <v>0</v>
      </c>
      <c r="C36" s="334">
        <v>0</v>
      </c>
      <c r="D36" s="338">
        <v>0</v>
      </c>
      <c r="E36" s="335">
        <v>0</v>
      </c>
      <c r="F36" s="334">
        <v>0</v>
      </c>
      <c r="G36" s="334">
        <v>0</v>
      </c>
      <c r="H36" s="334">
        <v>10</v>
      </c>
      <c r="I36" s="334">
        <f t="shared" si="2"/>
        <v>-10</v>
      </c>
      <c r="J36" s="333">
        <v>-10</v>
      </c>
      <c r="K36" s="334">
        <v>8</v>
      </c>
      <c r="L36" s="325">
        <f t="shared" si="1"/>
        <v>-2</v>
      </c>
      <c r="N36" s="43" t="s">
        <v>462</v>
      </c>
    </row>
    <row r="37" spans="1:14" s="43" customFormat="1" x14ac:dyDescent="0.25">
      <c r="A37" s="312" t="s">
        <v>452</v>
      </c>
      <c r="B37" s="312">
        <v>0</v>
      </c>
      <c r="C37" s="313">
        <v>0</v>
      </c>
      <c r="D37" s="316">
        <v>0</v>
      </c>
      <c r="E37" s="315" t="s">
        <v>352</v>
      </c>
      <c r="F37" s="313">
        <v>0</v>
      </c>
      <c r="G37" s="313">
        <v>0</v>
      </c>
      <c r="H37" s="313">
        <v>0</v>
      </c>
      <c r="I37" s="313">
        <f t="shared" ref="I37:I39" si="3">+F37-G37-H37</f>
        <v>0</v>
      </c>
      <c r="J37" s="329">
        <v>-220</v>
      </c>
      <c r="K37" s="313">
        <v>0</v>
      </c>
      <c r="L37" s="326">
        <f t="shared" si="1"/>
        <v>-220</v>
      </c>
    </row>
    <row r="38" spans="1:14" s="43" customFormat="1" x14ac:dyDescent="0.25">
      <c r="A38" s="282" t="s">
        <v>453</v>
      </c>
      <c r="B38" s="282">
        <v>0</v>
      </c>
      <c r="C38" s="311">
        <v>0</v>
      </c>
      <c r="D38" s="317">
        <v>0</v>
      </c>
      <c r="E38" s="282">
        <v>0</v>
      </c>
      <c r="F38" s="311">
        <v>0</v>
      </c>
      <c r="G38" s="311">
        <v>0</v>
      </c>
      <c r="H38" s="311">
        <v>0</v>
      </c>
      <c r="I38" s="311">
        <v>0</v>
      </c>
      <c r="J38" s="329">
        <v>-180</v>
      </c>
      <c r="K38" s="311">
        <v>0</v>
      </c>
      <c r="L38" s="325">
        <f t="shared" si="1"/>
        <v>-180</v>
      </c>
    </row>
    <row r="39" spans="1:14" s="43" customFormat="1" x14ac:dyDescent="0.25">
      <c r="A39" s="312" t="s">
        <v>454</v>
      </c>
      <c r="B39" s="312">
        <v>0</v>
      </c>
      <c r="C39" s="313">
        <v>0</v>
      </c>
      <c r="D39" s="316">
        <v>0</v>
      </c>
      <c r="E39" s="315" t="s">
        <v>352</v>
      </c>
      <c r="F39" s="313">
        <v>0</v>
      </c>
      <c r="G39" s="313">
        <v>0</v>
      </c>
      <c r="H39" s="313">
        <v>0</v>
      </c>
      <c r="I39" s="313">
        <f t="shared" si="3"/>
        <v>0</v>
      </c>
      <c r="J39" s="329">
        <v>-1</v>
      </c>
      <c r="K39" s="313">
        <v>2</v>
      </c>
      <c r="L39" s="326">
        <f t="shared" si="1"/>
        <v>1</v>
      </c>
    </row>
    <row r="40" spans="1:14" s="43" customFormat="1" x14ac:dyDescent="0.25">
      <c r="A40" s="282" t="s">
        <v>455</v>
      </c>
      <c r="B40" s="282">
        <v>0</v>
      </c>
      <c r="C40" s="311">
        <v>0</v>
      </c>
      <c r="D40" s="317">
        <v>0</v>
      </c>
      <c r="E40" s="282">
        <v>0</v>
      </c>
      <c r="F40" s="311">
        <v>0</v>
      </c>
      <c r="G40" s="311">
        <v>0</v>
      </c>
      <c r="H40" s="311">
        <v>0</v>
      </c>
      <c r="I40" s="311">
        <v>0</v>
      </c>
      <c r="J40" s="329">
        <v>-2</v>
      </c>
      <c r="K40" s="311">
        <v>0</v>
      </c>
      <c r="L40" s="325">
        <f t="shared" si="1"/>
        <v>-2</v>
      </c>
    </row>
  </sheetData>
  <mergeCells count="2">
    <mergeCell ref="A2:C2"/>
    <mergeCell ref="A3:C3"/>
  </mergeCells>
  <pageMargins left="0.11811023622047245" right="0.11811023622047245" top="0.19685039370078741" bottom="0.19685039370078741" header="0.31496062992125984" footer="0.31496062992125984"/>
  <pageSetup scale="62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zoomScale="130" zoomScaleNormal="130" workbookViewId="0">
      <selection activeCell="B1" sqref="B1:I1"/>
    </sheetView>
  </sheetViews>
  <sheetFormatPr baseColWidth="10" defaultRowHeight="14.4" x14ac:dyDescent="0.3"/>
  <cols>
    <col min="1" max="1" width="1.6640625" customWidth="1"/>
    <col min="2" max="2" width="38.88671875" style="2" customWidth="1"/>
    <col min="3" max="3" width="19.77734375" style="1" customWidth="1"/>
    <col min="4" max="4" width="19.77734375" style="1" hidden="1" customWidth="1"/>
    <col min="5" max="5" width="19.77734375" hidden="1" customWidth="1"/>
    <col min="6" max="6" width="19.77734375" style="43" hidden="1" customWidth="1"/>
    <col min="7" max="9" width="19.77734375" style="43" customWidth="1"/>
    <col min="10" max="10" width="11.5546875" customWidth="1"/>
  </cols>
  <sheetData>
    <row r="1" spans="2:9" ht="26.25" customHeight="1" thickBot="1" x14ac:dyDescent="0.35">
      <c r="B1" s="412" t="s">
        <v>415</v>
      </c>
      <c r="C1" s="413"/>
      <c r="D1" s="413"/>
      <c r="E1" s="413"/>
      <c r="F1" s="413"/>
      <c r="G1" s="413"/>
      <c r="H1" s="413"/>
      <c r="I1" s="414"/>
    </row>
    <row r="2" spans="2:9" ht="16.95" customHeight="1" thickBot="1" x14ac:dyDescent="0.35">
      <c r="B2" s="421" t="s">
        <v>327</v>
      </c>
      <c r="C2" s="422"/>
      <c r="D2" s="422"/>
      <c r="E2" s="422"/>
      <c r="F2" s="422"/>
      <c r="G2" s="423"/>
      <c r="H2" s="190" t="s">
        <v>416</v>
      </c>
      <c r="I2" s="250">
        <v>218.5</v>
      </c>
    </row>
    <row r="3" spans="2:9" ht="15.6" customHeight="1" thickBot="1" x14ac:dyDescent="0.35">
      <c r="B3" s="40" t="s">
        <v>0</v>
      </c>
      <c r="C3" s="41" t="s">
        <v>1</v>
      </c>
      <c r="D3" s="41" t="s">
        <v>308</v>
      </c>
      <c r="E3" s="41" t="s">
        <v>269</v>
      </c>
      <c r="F3" s="42" t="s">
        <v>225</v>
      </c>
      <c r="G3" s="175" t="s">
        <v>338</v>
      </c>
      <c r="H3" s="176" t="s">
        <v>312</v>
      </c>
      <c r="I3" s="127" t="s">
        <v>417</v>
      </c>
    </row>
    <row r="4" spans="2:9" s="170" customFormat="1" ht="15" customHeight="1" x14ac:dyDescent="0.3">
      <c r="B4" s="207" t="s">
        <v>73</v>
      </c>
      <c r="C4" s="208">
        <v>4</v>
      </c>
      <c r="D4" s="162" t="e">
        <f>SUM(Tabla1343[[#This Row],[Columna1]:[Columna5]])</f>
        <v>#VALUE!</v>
      </c>
      <c r="E4" s="157" t="s">
        <v>279</v>
      </c>
      <c r="F4" s="163" t="s">
        <v>230</v>
      </c>
      <c r="G4" s="204">
        <v>263.64</v>
      </c>
      <c r="H4" s="205">
        <f>+G4*C4*I$2</f>
        <v>230421.36</v>
      </c>
      <c r="I4" s="205">
        <f>+Tabla10141719[[#This Row],[Precio Total en Pesos]]*5%</f>
        <v>11521.067999999999</v>
      </c>
    </row>
    <row r="5" spans="2:9" s="170" customFormat="1" ht="15" customHeight="1" x14ac:dyDescent="0.3">
      <c r="B5" s="207" t="s">
        <v>262</v>
      </c>
      <c r="C5" s="208">
        <v>399</v>
      </c>
      <c r="D5" s="161">
        <f>SUM(Tabla1343[[#This Row],[Columna1]:[Columna5]])</f>
        <v>7</v>
      </c>
      <c r="E5" s="209" t="s">
        <v>279</v>
      </c>
      <c r="F5" s="163" t="s">
        <v>230</v>
      </c>
      <c r="G5" s="204">
        <v>76.83</v>
      </c>
      <c r="H5" s="205">
        <f t="shared" ref="H5:H12" si="0">+G5*C5*I$2</f>
        <v>6698154.6449999996</v>
      </c>
      <c r="I5" s="205">
        <f>+Tabla10141719[[#This Row],[Precio Total en Pesos]]*5%</f>
        <v>334907.73225</v>
      </c>
    </row>
    <row r="6" spans="2:9" s="170" customFormat="1" ht="15" customHeight="1" x14ac:dyDescent="0.3">
      <c r="B6" s="207" t="s">
        <v>228</v>
      </c>
      <c r="C6" s="208">
        <v>10</v>
      </c>
      <c r="D6" s="161">
        <f>SUM(Tabla1343[[#This Row],[Columna1]:[Columna5]])</f>
        <v>4</v>
      </c>
      <c r="E6" s="209" t="s">
        <v>279</v>
      </c>
      <c r="F6" s="163" t="s">
        <v>230</v>
      </c>
      <c r="G6" s="204">
        <v>75.010000000000005</v>
      </c>
      <c r="H6" s="205">
        <f t="shared" si="0"/>
        <v>163896.85</v>
      </c>
      <c r="I6" s="205">
        <f>+Tabla10141719[[#This Row],[Precio Total en Pesos]]*5%</f>
        <v>8194.8425000000007</v>
      </c>
    </row>
    <row r="7" spans="2:9" s="170" customFormat="1" ht="15" customHeight="1" x14ac:dyDescent="0.3">
      <c r="B7" s="207" t="s">
        <v>67</v>
      </c>
      <c r="C7" s="208">
        <v>42</v>
      </c>
      <c r="D7" s="161">
        <f>SUM(Tabla1343[[#This Row],[Columna1]:[Columna5]])</f>
        <v>8</v>
      </c>
      <c r="E7" s="209" t="s">
        <v>279</v>
      </c>
      <c r="F7" s="163" t="s">
        <v>230</v>
      </c>
      <c r="G7" s="204">
        <v>148.19999999999999</v>
      </c>
      <c r="H7" s="205">
        <f t="shared" si="0"/>
        <v>1360031.4</v>
      </c>
      <c r="I7" s="205">
        <f>+Tabla10141719[[#This Row],[Precio Total en Pesos]]*5%</f>
        <v>68001.569999999992</v>
      </c>
    </row>
    <row r="8" spans="2:9" s="170" customFormat="1" ht="15" customHeight="1" x14ac:dyDescent="0.3">
      <c r="B8" s="207" t="s">
        <v>10</v>
      </c>
      <c r="C8" s="208">
        <v>44</v>
      </c>
      <c r="D8" s="161">
        <f>SUM(Tabla1343[[#This Row],[Columna1]:[Columna5]])</f>
        <v>2</v>
      </c>
      <c r="E8" s="209" t="s">
        <v>279</v>
      </c>
      <c r="F8" s="163" t="s">
        <v>230</v>
      </c>
      <c r="G8" s="204">
        <v>28.34</v>
      </c>
      <c r="H8" s="205">
        <f t="shared" si="0"/>
        <v>272460.76</v>
      </c>
      <c r="I8" s="205">
        <f>+Tabla10141719[[#This Row],[Precio Total en Pesos]]*5%</f>
        <v>13623.038</v>
      </c>
    </row>
    <row r="9" spans="2:9" s="170" customFormat="1" ht="15" customHeight="1" x14ac:dyDescent="0.3">
      <c r="B9" s="207" t="s">
        <v>30</v>
      </c>
      <c r="C9" s="208">
        <v>44</v>
      </c>
      <c r="D9" s="161">
        <f>SUM(Tabla1343[[#This Row],[Columna1]:[Columna5]])</f>
        <v>9</v>
      </c>
      <c r="E9" s="209" t="s">
        <v>279</v>
      </c>
      <c r="F9" s="163" t="s">
        <v>230</v>
      </c>
      <c r="G9" s="204">
        <v>19.89</v>
      </c>
      <c r="H9" s="205">
        <f t="shared" si="0"/>
        <v>191222.46000000002</v>
      </c>
      <c r="I9" s="205">
        <f>+Tabla10141719[[#This Row],[Precio Total en Pesos]]*5%</f>
        <v>9561.1230000000014</v>
      </c>
    </row>
    <row r="10" spans="2:9" s="170" customFormat="1" ht="15" customHeight="1" x14ac:dyDescent="0.3">
      <c r="B10" s="207" t="s">
        <v>227</v>
      </c>
      <c r="C10" s="208">
        <v>250</v>
      </c>
      <c r="D10" s="161">
        <f>SUM(Tabla1343[[#This Row],[Columna1]:[Columna5]])</f>
        <v>3</v>
      </c>
      <c r="E10" s="209" t="s">
        <v>279</v>
      </c>
      <c r="F10" s="163" t="s">
        <v>230</v>
      </c>
      <c r="G10" s="204">
        <v>64.349999999999994</v>
      </c>
      <c r="H10" s="205">
        <f t="shared" si="0"/>
        <v>3515118.7499999995</v>
      </c>
      <c r="I10" s="205">
        <f>+Tabla10141719[[#This Row],[Precio Total en Pesos]]*5%</f>
        <v>175755.9375</v>
      </c>
    </row>
    <row r="11" spans="2:9" s="170" customFormat="1" ht="15" customHeight="1" x14ac:dyDescent="0.3">
      <c r="B11" s="207" t="s">
        <v>418</v>
      </c>
      <c r="C11" s="208">
        <v>10</v>
      </c>
      <c r="D11" s="161">
        <f>SUM(Tabla1343[[#This Row],[Columna1]:[Columna5]])</f>
        <v>97</v>
      </c>
      <c r="E11" s="209"/>
      <c r="F11" s="163"/>
      <c r="G11" s="204">
        <v>0</v>
      </c>
      <c r="H11" s="205">
        <f t="shared" si="0"/>
        <v>0</v>
      </c>
      <c r="I11" s="205">
        <f>+Tabla10141719[[#This Row],[Precio Total en Pesos]]*9%</f>
        <v>0</v>
      </c>
    </row>
    <row r="12" spans="2:9" s="170" customFormat="1" ht="15" customHeight="1" thickBot="1" x14ac:dyDescent="0.35">
      <c r="B12" s="207" t="s">
        <v>419</v>
      </c>
      <c r="C12" s="208">
        <v>8</v>
      </c>
      <c r="D12" s="161">
        <f>SUM(Tabla1343[[#This Row],[Columna1]:[Columna5]])</f>
        <v>137</v>
      </c>
      <c r="E12" s="209"/>
      <c r="F12" s="163"/>
      <c r="G12" s="204">
        <v>0</v>
      </c>
      <c r="H12" s="205">
        <f t="shared" si="0"/>
        <v>0</v>
      </c>
      <c r="I12" s="205">
        <f>+Tabla10141719[[#This Row],[Precio Total en Pesos]]*9%</f>
        <v>0</v>
      </c>
    </row>
    <row r="13" spans="2:9" ht="15" thickBot="1" x14ac:dyDescent="0.35">
      <c r="B13" s="3"/>
      <c r="C13" s="4"/>
      <c r="D13" s="4"/>
      <c r="E13" s="210"/>
      <c r="F13" s="206"/>
      <c r="G13" s="206"/>
      <c r="H13" s="211"/>
      <c r="I13" s="212">
        <f>SUM(I4:I12)</f>
        <v>621565.31125000003</v>
      </c>
    </row>
  </sheetData>
  <mergeCells count="2">
    <mergeCell ref="B1:I1"/>
    <mergeCell ref="B2:G2"/>
  </mergeCells>
  <pageMargins left="0.39370078740157483" right="0.11811023622047245" top="0.19685039370078741" bottom="0.19685039370078741" header="0.31496062992125984" footer="0.31496062992125984"/>
  <pageSetup scale="80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28" zoomScale="110" zoomScaleNormal="110" workbookViewId="0">
      <selection activeCell="D42" sqref="D42:F42"/>
    </sheetView>
  </sheetViews>
  <sheetFormatPr baseColWidth="10" defaultRowHeight="14.4" x14ac:dyDescent="0.3"/>
  <cols>
    <col min="1" max="1" width="20.77734375" customWidth="1"/>
    <col min="2" max="2" width="32.77734375" customWidth="1"/>
    <col min="3" max="5" width="20.77734375" customWidth="1"/>
    <col min="6" max="6" width="32.77734375" customWidth="1"/>
  </cols>
  <sheetData>
    <row r="1" spans="1:6" ht="15" thickBot="1" x14ac:dyDescent="0.35"/>
    <row r="2" spans="1:6" x14ac:dyDescent="0.3">
      <c r="A2" s="473" t="s">
        <v>395</v>
      </c>
      <c r="B2" s="474"/>
      <c r="C2" s="474"/>
      <c r="D2" s="474"/>
      <c r="E2" s="474"/>
      <c r="F2" s="475"/>
    </row>
    <row r="3" spans="1:6" ht="15" thickBot="1" x14ac:dyDescent="0.35">
      <c r="A3" s="476"/>
      <c r="B3" s="477"/>
      <c r="C3" s="477"/>
      <c r="D3" s="477"/>
      <c r="E3" s="477"/>
      <c r="F3" s="478"/>
    </row>
    <row r="4" spans="1:6" s="1" customFormat="1" ht="15" thickBot="1" x14ac:dyDescent="0.35">
      <c r="A4" s="260" t="s">
        <v>392</v>
      </c>
      <c r="B4" s="261" t="s">
        <v>396</v>
      </c>
      <c r="C4" s="272" t="s">
        <v>397</v>
      </c>
      <c r="D4" s="272" t="s">
        <v>398</v>
      </c>
      <c r="E4" s="272" t="s">
        <v>393</v>
      </c>
      <c r="F4" s="273" t="s">
        <v>394</v>
      </c>
    </row>
    <row r="5" spans="1:6" ht="4.2" customHeight="1" x14ac:dyDescent="0.3">
      <c r="A5" s="262"/>
      <c r="B5" s="263"/>
      <c r="C5" s="264"/>
      <c r="D5" s="264"/>
      <c r="E5" s="264"/>
      <c r="F5" s="265"/>
    </row>
    <row r="6" spans="1:6" ht="25.05" customHeight="1" x14ac:dyDescent="0.3">
      <c r="A6" s="266"/>
      <c r="B6" s="267" t="s">
        <v>399</v>
      </c>
      <c r="C6" s="268">
        <v>7500000</v>
      </c>
      <c r="D6" s="268"/>
      <c r="E6" s="268">
        <f>+E5+C6-D6</f>
        <v>7500000</v>
      </c>
      <c r="F6" s="269"/>
    </row>
    <row r="7" spans="1:6" ht="25.05" customHeight="1" x14ac:dyDescent="0.3">
      <c r="A7" s="266"/>
      <c r="B7" s="267" t="s">
        <v>400</v>
      </c>
      <c r="C7" s="268">
        <v>630000</v>
      </c>
      <c r="D7" s="268"/>
      <c r="E7" s="268">
        <f t="shared" ref="E7:E35" si="0">+E6+C7-D7</f>
        <v>8130000</v>
      </c>
      <c r="F7" s="269"/>
    </row>
    <row r="8" spans="1:6" ht="25.05" customHeight="1" x14ac:dyDescent="0.3">
      <c r="A8" s="266"/>
      <c r="B8" s="267" t="s">
        <v>401</v>
      </c>
      <c r="C8" s="268"/>
      <c r="D8" s="268">
        <v>2000000</v>
      </c>
      <c r="E8" s="268">
        <f t="shared" si="0"/>
        <v>6130000</v>
      </c>
      <c r="F8" s="269"/>
    </row>
    <row r="9" spans="1:6" ht="25.05" customHeight="1" x14ac:dyDescent="0.3">
      <c r="A9" s="270">
        <v>44944</v>
      </c>
      <c r="B9" s="271" t="s">
        <v>402</v>
      </c>
      <c r="C9" s="268"/>
      <c r="D9" s="268">
        <v>2500000</v>
      </c>
      <c r="E9" s="268">
        <f t="shared" si="0"/>
        <v>3630000</v>
      </c>
      <c r="F9" s="269"/>
    </row>
    <row r="10" spans="1:6" ht="25.05" customHeight="1" x14ac:dyDescent="0.3">
      <c r="A10" s="270">
        <v>44967</v>
      </c>
      <c r="B10" s="271" t="s">
        <v>402</v>
      </c>
      <c r="C10" s="268"/>
      <c r="D10" s="268">
        <v>700000</v>
      </c>
      <c r="E10" s="268">
        <f t="shared" si="0"/>
        <v>2930000</v>
      </c>
      <c r="F10" s="269"/>
    </row>
    <row r="11" spans="1:6" ht="25.05" customHeight="1" x14ac:dyDescent="0.3">
      <c r="A11" s="270">
        <v>44971</v>
      </c>
      <c r="B11" s="271" t="s">
        <v>402</v>
      </c>
      <c r="C11" s="268"/>
      <c r="D11" s="268">
        <v>800000</v>
      </c>
      <c r="E11" s="268">
        <f t="shared" si="0"/>
        <v>2130000</v>
      </c>
      <c r="F11" s="269"/>
    </row>
    <row r="12" spans="1:6" ht="25.05" customHeight="1" x14ac:dyDescent="0.3">
      <c r="A12" s="270">
        <v>44980</v>
      </c>
      <c r="B12" s="271" t="s">
        <v>402</v>
      </c>
      <c r="C12" s="268"/>
      <c r="D12" s="268">
        <v>1000000</v>
      </c>
      <c r="E12" s="268">
        <f t="shared" si="0"/>
        <v>1130000</v>
      </c>
      <c r="F12" s="269"/>
    </row>
    <row r="13" spans="1:6" ht="25.05" customHeight="1" x14ac:dyDescent="0.3">
      <c r="A13" s="270"/>
      <c r="B13" s="274" t="s">
        <v>404</v>
      </c>
      <c r="C13" s="268"/>
      <c r="D13" s="268">
        <v>443960</v>
      </c>
      <c r="E13" s="268">
        <f t="shared" si="0"/>
        <v>686040</v>
      </c>
      <c r="F13" s="269"/>
    </row>
    <row r="14" spans="1:6" ht="25.05" customHeight="1" x14ac:dyDescent="0.3">
      <c r="A14" s="275">
        <v>45017</v>
      </c>
      <c r="B14" s="274" t="s">
        <v>403</v>
      </c>
      <c r="C14" s="276"/>
      <c r="D14" s="276">
        <v>47379.6</v>
      </c>
      <c r="E14" s="268">
        <f t="shared" si="0"/>
        <v>638660.4</v>
      </c>
      <c r="F14" s="277"/>
    </row>
    <row r="15" spans="1:6" ht="25.05" customHeight="1" x14ac:dyDescent="0.3">
      <c r="A15" s="280">
        <v>45017</v>
      </c>
      <c r="B15" s="274" t="s">
        <v>405</v>
      </c>
      <c r="C15" s="276"/>
      <c r="D15" s="276">
        <v>4500</v>
      </c>
      <c r="E15" s="268">
        <f t="shared" si="0"/>
        <v>634160.4</v>
      </c>
      <c r="F15" s="277"/>
    </row>
    <row r="16" spans="1:6" ht="25.05" customHeight="1" x14ac:dyDescent="0.3">
      <c r="A16" s="280">
        <v>45019</v>
      </c>
      <c r="B16" s="274" t="s">
        <v>406</v>
      </c>
      <c r="C16" s="276"/>
      <c r="D16" s="276">
        <v>545000</v>
      </c>
      <c r="E16" s="268">
        <f t="shared" si="0"/>
        <v>89160.400000000023</v>
      </c>
      <c r="F16" s="277"/>
    </row>
    <row r="17" spans="1:6" ht="25.05" customHeight="1" x14ac:dyDescent="0.3">
      <c r="A17" s="280">
        <v>45017</v>
      </c>
      <c r="B17" s="274" t="s">
        <v>407</v>
      </c>
      <c r="C17" s="276"/>
      <c r="D17" s="276">
        <f>13000*3</f>
        <v>39000</v>
      </c>
      <c r="E17" s="268">
        <f t="shared" si="0"/>
        <v>50160.400000000023</v>
      </c>
      <c r="F17" s="277"/>
    </row>
    <row r="18" spans="1:6" ht="25.05" customHeight="1" x14ac:dyDescent="0.3">
      <c r="A18" s="280">
        <v>45018</v>
      </c>
      <c r="B18" s="274" t="s">
        <v>408</v>
      </c>
      <c r="C18" s="276"/>
      <c r="D18" s="276">
        <v>30000</v>
      </c>
      <c r="E18" s="268">
        <f t="shared" si="0"/>
        <v>20160.400000000023</v>
      </c>
      <c r="F18" s="277"/>
    </row>
    <row r="19" spans="1:6" ht="25.05" customHeight="1" x14ac:dyDescent="0.3">
      <c r="A19" s="280">
        <v>45019</v>
      </c>
      <c r="B19" s="274" t="s">
        <v>410</v>
      </c>
      <c r="C19" s="276"/>
      <c r="D19" s="276">
        <v>33000</v>
      </c>
      <c r="E19" s="283">
        <f t="shared" si="0"/>
        <v>-12839.599999999977</v>
      </c>
      <c r="F19" s="277"/>
    </row>
    <row r="20" spans="1:6" ht="25.05" customHeight="1" x14ac:dyDescent="0.3">
      <c r="A20" s="280">
        <v>45020</v>
      </c>
      <c r="B20" s="274" t="s">
        <v>411</v>
      </c>
      <c r="C20" s="276"/>
      <c r="D20" s="276">
        <v>34500</v>
      </c>
      <c r="E20" s="283">
        <f t="shared" si="0"/>
        <v>-47339.599999999977</v>
      </c>
      <c r="F20" s="277"/>
    </row>
    <row r="21" spans="1:6" ht="25.05" customHeight="1" x14ac:dyDescent="0.3">
      <c r="A21" s="280">
        <v>45021</v>
      </c>
      <c r="B21" s="274" t="s">
        <v>422</v>
      </c>
      <c r="C21" s="276"/>
      <c r="D21" s="276">
        <v>39000</v>
      </c>
      <c r="E21" s="283">
        <f t="shared" si="0"/>
        <v>-86339.599999999977</v>
      </c>
      <c r="F21" s="277"/>
    </row>
    <row r="22" spans="1:6" ht="25.05" customHeight="1" x14ac:dyDescent="0.3">
      <c r="A22" s="280">
        <v>45022</v>
      </c>
      <c r="B22" s="274" t="s">
        <v>427</v>
      </c>
      <c r="C22" s="276"/>
      <c r="D22" s="276">
        <v>36000</v>
      </c>
      <c r="E22" s="283">
        <f t="shared" si="0"/>
        <v>-122339.59999999998</v>
      </c>
      <c r="F22" s="277"/>
    </row>
    <row r="23" spans="1:6" ht="25.05" customHeight="1" x14ac:dyDescent="0.3">
      <c r="A23" s="280">
        <v>45023</v>
      </c>
      <c r="B23" s="274" t="s">
        <v>409</v>
      </c>
      <c r="C23" s="276"/>
      <c r="D23" s="276">
        <v>30000</v>
      </c>
      <c r="E23" s="283">
        <f t="shared" si="0"/>
        <v>-152339.59999999998</v>
      </c>
      <c r="F23" s="277"/>
    </row>
    <row r="24" spans="1:6" ht="25.05" customHeight="1" x14ac:dyDescent="0.3">
      <c r="A24" s="280">
        <v>45024</v>
      </c>
      <c r="B24" s="274" t="s">
        <v>424</v>
      </c>
      <c r="C24" s="276"/>
      <c r="D24" s="276">
        <v>33000</v>
      </c>
      <c r="E24" s="283">
        <f t="shared" si="0"/>
        <v>-185339.59999999998</v>
      </c>
      <c r="F24" s="277"/>
    </row>
    <row r="25" spans="1:6" ht="25.05" customHeight="1" x14ac:dyDescent="0.3">
      <c r="A25" s="280">
        <v>45025</v>
      </c>
      <c r="B25" s="274" t="s">
        <v>423</v>
      </c>
      <c r="C25" s="276"/>
      <c r="D25" s="276">
        <v>39000</v>
      </c>
      <c r="E25" s="283">
        <f t="shared" si="0"/>
        <v>-224339.59999999998</v>
      </c>
      <c r="F25" s="277"/>
    </row>
    <row r="26" spans="1:6" ht="25.05" customHeight="1" x14ac:dyDescent="0.3">
      <c r="A26" s="280">
        <v>45026</v>
      </c>
      <c r="B26" s="274" t="s">
        <v>428</v>
      </c>
      <c r="C26" s="276"/>
      <c r="D26" s="276">
        <v>42000</v>
      </c>
      <c r="E26" s="283">
        <f t="shared" si="0"/>
        <v>-266339.59999999998</v>
      </c>
      <c r="F26" s="277"/>
    </row>
    <row r="27" spans="1:6" ht="25.05" customHeight="1" x14ac:dyDescent="0.3">
      <c r="A27" s="280">
        <v>45027</v>
      </c>
      <c r="B27" s="274" t="s">
        <v>425</v>
      </c>
      <c r="C27" s="276"/>
      <c r="D27" s="276">
        <v>10000</v>
      </c>
      <c r="E27" s="283">
        <f t="shared" si="0"/>
        <v>-276339.59999999998</v>
      </c>
      <c r="F27" s="277"/>
    </row>
    <row r="28" spans="1:6" ht="25.05" customHeight="1" x14ac:dyDescent="0.3">
      <c r="A28" s="280">
        <v>45028</v>
      </c>
      <c r="B28" s="274" t="s">
        <v>426</v>
      </c>
      <c r="C28" s="276"/>
      <c r="D28" s="276">
        <v>10000</v>
      </c>
      <c r="E28" s="283">
        <f t="shared" si="0"/>
        <v>-286339.59999999998</v>
      </c>
      <c r="F28" s="277"/>
    </row>
    <row r="29" spans="1:6" ht="25.05" customHeight="1" x14ac:dyDescent="0.3">
      <c r="A29" s="280">
        <v>45027</v>
      </c>
      <c r="B29" s="274" t="s">
        <v>421</v>
      </c>
      <c r="C29" s="276"/>
      <c r="D29" s="276">
        <v>33600</v>
      </c>
      <c r="E29" s="283">
        <f t="shared" si="0"/>
        <v>-319939.59999999998</v>
      </c>
      <c r="F29" s="277"/>
    </row>
    <row r="30" spans="1:6" ht="25.05" customHeight="1" x14ac:dyDescent="0.3">
      <c r="A30" s="280"/>
      <c r="B30" s="274" t="s">
        <v>412</v>
      </c>
      <c r="C30" s="276"/>
      <c r="D30" s="276">
        <v>525000</v>
      </c>
      <c r="E30" s="283">
        <f t="shared" si="0"/>
        <v>-844939.6</v>
      </c>
      <c r="F30" s="277"/>
    </row>
    <row r="31" spans="1:6" ht="25.05" customHeight="1" x14ac:dyDescent="0.3">
      <c r="A31" s="280"/>
      <c r="B31" s="274" t="s">
        <v>413</v>
      </c>
      <c r="C31" s="276"/>
      <c r="D31" s="276">
        <v>140000</v>
      </c>
      <c r="E31" s="283">
        <f t="shared" si="0"/>
        <v>-984939.6</v>
      </c>
      <c r="F31" s="277"/>
    </row>
    <row r="32" spans="1:6" ht="25.05" customHeight="1" x14ac:dyDescent="0.3">
      <c r="A32" s="280"/>
      <c r="B32" s="274" t="s">
        <v>414</v>
      </c>
      <c r="C32" s="276"/>
      <c r="D32" s="276">
        <f>+'ALQUILER MARZO D57-AGESTA 2023'!I13</f>
        <v>621565.31125000003</v>
      </c>
      <c r="E32" s="283">
        <f t="shared" si="0"/>
        <v>-1606504.9112499999</v>
      </c>
      <c r="F32" s="277"/>
    </row>
    <row r="33" spans="1:6" ht="25.05" customHeight="1" x14ac:dyDescent="0.3">
      <c r="A33" s="280">
        <v>45033</v>
      </c>
      <c r="B33" s="274" t="s">
        <v>458</v>
      </c>
      <c r="C33" s="276"/>
      <c r="D33" s="276">
        <v>12699.27</v>
      </c>
      <c r="E33" s="283">
        <f t="shared" si="0"/>
        <v>-1619204.1812499999</v>
      </c>
      <c r="F33" s="277"/>
    </row>
    <row r="34" spans="1:6" ht="25.05" customHeight="1" x14ac:dyDescent="0.3">
      <c r="A34" s="270">
        <v>45050</v>
      </c>
      <c r="B34" s="271" t="s">
        <v>402</v>
      </c>
      <c r="C34" s="268">
        <v>700000</v>
      </c>
      <c r="D34" s="268"/>
      <c r="E34" s="283">
        <f t="shared" si="0"/>
        <v>-919204.18124999991</v>
      </c>
      <c r="F34" s="269"/>
    </row>
    <row r="35" spans="1:6" ht="25.05" customHeight="1" thickBot="1" x14ac:dyDescent="0.35">
      <c r="A35" s="270"/>
      <c r="B35" s="271" t="s">
        <v>466</v>
      </c>
      <c r="C35" s="268">
        <v>15000</v>
      </c>
      <c r="D35" s="268"/>
      <c r="E35" s="283">
        <f t="shared" si="0"/>
        <v>-904204.18124999991</v>
      </c>
      <c r="F35" s="269"/>
    </row>
    <row r="36" spans="1:6" ht="25.05" customHeight="1" thickBot="1" x14ac:dyDescent="0.35">
      <c r="A36" s="479" t="s">
        <v>19</v>
      </c>
      <c r="B36" s="480"/>
      <c r="C36" s="278">
        <f>SUM(C6:C35)</f>
        <v>8845000</v>
      </c>
      <c r="D36" s="278">
        <f>SUM(D6:D35)</f>
        <v>9749204.1812499985</v>
      </c>
      <c r="E36" s="281">
        <f>+E35</f>
        <v>-904204.18124999991</v>
      </c>
      <c r="F36" s="279" t="s">
        <v>420</v>
      </c>
    </row>
    <row r="38" spans="1:6" x14ac:dyDescent="0.3">
      <c r="D38" t="s">
        <v>467</v>
      </c>
      <c r="E38" s="133">
        <v>1600000</v>
      </c>
      <c r="F38" s="343" t="s">
        <v>469</v>
      </c>
    </row>
    <row r="39" spans="1:6" x14ac:dyDescent="0.3">
      <c r="E39" s="133">
        <f>+E38*21%</f>
        <v>336000</v>
      </c>
    </row>
    <row r="40" spans="1:6" x14ac:dyDescent="0.3">
      <c r="E40" s="133">
        <f>+E38+E39</f>
        <v>1936000</v>
      </c>
      <c r="F40" s="343" t="s">
        <v>468</v>
      </c>
    </row>
    <row r="42" spans="1:6" x14ac:dyDescent="0.3">
      <c r="D42" s="481" t="s">
        <v>470</v>
      </c>
      <c r="E42" s="481"/>
      <c r="F42" s="481"/>
    </row>
  </sheetData>
  <mergeCells count="3">
    <mergeCell ref="A2:F3"/>
    <mergeCell ref="A36:B36"/>
    <mergeCell ref="D42:F42"/>
  </mergeCells>
  <pageMargins left="0.31496062992125984" right="0.31496062992125984" top="0.35433070866141736" bottom="0.35433070866141736" header="0.31496062992125984" footer="0.31496062992125984"/>
  <pageSetup paperSize="9" scale="92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0"/>
  <sheetViews>
    <sheetView zoomScale="130" zoomScaleNormal="130" workbookViewId="0">
      <selection activeCell="B1" sqref="B1:I20"/>
    </sheetView>
  </sheetViews>
  <sheetFormatPr baseColWidth="10" defaultRowHeight="14.4" x14ac:dyDescent="0.3"/>
  <cols>
    <col min="1" max="1" width="1.6640625" customWidth="1"/>
    <col min="2" max="2" width="38.88671875" style="2" customWidth="1"/>
    <col min="3" max="3" width="19.77734375" style="1" customWidth="1"/>
    <col min="4" max="4" width="19.77734375" style="1" hidden="1" customWidth="1"/>
    <col min="5" max="5" width="19.77734375" hidden="1" customWidth="1"/>
    <col min="6" max="6" width="19.77734375" style="43" hidden="1" customWidth="1"/>
    <col min="7" max="9" width="19.77734375" style="43" customWidth="1"/>
    <col min="10" max="10" width="11.5546875" customWidth="1"/>
  </cols>
  <sheetData>
    <row r="1" spans="2:9" ht="26.25" customHeight="1" thickBot="1" x14ac:dyDescent="0.35">
      <c r="B1" s="412" t="s">
        <v>463</v>
      </c>
      <c r="C1" s="413"/>
      <c r="D1" s="413"/>
      <c r="E1" s="413"/>
      <c r="F1" s="413"/>
      <c r="G1" s="413"/>
      <c r="H1" s="413"/>
      <c r="I1" s="414"/>
    </row>
    <row r="2" spans="2:9" ht="16.95" customHeight="1" thickBot="1" x14ac:dyDescent="0.35">
      <c r="B2" s="421" t="s">
        <v>327</v>
      </c>
      <c r="C2" s="422"/>
      <c r="D2" s="422"/>
      <c r="E2" s="422"/>
      <c r="F2" s="422"/>
      <c r="G2" s="423"/>
      <c r="H2" s="190" t="s">
        <v>464</v>
      </c>
      <c r="I2" s="330">
        <v>295</v>
      </c>
    </row>
    <row r="3" spans="2:9" ht="15.6" customHeight="1" thickBot="1" x14ac:dyDescent="0.35">
      <c r="B3" s="40" t="s">
        <v>0</v>
      </c>
      <c r="C3" s="41" t="s">
        <v>1</v>
      </c>
      <c r="D3" s="41" t="s">
        <v>308</v>
      </c>
      <c r="E3" s="41" t="s">
        <v>269</v>
      </c>
      <c r="F3" s="42" t="s">
        <v>225</v>
      </c>
      <c r="G3" s="175" t="s">
        <v>338</v>
      </c>
      <c r="H3" s="176" t="s">
        <v>312</v>
      </c>
      <c r="I3" s="127" t="s">
        <v>465</v>
      </c>
    </row>
    <row r="4" spans="2:9" s="170" customFormat="1" ht="15" customHeight="1" x14ac:dyDescent="0.3">
      <c r="B4" s="207" t="s">
        <v>262</v>
      </c>
      <c r="C4" s="208">
        <v>500</v>
      </c>
      <c r="D4" s="161" t="e">
        <f>SUM(Tabla1343[[#This Row],[Columna1]:[Columna5]])</f>
        <v>#VALUE!</v>
      </c>
      <c r="E4" s="209" t="s">
        <v>279</v>
      </c>
      <c r="F4" s="163" t="s">
        <v>230</v>
      </c>
      <c r="G4" s="204">
        <v>76.83</v>
      </c>
      <c r="H4" s="205">
        <f>+G4*C4*I$2</f>
        <v>11332425</v>
      </c>
      <c r="I4" s="205">
        <f>+Tabla10141720[[#This Row],[Precio Total en Pesos]]*4%</f>
        <v>453297</v>
      </c>
    </row>
    <row r="5" spans="2:9" s="170" customFormat="1" ht="15" customHeight="1" x14ac:dyDescent="0.3">
      <c r="B5" s="207" t="s">
        <v>228</v>
      </c>
      <c r="C5" s="208">
        <v>500</v>
      </c>
      <c r="D5" s="161">
        <f>SUM(Tabla1343[[#This Row],[Columna1]:[Columna5]])</f>
        <v>7</v>
      </c>
      <c r="E5" s="209" t="s">
        <v>279</v>
      </c>
      <c r="F5" s="163" t="s">
        <v>230</v>
      </c>
      <c r="G5" s="204">
        <v>75.010000000000005</v>
      </c>
      <c r="H5" s="205">
        <f t="shared" ref="H5:H8" si="0">+G5*C5*I$2</f>
        <v>11063975</v>
      </c>
      <c r="I5" s="205">
        <f>+Tabla10141720[[#This Row],[Precio Total en Pesos]]*4%</f>
        <v>442559</v>
      </c>
    </row>
    <row r="6" spans="2:9" s="170" customFormat="1" ht="15" customHeight="1" x14ac:dyDescent="0.3">
      <c r="B6" s="207" t="s">
        <v>67</v>
      </c>
      <c r="C6" s="208">
        <v>30</v>
      </c>
      <c r="D6" s="161">
        <f>SUM(Tabla1343[[#This Row],[Columna1]:[Columna5]])</f>
        <v>4</v>
      </c>
      <c r="E6" s="209" t="s">
        <v>279</v>
      </c>
      <c r="F6" s="163" t="s">
        <v>230</v>
      </c>
      <c r="G6" s="204">
        <v>148.19999999999999</v>
      </c>
      <c r="H6" s="205">
        <f t="shared" si="0"/>
        <v>1311570</v>
      </c>
      <c r="I6" s="205">
        <f>+Tabla10141720[[#This Row],[Precio Total en Pesos]]*4%</f>
        <v>52462.8</v>
      </c>
    </row>
    <row r="7" spans="2:9" s="170" customFormat="1" ht="15" customHeight="1" x14ac:dyDescent="0.3">
      <c r="B7" s="207" t="s">
        <v>10</v>
      </c>
      <c r="C7" s="208">
        <v>100</v>
      </c>
      <c r="D7" s="161">
        <f>SUM(Tabla1343[[#This Row],[Columna1]:[Columna5]])</f>
        <v>8</v>
      </c>
      <c r="E7" s="209" t="s">
        <v>279</v>
      </c>
      <c r="F7" s="163" t="s">
        <v>230</v>
      </c>
      <c r="G7" s="204">
        <v>28.34</v>
      </c>
      <c r="H7" s="205">
        <f t="shared" si="0"/>
        <v>836030</v>
      </c>
      <c r="I7" s="205">
        <f>+Tabla10141720[[#This Row],[Precio Total en Pesos]]*4%</f>
        <v>33441.199999999997</v>
      </c>
    </row>
    <row r="8" spans="2:9" s="170" customFormat="1" ht="15" customHeight="1" x14ac:dyDescent="0.3">
      <c r="B8" s="207" t="s">
        <v>30</v>
      </c>
      <c r="C8" s="208">
        <v>100</v>
      </c>
      <c r="D8" s="161">
        <f>SUM(Tabla1343[[#This Row],[Columna1]:[Columna5]])</f>
        <v>2</v>
      </c>
      <c r="E8" s="209" t="s">
        <v>279</v>
      </c>
      <c r="F8" s="163" t="s">
        <v>230</v>
      </c>
      <c r="G8" s="204">
        <v>19.89</v>
      </c>
      <c r="H8" s="205">
        <f t="shared" si="0"/>
        <v>586755</v>
      </c>
      <c r="I8" s="205">
        <f>+Tabla10141720[[#This Row],[Precio Total en Pesos]]*4%</f>
        <v>23470.2</v>
      </c>
    </row>
    <row r="9" spans="2:9" s="170" customFormat="1" ht="15" customHeight="1" thickBot="1" x14ac:dyDescent="0.35">
      <c r="B9" s="207" t="s">
        <v>227</v>
      </c>
      <c r="C9" s="208">
        <v>1000</v>
      </c>
      <c r="D9" s="161">
        <f>SUM(Tabla1343[[#This Row],[Columna1]:[Columna5]])</f>
        <v>9</v>
      </c>
      <c r="E9" s="209" t="s">
        <v>279</v>
      </c>
      <c r="F9" s="163" t="s">
        <v>230</v>
      </c>
      <c r="G9" s="204">
        <v>64.349999999999994</v>
      </c>
      <c r="H9" s="205">
        <f>+G9*C9*I$2</f>
        <v>18983249.999999996</v>
      </c>
      <c r="I9" s="205">
        <f>+Tabla10141720[[#This Row],[Precio Total en Pesos]]*4%</f>
        <v>759329.99999999988</v>
      </c>
    </row>
    <row r="10" spans="2:9" ht="15" thickBot="1" x14ac:dyDescent="0.35">
      <c r="B10" s="3"/>
      <c r="C10" s="4"/>
      <c r="D10" s="4"/>
      <c r="E10" s="210"/>
      <c r="F10" s="206"/>
      <c r="G10" s="206"/>
      <c r="H10" s="211"/>
      <c r="I10" s="212">
        <f>SUM(I4:I9)</f>
        <v>1764560.1999999997</v>
      </c>
    </row>
    <row r="11" spans="2:9" ht="15" thickBot="1" x14ac:dyDescent="0.35"/>
    <row r="12" spans="2:9" x14ac:dyDescent="0.3">
      <c r="H12" s="344">
        <v>45139</v>
      </c>
      <c r="I12" s="345">
        <f>+I10</f>
        <v>1764560.1999999997</v>
      </c>
    </row>
    <row r="13" spans="2:9" x14ac:dyDescent="0.3">
      <c r="H13" s="346">
        <v>45170</v>
      </c>
      <c r="I13" s="347">
        <f>+I10</f>
        <v>1764560.1999999997</v>
      </c>
    </row>
    <row r="14" spans="2:9" x14ac:dyDescent="0.3">
      <c r="H14" s="348">
        <v>45200</v>
      </c>
      <c r="I14" s="349">
        <f t="shared" ref="I14:I19" si="1">+I12</f>
        <v>1764560.1999999997</v>
      </c>
    </row>
    <row r="15" spans="2:9" x14ac:dyDescent="0.3">
      <c r="H15" s="346">
        <v>45231</v>
      </c>
      <c r="I15" s="347">
        <f t="shared" si="1"/>
        <v>1764560.1999999997</v>
      </c>
    </row>
    <row r="16" spans="2:9" x14ac:dyDescent="0.3">
      <c r="H16" s="348">
        <v>45261</v>
      </c>
      <c r="I16" s="349">
        <f t="shared" si="1"/>
        <v>1764560.1999999997</v>
      </c>
    </row>
    <row r="17" spans="8:9" x14ac:dyDescent="0.3">
      <c r="H17" s="346">
        <v>45292</v>
      </c>
      <c r="I17" s="347">
        <f t="shared" si="1"/>
        <v>1764560.1999999997</v>
      </c>
    </row>
    <row r="18" spans="8:9" x14ac:dyDescent="0.3">
      <c r="H18" s="348">
        <v>45323</v>
      </c>
      <c r="I18" s="349">
        <f t="shared" si="1"/>
        <v>1764560.1999999997</v>
      </c>
    </row>
    <row r="19" spans="8:9" x14ac:dyDescent="0.3">
      <c r="H19" s="346">
        <v>45352</v>
      </c>
      <c r="I19" s="347">
        <f t="shared" si="1"/>
        <v>1764560.1999999997</v>
      </c>
    </row>
    <row r="20" spans="8:9" ht="15" thickBot="1" x14ac:dyDescent="0.35">
      <c r="H20" s="350" t="s">
        <v>471</v>
      </c>
      <c r="I20" s="351">
        <f>SUM(I12:I19)</f>
        <v>14116481.599999996</v>
      </c>
    </row>
  </sheetData>
  <mergeCells count="2">
    <mergeCell ref="B1:I1"/>
    <mergeCell ref="B2:G2"/>
  </mergeCells>
  <pageMargins left="0.39370078740157483" right="0.11811023622047245" top="0.19685039370078741" bottom="0.19685039370078741" header="0.31496062992125984" footer="0.31496062992125984"/>
  <pageSetup scale="80" orientation="portrait" r:id="rId1"/>
  <ignoredErrors>
    <ignoredError sqref="I13" formula="1"/>
  </ignoredErrors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G16" sqref="G16"/>
    </sheetView>
  </sheetViews>
  <sheetFormatPr baseColWidth="10" defaultRowHeight="14.4" x14ac:dyDescent="0.3"/>
  <cols>
    <col min="1" max="6" width="25.77734375" customWidth="1"/>
  </cols>
  <sheetData>
    <row r="1" spans="1:6" ht="25.05" customHeight="1" x14ac:dyDescent="0.3">
      <c r="A1" s="482" t="s">
        <v>389</v>
      </c>
      <c r="B1" s="483"/>
      <c r="C1" s="483"/>
      <c r="D1" s="483"/>
      <c r="E1" s="484"/>
      <c r="F1" s="485"/>
    </row>
    <row r="2" spans="1:6" ht="7.2" customHeight="1" x14ac:dyDescent="0.3">
      <c r="A2" s="486"/>
      <c r="B2" s="487"/>
      <c r="C2" s="487"/>
      <c r="D2" s="487"/>
      <c r="E2" s="488"/>
      <c r="F2" s="489"/>
    </row>
    <row r="3" spans="1:6" ht="25.05" customHeight="1" x14ac:dyDescent="0.3">
      <c r="A3" s="243" t="s">
        <v>384</v>
      </c>
      <c r="B3" s="244" t="s">
        <v>386</v>
      </c>
      <c r="C3" s="244" t="s">
        <v>387</v>
      </c>
      <c r="D3" s="244" t="s">
        <v>390</v>
      </c>
      <c r="E3" s="244" t="s">
        <v>391</v>
      </c>
      <c r="F3" s="245" t="s">
        <v>388</v>
      </c>
    </row>
    <row r="4" spans="1:6" ht="25.05" customHeight="1" x14ac:dyDescent="0.3">
      <c r="A4" s="241" t="s">
        <v>380</v>
      </c>
      <c r="B4" s="240">
        <v>11</v>
      </c>
      <c r="C4" s="240">
        <v>75</v>
      </c>
      <c r="D4" s="240">
        <v>35</v>
      </c>
      <c r="E4" s="251">
        <v>153</v>
      </c>
      <c r="F4" s="242">
        <f>SUM(B4:E4)</f>
        <v>274</v>
      </c>
    </row>
    <row r="5" spans="1:6" ht="25.05" customHeight="1" x14ac:dyDescent="0.3">
      <c r="A5" s="241" t="s">
        <v>381</v>
      </c>
      <c r="B5" s="240">
        <v>29</v>
      </c>
      <c r="C5" s="240">
        <v>0</v>
      </c>
      <c r="D5" s="240">
        <v>40</v>
      </c>
      <c r="E5" s="251">
        <v>0</v>
      </c>
      <c r="F5" s="242">
        <f t="shared" ref="F5:F7" si="0">SUM(B5:E5)</f>
        <v>69</v>
      </c>
    </row>
    <row r="6" spans="1:6" ht="25.05" customHeight="1" x14ac:dyDescent="0.3">
      <c r="A6" s="241" t="s">
        <v>382</v>
      </c>
      <c r="B6" s="240">
        <v>327</v>
      </c>
      <c r="C6" s="240">
        <v>250</v>
      </c>
      <c r="D6" s="240">
        <v>249</v>
      </c>
      <c r="E6" s="251">
        <v>103</v>
      </c>
      <c r="F6" s="242">
        <f t="shared" si="0"/>
        <v>929</v>
      </c>
    </row>
    <row r="7" spans="1:6" ht="25.05" customHeight="1" x14ac:dyDescent="0.3">
      <c r="A7" s="241" t="s">
        <v>383</v>
      </c>
      <c r="B7" s="240">
        <v>8</v>
      </c>
      <c r="C7" s="240">
        <v>2</v>
      </c>
      <c r="D7" s="240">
        <v>8</v>
      </c>
      <c r="E7" s="251">
        <v>9</v>
      </c>
      <c r="F7" s="242">
        <f t="shared" si="0"/>
        <v>27</v>
      </c>
    </row>
    <row r="8" spans="1:6" ht="25.05" customHeight="1" thickBot="1" x14ac:dyDescent="0.35">
      <c r="A8" s="246" t="s">
        <v>385</v>
      </c>
      <c r="B8" s="247">
        <f>SUM(B4:B7)</f>
        <v>375</v>
      </c>
      <c r="C8" s="247">
        <f>SUM(C4:C7)</f>
        <v>327</v>
      </c>
      <c r="D8" s="247">
        <f>SUM(D4:D7)</f>
        <v>332</v>
      </c>
      <c r="E8" s="252">
        <f>SUM(E4:E7)</f>
        <v>265</v>
      </c>
      <c r="F8" s="248">
        <f>SUM(F4:F7)</f>
        <v>1299</v>
      </c>
    </row>
    <row r="9" spans="1:6" x14ac:dyDescent="0.3">
      <c r="A9" s="249"/>
      <c r="B9" s="249"/>
      <c r="C9" s="249"/>
      <c r="D9" s="249"/>
      <c r="E9" s="249"/>
      <c r="F9" s="249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Alquiler 1 - Diciembre 01-12</vt:lpstr>
      <vt:lpstr>Alquiler 1 Bis- Diciembre 03-12</vt:lpstr>
      <vt:lpstr>Alquiler 2 - Diciembre 07-12</vt:lpstr>
      <vt:lpstr>Alquiler 3 - Enero 13-01</vt:lpstr>
      <vt:lpstr>Alquiler 4 - Febrero 05-02</vt:lpstr>
      <vt:lpstr>Alquiler 5 - Marzo 09-03</vt:lpstr>
      <vt:lpstr>Vistas con Matias y W</vt:lpstr>
      <vt:lpstr>Diciembre 22-12</vt:lpstr>
      <vt:lpstr>Marzo 14-03</vt:lpstr>
      <vt:lpstr>Marzo 15-03</vt:lpstr>
      <vt:lpstr>Mayo 06-05</vt:lpstr>
      <vt:lpstr>xx</vt:lpstr>
      <vt:lpstr>Mayo 07-05</vt:lpstr>
      <vt:lpstr>General Mayo 2022</vt:lpstr>
      <vt:lpstr>Madre Agosto 2022</vt:lpstr>
      <vt:lpstr>General Agosto 2022 ALQUILABLE</vt:lpstr>
      <vt:lpstr>General Agosto 2022 COMPRA</vt:lpstr>
      <vt:lpstr>Conteo</vt:lpstr>
      <vt:lpstr>AIRASCA</vt:lpstr>
      <vt:lpstr>Abril-Sept Alq - Final</vt:lpstr>
      <vt:lpstr>COMPRA OCT 2022</vt:lpstr>
      <vt:lpstr>AIRASCA 2023-FEB</vt:lpstr>
      <vt:lpstr>AIRASCA 2023-2024</vt:lpstr>
      <vt:lpstr>ALQUILER ENERO 2023 BB</vt:lpstr>
      <vt:lpstr>INV ENERO 2023 BB </vt:lpstr>
      <vt:lpstr>INV OCTUBRE 2023</vt:lpstr>
      <vt:lpstr>INV OCTUBRE 2023 (2)</vt:lpstr>
      <vt:lpstr>ALQUILER OCTUBRE 2023 </vt:lpstr>
      <vt:lpstr>ALQUILER OCTUBRE 2023  (2)</vt:lpstr>
      <vt:lpstr>INV MARZO 2023 BB</vt:lpstr>
      <vt:lpstr>MAT ENVIADO MARZO 2023 BB</vt:lpstr>
      <vt:lpstr>CONCILIACION BB</vt:lpstr>
      <vt:lpstr>ALQUILER MARZO D57-AGESTA 2023</vt:lpstr>
      <vt:lpstr>Cuenta Cte - Agesta</vt:lpstr>
      <vt:lpstr>ALQUILER GENARO AGO-MARZO</vt:lpstr>
      <vt:lpstr>CUADRO STOCK VALLAS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 producciones</dc:creator>
  <cp:lastModifiedBy>LENOVO</cp:lastModifiedBy>
  <cp:lastPrinted>2023-12-13T20:57:15Z</cp:lastPrinted>
  <dcterms:created xsi:type="dcterms:W3CDTF">2021-11-30T16:31:04Z</dcterms:created>
  <dcterms:modified xsi:type="dcterms:W3CDTF">2024-09-24T15:51:30Z</dcterms:modified>
</cp:coreProperties>
</file>