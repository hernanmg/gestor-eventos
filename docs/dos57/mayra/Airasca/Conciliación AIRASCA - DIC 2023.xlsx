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072"/>
  </bookViews>
  <sheets>
    <sheet name="AIRASCA 2023-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" l="1"/>
  <c r="C52" i="1" s="1"/>
  <c r="C48" i="1"/>
  <c r="G42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G19" i="1"/>
  <c r="E19" i="1"/>
  <c r="E18" i="1"/>
  <c r="G17" i="1"/>
  <c r="E17" i="1"/>
  <c r="E16" i="1"/>
  <c r="E15" i="1"/>
  <c r="E14" i="1"/>
  <c r="E13" i="1"/>
  <c r="G12" i="1"/>
  <c r="E12" i="1"/>
  <c r="E11" i="1"/>
  <c r="E10" i="1"/>
  <c r="E9" i="1"/>
  <c r="E8" i="1"/>
  <c r="G7" i="1"/>
  <c r="E7" i="1"/>
  <c r="E6" i="1"/>
  <c r="E5" i="1"/>
  <c r="E4" i="1"/>
  <c r="C88" i="1" l="1"/>
  <c r="C54" i="1"/>
  <c r="C56" i="1" s="1"/>
  <c r="C57" i="1" l="1"/>
  <c r="D57" i="1" s="1"/>
  <c r="C89" i="1"/>
  <c r="C91" i="1" s="1"/>
  <c r="C93" i="1" s="1"/>
  <c r="C58" i="1" l="1"/>
  <c r="D58" i="1"/>
  <c r="C59" i="1" s="1"/>
  <c r="D59" i="1" s="1"/>
  <c r="C94" i="1"/>
  <c r="D94" i="1"/>
  <c r="C125" i="1"/>
  <c r="C95" i="1" l="1"/>
  <c r="D95" i="1" s="1"/>
  <c r="C60" i="1"/>
  <c r="D60" i="1"/>
  <c r="C126" i="1"/>
  <c r="C128" i="1" s="1"/>
  <c r="C130" i="1" s="1"/>
  <c r="C61" i="1" l="1"/>
  <c r="D61" i="1" s="1"/>
  <c r="D121" i="1" s="1"/>
  <c r="C133" i="1"/>
  <c r="C134" i="1" l="1"/>
  <c r="C136" i="1" s="1"/>
  <c r="C138" i="1" s="1"/>
  <c r="C141" i="1" l="1"/>
  <c r="C142" i="1" l="1"/>
  <c r="C144" i="1" s="1"/>
  <c r="C146" i="1" s="1"/>
  <c r="C149" i="1" l="1"/>
  <c r="C150" i="1" l="1"/>
  <c r="C152" i="1" s="1"/>
  <c r="C154" i="1" s="1"/>
  <c r="C157" i="1" l="1"/>
  <c r="C158" i="1" s="1"/>
  <c r="C160" i="1" s="1"/>
  <c r="C162" i="1" s="1"/>
</calcChain>
</file>

<file path=xl/sharedStrings.xml><?xml version="1.0" encoding="utf-8"?>
<sst xmlns="http://schemas.openxmlformats.org/spreadsheetml/2006/main" count="118" uniqueCount="87">
  <si>
    <t>STOCK TOTAL - LAYHER - AIRASCA</t>
  </si>
  <si>
    <t>Descripcion</t>
  </si>
  <si>
    <t>Cantidad</t>
  </si>
  <si>
    <t>Precio Unitario en €</t>
  </si>
  <si>
    <t>Precio Total en €</t>
  </si>
  <si>
    <t>Precio Uni Julio 2023 €</t>
  </si>
  <si>
    <t>Columna1</t>
  </si>
  <si>
    <t>Espiga</t>
  </si>
  <si>
    <t>Bases Regulables 0,60m</t>
  </si>
  <si>
    <t>Celosias 2,57</t>
  </si>
  <si>
    <t>Celosias 7,71</t>
  </si>
  <si>
    <t>Collarines</t>
  </si>
  <si>
    <t xml:space="preserve">Desviador Rampa </t>
  </si>
  <si>
    <t>Desviador rampa chico</t>
  </si>
  <si>
    <t>Diagonales 1,57 x 0,50mts</t>
  </si>
  <si>
    <t>Diagonales 1,57 x 1,00mt</t>
  </si>
  <si>
    <t>Diagonal 0,73 x 2,00mts</t>
  </si>
  <si>
    <t>Diagonales 2,57 x 1,00mt</t>
  </si>
  <si>
    <t>Diagonales 2,57 x 2,00mts</t>
  </si>
  <si>
    <t>Diagonales 2,57 x 3,00mts</t>
  </si>
  <si>
    <t>Escalera 1,5m</t>
  </si>
  <si>
    <t>Escalera 2m</t>
  </si>
  <si>
    <t>Escaleras 1m</t>
  </si>
  <si>
    <t>Horizontales 0,73</t>
  </si>
  <si>
    <t>Horizontales 1,09</t>
  </si>
  <si>
    <t>Horizontales 2,57</t>
  </si>
  <si>
    <t>Horizontales 1,00</t>
  </si>
  <si>
    <t>Horizontales 3,00</t>
  </si>
  <si>
    <t>Horizontales en planta</t>
  </si>
  <si>
    <t>Mensulas 0,73</t>
  </si>
  <si>
    <t>Rayadores 2,57 x 0,19</t>
  </si>
  <si>
    <t>Rayadores 2,57 x 0,32</t>
  </si>
  <si>
    <t>Rayadores 3,00 x 0,32</t>
  </si>
  <si>
    <t>Roseta Movil</t>
  </si>
  <si>
    <t>Verticales 2,00 c/e</t>
  </si>
  <si>
    <t>Verticales 2,00 s/e</t>
  </si>
  <si>
    <t>Verticales 0,50 c/e</t>
  </si>
  <si>
    <t>Verticales 0,50 s/e</t>
  </si>
  <si>
    <t>Verticales 1,00 c/e</t>
  </si>
  <si>
    <t>Verticales 1,00 s/e</t>
  </si>
  <si>
    <t>Verticales 1,50 s/e</t>
  </si>
  <si>
    <t>Viga Puente 0,73</t>
  </si>
  <si>
    <t>Viga Puente 1,09</t>
  </si>
  <si>
    <t>Viga Puente 2,57</t>
  </si>
  <si>
    <t xml:space="preserve">ACUERDO AIRASCA </t>
  </si>
  <si>
    <t>Importe Total Layher Julio en EUROS</t>
  </si>
  <si>
    <t>1 al 10 de Agosto 2023</t>
  </si>
  <si>
    <t>1  al 10 de Noviembre 2023</t>
  </si>
  <si>
    <t>1 al 10 de Febrero 2024</t>
  </si>
  <si>
    <t>1 al 10 de Mayo 2024</t>
  </si>
  <si>
    <t>1 al 10 de Junio 2024</t>
  </si>
  <si>
    <t>CUOTA 1</t>
  </si>
  <si>
    <t xml:space="preserve">% según acuerdo </t>
  </si>
  <si>
    <t>Importe del USD según Banco Nacion 02/08</t>
  </si>
  <si>
    <t>Total en Pesos</t>
  </si>
  <si>
    <t>Importe del USD BLUE 02/08</t>
  </si>
  <si>
    <t>Importe Final</t>
  </si>
  <si>
    <t>Mensual 2% al 03/09</t>
  </si>
  <si>
    <t>Mensual 2% al 03/10</t>
  </si>
  <si>
    <t>Mensual 2% al 03/11</t>
  </si>
  <si>
    <t>Mensual 2% al 03/12</t>
  </si>
  <si>
    <t>Mensual 2% al 03/01</t>
  </si>
  <si>
    <t>CUOTA 2</t>
  </si>
  <si>
    <t>Importe Base en EUROS</t>
  </si>
  <si>
    <t>Importe del USD según Banco Nacion 02/11</t>
  </si>
  <si>
    <t>Importe del USD BLUE 03/11</t>
  </si>
  <si>
    <t>TOTAL SALDO ACUMULADO CUOTA 1 Y CUOTA 2:</t>
  </si>
  <si>
    <t>AL 03/01 INCLUSIVE</t>
  </si>
  <si>
    <t>CUOTA 3</t>
  </si>
  <si>
    <t xml:space="preserve">NOTA: </t>
  </si>
  <si>
    <t>CUOTA 3 - 4 - 5 PRECIO DÓLAR ANCLADO</t>
  </si>
  <si>
    <t>Importe del USD según Banco Nacion 02/02</t>
  </si>
  <si>
    <t>Importe del USD BLUE 02/02</t>
  </si>
  <si>
    <t>CUOTA 4</t>
  </si>
  <si>
    <t>Importe del USD según Banco Nacion 01/05</t>
  </si>
  <si>
    <t>Importe del USD BLUE 01/05</t>
  </si>
  <si>
    <t>CUOTA 5</t>
  </si>
  <si>
    <t>Importe del USD según Banco Nacion 1/6</t>
  </si>
  <si>
    <t>Importe del USD BLUE 1/6</t>
  </si>
  <si>
    <t>CUOTA 6</t>
  </si>
  <si>
    <t>1 al 10 de Julio 2024</t>
  </si>
  <si>
    <t>Importe del USD según Banco Nacion 1/7</t>
  </si>
  <si>
    <t>Importe del USD BLUE 1/7</t>
  </si>
  <si>
    <t>CUOTA 7</t>
  </si>
  <si>
    <t>1 al 10 de Agosto 2024</t>
  </si>
  <si>
    <t>Importe del USD según Banco Nacion 1/8</t>
  </si>
  <si>
    <t>Importe del USD BLUE 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</si>
</sst>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-* #,##0.00\ [$€-C0A]_-;\-* #,##0.00\ [$€-C0A]_-;_-* &quot;-&quot;??\ [$€-C0A]_-;_-@_-"/>
    <numFmt numFmtId="165" formatCode="#,##0.00\ [$€-407]"/>
    <numFmt numFmtId="166" formatCode="_-[$USD]\ * #,##0.00_-;\-[$USD]\ * #,##0.00_-;_-[$USD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164" fontId="2" fillId="5" borderId="10" xfId="1" applyNumberFormat="1" applyFont="1" applyFill="1" applyBorder="1" applyAlignment="1">
      <alignment horizontal="center" vertical="center"/>
    </xf>
    <xf numFmtId="164" fontId="2" fillId="6" borderId="10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164" fontId="2" fillId="5" borderId="11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7" borderId="11" xfId="0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/>
    </xf>
    <xf numFmtId="165" fontId="0" fillId="7" borderId="11" xfId="0" applyNumberFormat="1" applyFill="1" applyBorder="1" applyAlignment="1">
      <alignment horizontal="center" vertical="center"/>
    </xf>
    <xf numFmtId="44" fontId="2" fillId="7" borderId="11" xfId="1" applyFont="1" applyFill="1" applyBorder="1" applyAlignment="1">
      <alignment horizontal="center" vertical="center"/>
    </xf>
    <xf numFmtId="164" fontId="2" fillId="7" borderId="11" xfId="1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9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9" fontId="2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/>
    </xf>
    <xf numFmtId="9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11" borderId="0" xfId="0" applyFont="1" applyFill="1" applyAlignment="1">
      <alignment horizontal="center"/>
    </xf>
    <xf numFmtId="166" fontId="2" fillId="11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12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left" vertical="center"/>
    </xf>
  </cellXfs>
  <cellStyles count="2">
    <cellStyle name="Moneda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</font>
      <numFmt numFmtId="164" formatCode="_-* #,##0.00\ [$€-C0A]_-;\-* #,##0.00\ [$€-C0A]_-;_-* &quot;-&quot;??\ [$€-C0A]_-;_-@_-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[$€-C0A]_-;\-* #,##0.00\ [$€-C0A]_-;_-* &quot;-&quot;??\ [$€-C0A]_-;_-@_-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16901</xdr:rowOff>
    </xdr:from>
    <xdr:to>
      <xdr:col>7</xdr:col>
      <xdr:colOff>45720</xdr:colOff>
      <xdr:row>72</xdr:row>
      <xdr:rowOff>167640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117461"/>
          <a:ext cx="9349740" cy="1796659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73</xdr:row>
      <xdr:rowOff>91441</xdr:rowOff>
    </xdr:from>
    <xdr:to>
      <xdr:col>7</xdr:col>
      <xdr:colOff>8429</xdr:colOff>
      <xdr:row>85</xdr:row>
      <xdr:rowOff>83821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14020801"/>
          <a:ext cx="9335309" cy="218694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68581</xdr:colOff>
      <xdr:row>95</xdr:row>
      <xdr:rowOff>102846</xdr:rowOff>
    </xdr:from>
    <xdr:to>
      <xdr:col>7</xdr:col>
      <xdr:colOff>45721</xdr:colOff>
      <xdr:row>105</xdr:row>
      <xdr:rowOff>58134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1" y="18055566"/>
          <a:ext cx="9281160" cy="1784088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106</xdr:row>
      <xdr:rowOff>38100</xdr:rowOff>
    </xdr:from>
    <xdr:to>
      <xdr:col>7</xdr:col>
      <xdr:colOff>60959</xdr:colOff>
      <xdr:row>118</xdr:row>
      <xdr:rowOff>137160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" y="20002500"/>
          <a:ext cx="9273539" cy="2293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162</xdr:row>
      <xdr:rowOff>30480</xdr:rowOff>
    </xdr:from>
    <xdr:to>
      <xdr:col>7</xdr:col>
      <xdr:colOff>327660</xdr:colOff>
      <xdr:row>176</xdr:row>
      <xdr:rowOff>79607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" y="30236160"/>
          <a:ext cx="9608820" cy="2609447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177</xdr:row>
      <xdr:rowOff>15240</xdr:rowOff>
    </xdr:from>
    <xdr:to>
      <xdr:col>7</xdr:col>
      <xdr:colOff>297180</xdr:colOff>
      <xdr:row>195</xdr:row>
      <xdr:rowOff>85287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260" y="32964120"/>
          <a:ext cx="9540240" cy="33618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0141827" displayName="Tabla10141827" ref="B3:G41" totalsRowShown="0" headerRowBorderDxfId="6" tableBorderDxfId="7">
  <autoFilter ref="B3:G41"/>
  <tableColumns count="6">
    <tableColumn id="1" name="Descripcion" dataDxfId="5"/>
    <tableColumn id="2" name="Cantidad" dataDxfId="4"/>
    <tableColumn id="3" name="Precio Unitario en €" dataDxfId="3" dataCellStyle="Moneda"/>
    <tableColumn id="4" name="Precio Total en €" dataDxfId="2" dataCellStyle="Moneda">
      <calculatedColumnFormula>+Tabla10141827[[#This Row],[Precio Unitario en €]]*Tabla10141827[[#This Row],[Precio Total en €]]</calculatedColumnFormula>
    </tableColumn>
    <tableColumn id="5" name="Precio Uni Julio 2023 €" dataDxfId="1" dataCellStyle="Moneda">
      <calculatedColumnFormula>+Tabla10141827[[#This Row],[Precio Unitario en €]]*122%</calculatedColumnFormula>
    </tableColumn>
    <tableColumn id="6" name="Columna1" dataDxfId="0" dataCellStyle="Moneda">
      <calculatedColumnFormula>+Tabla10141827[[#This Row],[Cantidad]]*Tabla10141827[[#This Row],[Precio Uni Julio 2023 €]]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62"/>
  <sheetViews>
    <sheetView tabSelected="1" topLeftCell="A189" zoomScaleNormal="100" workbookViewId="0">
      <selection activeCell="B1" sqref="B1:G196"/>
    </sheetView>
  </sheetViews>
  <sheetFormatPr baseColWidth="10" defaultRowHeight="14.4" x14ac:dyDescent="0.3"/>
  <cols>
    <col min="1" max="1" width="1.6640625" customWidth="1"/>
    <col min="2" max="2" width="38.88671875" style="29" customWidth="1"/>
    <col min="3" max="3" width="18" style="26" customWidth="1"/>
    <col min="4" max="4" width="19.109375" style="26" customWidth="1"/>
    <col min="5" max="5" width="19.77734375" customWidth="1"/>
    <col min="6" max="6" width="20.109375" style="32" customWidth="1"/>
    <col min="7" max="7" width="19.77734375" style="32" customWidth="1"/>
  </cols>
  <sheetData>
    <row r="1" spans="2:7" ht="16.95" customHeight="1" x14ac:dyDescent="0.3">
      <c r="B1" s="1" t="s">
        <v>0</v>
      </c>
      <c r="C1" s="2"/>
      <c r="D1" s="2"/>
      <c r="E1" s="2"/>
      <c r="F1" s="2"/>
      <c r="G1" s="3"/>
    </row>
    <row r="2" spans="2:7" ht="16.95" customHeight="1" thickBot="1" x14ac:dyDescent="0.35">
      <c r="B2" s="4"/>
      <c r="C2" s="5"/>
      <c r="D2" s="5"/>
      <c r="E2" s="5"/>
      <c r="F2" s="5"/>
      <c r="G2" s="6"/>
    </row>
    <row r="3" spans="2:7" ht="33" customHeight="1" thickBot="1" x14ac:dyDescent="0.35">
      <c r="B3" s="7" t="s">
        <v>1</v>
      </c>
      <c r="C3" s="8" t="s">
        <v>2</v>
      </c>
      <c r="D3" s="9" t="s">
        <v>3</v>
      </c>
      <c r="E3" s="10" t="s">
        <v>4</v>
      </c>
      <c r="F3" s="10" t="s">
        <v>5</v>
      </c>
      <c r="G3" s="9" t="s">
        <v>6</v>
      </c>
    </row>
    <row r="4" spans="2:7" ht="15" customHeight="1" x14ac:dyDescent="0.3">
      <c r="B4" s="11" t="s">
        <v>7</v>
      </c>
      <c r="C4" s="12">
        <v>6</v>
      </c>
      <c r="D4" s="13">
        <v>39.65</v>
      </c>
      <c r="E4" s="14">
        <f>+Tabla10141827[[#This Row],[Cantidad]]*Tabla10141827[[#This Row],[Precio Unitario en €]]</f>
        <v>237.89999999999998</v>
      </c>
      <c r="F4" s="14">
        <v>47.7</v>
      </c>
      <c r="G4" s="13">
        <v>286.19</v>
      </c>
    </row>
    <row r="5" spans="2:7" ht="15" customHeight="1" x14ac:dyDescent="0.3">
      <c r="B5" s="11" t="s">
        <v>8</v>
      </c>
      <c r="C5" s="15">
        <v>301</v>
      </c>
      <c r="D5" s="13">
        <v>28.34</v>
      </c>
      <c r="E5" s="14">
        <f>+Tabla10141827[[#This Row],[Cantidad]]*Tabla10141827[[#This Row],[Precio Unitario en €]]</f>
        <v>8530.34</v>
      </c>
      <c r="F5" s="14">
        <v>34.090000000000003</v>
      </c>
      <c r="G5" s="13">
        <v>10262</v>
      </c>
    </row>
    <row r="6" spans="2:7" ht="15" customHeight="1" x14ac:dyDescent="0.3">
      <c r="B6" s="11" t="s">
        <v>9</v>
      </c>
      <c r="C6" s="12">
        <v>43</v>
      </c>
      <c r="D6" s="13">
        <v>263.64</v>
      </c>
      <c r="E6" s="14">
        <f>+Tabla10141827[[#This Row],[Cantidad]]*Tabla10141827[[#This Row],[Precio Unitario en €]]</f>
        <v>11336.519999999999</v>
      </c>
      <c r="F6" s="14">
        <v>317.16000000000003</v>
      </c>
      <c r="G6" s="13">
        <v>13637.83</v>
      </c>
    </row>
    <row r="7" spans="2:7" ht="15" customHeight="1" x14ac:dyDescent="0.3">
      <c r="B7" s="11" t="s">
        <v>10</v>
      </c>
      <c r="C7" s="12">
        <v>2</v>
      </c>
      <c r="D7" s="13">
        <v>626.99</v>
      </c>
      <c r="E7" s="14">
        <f>+Tabla10141827[[#This Row],[Cantidad]]*Tabla10141827[[#This Row],[Precio Unitario en €]]</f>
        <v>1253.98</v>
      </c>
      <c r="F7" s="14">
        <v>754.27</v>
      </c>
      <c r="G7" s="13">
        <f>+Tabla10141827[[#This Row],[Cantidad]]*Tabla10141827[[#This Row],[Precio Uni Julio 2023 €]]</f>
        <v>1508.54</v>
      </c>
    </row>
    <row r="8" spans="2:7" ht="15" customHeight="1" x14ac:dyDescent="0.3">
      <c r="B8" s="11" t="s">
        <v>11</v>
      </c>
      <c r="C8" s="12">
        <v>311</v>
      </c>
      <c r="D8" s="13">
        <v>19.89</v>
      </c>
      <c r="E8" s="14">
        <f>+Tabla10141827[[#This Row],[Cantidad]]*Tabla10141827[[#This Row],[Precio Unitario en €]]</f>
        <v>6185.79</v>
      </c>
      <c r="F8" s="14">
        <v>23.93</v>
      </c>
      <c r="G8" s="13">
        <v>7441.51</v>
      </c>
    </row>
    <row r="9" spans="2:7" ht="15" customHeight="1" x14ac:dyDescent="0.3">
      <c r="B9" s="11" t="s">
        <v>12</v>
      </c>
      <c r="C9" s="12">
        <v>6</v>
      </c>
      <c r="D9" s="13">
        <v>36.14</v>
      </c>
      <c r="E9" s="14">
        <f>+Tabla10141827[[#This Row],[Cantidad]]*Tabla10141827[[#This Row],[Precio Unitario en €]]</f>
        <v>216.84</v>
      </c>
      <c r="F9" s="14">
        <v>43.48</v>
      </c>
      <c r="G9" s="13">
        <v>260.86</v>
      </c>
    </row>
    <row r="10" spans="2:7" ht="15" customHeight="1" x14ac:dyDescent="0.3">
      <c r="B10" s="11" t="s">
        <v>13</v>
      </c>
      <c r="C10" s="12">
        <v>13</v>
      </c>
      <c r="D10" s="13">
        <v>36.14</v>
      </c>
      <c r="E10" s="14">
        <f>+Tabla10141827[[#This Row],[Cantidad]]*Tabla10141827[[#This Row],[Precio Unitario en €]]</f>
        <v>469.82</v>
      </c>
      <c r="F10" s="14">
        <v>43.48</v>
      </c>
      <c r="G10" s="13">
        <v>565.19000000000005</v>
      </c>
    </row>
    <row r="11" spans="2:7" ht="15" customHeight="1" x14ac:dyDescent="0.3">
      <c r="B11" s="11" t="s">
        <v>14</v>
      </c>
      <c r="C11" s="12">
        <v>25</v>
      </c>
      <c r="D11" s="13">
        <v>68.900000000000006</v>
      </c>
      <c r="E11" s="14">
        <f>+Tabla10141827[[#This Row],[Cantidad]]*Tabla10141827[[#This Row],[Precio Unitario en €]]</f>
        <v>1722.5000000000002</v>
      </c>
      <c r="F11" s="14">
        <v>82.89</v>
      </c>
      <c r="G11" s="13">
        <v>2072.17</v>
      </c>
    </row>
    <row r="12" spans="2:7" ht="15" customHeight="1" x14ac:dyDescent="0.3">
      <c r="B12" s="11" t="s">
        <v>15</v>
      </c>
      <c r="C12" s="12">
        <v>4</v>
      </c>
      <c r="D12" s="13">
        <v>70.59</v>
      </c>
      <c r="E12" s="14">
        <f>+Tabla10141827[[#This Row],[Cantidad]]*Tabla10141827[[#This Row],[Precio Unitario en €]]</f>
        <v>282.36</v>
      </c>
      <c r="F12" s="14">
        <v>84.92</v>
      </c>
      <c r="G12" s="13">
        <f>+Tabla10141827[[#This Row],[Cantidad]]*Tabla10141827[[#This Row],[Precio Uni Julio 2023 €]]</f>
        <v>339.68</v>
      </c>
    </row>
    <row r="13" spans="2:7" ht="15" customHeight="1" x14ac:dyDescent="0.3">
      <c r="B13" s="11" t="s">
        <v>16</v>
      </c>
      <c r="C13" s="12">
        <v>111</v>
      </c>
      <c r="D13" s="13">
        <v>65.650000000000006</v>
      </c>
      <c r="E13" s="14">
        <f>+Tabla10141827[[#This Row],[Cantidad]]*Tabla10141827[[#This Row],[Precio Unitario en €]]</f>
        <v>7287.1500000000005</v>
      </c>
      <c r="F13" s="14">
        <v>78.98</v>
      </c>
      <c r="G13" s="13">
        <v>8766.44</v>
      </c>
    </row>
    <row r="14" spans="2:7" ht="15" customHeight="1" x14ac:dyDescent="0.3">
      <c r="B14" s="11" t="s">
        <v>17</v>
      </c>
      <c r="C14" s="12">
        <v>21</v>
      </c>
      <c r="D14" s="13">
        <v>78.650000000000006</v>
      </c>
      <c r="E14" s="14">
        <f>+Tabla10141827[[#This Row],[Cantidad]]*Tabla10141827[[#This Row],[Precio Unitario en €]]</f>
        <v>1651.65</v>
      </c>
      <c r="F14" s="14">
        <v>94.62</v>
      </c>
      <c r="G14" s="13">
        <v>1986.93</v>
      </c>
    </row>
    <row r="15" spans="2:7" ht="15" customHeight="1" x14ac:dyDescent="0.3">
      <c r="B15" s="11" t="s">
        <v>18</v>
      </c>
      <c r="C15" s="12">
        <v>725</v>
      </c>
      <c r="D15" s="13">
        <v>76.83</v>
      </c>
      <c r="E15" s="14">
        <f>+Tabla10141827[[#This Row],[Cantidad]]*Tabla10141827[[#This Row],[Precio Unitario en €]]</f>
        <v>55701.75</v>
      </c>
      <c r="F15" s="14">
        <v>92.43</v>
      </c>
      <c r="G15" s="13">
        <v>67009.210000000006</v>
      </c>
    </row>
    <row r="16" spans="2:7" ht="15" customHeight="1" x14ac:dyDescent="0.3">
      <c r="B16" s="11" t="s">
        <v>19</v>
      </c>
      <c r="C16" s="12">
        <v>7</v>
      </c>
      <c r="D16" s="13">
        <v>81</v>
      </c>
      <c r="E16" s="14">
        <f>+Tabla10141827[[#This Row],[Cantidad]]*Tabla10141827[[#This Row],[Precio Unitario en €]]</f>
        <v>567</v>
      </c>
      <c r="F16" s="14">
        <v>97.44</v>
      </c>
      <c r="G16" s="13">
        <v>682.1</v>
      </c>
    </row>
    <row r="17" spans="2:7" ht="15" customHeight="1" x14ac:dyDescent="0.3">
      <c r="B17" s="11" t="s">
        <v>20</v>
      </c>
      <c r="C17" s="12">
        <v>8</v>
      </c>
      <c r="D17" s="13">
        <v>624.78</v>
      </c>
      <c r="E17" s="14">
        <f>+Tabla10141827[[#This Row],[Cantidad]]*Tabla10141827[[#This Row],[Precio Unitario en €]]</f>
        <v>4998.24</v>
      </c>
      <c r="F17" s="14">
        <v>751.61</v>
      </c>
      <c r="G17" s="13">
        <f>+Tabla10141827[[#This Row],[Cantidad]]*Tabla10141827[[#This Row],[Precio Uni Julio 2023 €]]</f>
        <v>6012.88</v>
      </c>
    </row>
    <row r="18" spans="2:7" ht="15" customHeight="1" x14ac:dyDescent="0.3">
      <c r="B18" s="11" t="s">
        <v>21</v>
      </c>
      <c r="C18" s="12">
        <v>8</v>
      </c>
      <c r="D18" s="13">
        <v>539.76</v>
      </c>
      <c r="E18" s="14">
        <f>+Tabla10141827[[#This Row],[Cantidad]]*Tabla10141827[[#This Row],[Precio Unitario en €]]</f>
        <v>4318.08</v>
      </c>
      <c r="F18" s="14">
        <v>649.33000000000004</v>
      </c>
      <c r="G18" s="13">
        <v>5194.6499999999996</v>
      </c>
    </row>
    <row r="19" spans="2:7" ht="15" customHeight="1" x14ac:dyDescent="0.3">
      <c r="B19" s="11" t="s">
        <v>22</v>
      </c>
      <c r="C19" s="12">
        <v>4</v>
      </c>
      <c r="D19" s="13">
        <v>449.41</v>
      </c>
      <c r="E19" s="14">
        <f>+Tabla10141827[[#This Row],[Cantidad]]*Tabla10141827[[#This Row],[Precio Unitario en €]]</f>
        <v>1797.64</v>
      </c>
      <c r="F19" s="14">
        <v>540.64</v>
      </c>
      <c r="G19" s="13">
        <f>+Tabla10141827[[#This Row],[Cantidad]]*Tabla10141827[[#This Row],[Precio Uni Julio 2023 €]]</f>
        <v>2162.56</v>
      </c>
    </row>
    <row r="20" spans="2:7" ht="15" customHeight="1" x14ac:dyDescent="0.3">
      <c r="B20" s="11" t="s">
        <v>23</v>
      </c>
      <c r="C20" s="12">
        <v>260</v>
      </c>
      <c r="D20" s="13">
        <v>33.020000000000003</v>
      </c>
      <c r="E20" s="14">
        <f>+Tabla10141827[[#This Row],[Cantidad]]*Tabla10141827[[#This Row],[Precio Unitario en €]]</f>
        <v>8585.2000000000007</v>
      </c>
      <c r="F20" s="14">
        <v>39.72</v>
      </c>
      <c r="G20" s="13">
        <v>10328</v>
      </c>
    </row>
    <row r="21" spans="2:7" ht="15" customHeight="1" x14ac:dyDescent="0.3">
      <c r="B21" s="11" t="s">
        <v>24</v>
      </c>
      <c r="C21" s="12">
        <v>67</v>
      </c>
      <c r="D21" s="13">
        <v>39.39</v>
      </c>
      <c r="E21" s="14">
        <f>+Tabla10141827[[#This Row],[Cantidad]]*Tabla10141827[[#This Row],[Precio Unitario en €]]</f>
        <v>2639.13</v>
      </c>
      <c r="F21" s="14">
        <v>47.39</v>
      </c>
      <c r="G21" s="13">
        <v>3174.87</v>
      </c>
    </row>
    <row r="22" spans="2:7" ht="15" customHeight="1" x14ac:dyDescent="0.3">
      <c r="B22" s="11" t="s">
        <v>25</v>
      </c>
      <c r="C22" s="12">
        <v>1526</v>
      </c>
      <c r="D22" s="13">
        <v>64.349999999999994</v>
      </c>
      <c r="E22" s="14">
        <f>+Tabla10141827[[#This Row],[Cantidad]]*Tabla10141827[[#This Row],[Precio Unitario en €]]</f>
        <v>98198.099999999991</v>
      </c>
      <c r="F22" s="14">
        <v>77.41</v>
      </c>
      <c r="G22" s="13">
        <v>118132.31</v>
      </c>
    </row>
    <row r="23" spans="2:7" ht="15" customHeight="1" x14ac:dyDescent="0.3">
      <c r="B23" s="11" t="s">
        <v>26</v>
      </c>
      <c r="C23" s="12">
        <v>15</v>
      </c>
      <c r="D23" s="13">
        <v>39.39</v>
      </c>
      <c r="E23" s="14">
        <f>+Tabla10141827[[#This Row],[Cantidad]]*Tabla10141827[[#This Row],[Precio Unitario en €]]</f>
        <v>590.85</v>
      </c>
      <c r="F23" s="14">
        <v>47.39</v>
      </c>
      <c r="G23" s="13">
        <v>710.79</v>
      </c>
    </row>
    <row r="24" spans="2:7" ht="15" customHeight="1" x14ac:dyDescent="0.3">
      <c r="B24" s="11" t="s">
        <v>27</v>
      </c>
      <c r="C24" s="12">
        <v>29</v>
      </c>
      <c r="D24" s="13">
        <v>64.349999999999994</v>
      </c>
      <c r="E24" s="14">
        <f>+Tabla10141827[[#This Row],[Cantidad]]*Tabla10141827[[#This Row],[Precio Unitario en €]]</f>
        <v>1866.1499999999999</v>
      </c>
      <c r="F24" s="14">
        <v>77.41</v>
      </c>
      <c r="G24" s="13">
        <v>2244.98</v>
      </c>
    </row>
    <row r="25" spans="2:7" ht="15" customHeight="1" x14ac:dyDescent="0.3">
      <c r="B25" s="11" t="s">
        <v>28</v>
      </c>
      <c r="C25" s="12">
        <v>71</v>
      </c>
      <c r="D25" s="13">
        <v>112.06</v>
      </c>
      <c r="E25" s="14">
        <f>+Tabla10141827[[#This Row],[Cantidad]]*Tabla10141827[[#This Row],[Precio Unitario en €]]</f>
        <v>7956.26</v>
      </c>
      <c r="F25" s="14">
        <v>134.81</v>
      </c>
      <c r="G25" s="13">
        <v>9571.3799999999992</v>
      </c>
    </row>
    <row r="26" spans="2:7" ht="15" customHeight="1" x14ac:dyDescent="0.3">
      <c r="B26" s="11" t="s">
        <v>29</v>
      </c>
      <c r="C26" s="12">
        <v>9</v>
      </c>
      <c r="D26" s="13">
        <v>64.48</v>
      </c>
      <c r="E26" s="14">
        <f>+Tabla10141827[[#This Row],[Cantidad]]*Tabla10141827[[#This Row],[Precio Unitario en €]]</f>
        <v>580.32000000000005</v>
      </c>
      <c r="F26" s="14">
        <v>77.569999999999993</v>
      </c>
      <c r="G26" s="13">
        <v>698.12</v>
      </c>
    </row>
    <row r="27" spans="2:7" ht="15" customHeight="1" x14ac:dyDescent="0.3">
      <c r="B27" s="16" t="s">
        <v>30</v>
      </c>
      <c r="C27" s="17">
        <v>12</v>
      </c>
      <c r="D27" s="13">
        <v>103.22</v>
      </c>
      <c r="E27" s="14">
        <f>+Tabla10141827[[#This Row],[Cantidad]]*Tabla10141827[[#This Row],[Precio Unitario en €]]</f>
        <v>1238.6399999999999</v>
      </c>
      <c r="F27" s="14">
        <v>124.17</v>
      </c>
      <c r="G27" s="13">
        <v>1490.08</v>
      </c>
    </row>
    <row r="28" spans="2:7" ht="15" customHeight="1" x14ac:dyDescent="0.3">
      <c r="B28" s="11" t="s">
        <v>31</v>
      </c>
      <c r="C28" s="12">
        <v>109</v>
      </c>
      <c r="D28" s="13">
        <v>117.39</v>
      </c>
      <c r="E28" s="14">
        <f>+Tabla10141827[[#This Row],[Cantidad]]*Tabla10141827[[#This Row],[Precio Unitario en €]]</f>
        <v>12795.51</v>
      </c>
      <c r="F28" s="14">
        <v>141.22</v>
      </c>
      <c r="G28" s="13">
        <v>15393</v>
      </c>
    </row>
    <row r="29" spans="2:7" ht="15" customHeight="1" x14ac:dyDescent="0.3">
      <c r="B29" s="11" t="s">
        <v>32</v>
      </c>
      <c r="C29" s="12">
        <v>15</v>
      </c>
      <c r="D29" s="13">
        <v>133.38</v>
      </c>
      <c r="E29" s="14">
        <f>+Tabla10141827[[#This Row],[Cantidad]]*Tabla10141827[[#This Row],[Precio Unitario en €]]</f>
        <v>2000.6999999999998</v>
      </c>
      <c r="F29" s="14">
        <v>160.46</v>
      </c>
      <c r="G29" s="13">
        <v>2406.84</v>
      </c>
    </row>
    <row r="30" spans="2:7" ht="15" customHeight="1" x14ac:dyDescent="0.3">
      <c r="B30" s="16" t="s">
        <v>33</v>
      </c>
      <c r="C30" s="17">
        <v>2</v>
      </c>
      <c r="D30" s="13">
        <v>47.71</v>
      </c>
      <c r="E30" s="14">
        <f>+Tabla10141827[[#This Row],[Cantidad]]*Tabla10141827[[#This Row],[Precio Unitario en €]]</f>
        <v>95.42</v>
      </c>
      <c r="F30" s="14">
        <v>57.4</v>
      </c>
      <c r="G30" s="13">
        <v>114.79</v>
      </c>
    </row>
    <row r="31" spans="2:7" ht="15" customHeight="1" x14ac:dyDescent="0.3">
      <c r="B31" s="11" t="s">
        <v>34</v>
      </c>
      <c r="C31" s="12">
        <v>926</v>
      </c>
      <c r="D31" s="13">
        <v>75.010000000000005</v>
      </c>
      <c r="E31" s="14">
        <f>+Tabla10141827[[#This Row],[Cantidad]]*Tabla10141827[[#This Row],[Precio Unitario en €]]</f>
        <v>69459.260000000009</v>
      </c>
      <c r="F31" s="14">
        <v>90.24</v>
      </c>
      <c r="G31" s="13">
        <v>83559.490000000005</v>
      </c>
    </row>
    <row r="32" spans="2:7" ht="15" customHeight="1" x14ac:dyDescent="0.3">
      <c r="B32" s="16" t="s">
        <v>35</v>
      </c>
      <c r="C32" s="17">
        <v>56</v>
      </c>
      <c r="D32" s="13">
        <v>70.069999999999993</v>
      </c>
      <c r="E32" s="14">
        <f>+Tabla10141827[[#This Row],[Cantidad]]*Tabla10141827[[#This Row],[Precio Unitario en €]]</f>
        <v>3923.9199999999996</v>
      </c>
      <c r="F32" s="14">
        <v>84.29</v>
      </c>
      <c r="G32" s="13">
        <v>4720.4799999999996</v>
      </c>
    </row>
    <row r="33" spans="2:7" ht="15" customHeight="1" x14ac:dyDescent="0.3">
      <c r="B33" s="11" t="s">
        <v>36</v>
      </c>
      <c r="C33" s="12">
        <v>50</v>
      </c>
      <c r="D33" s="13">
        <v>36.14</v>
      </c>
      <c r="E33" s="14">
        <f>+Tabla10141827[[#This Row],[Cantidad]]*Tabla10141827[[#This Row],[Precio Unitario en €]]</f>
        <v>1807</v>
      </c>
      <c r="F33" s="14">
        <v>43.48</v>
      </c>
      <c r="G33" s="13">
        <v>2173.8200000000002</v>
      </c>
    </row>
    <row r="34" spans="2:7" ht="15" customHeight="1" x14ac:dyDescent="0.3">
      <c r="B34" s="11" t="s">
        <v>37</v>
      </c>
      <c r="C34" s="12">
        <v>50</v>
      </c>
      <c r="D34" s="13">
        <v>33.409999999999997</v>
      </c>
      <c r="E34" s="14">
        <f>+Tabla10141827[[#This Row],[Cantidad]]*Tabla10141827[[#This Row],[Precio Unitario en €]]</f>
        <v>1670.4999999999998</v>
      </c>
      <c r="F34" s="14">
        <v>40.19</v>
      </c>
      <c r="G34" s="13">
        <v>2009.61</v>
      </c>
    </row>
    <row r="35" spans="2:7" ht="15" customHeight="1" x14ac:dyDescent="0.3">
      <c r="B35" s="11" t="s">
        <v>38</v>
      </c>
      <c r="C35" s="12">
        <v>17</v>
      </c>
      <c r="D35" s="13">
        <v>45.76</v>
      </c>
      <c r="E35" s="14">
        <f>+Tabla10141827[[#This Row],[Cantidad]]*Tabla10141827[[#This Row],[Precio Unitario en €]]</f>
        <v>777.92</v>
      </c>
      <c r="F35" s="14">
        <v>55.05</v>
      </c>
      <c r="G35" s="13">
        <v>935.84</v>
      </c>
    </row>
    <row r="36" spans="2:7" ht="15" customHeight="1" x14ac:dyDescent="0.3">
      <c r="B36" s="11" t="s">
        <v>39</v>
      </c>
      <c r="C36" s="12">
        <v>145</v>
      </c>
      <c r="D36" s="13">
        <v>43.03</v>
      </c>
      <c r="E36" s="14">
        <f>+Tabla10141827[[#This Row],[Cantidad]]*Tabla10141827[[#This Row],[Precio Unitario en €]]</f>
        <v>6239.35</v>
      </c>
      <c r="F36" s="14">
        <v>51.77</v>
      </c>
      <c r="G36" s="13">
        <v>7505.94</v>
      </c>
    </row>
    <row r="37" spans="2:7" ht="15" customHeight="1" x14ac:dyDescent="0.3">
      <c r="B37" s="11" t="s">
        <v>40</v>
      </c>
      <c r="C37" s="12">
        <v>27</v>
      </c>
      <c r="D37" s="13">
        <v>61.23</v>
      </c>
      <c r="E37" s="14">
        <f>+Tabla10141827[[#This Row],[Cantidad]]*Tabla10141827[[#This Row],[Precio Unitario en €]]</f>
        <v>1653.2099999999998</v>
      </c>
      <c r="F37" s="14">
        <v>73.66</v>
      </c>
      <c r="G37" s="13">
        <v>1988.81</v>
      </c>
    </row>
    <row r="38" spans="2:7" ht="15" customHeight="1" x14ac:dyDescent="0.3">
      <c r="B38" s="11" t="s">
        <v>41</v>
      </c>
      <c r="C38" s="12">
        <v>80</v>
      </c>
      <c r="D38" s="13">
        <v>37.96</v>
      </c>
      <c r="E38" s="14">
        <f>+Tabla10141827[[#This Row],[Cantidad]]*Tabla10141827[[#This Row],[Precio Unitario en €]]</f>
        <v>3036.8</v>
      </c>
      <c r="F38" s="14">
        <v>45.67</v>
      </c>
      <c r="G38" s="13">
        <v>3653.27</v>
      </c>
    </row>
    <row r="39" spans="2:7" ht="15" customHeight="1" x14ac:dyDescent="0.3">
      <c r="B39" s="16" t="s">
        <v>42</v>
      </c>
      <c r="C39" s="17">
        <v>15</v>
      </c>
      <c r="D39" s="13">
        <v>55.64</v>
      </c>
      <c r="E39" s="14">
        <f>+Tabla10141827[[#This Row],[Cantidad]]*Tabla10141827[[#This Row],[Precio Unitario en €]]</f>
        <v>834.6</v>
      </c>
      <c r="F39" s="14">
        <v>66.930000000000007</v>
      </c>
      <c r="G39" s="13">
        <v>1004.02</v>
      </c>
    </row>
    <row r="40" spans="2:7" s="19" customFormat="1" ht="15" customHeight="1" x14ac:dyDescent="0.3">
      <c r="B40" s="16" t="s">
        <v>43</v>
      </c>
      <c r="C40" s="17">
        <v>237</v>
      </c>
      <c r="D40" s="18">
        <v>148.19999999999999</v>
      </c>
      <c r="E40" s="14">
        <f>+Tabla10141827[[#This Row],[Cantidad]]*Tabla10141827[[#This Row],[Precio Unitario en €]]</f>
        <v>35123.399999999994</v>
      </c>
      <c r="F40" s="14">
        <v>178.28</v>
      </c>
      <c r="G40" s="18">
        <v>42253.45</v>
      </c>
    </row>
    <row r="41" spans="2:7" x14ac:dyDescent="0.3">
      <c r="B41" s="20"/>
      <c r="C41" s="21"/>
      <c r="D41" s="22"/>
      <c r="E41" s="23"/>
      <c r="F41" s="23"/>
      <c r="G41" s="24">
        <v>442258.65</v>
      </c>
    </row>
    <row r="42" spans="2:7" x14ac:dyDescent="0.3">
      <c r="B42" s="25" t="s">
        <v>44</v>
      </c>
      <c r="C42" s="25"/>
      <c r="E42" s="27" t="s">
        <v>45</v>
      </c>
      <c r="F42" s="27"/>
      <c r="G42" s="28">
        <f>+G41</f>
        <v>442258.65</v>
      </c>
    </row>
    <row r="43" spans="2:7" x14ac:dyDescent="0.3">
      <c r="B43" s="29" t="s">
        <v>46</v>
      </c>
      <c r="C43" s="30">
        <v>0.15</v>
      </c>
      <c r="E43" s="26"/>
      <c r="F43" s="26"/>
      <c r="G43" s="26"/>
    </row>
    <row r="44" spans="2:7" x14ac:dyDescent="0.3">
      <c r="B44" s="29" t="s">
        <v>47</v>
      </c>
      <c r="C44" s="30">
        <v>0.25</v>
      </c>
      <c r="E44" s="26"/>
      <c r="F44" s="26"/>
      <c r="G44" s="26"/>
    </row>
    <row r="45" spans="2:7" x14ac:dyDescent="0.3">
      <c r="B45" s="29" t="s">
        <v>48</v>
      </c>
      <c r="C45" s="30">
        <v>0.25</v>
      </c>
      <c r="E45" s="26"/>
      <c r="F45" s="26"/>
      <c r="G45" s="26"/>
    </row>
    <row r="46" spans="2:7" x14ac:dyDescent="0.3">
      <c r="B46" s="29" t="s">
        <v>49</v>
      </c>
      <c r="C46" s="30">
        <v>0.15</v>
      </c>
      <c r="E46" s="26"/>
      <c r="F46" s="26"/>
      <c r="G46" s="26"/>
    </row>
    <row r="47" spans="2:7" x14ac:dyDescent="0.3">
      <c r="B47" s="29" t="s">
        <v>50</v>
      </c>
      <c r="C47" s="30">
        <v>0.2</v>
      </c>
      <c r="E47" s="26"/>
      <c r="F47" s="26"/>
      <c r="G47" s="26"/>
    </row>
    <row r="48" spans="2:7" x14ac:dyDescent="0.3">
      <c r="C48" s="31">
        <f>SUM(C43:C47)</f>
        <v>1</v>
      </c>
    </row>
    <row r="50" spans="2:4" x14ac:dyDescent="0.3">
      <c r="B50" s="33" t="s">
        <v>51</v>
      </c>
      <c r="C50" s="34">
        <v>0.15</v>
      </c>
      <c r="D50" s="35" t="s">
        <v>46</v>
      </c>
    </row>
    <row r="51" spans="2:4" x14ac:dyDescent="0.3">
      <c r="B51" s="29" t="s">
        <v>45</v>
      </c>
      <c r="C51" s="36">
        <f>+G42</f>
        <v>442258.65</v>
      </c>
    </row>
    <row r="52" spans="2:4" x14ac:dyDescent="0.3">
      <c r="B52" s="29" t="s">
        <v>52</v>
      </c>
      <c r="C52" s="36">
        <f>+C51*C43</f>
        <v>66338.797500000001</v>
      </c>
    </row>
    <row r="53" spans="2:4" x14ac:dyDescent="0.3">
      <c r="B53" s="29" t="s">
        <v>53</v>
      </c>
      <c r="C53" s="37">
        <v>314</v>
      </c>
    </row>
    <row r="54" spans="2:4" x14ac:dyDescent="0.3">
      <c r="B54" s="29" t="s">
        <v>54</v>
      </c>
      <c r="C54" s="37">
        <f>+C52*C53</f>
        <v>20830382.414999999</v>
      </c>
    </row>
    <row r="55" spans="2:4" x14ac:dyDescent="0.3">
      <c r="B55" s="29" t="s">
        <v>55</v>
      </c>
      <c r="C55" s="37">
        <v>566</v>
      </c>
    </row>
    <row r="56" spans="2:4" x14ac:dyDescent="0.3">
      <c r="B56" s="38" t="s">
        <v>56</v>
      </c>
      <c r="C56" s="39">
        <f>+C54/C55</f>
        <v>36802.795786219081</v>
      </c>
    </row>
    <row r="57" spans="2:4" x14ac:dyDescent="0.3">
      <c r="B57" s="29" t="s">
        <v>57</v>
      </c>
      <c r="C57" s="40">
        <f>+C56*2%</f>
        <v>736.05591572438163</v>
      </c>
      <c r="D57" s="40">
        <f>+C56+C57</f>
        <v>37538.851701943466</v>
      </c>
    </row>
    <row r="58" spans="2:4" x14ac:dyDescent="0.3">
      <c r="B58" s="29" t="s">
        <v>58</v>
      </c>
      <c r="C58" s="40">
        <f>+D$57*2%</f>
        <v>750.77703403886937</v>
      </c>
      <c r="D58" s="40">
        <f>+D57+C58</f>
        <v>38289.628735982333</v>
      </c>
    </row>
    <row r="59" spans="2:4" x14ac:dyDescent="0.3">
      <c r="B59" s="29" t="s">
        <v>59</v>
      </c>
      <c r="C59" s="40">
        <f>+D$58*2%</f>
        <v>765.79257471964672</v>
      </c>
      <c r="D59" s="40">
        <f>+C59+D58</f>
        <v>39055.421310701982</v>
      </c>
    </row>
    <row r="60" spans="2:4" x14ac:dyDescent="0.3">
      <c r="B60" s="29" t="s">
        <v>60</v>
      </c>
      <c r="C60" s="40">
        <f>+D$59*2%</f>
        <v>781.1084262140397</v>
      </c>
      <c r="D60" s="40">
        <f>+D59+C60</f>
        <v>39836.529736916025</v>
      </c>
    </row>
    <row r="61" spans="2:4" x14ac:dyDescent="0.3">
      <c r="B61" s="29" t="s">
        <v>61</v>
      </c>
      <c r="C61" s="40">
        <f>+D$60*2%</f>
        <v>796.73059473832052</v>
      </c>
      <c r="D61" s="41">
        <f>+D60+C61</f>
        <v>40633.260331654346</v>
      </c>
    </row>
    <row r="87" spans="2:4" x14ac:dyDescent="0.3">
      <c r="B87" s="33" t="s">
        <v>62</v>
      </c>
      <c r="C87" s="34">
        <v>0.25</v>
      </c>
      <c r="D87" s="42" t="s">
        <v>47</v>
      </c>
    </row>
    <row r="88" spans="2:4" x14ac:dyDescent="0.3">
      <c r="B88" s="29" t="s">
        <v>63</v>
      </c>
      <c r="C88" s="36">
        <f>442258.65-C52</f>
        <v>375919.85250000004</v>
      </c>
    </row>
    <row r="89" spans="2:4" x14ac:dyDescent="0.3">
      <c r="B89" s="29" t="s">
        <v>52</v>
      </c>
      <c r="C89" s="36">
        <f>+C88*C87</f>
        <v>93979.963125000009</v>
      </c>
    </row>
    <row r="90" spans="2:4" x14ac:dyDescent="0.3">
      <c r="B90" s="29" t="s">
        <v>64</v>
      </c>
      <c r="C90" s="37">
        <v>387</v>
      </c>
    </row>
    <row r="91" spans="2:4" x14ac:dyDescent="0.3">
      <c r="B91" s="29" t="s">
        <v>54</v>
      </c>
      <c r="C91" s="37">
        <f>+C89*C90</f>
        <v>36370245.729375005</v>
      </c>
    </row>
    <row r="92" spans="2:4" x14ac:dyDescent="0.3">
      <c r="B92" s="29" t="s">
        <v>65</v>
      </c>
      <c r="C92" s="37">
        <v>915</v>
      </c>
    </row>
    <row r="93" spans="2:4" x14ac:dyDescent="0.3">
      <c r="B93" s="29" t="s">
        <v>56</v>
      </c>
      <c r="C93" s="40">
        <f>+C91/C92</f>
        <v>39748.902436475415</v>
      </c>
    </row>
    <row r="94" spans="2:4" x14ac:dyDescent="0.3">
      <c r="B94" s="29" t="s">
        <v>60</v>
      </c>
      <c r="C94" s="40">
        <f>+C93*2%</f>
        <v>794.97804872950837</v>
      </c>
      <c r="D94" s="40">
        <f>+C93+C94</f>
        <v>40543.880485204922</v>
      </c>
    </row>
    <row r="95" spans="2:4" x14ac:dyDescent="0.3">
      <c r="B95" s="29" t="s">
        <v>61</v>
      </c>
      <c r="C95" s="40">
        <f>+D94*2%</f>
        <v>810.8776097040984</v>
      </c>
      <c r="D95" s="41">
        <f>+D94+C95</f>
        <v>41354.758094909019</v>
      </c>
    </row>
    <row r="121" spans="2:7" x14ac:dyDescent="0.3">
      <c r="B121" s="43" t="s">
        <v>66</v>
      </c>
      <c r="C121" s="43"/>
      <c r="D121" s="41">
        <f>+D61+D95</f>
        <v>81988.018426563358</v>
      </c>
      <c r="E121" s="44" t="s">
        <v>67</v>
      </c>
    </row>
    <row r="124" spans="2:7" x14ac:dyDescent="0.3">
      <c r="B124" s="33" t="s">
        <v>68</v>
      </c>
      <c r="C124" s="34">
        <v>0.25</v>
      </c>
      <c r="D124" s="33" t="s">
        <v>48</v>
      </c>
      <c r="E124" s="45" t="s">
        <v>69</v>
      </c>
      <c r="F124" s="46" t="s">
        <v>70</v>
      </c>
      <c r="G124" s="46"/>
    </row>
    <row r="125" spans="2:7" x14ac:dyDescent="0.3">
      <c r="B125" s="29" t="s">
        <v>63</v>
      </c>
      <c r="C125" s="36">
        <f>+C88-C89</f>
        <v>281939.88937500003</v>
      </c>
    </row>
    <row r="126" spans="2:7" x14ac:dyDescent="0.3">
      <c r="B126" s="29" t="s">
        <v>52</v>
      </c>
      <c r="C126" s="36">
        <f>+C125*C124</f>
        <v>70484.972343750007</v>
      </c>
    </row>
    <row r="127" spans="2:7" x14ac:dyDescent="0.3">
      <c r="B127" s="29" t="s">
        <v>71</v>
      </c>
      <c r="C127" s="37">
        <v>941</v>
      </c>
    </row>
    <row r="128" spans="2:7" x14ac:dyDescent="0.3">
      <c r="B128" s="29" t="s">
        <v>54</v>
      </c>
      <c r="C128" s="37">
        <f>+C126*C127</f>
        <v>66326358.975468755</v>
      </c>
    </row>
    <row r="129" spans="2:4" x14ac:dyDescent="0.3">
      <c r="B129" s="29" t="s">
        <v>72</v>
      </c>
      <c r="C129" s="37">
        <v>1200</v>
      </c>
    </row>
    <row r="130" spans="2:4" x14ac:dyDescent="0.3">
      <c r="B130" s="29" t="s">
        <v>56</v>
      </c>
      <c r="C130" s="41">
        <f>+C128/C129</f>
        <v>55271.96581289063</v>
      </c>
    </row>
    <row r="132" spans="2:4" x14ac:dyDescent="0.3">
      <c r="B132" s="33" t="s">
        <v>73</v>
      </c>
      <c r="C132" s="34">
        <v>0.15</v>
      </c>
      <c r="D132" s="33" t="s">
        <v>49</v>
      </c>
    </row>
    <row r="133" spans="2:4" x14ac:dyDescent="0.3">
      <c r="B133" s="29" t="s">
        <v>63</v>
      </c>
      <c r="C133" s="36">
        <f>+C125-C126</f>
        <v>211454.91703125002</v>
      </c>
    </row>
    <row r="134" spans="2:4" x14ac:dyDescent="0.3">
      <c r="B134" s="29" t="s">
        <v>52</v>
      </c>
      <c r="C134" s="36">
        <f>+C133*C132</f>
        <v>31718.237554687501</v>
      </c>
    </row>
    <row r="135" spans="2:4" x14ac:dyDescent="0.3">
      <c r="B135" s="29" t="s">
        <v>74</v>
      </c>
      <c r="C135" s="37">
        <v>977</v>
      </c>
    </row>
    <row r="136" spans="2:4" x14ac:dyDescent="0.3">
      <c r="B136" s="29" t="s">
        <v>54</v>
      </c>
      <c r="C136" s="37">
        <f>+C134*C135</f>
        <v>30988718.090929687</v>
      </c>
    </row>
    <row r="137" spans="2:4" x14ac:dyDescent="0.3">
      <c r="B137" s="29" t="s">
        <v>75</v>
      </c>
      <c r="C137" s="37">
        <v>1050</v>
      </c>
    </row>
    <row r="138" spans="2:4" x14ac:dyDescent="0.3">
      <c r="B138" s="29" t="s">
        <v>56</v>
      </c>
      <c r="C138" s="41">
        <f>+C136/C137</f>
        <v>29513.064848504462</v>
      </c>
    </row>
    <row r="140" spans="2:4" x14ac:dyDescent="0.3">
      <c r="B140" s="33" t="s">
        <v>76</v>
      </c>
      <c r="C140" s="34">
        <v>0.2</v>
      </c>
      <c r="D140" s="33" t="s">
        <v>50</v>
      </c>
    </row>
    <row r="141" spans="2:4" x14ac:dyDescent="0.3">
      <c r="B141" s="29" t="s">
        <v>63</v>
      </c>
      <c r="C141" s="36">
        <f>+C133-C134</f>
        <v>179736.67947656251</v>
      </c>
    </row>
    <row r="142" spans="2:4" x14ac:dyDescent="0.3">
      <c r="B142" s="29" t="s">
        <v>52</v>
      </c>
      <c r="C142" s="36">
        <f>+C141*C140</f>
        <v>35947.335895312506</v>
      </c>
    </row>
    <row r="143" spans="2:4" x14ac:dyDescent="0.3">
      <c r="B143" s="29" t="s">
        <v>77</v>
      </c>
      <c r="C143" s="37">
        <v>1014</v>
      </c>
    </row>
    <row r="144" spans="2:4" x14ac:dyDescent="0.3">
      <c r="B144" s="29" t="s">
        <v>54</v>
      </c>
      <c r="C144" s="37">
        <f>+C142*C143</f>
        <v>36450598.597846881</v>
      </c>
    </row>
    <row r="145" spans="2:4" x14ac:dyDescent="0.3">
      <c r="B145" s="29" t="s">
        <v>78</v>
      </c>
      <c r="C145" s="37">
        <v>1230</v>
      </c>
    </row>
    <row r="146" spans="2:4" x14ac:dyDescent="0.3">
      <c r="B146" s="29" t="s">
        <v>56</v>
      </c>
      <c r="C146" s="41">
        <f>+C144/C145</f>
        <v>29634.633006379579</v>
      </c>
    </row>
    <row r="148" spans="2:4" x14ac:dyDescent="0.3">
      <c r="B148" s="33" t="s">
        <v>79</v>
      </c>
      <c r="C148" s="34">
        <v>0.5</v>
      </c>
      <c r="D148" s="33" t="s">
        <v>80</v>
      </c>
    </row>
    <row r="149" spans="2:4" x14ac:dyDescent="0.3">
      <c r="B149" s="29" t="s">
        <v>63</v>
      </c>
      <c r="C149" s="36">
        <f>+C141-C142</f>
        <v>143789.34358125</v>
      </c>
    </row>
    <row r="150" spans="2:4" x14ac:dyDescent="0.3">
      <c r="B150" s="29" t="s">
        <v>52</v>
      </c>
      <c r="C150" s="36">
        <f>+C149*C148</f>
        <v>71894.671790624998</v>
      </c>
    </row>
    <row r="151" spans="2:4" x14ac:dyDescent="0.3">
      <c r="B151" s="29" t="s">
        <v>81</v>
      </c>
      <c r="C151" s="37">
        <v>1024</v>
      </c>
    </row>
    <row r="152" spans="2:4" x14ac:dyDescent="0.3">
      <c r="B152" s="29" t="s">
        <v>54</v>
      </c>
      <c r="C152" s="37">
        <f>+C150*C151</f>
        <v>73620143.913599998</v>
      </c>
    </row>
    <row r="153" spans="2:4" x14ac:dyDescent="0.3">
      <c r="B153" s="29" t="s">
        <v>82</v>
      </c>
      <c r="C153" s="37">
        <v>1400</v>
      </c>
    </row>
    <row r="154" spans="2:4" x14ac:dyDescent="0.3">
      <c r="B154" s="29" t="s">
        <v>56</v>
      </c>
      <c r="C154" s="41">
        <f>+C152/C153</f>
        <v>52585.817081142857</v>
      </c>
    </row>
    <row r="156" spans="2:4" x14ac:dyDescent="0.3">
      <c r="B156" s="33" t="s">
        <v>83</v>
      </c>
      <c r="C156" s="34">
        <v>1</v>
      </c>
      <c r="D156" s="33" t="s">
        <v>84</v>
      </c>
    </row>
    <row r="157" spans="2:4" x14ac:dyDescent="0.3">
      <c r="B157" s="29" t="s">
        <v>63</v>
      </c>
      <c r="C157" s="36">
        <f>+C149-C150</f>
        <v>71894.671790624998</v>
      </c>
    </row>
    <row r="158" spans="2:4" x14ac:dyDescent="0.3">
      <c r="B158" s="29" t="s">
        <v>52</v>
      </c>
      <c r="C158" s="36">
        <f>+C157*C156</f>
        <v>71894.671790624998</v>
      </c>
    </row>
    <row r="159" spans="2:4" x14ac:dyDescent="0.3">
      <c r="B159" s="29" t="s">
        <v>85</v>
      </c>
      <c r="C159" s="37">
        <v>1044</v>
      </c>
    </row>
    <row r="160" spans="2:4" x14ac:dyDescent="0.3">
      <c r="B160" s="29" t="s">
        <v>54</v>
      </c>
      <c r="C160" s="37">
        <f>+C158*C159</f>
        <v>75058037.349412501</v>
      </c>
    </row>
    <row r="161" spans="2:3" x14ac:dyDescent="0.3">
      <c r="B161" s="29" t="s">
        <v>86</v>
      </c>
      <c r="C161" s="37">
        <v>1375</v>
      </c>
    </row>
    <row r="162" spans="2:3" x14ac:dyDescent="0.3">
      <c r="B162" s="29" t="s">
        <v>56</v>
      </c>
      <c r="C162" s="41">
        <f>+C160/C161</f>
        <v>54587.663526845456</v>
      </c>
    </row>
  </sheetData>
  <mergeCells count="5">
    <mergeCell ref="B1:G2"/>
    <mergeCell ref="B42:C42"/>
    <mergeCell ref="E42:F42"/>
    <mergeCell ref="B121:C121"/>
    <mergeCell ref="F124:G124"/>
  </mergeCells>
  <printOptions horizontalCentered="1"/>
  <pageMargins left="0.19685039370078741" right="0.11811023622047245" top="0.39370078740157483" bottom="0.19685039370078741" header="0.31496062992125984" footer="0.31496062992125984"/>
  <pageSetup paperSize="9" scale="68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AIRASCA 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2024-09-24T15:50:50Z</cp:lastPrinted>
  <dcterms:created xsi:type="dcterms:W3CDTF">2024-09-24T15:43:47Z</dcterms:created>
  <dcterms:modified xsi:type="dcterms:W3CDTF">2024-09-24T15:51:36Z</dcterms:modified>
</cp:coreProperties>
</file>