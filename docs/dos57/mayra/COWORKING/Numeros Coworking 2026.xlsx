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MAYRA 2024\MAYRA - ENJOY\COWORKING\"/>
    </mc:Choice>
  </mc:AlternateContent>
  <bookViews>
    <workbookView xWindow="-120" yWindow="-120" windowWidth="20736" windowHeight="11160" tabRatio="865" activeTab="7"/>
  </bookViews>
  <sheets>
    <sheet name="ENERO" sheetId="35" r:id="rId1"/>
    <sheet name="FEBRERO" sheetId="36" r:id="rId2"/>
    <sheet name="MARZO" sheetId="37" r:id="rId3"/>
    <sheet name="ABRIL" sheetId="38" r:id="rId4"/>
    <sheet name="MAYO" sheetId="39" r:id="rId5"/>
    <sheet name="JUNIO" sheetId="40" r:id="rId6"/>
    <sheet name="JULIO" sheetId="41" r:id="rId7"/>
    <sheet name="AGOSTO" sheetId="42" r:id="rId8"/>
    <sheet name="AJUSTES" sheetId="6" r:id="rId9"/>
  </sheets>
  <calcPr calcId="162913"/>
  <extLst>
    <ext uri="GoogleSheetsCustomDataVersion1">
      <go:sheetsCustomData xmlns:go="http://customooxmlschemas.google.com/" r:id="rId14" roundtripDataSignature="AMtx7miNQiSsYOVGVAE96/TU36dI825vdw=="/>
    </ext>
  </extLst>
</workbook>
</file>

<file path=xl/calcChain.xml><?xml version="1.0" encoding="utf-8"?>
<calcChain xmlns="http://schemas.openxmlformats.org/spreadsheetml/2006/main">
  <c r="C175" i="6" l="1"/>
  <c r="C159" i="6" l="1"/>
  <c r="C160" i="6" s="1"/>
  <c r="C158" i="6"/>
  <c r="C157" i="6"/>
  <c r="B167" i="6"/>
  <c r="E166" i="6"/>
  <c r="D166" i="6"/>
  <c r="C166" i="6"/>
  <c r="E165" i="6"/>
  <c r="E167" i="6" s="1"/>
  <c r="F159" i="6" s="1"/>
  <c r="D165" i="6"/>
  <c r="D167" i="6" s="1"/>
  <c r="E158" i="6" s="1"/>
  <c r="C165" i="6"/>
  <c r="G159" i="6"/>
  <c r="H159" i="6"/>
  <c r="H158" i="6"/>
  <c r="C167" i="6" l="1"/>
  <c r="D157" i="6" s="1"/>
  <c r="H157" i="6"/>
  <c r="H160" i="6" s="1"/>
  <c r="D18" i="42"/>
  <c r="C14" i="42"/>
  <c r="E12" i="42"/>
  <c r="H11" i="42"/>
  <c r="G11" i="42"/>
  <c r="F11" i="42"/>
  <c r="H10" i="42"/>
  <c r="G10" i="42"/>
  <c r="F10" i="42"/>
  <c r="H9" i="42"/>
  <c r="G9" i="42"/>
  <c r="F9" i="42"/>
  <c r="H8" i="42"/>
  <c r="G8" i="42"/>
  <c r="F8" i="42"/>
  <c r="H7" i="42"/>
  <c r="G7" i="42"/>
  <c r="F7" i="42"/>
  <c r="H6" i="42"/>
  <c r="G6" i="42"/>
  <c r="F6" i="42"/>
  <c r="H5" i="42"/>
  <c r="G5" i="42"/>
  <c r="F5" i="42"/>
  <c r="H4" i="42"/>
  <c r="G4" i="42"/>
  <c r="F4" i="42"/>
  <c r="F12" i="42" l="1"/>
  <c r="C15" i="42" s="1"/>
  <c r="H12" i="42"/>
  <c r="C17" i="42" s="1"/>
  <c r="G12" i="42"/>
  <c r="C16" i="42" s="1"/>
  <c r="C153" i="6"/>
  <c r="C137" i="6"/>
  <c r="C136" i="6"/>
  <c r="C135" i="6"/>
  <c r="B145" i="6"/>
  <c r="E144" i="6"/>
  <c r="D144" i="6"/>
  <c r="C144" i="6"/>
  <c r="C145" i="6" s="1"/>
  <c r="D135" i="6" s="1"/>
  <c r="E143" i="6"/>
  <c r="E145" i="6" s="1"/>
  <c r="F137" i="6" s="1"/>
  <c r="D143" i="6"/>
  <c r="D145" i="6" s="1"/>
  <c r="E136" i="6" s="1"/>
  <c r="C143" i="6"/>
  <c r="G137" i="6"/>
  <c r="C131" i="6"/>
  <c r="C18" i="42" l="1"/>
  <c r="H136" i="6"/>
  <c r="H137" i="6"/>
  <c r="C138" i="6"/>
  <c r="H135" i="6"/>
  <c r="H138" i="6" s="1"/>
  <c r="D18" i="41" l="1"/>
  <c r="C14" i="41"/>
  <c r="E12" i="41"/>
  <c r="H11" i="41"/>
  <c r="G11" i="41"/>
  <c r="F11" i="41"/>
  <c r="H10" i="41"/>
  <c r="G10" i="41"/>
  <c r="F10" i="41"/>
  <c r="H9" i="41"/>
  <c r="G9" i="41"/>
  <c r="F9" i="41"/>
  <c r="H8" i="41"/>
  <c r="G8" i="41"/>
  <c r="F8" i="41"/>
  <c r="H7" i="41"/>
  <c r="H12" i="41" s="1"/>
  <c r="C17" i="41" s="1"/>
  <c r="G7" i="41"/>
  <c r="F7" i="41"/>
  <c r="H6" i="41"/>
  <c r="G6" i="41"/>
  <c r="F6" i="41"/>
  <c r="H5" i="41"/>
  <c r="G5" i="41"/>
  <c r="F5" i="41"/>
  <c r="H4" i="41"/>
  <c r="G4" i="41"/>
  <c r="F4" i="41"/>
  <c r="F12" i="41" l="1"/>
  <c r="C15" i="41" s="1"/>
  <c r="G12" i="41"/>
  <c r="C16" i="41" s="1"/>
  <c r="C18" i="41" s="1"/>
  <c r="C114" i="6"/>
  <c r="H114" i="6" s="1"/>
  <c r="C113" i="6"/>
  <c r="C112" i="6"/>
  <c r="B122" i="6"/>
  <c r="E121" i="6"/>
  <c r="D121" i="6"/>
  <c r="C121" i="6"/>
  <c r="E120" i="6"/>
  <c r="E122" i="6" s="1"/>
  <c r="F114" i="6" s="1"/>
  <c r="D120" i="6"/>
  <c r="D122" i="6" s="1"/>
  <c r="E113" i="6" s="1"/>
  <c r="C120" i="6"/>
  <c r="C122" i="6" s="1"/>
  <c r="D112" i="6" s="1"/>
  <c r="G114" i="6"/>
  <c r="D18" i="40"/>
  <c r="C14" i="40"/>
  <c r="E12" i="40"/>
  <c r="H11" i="40"/>
  <c r="G11" i="40"/>
  <c r="F11" i="40"/>
  <c r="H10" i="40"/>
  <c r="G10" i="40"/>
  <c r="F10" i="40"/>
  <c r="H9" i="40"/>
  <c r="G9" i="40"/>
  <c r="F9" i="40"/>
  <c r="H8" i="40"/>
  <c r="G8" i="40"/>
  <c r="F8" i="40"/>
  <c r="H7" i="40"/>
  <c r="G7" i="40"/>
  <c r="F7" i="40"/>
  <c r="H6" i="40"/>
  <c r="G6" i="40"/>
  <c r="F6" i="40"/>
  <c r="H5" i="40"/>
  <c r="G5" i="40"/>
  <c r="F5" i="40"/>
  <c r="H4" i="40"/>
  <c r="G4" i="40"/>
  <c r="F4" i="40"/>
  <c r="H112" i="6" l="1"/>
  <c r="H113" i="6"/>
  <c r="H115" i="6" s="1"/>
  <c r="C115" i="6"/>
  <c r="F12" i="40"/>
  <c r="C15" i="40" s="1"/>
  <c r="H12" i="40"/>
  <c r="C17" i="40" s="1"/>
  <c r="G12" i="40"/>
  <c r="C16" i="40" s="1"/>
  <c r="C108" i="6"/>
  <c r="C94" i="6"/>
  <c r="C93" i="6"/>
  <c r="C92" i="6"/>
  <c r="B102" i="6"/>
  <c r="E101" i="6"/>
  <c r="D101" i="6"/>
  <c r="C101" i="6"/>
  <c r="E100" i="6"/>
  <c r="E102" i="6" s="1"/>
  <c r="F94" i="6" s="1"/>
  <c r="D100" i="6"/>
  <c r="D102" i="6" s="1"/>
  <c r="E93" i="6" s="1"/>
  <c r="C100" i="6"/>
  <c r="G94" i="6"/>
  <c r="H94" i="6"/>
  <c r="C18" i="40" l="1"/>
  <c r="C102" i="6"/>
  <c r="D92" i="6" s="1"/>
  <c r="H92" i="6" s="1"/>
  <c r="H95" i="6" s="1"/>
  <c r="C95" i="6"/>
  <c r="H93" i="6"/>
  <c r="D18" i="39"/>
  <c r="C14" i="39"/>
  <c r="E12" i="39"/>
  <c r="H11" i="39"/>
  <c r="G11" i="39"/>
  <c r="F11" i="39"/>
  <c r="H10" i="39"/>
  <c r="G10" i="39"/>
  <c r="F10" i="39"/>
  <c r="H9" i="39"/>
  <c r="G9" i="39"/>
  <c r="F9" i="39"/>
  <c r="H8" i="39"/>
  <c r="G8" i="39"/>
  <c r="F8" i="39"/>
  <c r="H7" i="39"/>
  <c r="G7" i="39"/>
  <c r="F7" i="39"/>
  <c r="H6" i="39"/>
  <c r="G6" i="39"/>
  <c r="F6" i="39"/>
  <c r="H5" i="39"/>
  <c r="G5" i="39"/>
  <c r="F5" i="39"/>
  <c r="H4" i="39"/>
  <c r="G4" i="39"/>
  <c r="F4" i="39"/>
  <c r="F12" i="39" l="1"/>
  <c r="C15" i="39" s="1"/>
  <c r="G12" i="39"/>
  <c r="C16" i="39" s="1"/>
  <c r="H12" i="39"/>
  <c r="C17" i="39" s="1"/>
  <c r="C18" i="39"/>
  <c r="G73" i="6"/>
  <c r="C88" i="6"/>
  <c r="B81" i="6" l="1"/>
  <c r="E80" i="6"/>
  <c r="D80" i="6"/>
  <c r="C80" i="6"/>
  <c r="E79" i="6"/>
  <c r="E81" i="6" s="1"/>
  <c r="F73" i="6" s="1"/>
  <c r="D79" i="6"/>
  <c r="D81" i="6" s="1"/>
  <c r="E72" i="6" s="1"/>
  <c r="C79" i="6"/>
  <c r="D18" i="38"/>
  <c r="C14" i="38"/>
  <c r="E12" i="38"/>
  <c r="H11" i="38"/>
  <c r="G11" i="38"/>
  <c r="F11" i="38"/>
  <c r="H10" i="38"/>
  <c r="G10" i="38"/>
  <c r="F10" i="38"/>
  <c r="H9" i="38"/>
  <c r="G9" i="38"/>
  <c r="F9" i="38"/>
  <c r="H8" i="38"/>
  <c r="G8" i="38"/>
  <c r="F8" i="38"/>
  <c r="H7" i="38"/>
  <c r="G7" i="38"/>
  <c r="F7" i="38"/>
  <c r="H6" i="38"/>
  <c r="G6" i="38"/>
  <c r="F6" i="38"/>
  <c r="H5" i="38"/>
  <c r="G5" i="38"/>
  <c r="F5" i="38"/>
  <c r="H4" i="38"/>
  <c r="G4" i="38"/>
  <c r="F4" i="38"/>
  <c r="C81" i="6" l="1"/>
  <c r="D71" i="6" s="1"/>
  <c r="H12" i="38"/>
  <c r="F12" i="38"/>
  <c r="G12" i="38"/>
  <c r="G46" i="6"/>
  <c r="C55" i="6"/>
  <c r="D55" i="6"/>
  <c r="E55" i="6"/>
  <c r="C15" i="38" l="1"/>
  <c r="C71" i="6"/>
  <c r="C16" i="38"/>
  <c r="C72" i="6"/>
  <c r="H72" i="6" s="1"/>
  <c r="C17" i="38"/>
  <c r="C73" i="6"/>
  <c r="H73" i="6" s="1"/>
  <c r="C18" i="38"/>
  <c r="G47" i="6"/>
  <c r="C67" i="6"/>
  <c r="C54" i="6"/>
  <c r="D54" i="6"/>
  <c r="E54" i="6"/>
  <c r="B57" i="6"/>
  <c r="H71" i="6" l="1"/>
  <c r="H74" i="6" s="1"/>
  <c r="C74" i="6"/>
  <c r="C47" i="6"/>
  <c r="C46" i="6"/>
  <c r="C45" i="6"/>
  <c r="E56" i="6"/>
  <c r="D56" i="6"/>
  <c r="C56" i="6"/>
  <c r="E53" i="6"/>
  <c r="D53" i="6"/>
  <c r="D57" i="6" s="1"/>
  <c r="E46" i="6" s="1"/>
  <c r="C53" i="6"/>
  <c r="D18" i="37"/>
  <c r="C14" i="37"/>
  <c r="E12" i="37"/>
  <c r="H11" i="37"/>
  <c r="G11" i="37"/>
  <c r="F11" i="37"/>
  <c r="H10" i="37"/>
  <c r="G10" i="37"/>
  <c r="F10" i="37"/>
  <c r="H9" i="37"/>
  <c r="G9" i="37"/>
  <c r="F9" i="37"/>
  <c r="H8" i="37"/>
  <c r="G8" i="37"/>
  <c r="F8" i="37"/>
  <c r="H7" i="37"/>
  <c r="G7" i="37"/>
  <c r="F7" i="37"/>
  <c r="H6" i="37"/>
  <c r="G6" i="37"/>
  <c r="F6" i="37"/>
  <c r="H5" i="37"/>
  <c r="G5" i="37"/>
  <c r="F5" i="37"/>
  <c r="H4" i="37"/>
  <c r="G4" i="37"/>
  <c r="F4" i="37"/>
  <c r="E57" i="6" l="1"/>
  <c r="F47" i="6" s="1"/>
  <c r="C48" i="6"/>
  <c r="H46" i="6"/>
  <c r="C57" i="6"/>
  <c r="D45" i="6" s="1"/>
  <c r="H45" i="6" s="1"/>
  <c r="H48" i="6" s="1"/>
  <c r="H47" i="6"/>
  <c r="G12" i="37"/>
  <c r="C16" i="37" s="1"/>
  <c r="F12" i="37"/>
  <c r="C15" i="37" s="1"/>
  <c r="H12" i="37"/>
  <c r="C17" i="37" s="1"/>
  <c r="C41" i="6"/>
  <c r="C18" i="37" l="1"/>
  <c r="B34" i="6"/>
  <c r="E33" i="6"/>
  <c r="D33" i="6"/>
  <c r="C33" i="6"/>
  <c r="E32" i="6"/>
  <c r="E34" i="6" s="1"/>
  <c r="F26" i="6" s="1"/>
  <c r="D32" i="6"/>
  <c r="C32" i="6"/>
  <c r="C34" i="6" s="1"/>
  <c r="D24" i="6" s="1"/>
  <c r="G26" i="6"/>
  <c r="D34" i="6" l="1"/>
  <c r="E25" i="6" s="1"/>
  <c r="D18" i="36"/>
  <c r="C14" i="36"/>
  <c r="E12" i="36"/>
  <c r="H11" i="36"/>
  <c r="G11" i="36"/>
  <c r="F11" i="36"/>
  <c r="H10" i="36"/>
  <c r="G10" i="36"/>
  <c r="F10" i="36"/>
  <c r="H9" i="36"/>
  <c r="G9" i="36"/>
  <c r="F9" i="36"/>
  <c r="H8" i="36"/>
  <c r="G8" i="36"/>
  <c r="F8" i="36"/>
  <c r="H7" i="36"/>
  <c r="G7" i="36"/>
  <c r="F7" i="36"/>
  <c r="H6" i="36"/>
  <c r="G6" i="36"/>
  <c r="F6" i="36"/>
  <c r="H5" i="36"/>
  <c r="G5" i="36"/>
  <c r="F5" i="36"/>
  <c r="H4" i="36"/>
  <c r="G4" i="36"/>
  <c r="F4" i="36"/>
  <c r="F12" i="36" l="1"/>
  <c r="G12" i="36"/>
  <c r="H12" i="36"/>
  <c r="C20" i="6"/>
  <c r="B14" i="6"/>
  <c r="E13" i="6"/>
  <c r="D13" i="6"/>
  <c r="C13" i="6"/>
  <c r="E12" i="6"/>
  <c r="D12" i="6"/>
  <c r="C12" i="6"/>
  <c r="G6" i="6"/>
  <c r="D18" i="35"/>
  <c r="C14" i="35"/>
  <c r="E12" i="35"/>
  <c r="H11" i="35"/>
  <c r="G11" i="35"/>
  <c r="F11" i="35"/>
  <c r="H10" i="35"/>
  <c r="G10" i="35"/>
  <c r="F10" i="35"/>
  <c r="H9" i="35"/>
  <c r="G9" i="35"/>
  <c r="F9" i="35"/>
  <c r="H8" i="35"/>
  <c r="G8" i="35"/>
  <c r="F8" i="35"/>
  <c r="H7" i="35"/>
  <c r="G7" i="35"/>
  <c r="F7" i="35"/>
  <c r="H6" i="35"/>
  <c r="G6" i="35"/>
  <c r="F6" i="35"/>
  <c r="H5" i="35"/>
  <c r="G5" i="35"/>
  <c r="F5" i="35"/>
  <c r="H4" i="35"/>
  <c r="G4" i="35"/>
  <c r="F4" i="35"/>
  <c r="C16" i="36" l="1"/>
  <c r="C25" i="6"/>
  <c r="H25" i="6" s="1"/>
  <c r="C17" i="36"/>
  <c r="C26" i="6"/>
  <c r="C15" i="36"/>
  <c r="C24" i="6"/>
  <c r="H24" i="6" s="1"/>
  <c r="C18" i="36"/>
  <c r="C14" i="6"/>
  <c r="D4" i="6" s="1"/>
  <c r="D14" i="6"/>
  <c r="E5" i="6" s="1"/>
  <c r="E14" i="6"/>
  <c r="F6" i="6" s="1"/>
  <c r="F12" i="35"/>
  <c r="G12" i="35"/>
  <c r="H12" i="35"/>
  <c r="C27" i="6" l="1"/>
  <c r="H26" i="6"/>
  <c r="H27" i="6"/>
  <c r="C16" i="35"/>
  <c r="C5" i="6"/>
  <c r="H5" i="6" s="1"/>
  <c r="C15" i="35"/>
  <c r="C4" i="6"/>
  <c r="H4" i="6" s="1"/>
  <c r="C17" i="35"/>
  <c r="C6" i="6"/>
  <c r="C18" i="35" l="1"/>
  <c r="C7" i="6"/>
  <c r="H6" i="6"/>
  <c r="H7" i="6" s="1"/>
</calcChain>
</file>

<file path=xl/sharedStrings.xml><?xml version="1.0" encoding="utf-8"?>
<sst xmlns="http://schemas.openxmlformats.org/spreadsheetml/2006/main" count="518" uniqueCount="80">
  <si>
    <t xml:space="preserve">RENDICION DE GASTOS COWORKING </t>
  </si>
  <si>
    <t>MES:</t>
  </si>
  <si>
    <t>AÑO</t>
  </si>
  <si>
    <t>ENERO</t>
  </si>
  <si>
    <t>RUBROS</t>
  </si>
  <si>
    <t>GASTO</t>
  </si>
  <si>
    <t>OBSERVACION</t>
  </si>
  <si>
    <t>ALQUILER</t>
  </si>
  <si>
    <t>MUNICIPALIDAD</t>
  </si>
  <si>
    <t>RENTAS</t>
  </si>
  <si>
    <t>AGUA</t>
  </si>
  <si>
    <t>TOTAL</t>
  </si>
  <si>
    <t xml:space="preserve">WIFI -CLARO </t>
  </si>
  <si>
    <t>GASTO POR EMPRESA</t>
  </si>
  <si>
    <t>Porcentaje</t>
  </si>
  <si>
    <t>GALARA</t>
  </si>
  <si>
    <t>ENJOY</t>
  </si>
  <si>
    <t>TOTALES</t>
  </si>
  <si>
    <t>EMPRESA</t>
  </si>
  <si>
    <t>% DE APORTE</t>
  </si>
  <si>
    <t>APORTE EN $</t>
  </si>
  <si>
    <t>APORTE ENJOY</t>
  </si>
  <si>
    <t xml:space="preserve">GALARA </t>
  </si>
  <si>
    <t>DETALLE</t>
  </si>
  <si>
    <t>MONTO</t>
  </si>
  <si>
    <t xml:space="preserve">ENJOY </t>
  </si>
  <si>
    <t xml:space="preserve">EPEC  </t>
  </si>
  <si>
    <t>ECOGAS</t>
  </si>
  <si>
    <t>LIMPIEZA</t>
  </si>
  <si>
    <t>GALARA                      (40%)</t>
  </si>
  <si>
    <t>JUAN PABLO                      (35%)</t>
  </si>
  <si>
    <t>ENJOY                          (25%)</t>
  </si>
  <si>
    <t>JUAN PABLO</t>
  </si>
  <si>
    <t>GALARA (33%)</t>
  </si>
  <si>
    <t>JUAN PABLO (33%)</t>
  </si>
  <si>
    <t>ENJOY (33%)</t>
  </si>
  <si>
    <t>Karina Vidal</t>
  </si>
  <si>
    <t>E407041</t>
  </si>
  <si>
    <t>031402504400000</t>
  </si>
  <si>
    <t>1421037 / 0050866107</t>
  </si>
  <si>
    <t>SEGURIDAD ELECTRÓNICA</t>
  </si>
  <si>
    <t>COBERTURA DE ÁREA PROTEGIDA</t>
  </si>
  <si>
    <t>APORTADO</t>
  </si>
  <si>
    <t>FECHA</t>
  </si>
  <si>
    <t>Enjoy</t>
  </si>
  <si>
    <t>Limpieza</t>
  </si>
  <si>
    <t>** HASTA 31 de marzo 2026</t>
  </si>
  <si>
    <t>GASTOS COWORKING DICIEMBRE 2025</t>
  </si>
  <si>
    <t>FEBRERO</t>
  </si>
  <si>
    <t>GASTOS COWORKING ENERO 2026</t>
  </si>
  <si>
    <t>Detergente, perfumina y lavandina</t>
  </si>
  <si>
    <t>Limpieza Coworking</t>
  </si>
  <si>
    <t>MARZO</t>
  </si>
  <si>
    <t>DESINFECCIÓN</t>
  </si>
  <si>
    <t>GASTOS COWORKING FEBRERO 2026</t>
  </si>
  <si>
    <t>Desinfección</t>
  </si>
  <si>
    <t>CONTENEDOR</t>
  </si>
  <si>
    <t>ABRIL</t>
  </si>
  <si>
    <t>** HASTA 30 de junio 2026</t>
  </si>
  <si>
    <t>GASTOS COWORKING MARZO 2026</t>
  </si>
  <si>
    <t>Elementos de Limpieza</t>
  </si>
  <si>
    <t>MAYO</t>
  </si>
  <si>
    <t>GASTOS COWORKING ABRIL 2026</t>
  </si>
  <si>
    <t>MES DE ENERO 2026</t>
  </si>
  <si>
    <t>MES DE FEBRERO 2026</t>
  </si>
  <si>
    <t>MES DE MARZO 2026</t>
  </si>
  <si>
    <t>MES DE ABRIL 2026</t>
  </si>
  <si>
    <t>MES DE MAYO 2026</t>
  </si>
  <si>
    <t>JUNIO</t>
  </si>
  <si>
    <t>MES DE JUNIO 2026</t>
  </si>
  <si>
    <t>JULIO</t>
  </si>
  <si>
    <t>** HASTA 30 de septiembre 2026</t>
  </si>
  <si>
    <t>GASTOS COWORKING MAYO 2026</t>
  </si>
  <si>
    <t>Limpieza + Traslado</t>
  </si>
  <si>
    <t>MES DE JULIO 2026</t>
  </si>
  <si>
    <t>GASTOS COWORKING JUNIO 2026</t>
  </si>
  <si>
    <t>AGOSTO</t>
  </si>
  <si>
    <t>MES DE AGOSTO 2026</t>
  </si>
  <si>
    <t>GASTOS COWORKING JULIO 2026</t>
  </si>
  <si>
    <t>Compra insumos de limpieza 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</si>
</sst>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_-[$$-2C0A]\ * #,##0.00_-;\-[$$-2C0A]\ * #,##0.00_-;_-[$$-2C0A]\ * &quot;-&quot;??_-;_-@_-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BE4D5"/>
      </patternFill>
    </fill>
    <fill>
      <patternFill patternType="solid">
        <fgColor rgb="FFD9E1F2"/>
        <bgColor rgb="FF000000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3">
    <xf numFmtId="0" fontId="0" fillId="0" borderId="0" xfId="0"/>
    <xf numFmtId="164" fontId="5" fillId="0" borderId="0" xfId="0" applyNumberFormat="1" applyFont="1"/>
    <xf numFmtId="164" fontId="4" fillId="2" borderId="10" xfId="0" applyNumberFormat="1" applyFont="1" applyFill="1" applyBorder="1"/>
    <xf numFmtId="0" fontId="4" fillId="0" borderId="10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/>
    <xf numFmtId="9" fontId="5" fillId="0" borderId="0" xfId="0" applyNumberFormat="1" applyFont="1" applyAlignment="1">
      <alignment horizontal="center"/>
    </xf>
    <xf numFmtId="164" fontId="4" fillId="4" borderId="4" xfId="0" applyNumberFormat="1" applyFont="1" applyFill="1" applyBorder="1"/>
    <xf numFmtId="9" fontId="4" fillId="0" borderId="0" xfId="0" applyNumberFormat="1" applyFont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0" borderId="10" xfId="0" applyNumberFormat="1" applyFont="1" applyBorder="1" applyAlignment="1">
      <alignment horizontal="center"/>
    </xf>
    <xf numFmtId="0" fontId="7" fillId="4" borderId="10" xfId="0" applyFont="1" applyFill="1" applyBorder="1" applyAlignment="1">
      <alignment horizontal="right"/>
    </xf>
    <xf numFmtId="164" fontId="7" fillId="4" borderId="10" xfId="0" applyNumberFormat="1" applyFont="1" applyFill="1" applyBorder="1" applyAlignment="1">
      <alignment horizontal="center"/>
    </xf>
    <xf numFmtId="44" fontId="0" fillId="0" borderId="0" xfId="0" applyNumberFormat="1"/>
    <xf numFmtId="17" fontId="4" fillId="2" borderId="14" xfId="0" applyNumberFormat="1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 vertical="center"/>
    </xf>
    <xf numFmtId="9" fontId="4" fillId="6" borderId="14" xfId="0" applyNumberFormat="1" applyFont="1" applyFill="1" applyBorder="1" applyAlignment="1">
      <alignment horizontal="center"/>
    </xf>
    <xf numFmtId="164" fontId="4" fillId="6" borderId="14" xfId="0" applyNumberFormat="1" applyFont="1" applyFill="1" applyBorder="1"/>
    <xf numFmtId="164" fontId="8" fillId="0" borderId="12" xfId="0" applyNumberFormat="1" applyFont="1" applyBorder="1" applyAlignment="1">
      <alignment horizontal="center"/>
    </xf>
    <xf numFmtId="164" fontId="0" fillId="0" borderId="0" xfId="0" applyNumberFormat="1"/>
    <xf numFmtId="0" fontId="7" fillId="3" borderId="14" xfId="0" applyFont="1" applyFill="1" applyBorder="1" applyAlignment="1">
      <alignment horizontal="center" vertical="center"/>
    </xf>
    <xf numFmtId="164" fontId="9" fillId="0" borderId="0" xfId="0" applyNumberFormat="1" applyFont="1"/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44" fontId="9" fillId="0" borderId="0" xfId="1" applyFont="1"/>
    <xf numFmtId="0" fontId="3" fillId="0" borderId="7" xfId="0" applyFont="1" applyBorder="1"/>
    <xf numFmtId="0" fontId="5" fillId="0" borderId="0" xfId="0" applyFont="1" applyAlignment="1">
      <alignment horizontal="center"/>
    </xf>
    <xf numFmtId="0" fontId="0" fillId="0" borderId="0" xfId="0"/>
    <xf numFmtId="1" fontId="3" fillId="0" borderId="18" xfId="0" applyNumberFormat="1" applyFont="1" applyFill="1" applyBorder="1" applyAlignment="1">
      <alignment horizontal="center" vertical="center"/>
    </xf>
    <xf numFmtId="164" fontId="5" fillId="0" borderId="7" xfId="0" applyNumberFormat="1" applyFont="1" applyFill="1" applyBorder="1" applyAlignment="1">
      <alignment horizontal="center"/>
    </xf>
    <xf numFmtId="164" fontId="5" fillId="0" borderId="12" xfId="0" applyNumberFormat="1" applyFont="1" applyFill="1" applyBorder="1"/>
    <xf numFmtId="0" fontId="5" fillId="0" borderId="10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 vertical="center"/>
    </xf>
    <xf numFmtId="44" fontId="0" fillId="0" borderId="0" xfId="1" applyFont="1"/>
    <xf numFmtId="44" fontId="10" fillId="0" borderId="0" xfId="0" applyNumberFormat="1" applyFont="1"/>
    <xf numFmtId="0" fontId="5" fillId="0" borderId="12" xfId="0" applyFont="1" applyFill="1" applyBorder="1" applyAlignment="1">
      <alignment horizontal="center"/>
    </xf>
    <xf numFmtId="49" fontId="3" fillId="0" borderId="18" xfId="0" applyNumberFormat="1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44" fontId="9" fillId="0" borderId="0" xfId="0" applyNumberFormat="1" applyFont="1"/>
    <xf numFmtId="16" fontId="0" fillId="0" borderId="31" xfId="0" applyNumberFormat="1" applyBorder="1" applyAlignment="1">
      <alignment horizontal="center" vertical="center"/>
    </xf>
    <xf numFmtId="16" fontId="0" fillId="0" borderId="32" xfId="0" applyNumberFormat="1" applyBorder="1" applyAlignment="1">
      <alignment horizontal="center" vertical="center"/>
    </xf>
    <xf numFmtId="165" fontId="0" fillId="0" borderId="32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" fontId="0" fillId="0" borderId="34" xfId="0" applyNumberForma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/>
    </xf>
    <xf numFmtId="165" fontId="0" fillId="0" borderId="35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14" xfId="0" applyBorder="1" applyAlignment="1"/>
    <xf numFmtId="165" fontId="0" fillId="9" borderId="37" xfId="0" applyNumberFormat="1" applyFill="1" applyBorder="1"/>
    <xf numFmtId="0" fontId="0" fillId="0" borderId="14" xfId="0" applyBorder="1"/>
    <xf numFmtId="0" fontId="0" fillId="0" borderId="0" xfId="0" applyAlignment="1">
      <alignment horizontal="center" vertical="center"/>
    </xf>
    <xf numFmtId="0" fontId="0" fillId="9" borderId="20" xfId="0" applyFill="1" applyBorder="1" applyAlignment="1">
      <alignment horizontal="right"/>
    </xf>
    <xf numFmtId="0" fontId="3" fillId="0" borderId="14" xfId="0" applyFont="1" applyBorder="1"/>
    <xf numFmtId="0" fontId="11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3" fillId="0" borderId="14" xfId="0" applyFont="1" applyBorder="1"/>
    <xf numFmtId="16" fontId="0" fillId="0" borderId="38" xfId="0" applyNumberFormat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16" fontId="12" fillId="0" borderId="32" xfId="0" applyNumberFormat="1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3" fillId="0" borderId="14" xfId="0" applyFont="1" applyBorder="1"/>
    <xf numFmtId="16" fontId="0" fillId="0" borderId="40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9" borderId="4" xfId="0" applyFill="1" applyBorder="1" applyAlignment="1">
      <alignment horizontal="right"/>
    </xf>
    <xf numFmtId="0" fontId="11" fillId="8" borderId="4" xfId="0" applyFont="1" applyFill="1" applyBorder="1" applyAlignment="1">
      <alignment horizontal="center" vertical="center"/>
    </xf>
    <xf numFmtId="0" fontId="3" fillId="0" borderId="14" xfId="0" applyFont="1" applyBorder="1"/>
    <xf numFmtId="0" fontId="11" fillId="8" borderId="4" xfId="0" applyFont="1" applyFill="1" applyBorder="1" applyAlignment="1">
      <alignment horizontal="center" vertical="center"/>
    </xf>
    <xf numFmtId="0" fontId="3" fillId="0" borderId="14" xfId="0" applyFont="1" applyBorder="1"/>
    <xf numFmtId="16" fontId="0" fillId="0" borderId="42" xfId="0" applyNumberFormat="1" applyBorder="1" applyAlignment="1">
      <alignment horizontal="center" vertical="center"/>
    </xf>
    <xf numFmtId="16" fontId="0" fillId="0" borderId="43" xfId="0" applyNumberFormat="1" applyBorder="1" applyAlignment="1">
      <alignment horizontal="center" vertical="center"/>
    </xf>
    <xf numFmtId="165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" fontId="0" fillId="0" borderId="45" xfId="0" applyNumberFormat="1" applyBorder="1" applyAlignment="1">
      <alignment horizontal="center" vertical="center"/>
    </xf>
    <xf numFmtId="16" fontId="0" fillId="0" borderId="18" xfId="0" applyNumberFormat="1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" fontId="0" fillId="0" borderId="47" xfId="0" applyNumberFormat="1" applyBorder="1" applyAlignment="1">
      <alignment horizontal="center" vertical="center"/>
    </xf>
    <xf numFmtId="16" fontId="0" fillId="0" borderId="48" xfId="0" applyNumberFormat="1" applyBorder="1" applyAlignment="1">
      <alignment horizontal="center" vertical="center"/>
    </xf>
    <xf numFmtId="165" fontId="0" fillId="0" borderId="48" xfId="0" applyNumberForma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3" fillId="0" borderId="14" xfId="0" applyFont="1" applyBorder="1"/>
    <xf numFmtId="16" fontId="0" fillId="0" borderId="50" xfId="0" applyNumberFormat="1" applyBorder="1" applyAlignment="1">
      <alignment horizontal="center" vertical="center"/>
    </xf>
    <xf numFmtId="16" fontId="0" fillId="0" borderId="51" xfId="0" applyNumberFormat="1" applyBorder="1" applyAlignment="1">
      <alignment horizontal="center" vertical="center"/>
    </xf>
    <xf numFmtId="165" fontId="0" fillId="0" borderId="51" xfId="0" applyNumberForma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3" fillId="0" borderId="14" xfId="0" applyFont="1" applyBorder="1"/>
    <xf numFmtId="0" fontId="11" fillId="8" borderId="4" xfId="0" applyFont="1" applyFill="1" applyBorder="1" applyAlignment="1">
      <alignment horizontal="center" vertical="center"/>
    </xf>
    <xf numFmtId="16" fontId="0" fillId="0" borderId="12" xfId="0" applyNumberFormat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  <xf numFmtId="0" fontId="3" fillId="0" borderId="14" xfId="0" applyFont="1" applyBorder="1"/>
    <xf numFmtId="0" fontId="5" fillId="0" borderId="5" xfId="0" applyFont="1" applyFill="1" applyBorder="1" applyAlignment="1">
      <alignment horizontal="center"/>
    </xf>
    <xf numFmtId="0" fontId="3" fillId="0" borderId="6" xfId="0" applyFont="1" applyFill="1" applyBorder="1"/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5" fillId="0" borderId="8" xfId="0" applyFont="1" applyBorder="1" applyAlignment="1">
      <alignment horizontal="center"/>
    </xf>
    <xf numFmtId="0" fontId="3" fillId="0" borderId="9" xfId="0" applyFont="1" applyBorder="1"/>
    <xf numFmtId="0" fontId="4" fillId="3" borderId="8" xfId="0" applyFont="1" applyFill="1" applyBorder="1" applyAlignment="1">
      <alignment horizontal="right" vertical="center"/>
    </xf>
    <xf numFmtId="0" fontId="3" fillId="0" borderId="11" xfId="0" applyFont="1" applyBorder="1"/>
    <xf numFmtId="0" fontId="5" fillId="0" borderId="8" xfId="0" applyFont="1" applyFill="1" applyBorder="1" applyAlignment="1">
      <alignment horizontal="center"/>
    </xf>
    <xf numFmtId="0" fontId="3" fillId="0" borderId="11" xfId="0" applyFont="1" applyFill="1" applyBorder="1"/>
    <xf numFmtId="0" fontId="4" fillId="0" borderId="8" xfId="0" applyFont="1" applyBorder="1" applyAlignment="1">
      <alignment horizontal="right"/>
    </xf>
    <xf numFmtId="0" fontId="4" fillId="3" borderId="8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/>
    </xf>
    <xf numFmtId="0" fontId="3" fillId="0" borderId="14" xfId="0" applyFont="1" applyBorder="1"/>
    <xf numFmtId="0" fontId="11" fillId="8" borderId="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NUL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E6" sqref="E6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3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1747135</v>
      </c>
      <c r="F4" s="35">
        <f>+E4*40%</f>
        <v>698854</v>
      </c>
      <c r="G4" s="35">
        <f>+E4*35%</f>
        <v>611497.25</v>
      </c>
      <c r="H4" s="35">
        <f>+E4*25%</f>
        <v>436783.75</v>
      </c>
      <c r="I4" s="40" t="s">
        <v>46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97190.2</v>
      </c>
      <c r="F6" s="35">
        <f t="shared" si="0"/>
        <v>38876.080000000002</v>
      </c>
      <c r="G6" s="35">
        <f t="shared" si="1"/>
        <v>34016.57</v>
      </c>
      <c r="H6" s="35">
        <f t="shared" si="2"/>
        <v>24297.55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147679.48000000001</v>
      </c>
      <c r="F7" s="35">
        <f t="shared" si="0"/>
        <v>59071.792000000009</v>
      </c>
      <c r="G7" s="35">
        <f t="shared" si="1"/>
        <v>51687.817999999999</v>
      </c>
      <c r="H7" s="35">
        <f t="shared" si="2"/>
        <v>36919.870000000003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47094.94</v>
      </c>
      <c r="F8" s="35">
        <f t="shared" si="0"/>
        <v>18837.976000000002</v>
      </c>
      <c r="G8" s="35">
        <f t="shared" si="1"/>
        <v>16483.228999999999</v>
      </c>
      <c r="H8" s="35">
        <f t="shared" si="2"/>
        <v>11773.735000000001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44525.18</v>
      </c>
      <c r="F9" s="35">
        <f t="shared" si="0"/>
        <v>17810.072</v>
      </c>
      <c r="G9" s="35">
        <f t="shared" si="1"/>
        <v>15583.812999999998</v>
      </c>
      <c r="H9" s="35">
        <f t="shared" si="2"/>
        <v>11131.295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60000</v>
      </c>
      <c r="F10" s="35">
        <f t="shared" si="0"/>
        <v>24000</v>
      </c>
      <c r="G10" s="35">
        <f t="shared" si="1"/>
        <v>21000</v>
      </c>
      <c r="H10" s="35">
        <f t="shared" si="2"/>
        <v>15000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327175.7</v>
      </c>
      <c r="F11" s="35">
        <f t="shared" si="0"/>
        <v>130870.28000000001</v>
      </c>
      <c r="G11" s="35">
        <f t="shared" si="1"/>
        <v>114511.495</v>
      </c>
      <c r="H11" s="35">
        <f t="shared" si="2"/>
        <v>81793.925000000003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2518592.5</v>
      </c>
      <c r="F12" s="2">
        <f>SUM(F4:F11)</f>
        <v>1007437.0000000001</v>
      </c>
      <c r="G12" s="2">
        <f>SUM(G4:G11)</f>
        <v>881507.37499999988</v>
      </c>
      <c r="H12" s="2">
        <f>SUM(H4:H11)</f>
        <v>629648.125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ENERO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1007437.0000000001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881507.37499999988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629648.125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2518592.5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  <mergeCell ref="A7:C7"/>
    <mergeCell ref="A1:G2"/>
    <mergeCell ref="A3:C3"/>
    <mergeCell ref="A4:C4"/>
    <mergeCell ref="A5:C5"/>
    <mergeCell ref="A6:C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D6" sqref="D6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48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1747135</v>
      </c>
      <c r="F4" s="35">
        <f>+E4*40%</f>
        <v>698854</v>
      </c>
      <c r="G4" s="35">
        <f>+E4*35%</f>
        <v>611497.25</v>
      </c>
      <c r="H4" s="35">
        <f>+E4*25%</f>
        <v>436783.75</v>
      </c>
      <c r="I4" s="40" t="s">
        <v>46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129761.75</v>
      </c>
      <c r="F6" s="35">
        <f t="shared" si="0"/>
        <v>51904.700000000004</v>
      </c>
      <c r="G6" s="35">
        <f t="shared" si="1"/>
        <v>45416.612499999996</v>
      </c>
      <c r="H6" s="35">
        <f t="shared" si="2"/>
        <v>32440.4375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151324.39000000001</v>
      </c>
      <c r="F7" s="35">
        <f t="shared" si="0"/>
        <v>60529.756000000008</v>
      </c>
      <c r="G7" s="35">
        <f t="shared" si="1"/>
        <v>52963.536500000002</v>
      </c>
      <c r="H7" s="35">
        <f t="shared" si="2"/>
        <v>37831.097500000003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47827.68</v>
      </c>
      <c r="F8" s="35">
        <f t="shared" si="0"/>
        <v>19131.072</v>
      </c>
      <c r="G8" s="35">
        <f t="shared" si="1"/>
        <v>16739.687999999998</v>
      </c>
      <c r="H8" s="35">
        <f t="shared" si="2"/>
        <v>11956.92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44525.18</v>
      </c>
      <c r="F9" s="35">
        <f t="shared" si="0"/>
        <v>17810.072</v>
      </c>
      <c r="G9" s="35">
        <f t="shared" si="1"/>
        <v>15583.812999999998</v>
      </c>
      <c r="H9" s="35">
        <f t="shared" si="2"/>
        <v>11131.295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60000</v>
      </c>
      <c r="F10" s="35">
        <f t="shared" si="0"/>
        <v>24000</v>
      </c>
      <c r="G10" s="35">
        <f t="shared" si="1"/>
        <v>21000</v>
      </c>
      <c r="H10" s="35">
        <f t="shared" si="2"/>
        <v>15000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357169.9</v>
      </c>
      <c r="F11" s="35">
        <f t="shared" si="0"/>
        <v>142867.96000000002</v>
      </c>
      <c r="G11" s="35">
        <f t="shared" si="1"/>
        <v>125009.465</v>
      </c>
      <c r="H11" s="35">
        <f t="shared" si="2"/>
        <v>89292.475000000006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2585535.9000000004</v>
      </c>
      <c r="F12" s="2">
        <f>SUM(F4:F11)</f>
        <v>1034214.3600000001</v>
      </c>
      <c r="G12" s="2">
        <f>SUM(G4:G11)</f>
        <v>904937.56499999994</v>
      </c>
      <c r="H12" s="2">
        <f>SUM(H4:H11)</f>
        <v>646383.97500000009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FEBRERO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1034214.3600000001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904937.56499999994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646383.97500000009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2585535.9000000004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  <mergeCell ref="A7:C7"/>
    <mergeCell ref="A1:G2"/>
    <mergeCell ref="A3:C3"/>
    <mergeCell ref="A4:C4"/>
    <mergeCell ref="A5:C5"/>
    <mergeCell ref="A6:C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F11" sqref="F11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52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1747135</v>
      </c>
      <c r="F4" s="35">
        <f>+E4*40%</f>
        <v>698854</v>
      </c>
      <c r="G4" s="35">
        <f>+E4*35%</f>
        <v>611497.25</v>
      </c>
      <c r="H4" s="35">
        <f>+E4*25%</f>
        <v>436783.75</v>
      </c>
      <c r="I4" s="40" t="s">
        <v>46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129761.75</v>
      </c>
      <c r="F6" s="35">
        <f t="shared" si="0"/>
        <v>51904.700000000004</v>
      </c>
      <c r="G6" s="35">
        <f t="shared" si="1"/>
        <v>45416.612499999996</v>
      </c>
      <c r="H6" s="35">
        <f t="shared" si="2"/>
        <v>32440.4375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151324.39000000001</v>
      </c>
      <c r="F7" s="35">
        <f t="shared" si="0"/>
        <v>60529.756000000008</v>
      </c>
      <c r="G7" s="35">
        <f t="shared" si="1"/>
        <v>52963.536500000002</v>
      </c>
      <c r="H7" s="35">
        <f t="shared" si="2"/>
        <v>37831.097500000003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47764.959999999999</v>
      </c>
      <c r="F8" s="35">
        <f t="shared" si="0"/>
        <v>19105.984</v>
      </c>
      <c r="G8" s="35">
        <f t="shared" si="1"/>
        <v>16717.735999999997</v>
      </c>
      <c r="H8" s="35">
        <f t="shared" si="2"/>
        <v>11941.24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46071.95</v>
      </c>
      <c r="F9" s="35">
        <f t="shared" si="0"/>
        <v>18428.78</v>
      </c>
      <c r="G9" s="35">
        <f t="shared" si="1"/>
        <v>16125.182499999997</v>
      </c>
      <c r="H9" s="35">
        <f t="shared" si="2"/>
        <v>11517.987499999999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70000</v>
      </c>
      <c r="F10" s="35">
        <f t="shared" si="0"/>
        <v>28000</v>
      </c>
      <c r="G10" s="35">
        <f t="shared" si="1"/>
        <v>24500</v>
      </c>
      <c r="H10" s="35">
        <f t="shared" si="2"/>
        <v>17500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362743.2</v>
      </c>
      <c r="F11" s="35">
        <f t="shared" si="0"/>
        <v>145097.28</v>
      </c>
      <c r="G11" s="35">
        <f t="shared" si="1"/>
        <v>126960.12</v>
      </c>
      <c r="H11" s="35">
        <f t="shared" si="2"/>
        <v>90685.8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2602593.2500000005</v>
      </c>
      <c r="F12" s="2">
        <f>SUM(F4:F11)</f>
        <v>1041037.3000000002</v>
      </c>
      <c r="G12" s="2">
        <f>SUM(G4:G11)</f>
        <v>910907.63750000007</v>
      </c>
      <c r="H12" s="2">
        <f>SUM(H4:H11)</f>
        <v>650648.31250000012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MARZO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1041037.3000000002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910907.63750000007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650648.31250000012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2602593.2500000005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7:C7"/>
    <mergeCell ref="A1:G2"/>
    <mergeCell ref="A3:C3"/>
    <mergeCell ref="A4:C4"/>
    <mergeCell ref="A5:C5"/>
    <mergeCell ref="A6:C6"/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E11" sqref="E11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57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1903178</v>
      </c>
      <c r="F4" s="35">
        <f>+E4*40%</f>
        <v>761271.20000000007</v>
      </c>
      <c r="G4" s="35">
        <f>+E4*35%</f>
        <v>666112.29999999993</v>
      </c>
      <c r="H4" s="35">
        <f>+E4*25%</f>
        <v>475794.5</v>
      </c>
      <c r="I4" s="40" t="s">
        <v>58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129761.75</v>
      </c>
      <c r="F6" s="35">
        <f t="shared" si="0"/>
        <v>51904.700000000004</v>
      </c>
      <c r="G6" s="35">
        <f t="shared" si="1"/>
        <v>45416.612499999996</v>
      </c>
      <c r="H6" s="35">
        <f t="shared" si="2"/>
        <v>32440.4375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151324.39000000001</v>
      </c>
      <c r="F7" s="35">
        <f t="shared" si="0"/>
        <v>60529.756000000008</v>
      </c>
      <c r="G7" s="35">
        <f t="shared" si="1"/>
        <v>52963.536500000002</v>
      </c>
      <c r="H7" s="35">
        <f t="shared" si="2"/>
        <v>37831.097500000003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48884.58</v>
      </c>
      <c r="F8" s="35">
        <f t="shared" si="0"/>
        <v>19553.832000000002</v>
      </c>
      <c r="G8" s="35">
        <f t="shared" si="1"/>
        <v>17109.602999999999</v>
      </c>
      <c r="H8" s="35">
        <f t="shared" si="2"/>
        <v>12221.145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48960.76</v>
      </c>
      <c r="F9" s="35">
        <f t="shared" si="0"/>
        <v>19584.304</v>
      </c>
      <c r="G9" s="35">
        <f t="shared" si="1"/>
        <v>17136.266</v>
      </c>
      <c r="H9" s="35">
        <f t="shared" si="2"/>
        <v>12240.19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70000</v>
      </c>
      <c r="F10" s="35">
        <f t="shared" si="0"/>
        <v>28000</v>
      </c>
      <c r="G10" s="35">
        <f t="shared" si="1"/>
        <v>24500</v>
      </c>
      <c r="H10" s="35">
        <f t="shared" si="2"/>
        <v>17500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402442.6</v>
      </c>
      <c r="F11" s="35">
        <f t="shared" si="0"/>
        <v>160977.04</v>
      </c>
      <c r="G11" s="35">
        <f t="shared" si="1"/>
        <v>140854.90999999997</v>
      </c>
      <c r="H11" s="35">
        <f t="shared" si="2"/>
        <v>100610.65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2802344.08</v>
      </c>
      <c r="F12" s="2">
        <f>SUM(F4:F11)</f>
        <v>1120937.6320000002</v>
      </c>
      <c r="G12" s="2">
        <f>SUM(G4:G11)</f>
        <v>980820.42799999984</v>
      </c>
      <c r="H12" s="2">
        <f>SUM(H4:H11)</f>
        <v>700586.02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ABRIL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1120937.6320000002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980820.42799999984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700586.02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2802344.08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7:C7"/>
    <mergeCell ref="A1:G2"/>
    <mergeCell ref="A3:C3"/>
    <mergeCell ref="A4:C4"/>
    <mergeCell ref="A5:C5"/>
    <mergeCell ref="A6:C6"/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E4" sqref="E4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61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1903178</v>
      </c>
      <c r="F4" s="35">
        <f>+E4*40%</f>
        <v>761271.20000000007</v>
      </c>
      <c r="G4" s="35">
        <f>+E4*35%</f>
        <v>666112.29999999993</v>
      </c>
      <c r="H4" s="35">
        <f>+E4*25%</f>
        <v>475794.5</v>
      </c>
      <c r="I4" s="40" t="s">
        <v>58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129761.75</v>
      </c>
      <c r="F6" s="35">
        <f t="shared" si="0"/>
        <v>51904.700000000004</v>
      </c>
      <c r="G6" s="35">
        <f t="shared" si="1"/>
        <v>45416.612499999996</v>
      </c>
      <c r="H6" s="35">
        <f t="shared" si="2"/>
        <v>32440.4375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162212.97</v>
      </c>
      <c r="F7" s="35">
        <f t="shared" si="0"/>
        <v>64885.188000000002</v>
      </c>
      <c r="G7" s="35">
        <f t="shared" si="1"/>
        <v>56774.539499999999</v>
      </c>
      <c r="H7" s="35">
        <f t="shared" si="2"/>
        <v>40553.2425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29702.17</v>
      </c>
      <c r="F8" s="35">
        <f t="shared" si="0"/>
        <v>11880.868</v>
      </c>
      <c r="G8" s="35">
        <f t="shared" si="1"/>
        <v>10395.759499999998</v>
      </c>
      <c r="H8" s="35">
        <f t="shared" si="2"/>
        <v>7425.5424999999996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50417.63</v>
      </c>
      <c r="F9" s="35">
        <f t="shared" si="0"/>
        <v>20167.052</v>
      </c>
      <c r="G9" s="35">
        <f t="shared" si="1"/>
        <v>17646.170499999997</v>
      </c>
      <c r="H9" s="35">
        <f t="shared" si="2"/>
        <v>12604.407499999999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70000</v>
      </c>
      <c r="F10" s="35">
        <f t="shared" si="0"/>
        <v>28000</v>
      </c>
      <c r="G10" s="35">
        <f t="shared" si="1"/>
        <v>24500</v>
      </c>
      <c r="H10" s="35">
        <f t="shared" si="2"/>
        <v>17500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408031.5</v>
      </c>
      <c r="F11" s="35">
        <f t="shared" si="0"/>
        <v>163212.6</v>
      </c>
      <c r="G11" s="35">
        <f t="shared" si="1"/>
        <v>142811.02499999999</v>
      </c>
      <c r="H11" s="35">
        <f t="shared" si="2"/>
        <v>102007.875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2801096.02</v>
      </c>
      <c r="F12" s="2">
        <f>SUM(F4:F11)</f>
        <v>1120438.4080000001</v>
      </c>
      <c r="G12" s="2">
        <f>SUM(G4:G11)</f>
        <v>980383.60699999996</v>
      </c>
      <c r="H12" s="2">
        <f>SUM(H4:H11)</f>
        <v>700274.005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MAYO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1120438.4080000001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980383.60699999996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700274.005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2801096.02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  <mergeCell ref="A7:C7"/>
    <mergeCell ref="A1:G2"/>
    <mergeCell ref="A3:C3"/>
    <mergeCell ref="A4:C4"/>
    <mergeCell ref="A5:C5"/>
    <mergeCell ref="A6:C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D7" sqref="D7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68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1903178</v>
      </c>
      <c r="F4" s="35">
        <f>+E4*40%</f>
        <v>761271.20000000007</v>
      </c>
      <c r="G4" s="35">
        <f>+E4*35%</f>
        <v>666112.29999999993</v>
      </c>
      <c r="H4" s="35">
        <f>+E4*25%</f>
        <v>475794.5</v>
      </c>
      <c r="I4" s="40" t="s">
        <v>58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47792</v>
      </c>
      <c r="F5" s="35">
        <f t="shared" ref="F5:F11" si="0">+E5*40%</f>
        <v>19116.8</v>
      </c>
      <c r="G5" s="35">
        <f t="shared" ref="G5:G11" si="1">+E5*35%</f>
        <v>16727.2</v>
      </c>
      <c r="H5" s="35">
        <f t="shared" ref="H5:H11" si="2">+E5*25%</f>
        <v>11948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90833.22</v>
      </c>
      <c r="F6" s="35">
        <f t="shared" si="0"/>
        <v>36333.288</v>
      </c>
      <c r="G6" s="35">
        <f t="shared" si="1"/>
        <v>31791.626999999997</v>
      </c>
      <c r="H6" s="35">
        <f t="shared" si="2"/>
        <v>22708.305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163667.91</v>
      </c>
      <c r="F7" s="35">
        <f t="shared" si="0"/>
        <v>65467.164000000004</v>
      </c>
      <c r="G7" s="35">
        <f t="shared" si="1"/>
        <v>57283.768499999998</v>
      </c>
      <c r="H7" s="35">
        <f t="shared" si="2"/>
        <v>40916.977500000001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33889.61</v>
      </c>
      <c r="F8" s="35">
        <f t="shared" si="0"/>
        <v>13555.844000000001</v>
      </c>
      <c r="G8" s="35">
        <f t="shared" si="1"/>
        <v>11861.363499999999</v>
      </c>
      <c r="H8" s="35">
        <f t="shared" si="2"/>
        <v>8472.4025000000001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55000</v>
      </c>
      <c r="F9" s="35">
        <f t="shared" si="0"/>
        <v>22000</v>
      </c>
      <c r="G9" s="35">
        <f t="shared" si="1"/>
        <v>19250</v>
      </c>
      <c r="H9" s="35">
        <f t="shared" si="2"/>
        <v>13750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70000</v>
      </c>
      <c r="F10" s="35">
        <f t="shared" si="0"/>
        <v>28000</v>
      </c>
      <c r="G10" s="35">
        <f t="shared" si="1"/>
        <v>24500</v>
      </c>
      <c r="H10" s="35">
        <f t="shared" si="2"/>
        <v>17500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450487.6</v>
      </c>
      <c r="F11" s="35">
        <f t="shared" si="0"/>
        <v>180195.04</v>
      </c>
      <c r="G11" s="35">
        <f t="shared" si="1"/>
        <v>157670.65999999997</v>
      </c>
      <c r="H11" s="35">
        <f t="shared" si="2"/>
        <v>112621.9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2814848.34</v>
      </c>
      <c r="F12" s="2">
        <f>SUM(F4:F11)</f>
        <v>1125939.3360000001</v>
      </c>
      <c r="G12" s="2">
        <f>SUM(G4:G11)</f>
        <v>985196.91899999976</v>
      </c>
      <c r="H12" s="2">
        <f>SUM(H4:H11)</f>
        <v>703712.08499999996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JUNIO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1125939.3360000001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985196.91899999976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703712.08499999996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2814848.34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7:C7"/>
    <mergeCell ref="A1:G2"/>
    <mergeCell ref="A3:C3"/>
    <mergeCell ref="A4:C4"/>
    <mergeCell ref="A5:C5"/>
    <mergeCell ref="A6:C6"/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workbookViewId="0">
      <selection activeCell="D8" sqref="D8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70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2036000</v>
      </c>
      <c r="F4" s="35">
        <f>+E4*40%</f>
        <v>814400</v>
      </c>
      <c r="G4" s="35">
        <f>+E4*35%</f>
        <v>712600</v>
      </c>
      <c r="H4" s="35">
        <f>+E4*25%</f>
        <v>509000</v>
      </c>
      <c r="I4" s="40" t="s">
        <v>71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54315</v>
      </c>
      <c r="F5" s="35">
        <f t="shared" ref="F5:F11" si="0">+E5*40%</f>
        <v>21726</v>
      </c>
      <c r="G5" s="35">
        <f t="shared" ref="G5:G11" si="1">+E5*35%</f>
        <v>19010.25</v>
      </c>
      <c r="H5" s="35">
        <f t="shared" ref="H5:H11" si="2">+E5*25%</f>
        <v>13578.75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90833.22</v>
      </c>
      <c r="F6" s="35">
        <f t="shared" si="0"/>
        <v>36333.288</v>
      </c>
      <c r="G6" s="35">
        <f t="shared" si="1"/>
        <v>31791.626999999997</v>
      </c>
      <c r="H6" s="35">
        <f t="shared" si="2"/>
        <v>22708.305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163667.91</v>
      </c>
      <c r="F7" s="35">
        <f t="shared" si="0"/>
        <v>65467.164000000004</v>
      </c>
      <c r="G7" s="35">
        <f t="shared" si="1"/>
        <v>57283.768499999998</v>
      </c>
      <c r="H7" s="35">
        <f t="shared" si="2"/>
        <v>40916.977500000001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50110.76</v>
      </c>
      <c r="F8" s="35">
        <f t="shared" si="0"/>
        <v>20044.304000000004</v>
      </c>
      <c r="G8" s="35">
        <f t="shared" si="1"/>
        <v>17538.766</v>
      </c>
      <c r="H8" s="35">
        <f t="shared" si="2"/>
        <v>12527.69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54192.23</v>
      </c>
      <c r="F9" s="35">
        <f t="shared" si="0"/>
        <v>21676.892000000003</v>
      </c>
      <c r="G9" s="35">
        <f t="shared" si="1"/>
        <v>18967.280500000001</v>
      </c>
      <c r="H9" s="35">
        <f t="shared" si="2"/>
        <v>13548.057500000001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72948.160000000003</v>
      </c>
      <c r="F10" s="35">
        <f t="shared" si="0"/>
        <v>29179.264000000003</v>
      </c>
      <c r="G10" s="35">
        <f t="shared" si="1"/>
        <v>25531.856</v>
      </c>
      <c r="H10" s="35">
        <f t="shared" si="2"/>
        <v>18237.04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319621</v>
      </c>
      <c r="F11" s="35">
        <f t="shared" si="0"/>
        <v>127848.40000000001</v>
      </c>
      <c r="G11" s="35">
        <f t="shared" si="1"/>
        <v>111867.34999999999</v>
      </c>
      <c r="H11" s="35">
        <f t="shared" si="2"/>
        <v>79905.25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2841688.2800000003</v>
      </c>
      <c r="F12" s="2">
        <f>SUM(F4:F11)</f>
        <v>1136675.3119999999</v>
      </c>
      <c r="G12" s="2">
        <f>SUM(G4:G11)</f>
        <v>994590.89799999993</v>
      </c>
      <c r="H12" s="2">
        <f>SUM(H4:H11)</f>
        <v>710422.07000000007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JULIO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1136675.3119999999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994590.89799999993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710422.07000000007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2841688.2800000003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7:C7"/>
    <mergeCell ref="A1:G2"/>
    <mergeCell ref="A3:C3"/>
    <mergeCell ref="A4:C4"/>
    <mergeCell ref="A5:C5"/>
    <mergeCell ref="A6:C6"/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994"/>
  <sheetViews>
    <sheetView tabSelected="1" workbookViewId="0">
      <selection activeCell="D9" sqref="D9"/>
    </sheetView>
  </sheetViews>
  <sheetFormatPr baseColWidth="10" defaultColWidth="14.44140625" defaultRowHeight="14.4" x14ac:dyDescent="0.3"/>
  <cols>
    <col min="1" max="1" width="21.6640625" style="32" customWidth="1"/>
    <col min="2" max="3" width="15.6640625" style="32" customWidth="1"/>
    <col min="4" max="4" width="22.33203125" style="32" customWidth="1"/>
    <col min="5" max="8" width="20.6640625" style="32" customWidth="1"/>
    <col min="9" max="9" width="28.109375" style="32" bestFit="1" customWidth="1"/>
    <col min="10" max="10" width="12" style="32" customWidth="1"/>
    <col min="11" max="12" width="20.6640625" style="32" customWidth="1"/>
    <col min="13" max="27" width="10" style="32" customWidth="1"/>
    <col min="28" max="16384" width="14.44140625" style="32"/>
  </cols>
  <sheetData>
    <row r="1" spans="1:27" ht="14.4" customHeight="1" x14ac:dyDescent="0.3">
      <c r="A1" s="104" t="s">
        <v>0</v>
      </c>
      <c r="B1" s="105"/>
      <c r="C1" s="105"/>
      <c r="D1" s="105"/>
      <c r="E1" s="105"/>
      <c r="F1" s="105"/>
      <c r="G1" s="106"/>
      <c r="H1" s="42" t="s">
        <v>1</v>
      </c>
      <c r="I1" s="43" t="s">
        <v>2</v>
      </c>
    </row>
    <row r="2" spans="1:27" ht="15" thickBot="1" x14ac:dyDescent="0.35">
      <c r="A2" s="107"/>
      <c r="B2" s="108"/>
      <c r="C2" s="108"/>
      <c r="D2" s="108"/>
      <c r="E2" s="108"/>
      <c r="F2" s="108"/>
      <c r="G2" s="109"/>
      <c r="H2" s="44" t="s">
        <v>76</v>
      </c>
      <c r="I2" s="45">
        <v>2026</v>
      </c>
    </row>
    <row r="3" spans="1:27" ht="30" customHeight="1" thickBot="1" x14ac:dyDescent="0.35">
      <c r="A3" s="110" t="s">
        <v>4</v>
      </c>
      <c r="B3" s="111"/>
      <c r="C3" s="111"/>
      <c r="D3" s="26" t="s">
        <v>5</v>
      </c>
      <c r="E3" s="26" t="s">
        <v>5</v>
      </c>
      <c r="F3" s="27" t="s">
        <v>29</v>
      </c>
      <c r="G3" s="27" t="s">
        <v>30</v>
      </c>
      <c r="H3" s="28" t="s">
        <v>31</v>
      </c>
      <c r="I3" s="27" t="s">
        <v>6</v>
      </c>
    </row>
    <row r="4" spans="1:27" ht="19.5" customHeight="1" x14ac:dyDescent="0.3">
      <c r="A4" s="102" t="s">
        <v>7</v>
      </c>
      <c r="B4" s="103"/>
      <c r="C4" s="103"/>
      <c r="D4" s="37" t="s">
        <v>36</v>
      </c>
      <c r="E4" s="34">
        <v>2036000</v>
      </c>
      <c r="F4" s="35">
        <f>+E4*40%</f>
        <v>814400</v>
      </c>
      <c r="G4" s="35">
        <f>+E4*35%</f>
        <v>712600</v>
      </c>
      <c r="H4" s="35">
        <f>+E4*25%</f>
        <v>509000</v>
      </c>
      <c r="I4" s="40" t="s">
        <v>71</v>
      </c>
      <c r="J4" s="1"/>
      <c r="K4" s="1"/>
    </row>
    <row r="5" spans="1:27" ht="19.5" customHeight="1" x14ac:dyDescent="0.3">
      <c r="A5" s="102" t="s">
        <v>8</v>
      </c>
      <c r="B5" s="103"/>
      <c r="C5" s="103"/>
      <c r="D5" s="41" t="s">
        <v>38</v>
      </c>
      <c r="E5" s="34">
        <v>54315</v>
      </c>
      <c r="F5" s="35">
        <f t="shared" ref="F5:F11" si="0">+E5*40%</f>
        <v>21726</v>
      </c>
      <c r="G5" s="35">
        <f t="shared" ref="G5:G11" si="1">+E5*35%</f>
        <v>19010.25</v>
      </c>
      <c r="H5" s="35">
        <f t="shared" ref="H5:H11" si="2">+E5*25%</f>
        <v>13578.75</v>
      </c>
      <c r="I5" s="36"/>
      <c r="J5" s="1"/>
      <c r="K5" s="1"/>
    </row>
    <row r="6" spans="1:27" ht="19.5" customHeight="1" x14ac:dyDescent="0.3">
      <c r="A6" s="102" t="s">
        <v>9</v>
      </c>
      <c r="B6" s="103"/>
      <c r="C6" s="103"/>
      <c r="D6" s="33">
        <v>110116241561</v>
      </c>
      <c r="E6" s="34">
        <v>90833.22</v>
      </c>
      <c r="F6" s="35">
        <f t="shared" si="0"/>
        <v>36333.288</v>
      </c>
      <c r="G6" s="35">
        <f t="shared" si="1"/>
        <v>31791.626999999997</v>
      </c>
      <c r="H6" s="35">
        <f t="shared" si="2"/>
        <v>22708.305</v>
      </c>
      <c r="I6" s="36"/>
      <c r="J6" s="1"/>
      <c r="K6" s="1"/>
    </row>
    <row r="7" spans="1:27" ht="19.5" customHeight="1" x14ac:dyDescent="0.3">
      <c r="A7" s="102" t="s">
        <v>10</v>
      </c>
      <c r="B7" s="103"/>
      <c r="C7" s="103"/>
      <c r="D7" s="37">
        <v>285408</v>
      </c>
      <c r="E7" s="34">
        <v>176417.89</v>
      </c>
      <c r="F7" s="35">
        <f t="shared" si="0"/>
        <v>70567.156000000003</v>
      </c>
      <c r="G7" s="35">
        <f t="shared" si="1"/>
        <v>61746.261500000001</v>
      </c>
      <c r="H7" s="35">
        <f t="shared" si="2"/>
        <v>44104.472500000003</v>
      </c>
      <c r="I7" s="36"/>
      <c r="J7" s="1"/>
      <c r="K7" s="1"/>
    </row>
    <row r="8" spans="1:27" ht="19.5" customHeight="1" x14ac:dyDescent="0.3">
      <c r="A8" s="102" t="s">
        <v>27</v>
      </c>
      <c r="B8" s="103"/>
      <c r="C8" s="103"/>
      <c r="D8" s="37">
        <v>21858193</v>
      </c>
      <c r="E8" s="34">
        <v>51054.34</v>
      </c>
      <c r="F8" s="35">
        <f t="shared" si="0"/>
        <v>20421.736000000001</v>
      </c>
      <c r="G8" s="35">
        <f t="shared" si="1"/>
        <v>17869.018999999997</v>
      </c>
      <c r="H8" s="35">
        <f t="shared" si="2"/>
        <v>12763.584999999999</v>
      </c>
      <c r="I8" s="36"/>
      <c r="J8" s="1"/>
      <c r="K8" s="17"/>
    </row>
    <row r="9" spans="1:27" ht="19.5" customHeight="1" x14ac:dyDescent="0.3">
      <c r="A9" s="116" t="s">
        <v>12</v>
      </c>
      <c r="B9" s="117"/>
      <c r="C9" s="117"/>
      <c r="D9" s="37">
        <v>21316865904</v>
      </c>
      <c r="E9" s="34">
        <v>56911.77</v>
      </c>
      <c r="F9" s="35">
        <f t="shared" si="0"/>
        <v>22764.707999999999</v>
      </c>
      <c r="G9" s="35">
        <f t="shared" si="1"/>
        <v>19919.119499999997</v>
      </c>
      <c r="H9" s="35">
        <f t="shared" si="2"/>
        <v>14227.942499999999</v>
      </c>
      <c r="I9" s="36"/>
      <c r="J9" s="1"/>
      <c r="K9" s="17"/>
    </row>
    <row r="10" spans="1:27" ht="19.5" customHeight="1" x14ac:dyDescent="0.3">
      <c r="A10" s="116" t="s">
        <v>41</v>
      </c>
      <c r="B10" s="117"/>
      <c r="C10" s="117"/>
      <c r="D10" s="37" t="s">
        <v>37</v>
      </c>
      <c r="E10" s="34">
        <v>75000</v>
      </c>
      <c r="F10" s="35">
        <f t="shared" si="0"/>
        <v>30000</v>
      </c>
      <c r="G10" s="35">
        <f t="shared" si="1"/>
        <v>26250</v>
      </c>
      <c r="H10" s="35">
        <f t="shared" si="2"/>
        <v>18750</v>
      </c>
      <c r="I10" s="36"/>
      <c r="J10" s="1"/>
      <c r="K10" s="17"/>
    </row>
    <row r="11" spans="1:27" ht="19.5" customHeight="1" x14ac:dyDescent="0.3">
      <c r="A11" s="102" t="s">
        <v>26</v>
      </c>
      <c r="B11" s="103"/>
      <c r="C11" s="103"/>
      <c r="D11" s="37" t="s">
        <v>39</v>
      </c>
      <c r="E11" s="34">
        <v>479036.6</v>
      </c>
      <c r="F11" s="35">
        <f t="shared" si="0"/>
        <v>191614.64</v>
      </c>
      <c r="G11" s="35">
        <f t="shared" si="1"/>
        <v>167662.80999999997</v>
      </c>
      <c r="H11" s="35">
        <f t="shared" si="2"/>
        <v>119759.15</v>
      </c>
      <c r="I11" s="36"/>
      <c r="J11" s="1"/>
      <c r="K11" s="17"/>
    </row>
    <row r="12" spans="1:27" x14ac:dyDescent="0.3">
      <c r="A12" s="118" t="s">
        <v>11</v>
      </c>
      <c r="B12" s="115"/>
      <c r="C12" s="113"/>
      <c r="D12" s="30"/>
      <c r="E12" s="2">
        <f>SUM(E4:E11)</f>
        <v>3019568.8200000003</v>
      </c>
      <c r="F12" s="2">
        <f>SUM(F4:F11)</f>
        <v>1207827.5279999999</v>
      </c>
      <c r="G12" s="2">
        <f>SUM(G4:G11)</f>
        <v>1056849.0870000001</v>
      </c>
      <c r="H12" s="2">
        <f>SUM(H4:H11)</f>
        <v>754892.20500000007</v>
      </c>
      <c r="I12" s="3"/>
      <c r="J12" s="4"/>
      <c r="K12" s="6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6.75" customHeight="1" x14ac:dyDescent="0.3">
      <c r="A13" s="5"/>
      <c r="B13" s="5"/>
      <c r="C13" s="5"/>
      <c r="D13" s="5"/>
      <c r="E13" s="6"/>
      <c r="F13" s="6"/>
      <c r="G13" s="6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119" t="s">
        <v>13</v>
      </c>
      <c r="B14" s="113"/>
      <c r="C14" s="18" t="str">
        <f>+H2</f>
        <v>AGOSTO</v>
      </c>
      <c r="D14" s="18" t="s">
        <v>14</v>
      </c>
    </row>
    <row r="15" spans="1:27" ht="15.75" customHeight="1" x14ac:dyDescent="0.3">
      <c r="A15" s="112" t="s">
        <v>15</v>
      </c>
      <c r="B15" s="113"/>
      <c r="C15" s="1">
        <f>+F12</f>
        <v>1207827.5279999999</v>
      </c>
      <c r="D15" s="7">
        <v>0.4</v>
      </c>
      <c r="H15" s="1"/>
    </row>
    <row r="16" spans="1:27" ht="15.75" customHeight="1" x14ac:dyDescent="0.3">
      <c r="A16" s="112" t="s">
        <v>32</v>
      </c>
      <c r="B16" s="113"/>
      <c r="C16" s="1">
        <f>+G12</f>
        <v>1056849.0870000001</v>
      </c>
      <c r="D16" s="7">
        <v>0.35</v>
      </c>
      <c r="H16" s="1"/>
    </row>
    <row r="17" spans="1:10" ht="15.75" customHeight="1" thickBot="1" x14ac:dyDescent="0.35">
      <c r="A17" s="112" t="s">
        <v>16</v>
      </c>
      <c r="B17" s="113"/>
      <c r="C17" s="1">
        <f>+H12</f>
        <v>754892.20500000007</v>
      </c>
      <c r="D17" s="7">
        <v>0.25</v>
      </c>
      <c r="E17" s="23"/>
    </row>
    <row r="18" spans="1:10" ht="15.75" customHeight="1" thickBot="1" x14ac:dyDescent="0.35">
      <c r="A18" s="114" t="s">
        <v>17</v>
      </c>
      <c r="B18" s="115"/>
      <c r="C18" s="8">
        <f>SUM(C15:C17)</f>
        <v>3019568.8200000003</v>
      </c>
      <c r="D18" s="9">
        <f>SUM(D15:D17)</f>
        <v>1</v>
      </c>
    </row>
    <row r="19" spans="1:10" ht="15.75" customHeight="1" x14ac:dyDescent="0.3">
      <c r="C19" s="1"/>
      <c r="D19" s="1"/>
      <c r="E19" s="1"/>
      <c r="H19" s="17"/>
    </row>
    <row r="20" spans="1:10" ht="19.5" customHeight="1" x14ac:dyDescent="0.3">
      <c r="G20" s="38"/>
      <c r="H20" s="38"/>
    </row>
    <row r="21" spans="1:10" ht="19.5" customHeight="1" x14ac:dyDescent="0.3">
      <c r="C21" s="1"/>
      <c r="D21" s="1"/>
      <c r="G21" s="38"/>
      <c r="H21" s="38"/>
    </row>
    <row r="22" spans="1:10" ht="19.5" customHeight="1" x14ac:dyDescent="0.3">
      <c r="C22" s="1"/>
      <c r="D22" s="1"/>
      <c r="G22" s="38"/>
      <c r="H22" s="38"/>
    </row>
    <row r="23" spans="1:10" ht="19.5" customHeight="1" x14ac:dyDescent="0.3">
      <c r="C23" s="1"/>
      <c r="D23" s="1"/>
      <c r="G23" s="38"/>
      <c r="H23" s="38"/>
      <c r="J23" s="1"/>
    </row>
    <row r="24" spans="1:10" ht="19.5" customHeight="1" x14ac:dyDescent="0.3">
      <c r="G24" s="38"/>
      <c r="H24" s="38"/>
      <c r="J24" s="1"/>
    </row>
    <row r="25" spans="1:10" ht="19.5" customHeight="1" x14ac:dyDescent="0.3">
      <c r="G25" s="38"/>
      <c r="H25" s="38"/>
      <c r="J25" s="1"/>
    </row>
    <row r="26" spans="1:10" ht="19.5" customHeight="1" x14ac:dyDescent="0.3">
      <c r="G26" s="39"/>
      <c r="H26" s="39"/>
      <c r="J26" s="1"/>
    </row>
    <row r="27" spans="1:10" ht="19.5" customHeight="1" x14ac:dyDescent="0.3">
      <c r="I27" s="1"/>
      <c r="J27" s="1"/>
    </row>
    <row r="28" spans="1:10" ht="19.5" customHeight="1" x14ac:dyDescent="0.3">
      <c r="I28" s="1"/>
      <c r="J28" s="1"/>
    </row>
    <row r="29" spans="1:10" ht="19.5" customHeight="1" x14ac:dyDescent="0.3">
      <c r="J29" s="1"/>
    </row>
    <row r="30" spans="1:10" ht="24.75" customHeight="1" x14ac:dyDescent="0.3">
      <c r="I30" s="1"/>
    </row>
    <row r="31" spans="1:10" ht="24.75" customHeight="1" x14ac:dyDescent="0.3">
      <c r="I31" s="1"/>
    </row>
    <row r="32" spans="1:10" ht="19.5" customHeight="1" x14ac:dyDescent="0.3">
      <c r="I32" s="1"/>
    </row>
    <row r="33" spans="9:10" ht="18" customHeight="1" x14ac:dyDescent="0.3"/>
    <row r="34" spans="9:10" ht="19.5" customHeight="1" x14ac:dyDescent="0.3">
      <c r="I34" s="1"/>
    </row>
    <row r="35" spans="9:10" ht="18" customHeight="1" x14ac:dyDescent="0.3"/>
    <row r="36" spans="9:10" ht="18" customHeight="1" x14ac:dyDescent="0.3"/>
    <row r="37" spans="9:10" ht="18" customHeight="1" x14ac:dyDescent="0.3"/>
    <row r="38" spans="9:10" ht="18" customHeight="1" x14ac:dyDescent="0.3"/>
    <row r="39" spans="9:10" ht="18" customHeight="1" x14ac:dyDescent="0.3">
      <c r="J39" s="1"/>
    </row>
    <row r="40" spans="9:10" ht="18" customHeight="1" x14ac:dyDescent="0.3"/>
    <row r="41" spans="9:10" ht="18" customHeight="1" x14ac:dyDescent="0.3">
      <c r="I41" s="1"/>
    </row>
    <row r="42" spans="9:10" ht="18" customHeight="1" x14ac:dyDescent="0.3"/>
    <row r="43" spans="9:10" ht="18" customHeight="1" x14ac:dyDescent="0.3"/>
    <row r="44" spans="9:10" ht="18" customHeight="1" x14ac:dyDescent="0.3"/>
    <row r="45" spans="9:10" ht="15.75" customHeight="1" x14ac:dyDescent="0.3"/>
    <row r="46" spans="9:10" ht="15.75" customHeight="1" x14ac:dyDescent="0.3"/>
    <row r="47" spans="9:10" ht="15.75" customHeight="1" x14ac:dyDescent="0.3"/>
    <row r="48" spans="9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</sheetData>
  <mergeCells count="16">
    <mergeCell ref="A15:B15"/>
    <mergeCell ref="A16:B16"/>
    <mergeCell ref="A17:B17"/>
    <mergeCell ref="A18:B18"/>
    <mergeCell ref="A8:C8"/>
    <mergeCell ref="A9:C9"/>
    <mergeCell ref="A10:C10"/>
    <mergeCell ref="A11:C11"/>
    <mergeCell ref="A12:C12"/>
    <mergeCell ref="A14:B14"/>
    <mergeCell ref="A7:C7"/>
    <mergeCell ref="A1:G2"/>
    <mergeCell ref="A3:C3"/>
    <mergeCell ref="A4:C4"/>
    <mergeCell ref="A5:C5"/>
    <mergeCell ref="A6:C6"/>
  </mergeCells>
  <pageMargins left="0.70866141732283472" right="0.70866141732283472" top="0.74803149606299213" bottom="0.74803149606299213" header="0.31496062992125984" footer="0.31496062992125984"/>
  <pageSetup paperSize="9" scale="7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5"/>
  <sheetViews>
    <sheetView topLeftCell="A155" zoomScale="110" zoomScaleNormal="110" workbookViewId="0">
      <selection activeCell="B166" sqref="B166"/>
    </sheetView>
  </sheetViews>
  <sheetFormatPr baseColWidth="10" defaultColWidth="14.44140625" defaultRowHeight="15" customHeight="1" x14ac:dyDescent="0.3"/>
  <cols>
    <col min="1" max="6" width="20.6640625" customWidth="1"/>
    <col min="7" max="7" width="20.6640625" style="32" customWidth="1"/>
    <col min="8" max="8" width="20.6640625" customWidth="1"/>
    <col min="9" max="9" width="14.33203125" customWidth="1"/>
    <col min="10" max="10" width="13.109375" customWidth="1"/>
    <col min="11" max="27" width="10" customWidth="1"/>
  </cols>
  <sheetData>
    <row r="1" spans="1:8" ht="15.75" customHeight="1" x14ac:dyDescent="0.3"/>
    <row r="2" spans="1:8" s="32" customFormat="1" ht="15.75" customHeight="1" x14ac:dyDescent="0.3">
      <c r="A2" s="120" t="s">
        <v>63</v>
      </c>
      <c r="B2" s="121"/>
      <c r="C2" s="121"/>
      <c r="D2" s="121"/>
      <c r="E2" s="121"/>
      <c r="F2" s="121"/>
      <c r="G2" s="121"/>
      <c r="H2" s="121"/>
    </row>
    <row r="3" spans="1:8" s="32" customFormat="1" ht="15.75" customHeight="1" x14ac:dyDescent="0.3">
      <c r="A3" s="19" t="s">
        <v>18</v>
      </c>
      <c r="B3" s="19" t="s">
        <v>19</v>
      </c>
      <c r="C3" s="19" t="s">
        <v>20</v>
      </c>
      <c r="D3" s="19" t="s">
        <v>15</v>
      </c>
      <c r="E3" s="19" t="s">
        <v>32</v>
      </c>
      <c r="F3" s="19" t="s">
        <v>25</v>
      </c>
      <c r="G3" s="19" t="s">
        <v>42</v>
      </c>
      <c r="H3" s="19" t="s">
        <v>11</v>
      </c>
    </row>
    <row r="4" spans="1:8" s="32" customFormat="1" ht="15.75" customHeight="1" x14ac:dyDescent="0.3">
      <c r="A4" s="31" t="s">
        <v>22</v>
      </c>
      <c r="B4" s="7">
        <v>0.4</v>
      </c>
      <c r="C4" s="1">
        <f>+ENERO!F12</f>
        <v>1007437.0000000001</v>
      </c>
      <c r="D4" s="23">
        <f>+C14</f>
        <v>29966.666666666668</v>
      </c>
      <c r="E4" s="23"/>
      <c r="F4" s="29"/>
      <c r="G4" s="29"/>
      <c r="H4" s="1">
        <f>SUM(C4:G4)</f>
        <v>1037403.6666666667</v>
      </c>
    </row>
    <row r="5" spans="1:8" s="32" customFormat="1" ht="15.75" customHeight="1" x14ac:dyDescent="0.3">
      <c r="A5" s="31" t="s">
        <v>32</v>
      </c>
      <c r="B5" s="7">
        <v>0.35</v>
      </c>
      <c r="C5" s="1">
        <f>+ENERO!G12</f>
        <v>881507.37499999988</v>
      </c>
      <c r="D5" s="23"/>
      <c r="E5" s="23">
        <f>+D14</f>
        <v>29966.666666666668</v>
      </c>
      <c r="F5" s="25"/>
      <c r="G5" s="25"/>
      <c r="H5" s="1">
        <f>SUM(C5:G5)</f>
        <v>911474.04166666651</v>
      </c>
    </row>
    <row r="6" spans="1:8" s="32" customFormat="1" ht="15.75" customHeight="1" x14ac:dyDescent="0.3">
      <c r="A6" s="31" t="s">
        <v>16</v>
      </c>
      <c r="B6" s="7">
        <v>0.25</v>
      </c>
      <c r="C6" s="1">
        <f>+ENERO!H12</f>
        <v>629648.125</v>
      </c>
      <c r="D6" s="23"/>
      <c r="E6" s="23"/>
      <c r="F6" s="46">
        <f>+E14</f>
        <v>29966.666666666668</v>
      </c>
      <c r="G6" s="46">
        <f>-B12-B13</f>
        <v>-89900</v>
      </c>
      <c r="H6" s="1">
        <f>SUM(C6:G6)</f>
        <v>569714.79166666663</v>
      </c>
    </row>
    <row r="7" spans="1:8" s="32" customFormat="1" ht="15.75" customHeight="1" x14ac:dyDescent="0.3">
      <c r="B7" s="20">
        <v>1</v>
      </c>
      <c r="C7" s="21">
        <f>SUM(C4:C6)</f>
        <v>2518592.5</v>
      </c>
      <c r="D7" s="1"/>
      <c r="E7" s="1"/>
      <c r="F7" s="1"/>
      <c r="G7" s="1"/>
      <c r="H7" s="1">
        <f>SUM(H4:H6)</f>
        <v>2518592.5</v>
      </c>
    </row>
    <row r="8" spans="1:8" s="32" customFormat="1" ht="15.75" customHeight="1" x14ac:dyDescent="0.3">
      <c r="E8" s="17"/>
      <c r="H8" s="17"/>
    </row>
    <row r="9" spans="1:8" s="32" customFormat="1" ht="15.75" customHeight="1" x14ac:dyDescent="0.3"/>
    <row r="10" spans="1:8" s="32" customFormat="1" ht="15.75" customHeight="1" thickBot="1" x14ac:dyDescent="0.35">
      <c r="A10" s="24" t="s">
        <v>21</v>
      </c>
      <c r="B10" s="60"/>
      <c r="C10" s="60"/>
      <c r="D10" s="60"/>
      <c r="F10" s="1"/>
      <c r="G10" s="1"/>
    </row>
    <row r="11" spans="1:8" s="32" customFormat="1" ht="15.75" customHeight="1" thickBot="1" x14ac:dyDescent="0.35">
      <c r="A11" s="10" t="s">
        <v>23</v>
      </c>
      <c r="B11" s="11" t="s">
        <v>24</v>
      </c>
      <c r="C11" s="12" t="s">
        <v>33</v>
      </c>
      <c r="D11" s="12" t="s">
        <v>34</v>
      </c>
      <c r="E11" s="12" t="s">
        <v>35</v>
      </c>
    </row>
    <row r="12" spans="1:8" s="32" customFormat="1" ht="15.75" customHeight="1" x14ac:dyDescent="0.3">
      <c r="A12" s="13" t="s">
        <v>28</v>
      </c>
      <c r="B12" s="14">
        <v>65600</v>
      </c>
      <c r="C12" s="22">
        <f>+B12/3</f>
        <v>21866.666666666668</v>
      </c>
      <c r="D12" s="22">
        <f>+B12/3</f>
        <v>21866.666666666668</v>
      </c>
      <c r="E12" s="22">
        <f>+B12/3</f>
        <v>21866.666666666668</v>
      </c>
    </row>
    <row r="13" spans="1:8" s="32" customFormat="1" ht="15.75" customHeight="1" x14ac:dyDescent="0.3">
      <c r="A13" s="13" t="s">
        <v>40</v>
      </c>
      <c r="B13" s="14">
        <v>24300</v>
      </c>
      <c r="C13" s="22">
        <f t="shared" ref="C13" si="0">+B13/3</f>
        <v>8100</v>
      </c>
      <c r="D13" s="22">
        <f t="shared" ref="D13" si="1">+B13/3</f>
        <v>8100</v>
      </c>
      <c r="E13" s="22">
        <f t="shared" ref="E13" si="2">+B13/3</f>
        <v>8100</v>
      </c>
    </row>
    <row r="14" spans="1:8" s="32" customFormat="1" ht="15.75" customHeight="1" x14ac:dyDescent="0.3">
      <c r="A14" s="15" t="s">
        <v>11</v>
      </c>
      <c r="B14" s="16">
        <f>SUM(B12:B13)</f>
        <v>89900</v>
      </c>
      <c r="C14" s="16">
        <f>SUM(C12:C13)</f>
        <v>29966.666666666668</v>
      </c>
      <c r="D14" s="16">
        <f>SUM(D12:D13)</f>
        <v>29966.666666666668</v>
      </c>
      <c r="E14" s="16">
        <f>SUM(E12:E13)</f>
        <v>29966.666666666668</v>
      </c>
    </row>
    <row r="15" spans="1:8" ht="15" customHeight="1" thickBot="1" x14ac:dyDescent="0.35"/>
    <row r="16" spans="1:8" s="58" customFormat="1" ht="30" customHeight="1" thickBot="1" x14ac:dyDescent="0.35">
      <c r="A16" s="122" t="s">
        <v>47</v>
      </c>
      <c r="B16" s="122"/>
      <c r="C16" s="122"/>
      <c r="D16" s="122"/>
    </row>
    <row r="17" spans="1:8" s="58" customFormat="1" ht="30" customHeight="1" thickBot="1" x14ac:dyDescent="0.35">
      <c r="A17" s="61" t="s">
        <v>43</v>
      </c>
      <c r="B17" s="61" t="s">
        <v>5</v>
      </c>
      <c r="C17" s="61" t="s">
        <v>24</v>
      </c>
      <c r="D17" s="61" t="s">
        <v>18</v>
      </c>
    </row>
    <row r="18" spans="1:8" s="32" customFormat="1" ht="19.95" customHeight="1" x14ac:dyDescent="0.3">
      <c r="A18" s="47">
        <v>46361</v>
      </c>
      <c r="B18" s="48" t="s">
        <v>45</v>
      </c>
      <c r="C18" s="49">
        <v>32800</v>
      </c>
      <c r="D18" s="50" t="s">
        <v>44</v>
      </c>
    </row>
    <row r="19" spans="1:8" s="32" customFormat="1" ht="19.95" customHeight="1" thickBot="1" x14ac:dyDescent="0.35">
      <c r="A19" s="51">
        <v>46369</v>
      </c>
      <c r="B19" s="52" t="s">
        <v>45</v>
      </c>
      <c r="C19" s="53">
        <v>32800</v>
      </c>
      <c r="D19" s="54" t="s">
        <v>44</v>
      </c>
    </row>
    <row r="20" spans="1:8" s="32" customFormat="1" ht="19.95" customHeight="1" thickBot="1" x14ac:dyDescent="0.35">
      <c r="A20" s="55"/>
      <c r="B20" s="59" t="s">
        <v>11</v>
      </c>
      <c r="C20" s="56">
        <f>SUM(C18:C19)</f>
        <v>65600</v>
      </c>
      <c r="D20" s="57"/>
    </row>
    <row r="22" spans="1:8" s="32" customFormat="1" ht="15.75" customHeight="1" x14ac:dyDescent="0.3">
      <c r="A22" s="120" t="s">
        <v>64</v>
      </c>
      <c r="B22" s="121"/>
      <c r="C22" s="121"/>
      <c r="D22" s="121"/>
      <c r="E22" s="121"/>
      <c r="F22" s="121"/>
      <c r="G22" s="121"/>
      <c r="H22" s="121"/>
    </row>
    <row r="23" spans="1:8" s="32" customFormat="1" ht="15.75" customHeight="1" x14ac:dyDescent="0.3">
      <c r="A23" s="19" t="s">
        <v>18</v>
      </c>
      <c r="B23" s="19" t="s">
        <v>19</v>
      </c>
      <c r="C23" s="19" t="s">
        <v>20</v>
      </c>
      <c r="D23" s="19" t="s">
        <v>15</v>
      </c>
      <c r="E23" s="19" t="s">
        <v>32</v>
      </c>
      <c r="F23" s="19" t="s">
        <v>25</v>
      </c>
      <c r="G23" s="19" t="s">
        <v>42</v>
      </c>
      <c r="H23" s="19" t="s">
        <v>11</v>
      </c>
    </row>
    <row r="24" spans="1:8" s="32" customFormat="1" ht="15.75" customHeight="1" x14ac:dyDescent="0.3">
      <c r="A24" s="31" t="s">
        <v>22</v>
      </c>
      <c r="B24" s="7">
        <v>0.4</v>
      </c>
      <c r="C24" s="1">
        <f>+FEBRERO!F12</f>
        <v>1034214.3600000001</v>
      </c>
      <c r="D24" s="23">
        <f>+C34</f>
        <v>35766.666666666672</v>
      </c>
      <c r="E24" s="23"/>
      <c r="F24" s="29"/>
      <c r="G24" s="29"/>
      <c r="H24" s="1">
        <f>SUM(C24:G24)</f>
        <v>1069981.0266666668</v>
      </c>
    </row>
    <row r="25" spans="1:8" s="32" customFormat="1" ht="15.75" customHeight="1" x14ac:dyDescent="0.3">
      <c r="A25" s="31" t="s">
        <v>32</v>
      </c>
      <c r="B25" s="7">
        <v>0.35</v>
      </c>
      <c r="C25" s="1">
        <f>+FEBRERO!G12</f>
        <v>904937.56499999994</v>
      </c>
      <c r="D25" s="23"/>
      <c r="E25" s="23">
        <f>+D34</f>
        <v>35766.666666666672</v>
      </c>
      <c r="F25" s="25"/>
      <c r="G25" s="25"/>
      <c r="H25" s="1">
        <f>SUM(C25:G25)</f>
        <v>940704.23166666657</v>
      </c>
    </row>
    <row r="26" spans="1:8" s="32" customFormat="1" ht="15.75" customHeight="1" x14ac:dyDescent="0.3">
      <c r="A26" s="31" t="s">
        <v>16</v>
      </c>
      <c r="B26" s="7">
        <v>0.25</v>
      </c>
      <c r="C26" s="1">
        <f>+FEBRERO!H12</f>
        <v>646383.97500000009</v>
      </c>
      <c r="D26" s="23"/>
      <c r="E26" s="23"/>
      <c r="F26" s="46">
        <f>+E34</f>
        <v>35766.666666666672</v>
      </c>
      <c r="G26" s="46">
        <f>-B32-B33</f>
        <v>-107300</v>
      </c>
      <c r="H26" s="1">
        <f>SUM(C26:G26)</f>
        <v>574850.64166666672</v>
      </c>
    </row>
    <row r="27" spans="1:8" s="32" customFormat="1" ht="15.75" customHeight="1" x14ac:dyDescent="0.3">
      <c r="B27" s="20">
        <v>1</v>
      </c>
      <c r="C27" s="21">
        <f>SUM(C24:C26)</f>
        <v>2585535.9000000004</v>
      </c>
      <c r="D27" s="1"/>
      <c r="E27" s="1"/>
      <c r="F27" s="1"/>
      <c r="G27" s="1"/>
      <c r="H27" s="1">
        <f>SUM(H24:H26)</f>
        <v>2585535.9</v>
      </c>
    </row>
    <row r="28" spans="1:8" s="32" customFormat="1" ht="15.75" customHeight="1" x14ac:dyDescent="0.3">
      <c r="E28" s="17"/>
      <c r="H28" s="17"/>
    </row>
    <row r="29" spans="1:8" s="32" customFormat="1" ht="15.75" customHeight="1" x14ac:dyDescent="0.3"/>
    <row r="30" spans="1:8" s="32" customFormat="1" ht="15.75" customHeight="1" thickBot="1" x14ac:dyDescent="0.35">
      <c r="A30" s="24" t="s">
        <v>21</v>
      </c>
      <c r="B30" s="63"/>
      <c r="C30" s="63"/>
      <c r="D30" s="63"/>
      <c r="F30" s="1"/>
      <c r="G30" s="1"/>
    </row>
    <row r="31" spans="1:8" s="32" customFormat="1" ht="15.75" customHeight="1" thickBot="1" x14ac:dyDescent="0.35">
      <c r="A31" s="10" t="s">
        <v>23</v>
      </c>
      <c r="B31" s="11" t="s">
        <v>24</v>
      </c>
      <c r="C31" s="12" t="s">
        <v>33</v>
      </c>
      <c r="D31" s="12" t="s">
        <v>34</v>
      </c>
      <c r="E31" s="12" t="s">
        <v>35</v>
      </c>
    </row>
    <row r="32" spans="1:8" s="32" customFormat="1" ht="15.75" customHeight="1" x14ac:dyDescent="0.3">
      <c r="A32" s="13" t="s">
        <v>28</v>
      </c>
      <c r="B32" s="14">
        <v>83000</v>
      </c>
      <c r="C32" s="22">
        <f>+B32/3</f>
        <v>27666.666666666668</v>
      </c>
      <c r="D32" s="22">
        <f>+B32/3</f>
        <v>27666.666666666668</v>
      </c>
      <c r="E32" s="22">
        <f>+B32/3</f>
        <v>27666.666666666668</v>
      </c>
    </row>
    <row r="33" spans="1:8" s="32" customFormat="1" ht="15.75" customHeight="1" x14ac:dyDescent="0.3">
      <c r="A33" s="13" t="s">
        <v>40</v>
      </c>
      <c r="B33" s="14">
        <v>24300</v>
      </c>
      <c r="C33" s="22">
        <f t="shared" ref="C33" si="3">+B33/3</f>
        <v>8100</v>
      </c>
      <c r="D33" s="22">
        <f t="shared" ref="D33" si="4">+B33/3</f>
        <v>8100</v>
      </c>
      <c r="E33" s="22">
        <f t="shared" ref="E33" si="5">+B33/3</f>
        <v>8100</v>
      </c>
    </row>
    <row r="34" spans="1:8" s="32" customFormat="1" ht="15.75" customHeight="1" x14ac:dyDescent="0.3">
      <c r="A34" s="15" t="s">
        <v>11</v>
      </c>
      <c r="B34" s="16">
        <f>SUM(B32:B33)</f>
        <v>107300</v>
      </c>
      <c r="C34" s="16">
        <f>SUM(C32:C33)</f>
        <v>35766.666666666672</v>
      </c>
      <c r="D34" s="16">
        <f>SUM(D32:D33)</f>
        <v>35766.666666666672</v>
      </c>
      <c r="E34" s="16">
        <f>SUM(E32:E33)</f>
        <v>35766.666666666672</v>
      </c>
    </row>
    <row r="35" spans="1:8" ht="15" customHeight="1" thickBot="1" x14ac:dyDescent="0.35"/>
    <row r="36" spans="1:8" s="58" customFormat="1" ht="30" customHeight="1" thickBot="1" x14ac:dyDescent="0.35">
      <c r="A36" s="122" t="s">
        <v>49</v>
      </c>
      <c r="B36" s="122"/>
      <c r="C36" s="122"/>
      <c r="D36" s="122"/>
    </row>
    <row r="37" spans="1:8" s="58" customFormat="1" ht="30" customHeight="1" thickBot="1" x14ac:dyDescent="0.35">
      <c r="A37" s="62" t="s">
        <v>43</v>
      </c>
      <c r="B37" s="62" t="s">
        <v>5</v>
      </c>
      <c r="C37" s="62" t="s">
        <v>24</v>
      </c>
      <c r="D37" s="62" t="s">
        <v>18</v>
      </c>
    </row>
    <row r="38" spans="1:8" s="32" customFormat="1" ht="19.95" customHeight="1" x14ac:dyDescent="0.3">
      <c r="A38" s="47">
        <v>46035</v>
      </c>
      <c r="B38" s="68" t="s">
        <v>50</v>
      </c>
      <c r="C38" s="49">
        <v>13600</v>
      </c>
      <c r="D38" s="50" t="s">
        <v>44</v>
      </c>
    </row>
    <row r="39" spans="1:8" s="32" customFormat="1" ht="19.95" customHeight="1" x14ac:dyDescent="0.3">
      <c r="A39" s="64">
        <v>46036</v>
      </c>
      <c r="B39" s="65" t="s">
        <v>51</v>
      </c>
      <c r="C39" s="66">
        <v>34800</v>
      </c>
      <c r="D39" s="67" t="s">
        <v>44</v>
      </c>
    </row>
    <row r="40" spans="1:8" s="32" customFormat="1" ht="19.95" customHeight="1" thickBot="1" x14ac:dyDescent="0.35">
      <c r="A40" s="51">
        <v>46044</v>
      </c>
      <c r="B40" s="52" t="s">
        <v>51</v>
      </c>
      <c r="C40" s="53">
        <v>34600</v>
      </c>
      <c r="D40" s="54" t="s">
        <v>44</v>
      </c>
    </row>
    <row r="41" spans="1:8" s="32" customFormat="1" ht="19.95" customHeight="1" thickBot="1" x14ac:dyDescent="0.35">
      <c r="A41" s="55"/>
      <c r="B41" s="59" t="s">
        <v>11</v>
      </c>
      <c r="C41" s="56">
        <f>SUM(C38:C40)</f>
        <v>83000</v>
      </c>
      <c r="D41" s="57"/>
    </row>
    <row r="43" spans="1:8" s="32" customFormat="1" ht="15.75" customHeight="1" x14ac:dyDescent="0.3">
      <c r="A43" s="120" t="s">
        <v>65</v>
      </c>
      <c r="B43" s="121"/>
      <c r="C43" s="121"/>
      <c r="D43" s="121"/>
      <c r="E43" s="121"/>
      <c r="F43" s="121"/>
      <c r="G43" s="121"/>
      <c r="H43" s="121"/>
    </row>
    <row r="44" spans="1:8" s="32" customFormat="1" ht="15.75" customHeight="1" x14ac:dyDescent="0.3">
      <c r="A44" s="19" t="s">
        <v>18</v>
      </c>
      <c r="B44" s="19" t="s">
        <v>19</v>
      </c>
      <c r="C44" s="19" t="s">
        <v>20</v>
      </c>
      <c r="D44" s="19" t="s">
        <v>15</v>
      </c>
      <c r="E44" s="19" t="s">
        <v>32</v>
      </c>
      <c r="F44" s="19" t="s">
        <v>25</v>
      </c>
      <c r="G44" s="19" t="s">
        <v>42</v>
      </c>
      <c r="H44" s="19" t="s">
        <v>11</v>
      </c>
    </row>
    <row r="45" spans="1:8" s="32" customFormat="1" ht="15.75" customHeight="1" x14ac:dyDescent="0.3">
      <c r="A45" s="31" t="s">
        <v>22</v>
      </c>
      <c r="B45" s="7">
        <v>0.4</v>
      </c>
      <c r="C45" s="1">
        <f>+MARZO!F12</f>
        <v>1041037.3000000002</v>
      </c>
      <c r="D45" s="23">
        <f>+C57</f>
        <v>130966.66666666667</v>
      </c>
      <c r="E45" s="23"/>
      <c r="F45" s="29"/>
      <c r="G45" s="29"/>
      <c r="H45" s="1">
        <f>SUM(C45:G45)</f>
        <v>1172003.9666666668</v>
      </c>
    </row>
    <row r="46" spans="1:8" s="32" customFormat="1" ht="15.75" customHeight="1" x14ac:dyDescent="0.3">
      <c r="A46" s="31" t="s">
        <v>32</v>
      </c>
      <c r="B46" s="7">
        <v>0.35</v>
      </c>
      <c r="C46" s="1">
        <f>+MARZO!G12</f>
        <v>910907.63750000007</v>
      </c>
      <c r="D46" s="23"/>
      <c r="E46" s="23">
        <f>+D57</f>
        <v>130966.66666666667</v>
      </c>
      <c r="F46" s="25"/>
      <c r="G46" s="25">
        <f>-B55</f>
        <v>-130000</v>
      </c>
      <c r="H46" s="1">
        <f>SUM(C46:G46)</f>
        <v>911874.3041666667</v>
      </c>
    </row>
    <row r="47" spans="1:8" s="32" customFormat="1" ht="15.75" customHeight="1" x14ac:dyDescent="0.3">
      <c r="A47" s="31" t="s">
        <v>16</v>
      </c>
      <c r="B47" s="7">
        <v>0.25</v>
      </c>
      <c r="C47" s="1">
        <f>+MARZO!H12</f>
        <v>650648.31250000012</v>
      </c>
      <c r="D47" s="23"/>
      <c r="E47" s="23"/>
      <c r="F47" s="46">
        <f>+E57</f>
        <v>130966.66666666667</v>
      </c>
      <c r="G47" s="46">
        <f>-B53-B54-B56</f>
        <v>-262900</v>
      </c>
      <c r="H47" s="1">
        <f>SUM(C47:G47)</f>
        <v>518714.97916666674</v>
      </c>
    </row>
    <row r="48" spans="1:8" s="32" customFormat="1" ht="15.75" customHeight="1" x14ac:dyDescent="0.3">
      <c r="B48" s="20">
        <v>1</v>
      </c>
      <c r="C48" s="21">
        <f>SUM(C45:C47)</f>
        <v>2602593.2500000005</v>
      </c>
      <c r="D48" s="1"/>
      <c r="E48" s="1"/>
      <c r="F48" s="1"/>
      <c r="G48" s="1"/>
      <c r="H48" s="1">
        <f>SUM(H45:H47)</f>
        <v>2602593.25</v>
      </c>
    </row>
    <row r="49" spans="1:8" s="32" customFormat="1" ht="15.75" customHeight="1" x14ac:dyDescent="0.3">
      <c r="E49" s="17"/>
      <c r="H49" s="17"/>
    </row>
    <row r="50" spans="1:8" s="32" customFormat="1" ht="15.75" customHeight="1" x14ac:dyDescent="0.3"/>
    <row r="51" spans="1:8" s="32" customFormat="1" ht="15.75" customHeight="1" thickBot="1" x14ac:dyDescent="0.35">
      <c r="A51" s="24" t="s">
        <v>21</v>
      </c>
      <c r="B51" s="70"/>
      <c r="C51" s="70"/>
      <c r="D51" s="70"/>
      <c r="F51" s="1"/>
      <c r="G51" s="1"/>
    </row>
    <row r="52" spans="1:8" s="32" customFormat="1" ht="15.75" customHeight="1" thickBot="1" x14ac:dyDescent="0.35">
      <c r="A52" s="10" t="s">
        <v>23</v>
      </c>
      <c r="B52" s="11" t="s">
        <v>24</v>
      </c>
      <c r="C52" s="12" t="s">
        <v>33</v>
      </c>
      <c r="D52" s="12" t="s">
        <v>34</v>
      </c>
      <c r="E52" s="12" t="s">
        <v>35</v>
      </c>
    </row>
    <row r="53" spans="1:8" s="32" customFormat="1" ht="15.75" customHeight="1" x14ac:dyDescent="0.3">
      <c r="A53" s="13" t="s">
        <v>28</v>
      </c>
      <c r="B53" s="14">
        <v>176600</v>
      </c>
      <c r="C53" s="22">
        <f>+B53/3</f>
        <v>58866.666666666664</v>
      </c>
      <c r="D53" s="22">
        <f>+B53/3</f>
        <v>58866.666666666664</v>
      </c>
      <c r="E53" s="22">
        <f>+B53/3</f>
        <v>58866.666666666664</v>
      </c>
    </row>
    <row r="54" spans="1:8" s="32" customFormat="1" ht="15.75" customHeight="1" x14ac:dyDescent="0.3">
      <c r="A54" s="13" t="s">
        <v>53</v>
      </c>
      <c r="B54" s="14">
        <v>60000</v>
      </c>
      <c r="C54" s="22">
        <f>+B54/3</f>
        <v>20000</v>
      </c>
      <c r="D54" s="22">
        <f>+B54/3</f>
        <v>20000</v>
      </c>
      <c r="E54" s="22">
        <f>+B54/3</f>
        <v>20000</v>
      </c>
    </row>
    <row r="55" spans="1:8" s="32" customFormat="1" ht="15.75" customHeight="1" x14ac:dyDescent="0.3">
      <c r="A55" s="13" t="s">
        <v>56</v>
      </c>
      <c r="B55" s="14">
        <v>130000</v>
      </c>
      <c r="C55" s="22">
        <f>+B55/3</f>
        <v>43333.333333333336</v>
      </c>
      <c r="D55" s="22">
        <f>+B55/3</f>
        <v>43333.333333333336</v>
      </c>
      <c r="E55" s="22">
        <f>+B55/3</f>
        <v>43333.333333333336</v>
      </c>
    </row>
    <row r="56" spans="1:8" s="32" customFormat="1" ht="15.75" customHeight="1" x14ac:dyDescent="0.3">
      <c r="A56" s="13" t="s">
        <v>40</v>
      </c>
      <c r="B56" s="14">
        <v>26300</v>
      </c>
      <c r="C56" s="22">
        <f t="shared" ref="C56" si="6">+B56/3</f>
        <v>8766.6666666666661</v>
      </c>
      <c r="D56" s="22">
        <f t="shared" ref="D56" si="7">+B56/3</f>
        <v>8766.6666666666661</v>
      </c>
      <c r="E56" s="22">
        <f t="shared" ref="E56" si="8">+B56/3</f>
        <v>8766.6666666666661</v>
      </c>
    </row>
    <row r="57" spans="1:8" s="32" customFormat="1" ht="15.75" customHeight="1" x14ac:dyDescent="0.3">
      <c r="A57" s="15" t="s">
        <v>11</v>
      </c>
      <c r="B57" s="16">
        <f>SUM(B53:B56)</f>
        <v>392900</v>
      </c>
      <c r="C57" s="16">
        <f>SUM(C53:C56)</f>
        <v>130966.66666666667</v>
      </c>
      <c r="D57" s="16">
        <f>SUM(D53:D56)</f>
        <v>130966.66666666667</v>
      </c>
      <c r="E57" s="16">
        <f>SUM(E53:E56)</f>
        <v>130966.66666666667</v>
      </c>
    </row>
    <row r="58" spans="1:8" ht="15" customHeight="1" thickBot="1" x14ac:dyDescent="0.35"/>
    <row r="59" spans="1:8" s="58" customFormat="1" ht="30" customHeight="1" thickBot="1" x14ac:dyDescent="0.35">
      <c r="A59" s="122" t="s">
        <v>54</v>
      </c>
      <c r="B59" s="122"/>
      <c r="C59" s="122"/>
      <c r="D59" s="122"/>
    </row>
    <row r="60" spans="1:8" s="58" customFormat="1" ht="30" customHeight="1" thickBot="1" x14ac:dyDescent="0.35">
      <c r="A60" s="69" t="s">
        <v>43</v>
      </c>
      <c r="B60" s="69" t="s">
        <v>5</v>
      </c>
      <c r="C60" s="69" t="s">
        <v>24</v>
      </c>
      <c r="D60" s="69" t="s">
        <v>18</v>
      </c>
    </row>
    <row r="61" spans="1:8" s="32" customFormat="1" ht="19.95" customHeight="1" x14ac:dyDescent="0.3">
      <c r="A61" s="47">
        <v>46050</v>
      </c>
      <c r="B61" s="65" t="s">
        <v>51</v>
      </c>
      <c r="C61" s="49">
        <v>33800</v>
      </c>
      <c r="D61" s="50" t="s">
        <v>44</v>
      </c>
    </row>
    <row r="62" spans="1:8" s="32" customFormat="1" ht="19.95" customHeight="1" x14ac:dyDescent="0.3">
      <c r="A62" s="71">
        <v>46058</v>
      </c>
      <c r="B62" s="65" t="s">
        <v>51</v>
      </c>
      <c r="C62" s="72">
        <v>34400</v>
      </c>
      <c r="D62" s="73" t="s">
        <v>44</v>
      </c>
    </row>
    <row r="63" spans="1:8" s="32" customFormat="1" ht="19.95" customHeight="1" x14ac:dyDescent="0.3">
      <c r="A63" s="71">
        <v>46063</v>
      </c>
      <c r="B63" s="65" t="s">
        <v>51</v>
      </c>
      <c r="C63" s="72">
        <v>34400</v>
      </c>
      <c r="D63" s="73" t="s">
        <v>44</v>
      </c>
    </row>
    <row r="64" spans="1:8" s="32" customFormat="1" ht="19.95" customHeight="1" x14ac:dyDescent="0.3">
      <c r="A64" s="64">
        <v>46071</v>
      </c>
      <c r="B64" s="65" t="s">
        <v>55</v>
      </c>
      <c r="C64" s="66">
        <v>60000</v>
      </c>
      <c r="D64" s="67" t="s">
        <v>44</v>
      </c>
    </row>
    <row r="65" spans="1:8" s="32" customFormat="1" ht="19.95" customHeight="1" x14ac:dyDescent="0.3">
      <c r="A65" s="64">
        <v>46073</v>
      </c>
      <c r="B65" s="65" t="s">
        <v>51</v>
      </c>
      <c r="C65" s="66">
        <v>37000</v>
      </c>
      <c r="D65" s="67" t="s">
        <v>44</v>
      </c>
    </row>
    <row r="66" spans="1:8" s="32" customFormat="1" ht="19.95" customHeight="1" thickBot="1" x14ac:dyDescent="0.35">
      <c r="A66" s="51">
        <v>46080</v>
      </c>
      <c r="B66" s="65" t="s">
        <v>51</v>
      </c>
      <c r="C66" s="53">
        <v>37000</v>
      </c>
      <c r="D66" s="54" t="s">
        <v>44</v>
      </c>
    </row>
    <row r="67" spans="1:8" s="32" customFormat="1" ht="19.95" customHeight="1" thickBot="1" x14ac:dyDescent="0.35">
      <c r="A67" s="55"/>
      <c r="B67" s="74"/>
      <c r="C67" s="56">
        <f>SUM(C61:C66)</f>
        <v>236600</v>
      </c>
      <c r="D67" s="57"/>
    </row>
    <row r="69" spans="1:8" s="32" customFormat="1" ht="15.75" customHeight="1" x14ac:dyDescent="0.3">
      <c r="A69" s="120" t="s">
        <v>66</v>
      </c>
      <c r="B69" s="121"/>
      <c r="C69" s="121"/>
      <c r="D69" s="121"/>
      <c r="E69" s="121"/>
      <c r="F69" s="121"/>
      <c r="G69" s="121"/>
      <c r="H69" s="121"/>
    </row>
    <row r="70" spans="1:8" s="32" customFormat="1" ht="15.75" customHeight="1" x14ac:dyDescent="0.3">
      <c r="A70" s="19" t="s">
        <v>18</v>
      </c>
      <c r="B70" s="19" t="s">
        <v>19</v>
      </c>
      <c r="C70" s="19" t="s">
        <v>20</v>
      </c>
      <c r="D70" s="19" t="s">
        <v>15</v>
      </c>
      <c r="E70" s="19" t="s">
        <v>32</v>
      </c>
      <c r="F70" s="19" t="s">
        <v>25</v>
      </c>
      <c r="G70" s="19" t="s">
        <v>42</v>
      </c>
      <c r="H70" s="19" t="s">
        <v>11</v>
      </c>
    </row>
    <row r="71" spans="1:8" s="32" customFormat="1" ht="15.75" customHeight="1" x14ac:dyDescent="0.3">
      <c r="A71" s="31" t="s">
        <v>22</v>
      </c>
      <c r="B71" s="7">
        <v>0.4</v>
      </c>
      <c r="C71" s="1">
        <f>+ABRIL!F12</f>
        <v>1120937.6320000002</v>
      </c>
      <c r="D71" s="23">
        <f>+C81</f>
        <v>41400</v>
      </c>
      <c r="E71" s="23"/>
      <c r="F71" s="29"/>
      <c r="G71" s="29"/>
      <c r="H71" s="1">
        <f>SUM(C71:G71)</f>
        <v>1162337.6320000002</v>
      </c>
    </row>
    <row r="72" spans="1:8" s="32" customFormat="1" ht="15.75" customHeight="1" x14ac:dyDescent="0.3">
      <c r="A72" s="31" t="s">
        <v>32</v>
      </c>
      <c r="B72" s="7">
        <v>0.35</v>
      </c>
      <c r="C72" s="1">
        <f>+ABRIL!G12</f>
        <v>980820.42799999984</v>
      </c>
      <c r="D72" s="23"/>
      <c r="E72" s="23">
        <f>+D81</f>
        <v>41400</v>
      </c>
      <c r="F72" s="25"/>
      <c r="G72" s="25"/>
      <c r="H72" s="1">
        <f>SUM(C72:G72)</f>
        <v>1022220.4279999998</v>
      </c>
    </row>
    <row r="73" spans="1:8" s="32" customFormat="1" ht="15.75" customHeight="1" x14ac:dyDescent="0.3">
      <c r="A73" s="31" t="s">
        <v>16</v>
      </c>
      <c r="B73" s="7">
        <v>0.25</v>
      </c>
      <c r="C73" s="1">
        <f>+ABRIL!H12</f>
        <v>700586.02</v>
      </c>
      <c r="D73" s="23"/>
      <c r="E73" s="23"/>
      <c r="F73" s="46">
        <f>+E81</f>
        <v>41400</v>
      </c>
      <c r="G73" s="46">
        <f>-B79-B80</f>
        <v>-124200</v>
      </c>
      <c r="H73" s="1">
        <f>SUM(C73:G73)</f>
        <v>617786.02</v>
      </c>
    </row>
    <row r="74" spans="1:8" s="32" customFormat="1" ht="15.75" customHeight="1" x14ac:dyDescent="0.3">
      <c r="B74" s="20">
        <v>1</v>
      </c>
      <c r="C74" s="21">
        <f>SUM(C71:C73)</f>
        <v>2802344.08</v>
      </c>
      <c r="D74" s="1"/>
      <c r="E74" s="1"/>
      <c r="F74" s="1"/>
      <c r="G74" s="1"/>
      <c r="H74" s="1">
        <f>SUM(H71:H73)</f>
        <v>2802344.08</v>
      </c>
    </row>
    <row r="75" spans="1:8" s="32" customFormat="1" ht="15.75" customHeight="1" x14ac:dyDescent="0.3">
      <c r="E75" s="17"/>
      <c r="H75" s="17"/>
    </row>
    <row r="76" spans="1:8" s="32" customFormat="1" ht="15.75" customHeight="1" x14ac:dyDescent="0.3"/>
    <row r="77" spans="1:8" s="32" customFormat="1" ht="15.75" customHeight="1" thickBot="1" x14ac:dyDescent="0.35">
      <c r="A77" s="24" t="s">
        <v>21</v>
      </c>
      <c r="B77" s="76"/>
      <c r="C77" s="76"/>
      <c r="D77" s="76"/>
      <c r="F77" s="1"/>
      <c r="G77" s="1"/>
    </row>
    <row r="78" spans="1:8" s="32" customFormat="1" ht="15.75" customHeight="1" thickBot="1" x14ac:dyDescent="0.35">
      <c r="A78" s="10" t="s">
        <v>23</v>
      </c>
      <c r="B78" s="11" t="s">
        <v>24</v>
      </c>
      <c r="C78" s="12" t="s">
        <v>33</v>
      </c>
      <c r="D78" s="12" t="s">
        <v>34</v>
      </c>
      <c r="E78" s="12" t="s">
        <v>35</v>
      </c>
    </row>
    <row r="79" spans="1:8" s="32" customFormat="1" ht="15.75" customHeight="1" x14ac:dyDescent="0.3">
      <c r="A79" s="13" t="s">
        <v>28</v>
      </c>
      <c r="B79" s="14">
        <v>97900</v>
      </c>
      <c r="C79" s="22">
        <f>+B79/3</f>
        <v>32633.333333333332</v>
      </c>
      <c r="D79" s="22">
        <f>+B79/3</f>
        <v>32633.333333333332</v>
      </c>
      <c r="E79" s="22">
        <f>+B79/3</f>
        <v>32633.333333333332</v>
      </c>
    </row>
    <row r="80" spans="1:8" s="32" customFormat="1" ht="15.75" customHeight="1" x14ac:dyDescent="0.3">
      <c r="A80" s="13" t="s">
        <v>40</v>
      </c>
      <c r="B80" s="14">
        <v>26300</v>
      </c>
      <c r="C80" s="22">
        <f t="shared" ref="C80" si="9">+B80/3</f>
        <v>8766.6666666666661</v>
      </c>
      <c r="D80" s="22">
        <f t="shared" ref="D80" si="10">+B80/3</f>
        <v>8766.6666666666661</v>
      </c>
      <c r="E80" s="22">
        <f t="shared" ref="E80" si="11">+B80/3</f>
        <v>8766.6666666666661</v>
      </c>
    </row>
    <row r="81" spans="1:8" s="32" customFormat="1" ht="15.75" customHeight="1" x14ac:dyDescent="0.3">
      <c r="A81" s="15" t="s">
        <v>11</v>
      </c>
      <c r="B81" s="16">
        <f>SUM(B79:B80)</f>
        <v>124200</v>
      </c>
      <c r="C81" s="16">
        <f>SUM(C79:C80)</f>
        <v>41400</v>
      </c>
      <c r="D81" s="16">
        <f>SUM(D79:D80)</f>
        <v>41400</v>
      </c>
      <c r="E81" s="16">
        <f>SUM(E79:E80)</f>
        <v>41400</v>
      </c>
    </row>
    <row r="82" spans="1:8" ht="15" customHeight="1" thickBot="1" x14ac:dyDescent="0.35"/>
    <row r="83" spans="1:8" s="58" customFormat="1" ht="30" customHeight="1" thickBot="1" x14ac:dyDescent="0.35">
      <c r="A83" s="122" t="s">
        <v>59</v>
      </c>
      <c r="B83" s="122"/>
      <c r="C83" s="122"/>
      <c r="D83" s="122"/>
    </row>
    <row r="84" spans="1:8" s="58" customFormat="1" ht="30" customHeight="1" thickBot="1" x14ac:dyDescent="0.35">
      <c r="A84" s="75" t="s">
        <v>43</v>
      </c>
      <c r="B84" s="75" t="s">
        <v>5</v>
      </c>
      <c r="C84" s="75" t="s">
        <v>24</v>
      </c>
      <c r="D84" s="75" t="s">
        <v>18</v>
      </c>
    </row>
    <row r="85" spans="1:8" s="32" customFormat="1" ht="19.95" customHeight="1" x14ac:dyDescent="0.3">
      <c r="A85" s="79">
        <v>46093</v>
      </c>
      <c r="B85" s="80" t="s">
        <v>51</v>
      </c>
      <c r="C85" s="81">
        <v>37000</v>
      </c>
      <c r="D85" s="82" t="s">
        <v>44</v>
      </c>
    </row>
    <row r="86" spans="1:8" s="32" customFormat="1" ht="19.95" customHeight="1" x14ac:dyDescent="0.3">
      <c r="A86" s="83">
        <v>46093</v>
      </c>
      <c r="B86" s="84" t="s">
        <v>60</v>
      </c>
      <c r="C86" s="85">
        <v>18900</v>
      </c>
      <c r="D86" s="86" t="s">
        <v>44</v>
      </c>
    </row>
    <row r="87" spans="1:8" s="32" customFormat="1" ht="19.95" customHeight="1" thickBot="1" x14ac:dyDescent="0.35">
      <c r="A87" s="87">
        <v>46103</v>
      </c>
      <c r="B87" s="88" t="s">
        <v>51</v>
      </c>
      <c r="C87" s="89">
        <v>42000</v>
      </c>
      <c r="D87" s="90" t="s">
        <v>44</v>
      </c>
    </row>
    <row r="88" spans="1:8" s="32" customFormat="1" ht="19.95" customHeight="1" thickBot="1" x14ac:dyDescent="0.35">
      <c r="A88" s="55"/>
      <c r="B88" s="59"/>
      <c r="C88" s="56">
        <f>SUM(C85:C87)</f>
        <v>97900</v>
      </c>
      <c r="D88" s="57"/>
    </row>
    <row r="90" spans="1:8" s="32" customFormat="1" ht="15.75" customHeight="1" x14ac:dyDescent="0.3">
      <c r="A90" s="120" t="s">
        <v>67</v>
      </c>
      <c r="B90" s="121"/>
      <c r="C90" s="121"/>
      <c r="D90" s="121"/>
      <c r="E90" s="121"/>
      <c r="F90" s="121"/>
      <c r="G90" s="121"/>
      <c r="H90" s="121"/>
    </row>
    <row r="91" spans="1:8" s="32" customFormat="1" ht="15.75" customHeight="1" x14ac:dyDescent="0.3">
      <c r="A91" s="19" t="s">
        <v>18</v>
      </c>
      <c r="B91" s="19" t="s">
        <v>19</v>
      </c>
      <c r="C91" s="19" t="s">
        <v>20</v>
      </c>
      <c r="D91" s="19" t="s">
        <v>15</v>
      </c>
      <c r="E91" s="19" t="s">
        <v>32</v>
      </c>
      <c r="F91" s="19" t="s">
        <v>25</v>
      </c>
      <c r="G91" s="19" t="s">
        <v>42</v>
      </c>
      <c r="H91" s="19" t="s">
        <v>11</v>
      </c>
    </row>
    <row r="92" spans="1:8" s="32" customFormat="1" ht="15.75" customHeight="1" x14ac:dyDescent="0.3">
      <c r="A92" s="31" t="s">
        <v>22</v>
      </c>
      <c r="B92" s="7">
        <v>0.4</v>
      </c>
      <c r="C92" s="1">
        <f>+MAYO!F12</f>
        <v>1120438.4080000001</v>
      </c>
      <c r="D92" s="23">
        <f>+C102</f>
        <v>44433.333333333328</v>
      </c>
      <c r="E92" s="23"/>
      <c r="F92" s="29"/>
      <c r="G92" s="29"/>
      <c r="H92" s="1">
        <f>SUM(C92:G92)</f>
        <v>1164871.7413333333</v>
      </c>
    </row>
    <row r="93" spans="1:8" s="32" customFormat="1" ht="15.75" customHeight="1" x14ac:dyDescent="0.3">
      <c r="A93" s="31" t="s">
        <v>32</v>
      </c>
      <c r="B93" s="7">
        <v>0.35</v>
      </c>
      <c r="C93" s="1">
        <f>+MAYO!G12</f>
        <v>980383.60699999996</v>
      </c>
      <c r="D93" s="23"/>
      <c r="E93" s="23">
        <f>+D102</f>
        <v>44433.333333333328</v>
      </c>
      <c r="F93" s="25"/>
      <c r="G93" s="25"/>
      <c r="H93" s="1">
        <f>SUM(C93:G93)</f>
        <v>1024816.9403333333</v>
      </c>
    </row>
    <row r="94" spans="1:8" s="32" customFormat="1" ht="15.75" customHeight="1" x14ac:dyDescent="0.3">
      <c r="A94" s="31" t="s">
        <v>16</v>
      </c>
      <c r="B94" s="7">
        <v>0.25</v>
      </c>
      <c r="C94" s="1">
        <f>+MAYO!H12</f>
        <v>700274.005</v>
      </c>
      <c r="D94" s="23"/>
      <c r="E94" s="23"/>
      <c r="F94" s="46">
        <f>+E102</f>
        <v>44433.333333333328</v>
      </c>
      <c r="G94" s="46">
        <f>-B100-B101</f>
        <v>-133300</v>
      </c>
      <c r="H94" s="1">
        <f>SUM(C94:G94)</f>
        <v>611407.33833333338</v>
      </c>
    </row>
    <row r="95" spans="1:8" s="32" customFormat="1" ht="15.75" customHeight="1" x14ac:dyDescent="0.3">
      <c r="B95" s="20">
        <v>1</v>
      </c>
      <c r="C95" s="21">
        <f>SUM(C92:C94)</f>
        <v>2801096.02</v>
      </c>
      <c r="D95" s="1"/>
      <c r="E95" s="1"/>
      <c r="F95" s="1"/>
      <c r="G95" s="1"/>
      <c r="H95" s="1">
        <f>SUM(H92:H94)</f>
        <v>2801096.02</v>
      </c>
    </row>
    <row r="96" spans="1:8" s="32" customFormat="1" ht="15.75" customHeight="1" x14ac:dyDescent="0.3">
      <c r="E96" s="17"/>
      <c r="H96" s="17"/>
    </row>
    <row r="97" spans="1:8" s="32" customFormat="1" ht="15.75" customHeight="1" x14ac:dyDescent="0.3"/>
    <row r="98" spans="1:8" s="32" customFormat="1" ht="15.75" customHeight="1" thickBot="1" x14ac:dyDescent="0.35">
      <c r="A98" s="24" t="s">
        <v>21</v>
      </c>
      <c r="B98" s="78"/>
      <c r="C98" s="78"/>
      <c r="D98" s="78"/>
      <c r="F98" s="1"/>
      <c r="G98" s="1"/>
    </row>
    <row r="99" spans="1:8" s="32" customFormat="1" ht="15.75" customHeight="1" thickBot="1" x14ac:dyDescent="0.35">
      <c r="A99" s="10" t="s">
        <v>23</v>
      </c>
      <c r="B99" s="11" t="s">
        <v>24</v>
      </c>
      <c r="C99" s="12" t="s">
        <v>33</v>
      </c>
      <c r="D99" s="12" t="s">
        <v>34</v>
      </c>
      <c r="E99" s="12" t="s">
        <v>35</v>
      </c>
    </row>
    <row r="100" spans="1:8" s="32" customFormat="1" ht="15.75" customHeight="1" x14ac:dyDescent="0.3">
      <c r="A100" s="13" t="s">
        <v>28</v>
      </c>
      <c r="B100" s="14">
        <v>107000</v>
      </c>
      <c r="C100" s="22">
        <f>+B100/3</f>
        <v>35666.666666666664</v>
      </c>
      <c r="D100" s="22">
        <f>+B100/3</f>
        <v>35666.666666666664</v>
      </c>
      <c r="E100" s="22">
        <f>+B100/3</f>
        <v>35666.666666666664</v>
      </c>
    </row>
    <row r="101" spans="1:8" s="32" customFormat="1" ht="15.75" customHeight="1" x14ac:dyDescent="0.3">
      <c r="A101" s="13" t="s">
        <v>40</v>
      </c>
      <c r="B101" s="14">
        <v>26300</v>
      </c>
      <c r="C101" s="22">
        <f t="shared" ref="C101" si="12">+B101/3</f>
        <v>8766.6666666666661</v>
      </c>
      <c r="D101" s="22">
        <f t="shared" ref="D101" si="13">+B101/3</f>
        <v>8766.6666666666661</v>
      </c>
      <c r="E101" s="22">
        <f t="shared" ref="E101" si="14">+B101/3</f>
        <v>8766.6666666666661</v>
      </c>
    </row>
    <row r="102" spans="1:8" s="32" customFormat="1" ht="15.75" customHeight="1" x14ac:dyDescent="0.3">
      <c r="A102" s="15" t="s">
        <v>11</v>
      </c>
      <c r="B102" s="16">
        <f>SUM(B100:B101)</f>
        <v>133300</v>
      </c>
      <c r="C102" s="16">
        <f>SUM(C100:C101)</f>
        <v>44433.333333333328</v>
      </c>
      <c r="D102" s="16">
        <f>SUM(D100:D101)</f>
        <v>44433.333333333328</v>
      </c>
      <c r="E102" s="16">
        <f>SUM(E100:E101)</f>
        <v>44433.333333333328</v>
      </c>
    </row>
    <row r="103" spans="1:8" ht="15" customHeight="1" thickBot="1" x14ac:dyDescent="0.35"/>
    <row r="104" spans="1:8" s="58" customFormat="1" ht="30" customHeight="1" thickBot="1" x14ac:dyDescent="0.35">
      <c r="A104" s="122" t="s">
        <v>62</v>
      </c>
      <c r="B104" s="122"/>
      <c r="C104" s="122"/>
      <c r="D104" s="122"/>
    </row>
    <row r="105" spans="1:8" s="58" customFormat="1" ht="30" customHeight="1" thickBot="1" x14ac:dyDescent="0.35">
      <c r="A105" s="77" t="s">
        <v>43</v>
      </c>
      <c r="B105" s="77" t="s">
        <v>5</v>
      </c>
      <c r="C105" s="77" t="s">
        <v>24</v>
      </c>
      <c r="D105" s="77" t="s">
        <v>18</v>
      </c>
    </row>
    <row r="106" spans="1:8" s="32" customFormat="1" ht="19.95" customHeight="1" x14ac:dyDescent="0.3">
      <c r="A106" s="92">
        <v>46120</v>
      </c>
      <c r="B106" s="93" t="s">
        <v>60</v>
      </c>
      <c r="C106" s="94">
        <v>68000</v>
      </c>
      <c r="D106" s="95" t="s">
        <v>44</v>
      </c>
    </row>
    <row r="107" spans="1:8" s="32" customFormat="1" ht="19.95" customHeight="1" thickBot="1" x14ac:dyDescent="0.35">
      <c r="A107" s="87">
        <v>46128</v>
      </c>
      <c r="B107" s="88" t="s">
        <v>51</v>
      </c>
      <c r="C107" s="89">
        <v>39000</v>
      </c>
      <c r="D107" s="96" t="s">
        <v>44</v>
      </c>
    </row>
    <row r="108" spans="1:8" s="32" customFormat="1" ht="19.95" customHeight="1" thickBot="1" x14ac:dyDescent="0.35">
      <c r="A108" s="55"/>
      <c r="B108" s="59"/>
      <c r="C108" s="56">
        <f>SUM(C106:C107)</f>
        <v>107000</v>
      </c>
      <c r="D108" s="57"/>
    </row>
    <row r="110" spans="1:8" s="32" customFormat="1" ht="15.75" customHeight="1" x14ac:dyDescent="0.3">
      <c r="A110" s="120" t="s">
        <v>69</v>
      </c>
      <c r="B110" s="121"/>
      <c r="C110" s="121"/>
      <c r="D110" s="121"/>
      <c r="E110" s="121"/>
      <c r="F110" s="121"/>
      <c r="G110" s="121"/>
      <c r="H110" s="121"/>
    </row>
    <row r="111" spans="1:8" s="32" customFormat="1" ht="15.75" customHeight="1" x14ac:dyDescent="0.3">
      <c r="A111" s="19" t="s">
        <v>18</v>
      </c>
      <c r="B111" s="19" t="s">
        <v>19</v>
      </c>
      <c r="C111" s="19" t="s">
        <v>20</v>
      </c>
      <c r="D111" s="19" t="s">
        <v>15</v>
      </c>
      <c r="E111" s="19" t="s">
        <v>32</v>
      </c>
      <c r="F111" s="19" t="s">
        <v>25</v>
      </c>
      <c r="G111" s="19" t="s">
        <v>42</v>
      </c>
      <c r="H111" s="19" t="s">
        <v>11</v>
      </c>
    </row>
    <row r="112" spans="1:8" s="32" customFormat="1" ht="15.75" customHeight="1" x14ac:dyDescent="0.3">
      <c r="A112" s="31" t="s">
        <v>22</v>
      </c>
      <c r="B112" s="7">
        <v>0.4</v>
      </c>
      <c r="C112" s="1">
        <f>+JUNIO!F12</f>
        <v>1125939.3360000001</v>
      </c>
      <c r="D112" s="23">
        <f>+C122</f>
        <v>78766.666666666672</v>
      </c>
      <c r="E112" s="23"/>
      <c r="F112" s="29"/>
      <c r="G112" s="29"/>
      <c r="H112" s="1">
        <f>SUM(C112:G112)</f>
        <v>1204706.0026666669</v>
      </c>
    </row>
    <row r="113" spans="1:8" s="32" customFormat="1" ht="15.75" customHeight="1" x14ac:dyDescent="0.3">
      <c r="A113" s="31" t="s">
        <v>32</v>
      </c>
      <c r="B113" s="7">
        <v>0.35</v>
      </c>
      <c r="C113" s="1">
        <f>+JUNIO!G12</f>
        <v>985196.91899999976</v>
      </c>
      <c r="D113" s="23"/>
      <c r="E113" s="23">
        <f>+D122</f>
        <v>78766.666666666672</v>
      </c>
      <c r="F113" s="25"/>
      <c r="G113" s="25"/>
      <c r="H113" s="1">
        <f>SUM(C113:G113)</f>
        <v>1063963.5856666665</v>
      </c>
    </row>
    <row r="114" spans="1:8" s="32" customFormat="1" ht="15.75" customHeight="1" x14ac:dyDescent="0.3">
      <c r="A114" s="31" t="s">
        <v>16</v>
      </c>
      <c r="B114" s="7">
        <v>0.25</v>
      </c>
      <c r="C114" s="1">
        <f>+JUNIO!H12</f>
        <v>703712.08499999996</v>
      </c>
      <c r="D114" s="23"/>
      <c r="E114" s="23"/>
      <c r="F114" s="46">
        <f>+E122</f>
        <v>78766.666666666672</v>
      </c>
      <c r="G114" s="46">
        <f>-B120-B121</f>
        <v>-236300</v>
      </c>
      <c r="H114" s="1">
        <f>SUM(C114:G114)</f>
        <v>546178.75166666659</v>
      </c>
    </row>
    <row r="115" spans="1:8" s="32" customFormat="1" ht="15.75" customHeight="1" x14ac:dyDescent="0.3">
      <c r="B115" s="20">
        <v>1</v>
      </c>
      <c r="C115" s="21">
        <f>SUM(C112:C114)</f>
        <v>2814848.34</v>
      </c>
      <c r="D115" s="1"/>
      <c r="E115" s="1"/>
      <c r="F115" s="1"/>
      <c r="G115" s="1"/>
      <c r="H115" s="1">
        <f>SUM(H112:H114)</f>
        <v>2814848.34</v>
      </c>
    </row>
    <row r="116" spans="1:8" s="32" customFormat="1" ht="15.75" customHeight="1" x14ac:dyDescent="0.3">
      <c r="E116" s="17"/>
      <c r="H116" s="17"/>
    </row>
    <row r="117" spans="1:8" s="32" customFormat="1" ht="15.75" customHeight="1" x14ac:dyDescent="0.3"/>
    <row r="118" spans="1:8" s="32" customFormat="1" ht="15.75" customHeight="1" thickBot="1" x14ac:dyDescent="0.35">
      <c r="A118" s="24" t="s">
        <v>21</v>
      </c>
      <c r="B118" s="91"/>
      <c r="C118" s="91"/>
      <c r="D118" s="91"/>
      <c r="F118" s="1"/>
      <c r="G118" s="1"/>
    </row>
    <row r="119" spans="1:8" s="32" customFormat="1" ht="15.75" customHeight="1" thickBot="1" x14ac:dyDescent="0.35">
      <c r="A119" s="10" t="s">
        <v>23</v>
      </c>
      <c r="B119" s="11" t="s">
        <v>24</v>
      </c>
      <c r="C119" s="12" t="s">
        <v>33</v>
      </c>
      <c r="D119" s="12" t="s">
        <v>34</v>
      </c>
      <c r="E119" s="12" t="s">
        <v>35</v>
      </c>
    </row>
    <row r="120" spans="1:8" s="32" customFormat="1" ht="15.75" customHeight="1" x14ac:dyDescent="0.3">
      <c r="A120" s="13" t="s">
        <v>28</v>
      </c>
      <c r="B120" s="14">
        <v>210000</v>
      </c>
      <c r="C120" s="22">
        <f>+B120/3</f>
        <v>70000</v>
      </c>
      <c r="D120" s="22">
        <f>+B120/3</f>
        <v>70000</v>
      </c>
      <c r="E120" s="22">
        <f>+B120/3</f>
        <v>70000</v>
      </c>
    </row>
    <row r="121" spans="1:8" s="32" customFormat="1" ht="15.75" customHeight="1" x14ac:dyDescent="0.3">
      <c r="A121" s="13" t="s">
        <v>40</v>
      </c>
      <c r="B121" s="14">
        <v>26300</v>
      </c>
      <c r="C121" s="22">
        <f t="shared" ref="C121" si="15">+B121/3</f>
        <v>8766.6666666666661</v>
      </c>
      <c r="D121" s="22">
        <f t="shared" ref="D121" si="16">+B121/3</f>
        <v>8766.6666666666661</v>
      </c>
      <c r="E121" s="22">
        <f t="shared" ref="E121" si="17">+B121/3</f>
        <v>8766.6666666666661</v>
      </c>
    </row>
    <row r="122" spans="1:8" s="32" customFormat="1" ht="15.75" customHeight="1" x14ac:dyDescent="0.3">
      <c r="A122" s="15" t="s">
        <v>11</v>
      </c>
      <c r="B122" s="16">
        <f>SUM(B120:B121)</f>
        <v>236300</v>
      </c>
      <c r="C122" s="16">
        <f>SUM(C120:C121)</f>
        <v>78766.666666666672</v>
      </c>
      <c r="D122" s="16">
        <f>SUM(D120:D121)</f>
        <v>78766.666666666672</v>
      </c>
      <c r="E122" s="16">
        <f>SUM(E120:E121)</f>
        <v>78766.666666666672</v>
      </c>
    </row>
    <row r="123" spans="1:8" ht="15" customHeight="1" thickBot="1" x14ac:dyDescent="0.35"/>
    <row r="124" spans="1:8" s="58" customFormat="1" ht="30" customHeight="1" thickBot="1" x14ac:dyDescent="0.35">
      <c r="A124" s="122" t="s">
        <v>72</v>
      </c>
      <c r="B124" s="122"/>
      <c r="C124" s="122"/>
      <c r="D124" s="122"/>
    </row>
    <row r="125" spans="1:8" s="58" customFormat="1" ht="30" customHeight="1" thickBot="1" x14ac:dyDescent="0.35">
      <c r="A125" s="98" t="s">
        <v>43</v>
      </c>
      <c r="B125" s="98" t="s">
        <v>5</v>
      </c>
      <c r="C125" s="98" t="s">
        <v>24</v>
      </c>
      <c r="D125" s="98" t="s">
        <v>18</v>
      </c>
    </row>
    <row r="126" spans="1:8" s="32" customFormat="1" ht="19.95" customHeight="1" x14ac:dyDescent="0.3">
      <c r="A126" s="47">
        <v>46135</v>
      </c>
      <c r="B126" s="48" t="s">
        <v>45</v>
      </c>
      <c r="C126" s="49">
        <v>39000</v>
      </c>
      <c r="D126" s="50" t="s">
        <v>44</v>
      </c>
    </row>
    <row r="127" spans="1:8" s="32" customFormat="1" ht="19.95" customHeight="1" x14ac:dyDescent="0.3">
      <c r="A127" s="71">
        <v>46138</v>
      </c>
      <c r="B127" s="99" t="s">
        <v>45</v>
      </c>
      <c r="C127" s="72">
        <v>40000</v>
      </c>
      <c r="D127" s="73" t="s">
        <v>44</v>
      </c>
    </row>
    <row r="128" spans="1:8" s="32" customFormat="1" ht="19.95" customHeight="1" x14ac:dyDescent="0.3">
      <c r="A128" s="71">
        <v>46148</v>
      </c>
      <c r="B128" s="99" t="s">
        <v>73</v>
      </c>
      <c r="C128" s="72">
        <v>45000</v>
      </c>
      <c r="D128" s="73" t="s">
        <v>44</v>
      </c>
    </row>
    <row r="129" spans="1:8" s="32" customFormat="1" ht="19.95" customHeight="1" x14ac:dyDescent="0.3">
      <c r="A129" s="64">
        <v>46162</v>
      </c>
      <c r="B129" s="65" t="s">
        <v>45</v>
      </c>
      <c r="C129" s="66">
        <v>41000</v>
      </c>
      <c r="D129" s="67" t="s">
        <v>44</v>
      </c>
    </row>
    <row r="130" spans="1:8" s="32" customFormat="1" ht="19.95" customHeight="1" thickBot="1" x14ac:dyDescent="0.35">
      <c r="A130" s="51">
        <v>46168</v>
      </c>
      <c r="B130" s="52" t="s">
        <v>73</v>
      </c>
      <c r="C130" s="53">
        <v>45000</v>
      </c>
      <c r="D130" s="54" t="s">
        <v>44</v>
      </c>
    </row>
    <row r="131" spans="1:8" s="32" customFormat="1" ht="19.95" customHeight="1" thickBot="1" x14ac:dyDescent="0.35">
      <c r="A131" s="55"/>
      <c r="B131" s="74"/>
      <c r="C131" s="56">
        <f>SUM(C126:C130)</f>
        <v>210000</v>
      </c>
      <c r="D131" s="57"/>
    </row>
    <row r="133" spans="1:8" s="32" customFormat="1" ht="15.75" customHeight="1" x14ac:dyDescent="0.3">
      <c r="A133" s="120" t="s">
        <v>74</v>
      </c>
      <c r="B133" s="121"/>
      <c r="C133" s="121"/>
      <c r="D133" s="121"/>
      <c r="E133" s="121"/>
      <c r="F133" s="121"/>
      <c r="G133" s="121"/>
      <c r="H133" s="121"/>
    </row>
    <row r="134" spans="1:8" s="32" customFormat="1" ht="15.75" customHeight="1" x14ac:dyDescent="0.3">
      <c r="A134" s="19" t="s">
        <v>18</v>
      </c>
      <c r="B134" s="19" t="s">
        <v>19</v>
      </c>
      <c r="C134" s="19" t="s">
        <v>20</v>
      </c>
      <c r="D134" s="19" t="s">
        <v>15</v>
      </c>
      <c r="E134" s="19" t="s">
        <v>32</v>
      </c>
      <c r="F134" s="19" t="s">
        <v>25</v>
      </c>
      <c r="G134" s="19" t="s">
        <v>42</v>
      </c>
      <c r="H134" s="19" t="s">
        <v>11</v>
      </c>
    </row>
    <row r="135" spans="1:8" s="32" customFormat="1" ht="15.75" customHeight="1" x14ac:dyDescent="0.3">
      <c r="A135" s="31" t="s">
        <v>22</v>
      </c>
      <c r="B135" s="7">
        <v>0.4</v>
      </c>
      <c r="C135" s="1">
        <f>+JULIO!F12</f>
        <v>1136675.3119999999</v>
      </c>
      <c r="D135" s="23">
        <f>+C145</f>
        <v>73766.666666666672</v>
      </c>
      <c r="E135" s="23"/>
      <c r="F135" s="29"/>
      <c r="G135" s="29"/>
      <c r="H135" s="1">
        <f>SUM(C135:G135)</f>
        <v>1210441.9786666667</v>
      </c>
    </row>
    <row r="136" spans="1:8" s="32" customFormat="1" ht="15.75" customHeight="1" x14ac:dyDescent="0.3">
      <c r="A136" s="31" t="s">
        <v>32</v>
      </c>
      <c r="B136" s="7">
        <v>0.35</v>
      </c>
      <c r="C136" s="1">
        <f>+JULIO!G12</f>
        <v>994590.89799999993</v>
      </c>
      <c r="D136" s="23"/>
      <c r="E136" s="23">
        <f>+D145</f>
        <v>73766.666666666672</v>
      </c>
      <c r="F136" s="25"/>
      <c r="G136" s="25"/>
      <c r="H136" s="1">
        <f>SUM(C136:G136)</f>
        <v>1068357.5646666666</v>
      </c>
    </row>
    <row r="137" spans="1:8" s="32" customFormat="1" ht="15.75" customHeight="1" x14ac:dyDescent="0.3">
      <c r="A137" s="31" t="s">
        <v>16</v>
      </c>
      <c r="B137" s="7">
        <v>0.25</v>
      </c>
      <c r="C137" s="1">
        <f>+JULIO!H12</f>
        <v>710422.07000000007</v>
      </c>
      <c r="D137" s="23"/>
      <c r="E137" s="23"/>
      <c r="F137" s="46">
        <f>+E145</f>
        <v>73766.666666666672</v>
      </c>
      <c r="G137" s="46">
        <f>-B143-B144</f>
        <v>-221300</v>
      </c>
      <c r="H137" s="1">
        <f>SUM(C137:G137)</f>
        <v>562888.73666666669</v>
      </c>
    </row>
    <row r="138" spans="1:8" s="32" customFormat="1" ht="15.75" customHeight="1" x14ac:dyDescent="0.3">
      <c r="B138" s="20">
        <v>1</v>
      </c>
      <c r="C138" s="21">
        <f>SUM(C135:C137)</f>
        <v>2841688.2800000003</v>
      </c>
      <c r="D138" s="1"/>
      <c r="E138" s="1"/>
      <c r="F138" s="1"/>
      <c r="G138" s="1"/>
      <c r="H138" s="1">
        <f>SUM(H135:H137)</f>
        <v>2841688.28</v>
      </c>
    </row>
    <row r="139" spans="1:8" s="32" customFormat="1" ht="15.75" customHeight="1" x14ac:dyDescent="0.3">
      <c r="E139" s="17"/>
      <c r="H139" s="17"/>
    </row>
    <row r="140" spans="1:8" s="32" customFormat="1" ht="15.75" customHeight="1" x14ac:dyDescent="0.3"/>
    <row r="141" spans="1:8" s="32" customFormat="1" ht="15.75" customHeight="1" thickBot="1" x14ac:dyDescent="0.35">
      <c r="A141" s="24" t="s">
        <v>21</v>
      </c>
      <c r="B141" s="97"/>
      <c r="C141" s="97"/>
      <c r="D141" s="97"/>
      <c r="F141" s="1"/>
      <c r="G141" s="1"/>
    </row>
    <row r="142" spans="1:8" s="32" customFormat="1" ht="15.75" customHeight="1" thickBot="1" x14ac:dyDescent="0.35">
      <c r="A142" s="10" t="s">
        <v>23</v>
      </c>
      <c r="B142" s="11" t="s">
        <v>24</v>
      </c>
      <c r="C142" s="12" t="s">
        <v>33</v>
      </c>
      <c r="D142" s="12" t="s">
        <v>34</v>
      </c>
      <c r="E142" s="12" t="s">
        <v>35</v>
      </c>
    </row>
    <row r="143" spans="1:8" s="32" customFormat="1" ht="15.75" customHeight="1" x14ac:dyDescent="0.3">
      <c r="A143" s="13" t="s">
        <v>28</v>
      </c>
      <c r="B143" s="14">
        <v>195000</v>
      </c>
      <c r="C143" s="22">
        <f>+B143/3</f>
        <v>65000</v>
      </c>
      <c r="D143" s="22">
        <f>+B143/3</f>
        <v>65000</v>
      </c>
      <c r="E143" s="22">
        <f>+B143/3</f>
        <v>65000</v>
      </c>
    </row>
    <row r="144" spans="1:8" s="32" customFormat="1" ht="15.75" customHeight="1" x14ac:dyDescent="0.3">
      <c r="A144" s="13" t="s">
        <v>40</v>
      </c>
      <c r="B144" s="14">
        <v>26300</v>
      </c>
      <c r="C144" s="22">
        <f t="shared" ref="C144" si="18">+B144/3</f>
        <v>8766.6666666666661</v>
      </c>
      <c r="D144" s="22">
        <f t="shared" ref="D144" si="19">+B144/3</f>
        <v>8766.6666666666661</v>
      </c>
      <c r="E144" s="22">
        <f t="shared" ref="E144" si="20">+B144/3</f>
        <v>8766.6666666666661</v>
      </c>
    </row>
    <row r="145" spans="1:8" s="32" customFormat="1" ht="15.75" customHeight="1" x14ac:dyDescent="0.3">
      <c r="A145" s="15" t="s">
        <v>11</v>
      </c>
      <c r="B145" s="16">
        <f>SUM(B143:B144)</f>
        <v>221300</v>
      </c>
      <c r="C145" s="16">
        <f>SUM(C143:C144)</f>
        <v>73766.666666666672</v>
      </c>
      <c r="D145" s="16">
        <f>SUM(D143:D144)</f>
        <v>73766.666666666672</v>
      </c>
      <c r="E145" s="16">
        <f>SUM(E143:E144)</f>
        <v>73766.666666666672</v>
      </c>
    </row>
    <row r="146" spans="1:8" ht="15" customHeight="1" thickBot="1" x14ac:dyDescent="0.35"/>
    <row r="147" spans="1:8" s="58" customFormat="1" ht="30" customHeight="1" thickBot="1" x14ac:dyDescent="0.35">
      <c r="A147" s="122" t="s">
        <v>75</v>
      </c>
      <c r="B147" s="122"/>
      <c r="C147" s="122"/>
      <c r="D147" s="122"/>
    </row>
    <row r="148" spans="1:8" s="58" customFormat="1" ht="30" customHeight="1" thickBot="1" x14ac:dyDescent="0.35">
      <c r="A148" s="98" t="s">
        <v>43</v>
      </c>
      <c r="B148" s="98" t="s">
        <v>5</v>
      </c>
      <c r="C148" s="98" t="s">
        <v>24</v>
      </c>
      <c r="D148" s="98" t="s">
        <v>18</v>
      </c>
    </row>
    <row r="149" spans="1:8" s="32" customFormat="1" ht="19.95" customHeight="1" x14ac:dyDescent="0.3">
      <c r="A149" s="47">
        <v>46170</v>
      </c>
      <c r="B149" s="48" t="s">
        <v>73</v>
      </c>
      <c r="C149" s="49">
        <v>45000</v>
      </c>
      <c r="D149" s="50" t="s">
        <v>44</v>
      </c>
    </row>
    <row r="150" spans="1:8" s="32" customFormat="1" ht="19.95" customHeight="1" x14ac:dyDescent="0.3">
      <c r="A150" s="71">
        <v>46191</v>
      </c>
      <c r="B150" s="99" t="s">
        <v>73</v>
      </c>
      <c r="C150" s="72">
        <v>50000</v>
      </c>
      <c r="D150" s="73" t="s">
        <v>44</v>
      </c>
    </row>
    <row r="151" spans="1:8" s="32" customFormat="1" ht="19.95" customHeight="1" x14ac:dyDescent="0.3">
      <c r="A151" s="64">
        <v>46197</v>
      </c>
      <c r="B151" s="65" t="s">
        <v>73</v>
      </c>
      <c r="C151" s="66">
        <v>50000</v>
      </c>
      <c r="D151" s="67" t="s">
        <v>44</v>
      </c>
    </row>
    <row r="152" spans="1:8" s="32" customFormat="1" ht="19.95" customHeight="1" thickBot="1" x14ac:dyDescent="0.35">
      <c r="A152" s="51">
        <v>46205</v>
      </c>
      <c r="B152" s="52" t="s">
        <v>73</v>
      </c>
      <c r="C152" s="53">
        <v>50000</v>
      </c>
      <c r="D152" s="54" t="s">
        <v>44</v>
      </c>
    </row>
    <row r="153" spans="1:8" s="32" customFormat="1" ht="19.95" customHeight="1" thickBot="1" x14ac:dyDescent="0.35">
      <c r="A153" s="55"/>
      <c r="B153" s="74"/>
      <c r="C153" s="56">
        <f>SUM(C149:C152)</f>
        <v>195000</v>
      </c>
      <c r="D153" s="57"/>
    </row>
    <row r="155" spans="1:8" s="32" customFormat="1" ht="15.75" customHeight="1" x14ac:dyDescent="0.3">
      <c r="A155" s="120" t="s">
        <v>77</v>
      </c>
      <c r="B155" s="121"/>
      <c r="C155" s="121"/>
      <c r="D155" s="121"/>
      <c r="E155" s="121"/>
      <c r="F155" s="121"/>
      <c r="G155" s="121"/>
      <c r="H155" s="121"/>
    </row>
    <row r="156" spans="1:8" s="32" customFormat="1" ht="15.75" customHeight="1" x14ac:dyDescent="0.3">
      <c r="A156" s="19" t="s">
        <v>18</v>
      </c>
      <c r="B156" s="19" t="s">
        <v>19</v>
      </c>
      <c r="C156" s="19" t="s">
        <v>20</v>
      </c>
      <c r="D156" s="19" t="s">
        <v>15</v>
      </c>
      <c r="E156" s="19" t="s">
        <v>32</v>
      </c>
      <c r="F156" s="19" t="s">
        <v>25</v>
      </c>
      <c r="G156" s="19" t="s">
        <v>42</v>
      </c>
      <c r="H156" s="19" t="s">
        <v>11</v>
      </c>
    </row>
    <row r="157" spans="1:8" s="32" customFormat="1" ht="15.75" customHeight="1" x14ac:dyDescent="0.3">
      <c r="A157" s="31" t="s">
        <v>22</v>
      </c>
      <c r="B157" s="7">
        <v>0.4</v>
      </c>
      <c r="C157" s="1">
        <f>+AGOSTO!F12</f>
        <v>1207827.5279999999</v>
      </c>
      <c r="D157" s="23">
        <f>+C167</f>
        <v>64866.666666666664</v>
      </c>
      <c r="E157" s="23"/>
      <c r="F157" s="29"/>
      <c r="G157" s="29"/>
      <c r="H157" s="1">
        <f>SUM(C157:G157)</f>
        <v>1272694.1946666667</v>
      </c>
    </row>
    <row r="158" spans="1:8" s="32" customFormat="1" ht="15.75" customHeight="1" x14ac:dyDescent="0.3">
      <c r="A158" s="31" t="s">
        <v>32</v>
      </c>
      <c r="B158" s="7">
        <v>0.35</v>
      </c>
      <c r="C158" s="1">
        <f>+AGOSTO!G12</f>
        <v>1056849.0870000001</v>
      </c>
      <c r="D158" s="23"/>
      <c r="E158" s="23">
        <f>+D167</f>
        <v>64866.666666666664</v>
      </c>
      <c r="F158" s="25"/>
      <c r="G158" s="25"/>
      <c r="H158" s="1">
        <f>SUM(C158:G158)</f>
        <v>1121715.7536666668</v>
      </c>
    </row>
    <row r="159" spans="1:8" s="32" customFormat="1" ht="15.75" customHeight="1" x14ac:dyDescent="0.3">
      <c r="A159" s="31" t="s">
        <v>16</v>
      </c>
      <c r="B159" s="7">
        <v>0.25</v>
      </c>
      <c r="C159" s="1">
        <f>+AGOSTO!H12</f>
        <v>754892.20500000007</v>
      </c>
      <c r="D159" s="23"/>
      <c r="E159" s="23"/>
      <c r="F159" s="46">
        <f>+E167</f>
        <v>64866.666666666664</v>
      </c>
      <c r="G159" s="46">
        <f>-B165-B166</f>
        <v>-194600</v>
      </c>
      <c r="H159" s="1">
        <f>SUM(C159:G159)</f>
        <v>625158.8716666667</v>
      </c>
    </row>
    <row r="160" spans="1:8" s="32" customFormat="1" ht="15.75" customHeight="1" x14ac:dyDescent="0.3">
      <c r="B160" s="20">
        <v>1</v>
      </c>
      <c r="C160" s="21">
        <f>SUM(C157:C159)</f>
        <v>3019568.8200000003</v>
      </c>
      <c r="D160" s="1"/>
      <c r="E160" s="1"/>
      <c r="F160" s="1"/>
      <c r="G160" s="1"/>
      <c r="H160" s="1">
        <f>SUM(H157:H159)</f>
        <v>3019568.82</v>
      </c>
    </row>
    <row r="161" spans="1:8" s="32" customFormat="1" ht="15.75" customHeight="1" x14ac:dyDescent="0.3">
      <c r="E161" s="17"/>
      <c r="H161" s="17"/>
    </row>
    <row r="162" spans="1:8" s="32" customFormat="1" ht="15.75" customHeight="1" x14ac:dyDescent="0.3"/>
    <row r="163" spans="1:8" s="32" customFormat="1" ht="15.75" customHeight="1" thickBot="1" x14ac:dyDescent="0.35">
      <c r="A163" s="24" t="s">
        <v>21</v>
      </c>
      <c r="B163" s="101"/>
      <c r="C163" s="101"/>
      <c r="D163" s="101"/>
      <c r="F163" s="1"/>
      <c r="G163" s="1"/>
    </row>
    <row r="164" spans="1:8" s="32" customFormat="1" ht="15.75" customHeight="1" thickBot="1" x14ac:dyDescent="0.35">
      <c r="A164" s="10" t="s">
        <v>23</v>
      </c>
      <c r="B164" s="11" t="s">
        <v>24</v>
      </c>
      <c r="C164" s="12" t="s">
        <v>33</v>
      </c>
      <c r="D164" s="12" t="s">
        <v>34</v>
      </c>
      <c r="E164" s="12" t="s">
        <v>35</v>
      </c>
    </row>
    <row r="165" spans="1:8" s="32" customFormat="1" ht="15.75" customHeight="1" x14ac:dyDescent="0.3">
      <c r="A165" s="13" t="s">
        <v>28</v>
      </c>
      <c r="B165" s="14">
        <v>168300</v>
      </c>
      <c r="C165" s="22">
        <f>+B165/3</f>
        <v>56100</v>
      </c>
      <c r="D165" s="22">
        <f>+B165/3</f>
        <v>56100</v>
      </c>
      <c r="E165" s="22">
        <f>+B165/3</f>
        <v>56100</v>
      </c>
    </row>
    <row r="166" spans="1:8" s="32" customFormat="1" ht="15.75" customHeight="1" x14ac:dyDescent="0.3">
      <c r="A166" s="13" t="s">
        <v>40</v>
      </c>
      <c r="B166" s="14">
        <v>26300</v>
      </c>
      <c r="C166" s="22">
        <f t="shared" ref="C166" si="21">+B166/3</f>
        <v>8766.6666666666661</v>
      </c>
      <c r="D166" s="22">
        <f t="shared" ref="D166" si="22">+B166/3</f>
        <v>8766.6666666666661</v>
      </c>
      <c r="E166" s="22">
        <f t="shared" ref="E166" si="23">+B166/3</f>
        <v>8766.6666666666661</v>
      </c>
    </row>
    <row r="167" spans="1:8" s="32" customFormat="1" ht="15.75" customHeight="1" x14ac:dyDescent="0.3">
      <c r="A167" s="15" t="s">
        <v>11</v>
      </c>
      <c r="B167" s="16">
        <f>SUM(B165:B166)</f>
        <v>194600</v>
      </c>
      <c r="C167" s="16">
        <f>SUM(C165:C166)</f>
        <v>64866.666666666664</v>
      </c>
      <c r="D167" s="16">
        <f>SUM(D165:D166)</f>
        <v>64866.666666666664</v>
      </c>
      <c r="E167" s="16">
        <f>SUM(E165:E166)</f>
        <v>64866.666666666664</v>
      </c>
    </row>
    <row r="168" spans="1:8" ht="15" customHeight="1" thickBot="1" x14ac:dyDescent="0.35"/>
    <row r="169" spans="1:8" s="58" customFormat="1" ht="30" customHeight="1" thickBot="1" x14ac:dyDescent="0.35">
      <c r="A169" s="122" t="s">
        <v>78</v>
      </c>
      <c r="B169" s="122"/>
      <c r="C169" s="122"/>
      <c r="D169" s="122"/>
    </row>
    <row r="170" spans="1:8" s="58" customFormat="1" ht="30" customHeight="1" thickBot="1" x14ac:dyDescent="0.35">
      <c r="A170" s="100" t="s">
        <v>43</v>
      </c>
      <c r="B170" s="100" t="s">
        <v>5</v>
      </c>
      <c r="C170" s="100" t="s">
        <v>24</v>
      </c>
      <c r="D170" s="100" t="s">
        <v>18</v>
      </c>
    </row>
    <row r="171" spans="1:8" s="32" customFormat="1" ht="19.95" customHeight="1" x14ac:dyDescent="0.3">
      <c r="A171" s="47">
        <v>46212</v>
      </c>
      <c r="B171" s="48" t="s">
        <v>73</v>
      </c>
      <c r="C171" s="49">
        <v>50000</v>
      </c>
      <c r="D171" s="50" t="s">
        <v>44</v>
      </c>
    </row>
    <row r="172" spans="1:8" s="32" customFormat="1" ht="19.95" customHeight="1" x14ac:dyDescent="0.3">
      <c r="A172" s="71">
        <v>46220</v>
      </c>
      <c r="B172" s="99" t="s">
        <v>73</v>
      </c>
      <c r="C172" s="72">
        <v>50000</v>
      </c>
      <c r="D172" s="73" t="s">
        <v>44</v>
      </c>
    </row>
    <row r="173" spans="1:8" s="32" customFormat="1" ht="19.95" customHeight="1" x14ac:dyDescent="0.3">
      <c r="A173" s="64">
        <v>46225</v>
      </c>
      <c r="B173" s="65" t="s">
        <v>79</v>
      </c>
      <c r="C173" s="66">
        <v>18300</v>
      </c>
      <c r="D173" s="67" t="s">
        <v>44</v>
      </c>
    </row>
    <row r="174" spans="1:8" s="32" customFormat="1" ht="19.95" customHeight="1" thickBot="1" x14ac:dyDescent="0.35">
      <c r="A174" s="51">
        <v>46226</v>
      </c>
      <c r="B174" s="52" t="s">
        <v>73</v>
      </c>
      <c r="C174" s="53">
        <v>50000</v>
      </c>
      <c r="D174" s="54" t="s">
        <v>44</v>
      </c>
    </row>
    <row r="175" spans="1:8" s="32" customFormat="1" ht="19.95" customHeight="1" thickBot="1" x14ac:dyDescent="0.35">
      <c r="A175" s="55"/>
      <c r="B175" s="74"/>
      <c r="C175" s="56">
        <f>SUM(C171:C174)</f>
        <v>168300</v>
      </c>
      <c r="D175" s="57"/>
    </row>
  </sheetData>
  <mergeCells count="16">
    <mergeCell ref="A110:H110"/>
    <mergeCell ref="A16:D16"/>
    <mergeCell ref="A104:D104"/>
    <mergeCell ref="A2:H2"/>
    <mergeCell ref="A22:H22"/>
    <mergeCell ref="A36:D36"/>
    <mergeCell ref="A43:H43"/>
    <mergeCell ref="A90:H90"/>
    <mergeCell ref="A69:H69"/>
    <mergeCell ref="A83:D83"/>
    <mergeCell ref="A59:D59"/>
    <mergeCell ref="A155:H155"/>
    <mergeCell ref="A169:D169"/>
    <mergeCell ref="A124:D124"/>
    <mergeCell ref="A133:H133"/>
    <mergeCell ref="A147:D147"/>
  </mergeCells>
  <pageMargins left="0.7" right="0.7" top="0.75" bottom="0.75" header="0" footer="0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AJUSTES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Enjoy producciones</dc:creator>
  <cp:lastModifiedBy>LENOVO</cp:lastModifiedBy>
  <cp:lastPrinted>2025-04-17T19:13:57Z</cp:lastPrinted>
  <dcterms:created xsi:type="dcterms:W3CDTF">2022-01-05T16:23:44Z</dcterms:created>
  <dcterms:modified xsi:type="dcterms:W3CDTF">2026-08-17T12:35:21Z</dcterms:modified>
</cp:coreProperties>
</file>