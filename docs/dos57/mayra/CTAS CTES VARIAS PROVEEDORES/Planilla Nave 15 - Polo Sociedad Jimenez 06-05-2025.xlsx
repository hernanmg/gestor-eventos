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MAYRA 2024\MAYRA - DOS57\CUENTAS CLIENTES Y PROVEEDORES\Presentacion Rendicion JIMENEZ\"/>
    </mc:Choice>
  </mc:AlternateContent>
  <bookViews>
    <workbookView xWindow="0" yWindow="0" windowWidth="23040" windowHeight="9192" tabRatio="897" firstSheet="35" activeTab="44"/>
  </bookViews>
  <sheets>
    <sheet name="INFORME GENERAL" sheetId="16" r:id="rId1"/>
    <sheet name="DICIEMBRE 2022" sheetId="12" r:id="rId2"/>
    <sheet name="ENERO 2023" sheetId="30" r:id="rId3"/>
    <sheet name="FEBRERO 2023" sheetId="15" r:id="rId4"/>
    <sheet name="MARZO 2023" sheetId="17" r:id="rId5"/>
    <sheet name="ABRIL 2023" sheetId="18" r:id="rId6"/>
    <sheet name="MAYO 2023" sheetId="20" r:id="rId7"/>
    <sheet name="JUNIO 2023" sheetId="21" r:id="rId8"/>
    <sheet name="JULIO 2023 " sheetId="22" r:id="rId9"/>
    <sheet name="AGOSTO 2023" sheetId="23" r:id="rId10"/>
    <sheet name="SEPTIEMBRE 2023 " sheetId="24" r:id="rId11"/>
    <sheet name="OCTUBRE 2023" sheetId="27" r:id="rId12"/>
    <sheet name="NOVIEMBRE 2023" sheetId="25" r:id="rId13"/>
    <sheet name="DICIEMBRE 2023" sheetId="26" r:id="rId14"/>
    <sheet name="ENERO 2024" sheetId="28" r:id="rId15"/>
    <sheet name="FEBRERO 2024" sheetId="29" r:id="rId16"/>
    <sheet name="MARZO 2024" sheetId="31" r:id="rId17"/>
    <sheet name="ABRIL 2024" sheetId="32" r:id="rId18"/>
    <sheet name="MAYO 2024" sheetId="33" r:id="rId19"/>
    <sheet name="JUNIO 2024" sheetId="34" r:id="rId20"/>
    <sheet name="JULIO 2024" sheetId="35" r:id="rId21"/>
    <sheet name="AGOSTO 2024" sheetId="36" r:id="rId22"/>
    <sheet name="SEPTIEMBRE 2024" sheetId="37" r:id="rId23"/>
    <sheet name="OCTUBRE 2024" sheetId="38" r:id="rId24"/>
    <sheet name="NOVIEMBRE 2024" sheetId="39" r:id="rId25"/>
    <sheet name="DICIEMBRE 2024" sheetId="40" r:id="rId26"/>
    <sheet name="ENERO 2025" sheetId="41" r:id="rId27"/>
    <sheet name="FEBRERO 2025" sheetId="42" r:id="rId28"/>
    <sheet name="MARZO 2025" sheetId="43" r:id="rId29"/>
    <sheet name="ABRIL 2025" sheetId="44" r:id="rId30"/>
    <sheet name="MAYO 2025" sheetId="45" r:id="rId31"/>
    <sheet name="JUNIO 2025" sheetId="46" r:id="rId32"/>
    <sheet name="JULIO 2025" sheetId="47" r:id="rId33"/>
    <sheet name="AGOSTO 2025" sheetId="48" r:id="rId34"/>
    <sheet name="SEPTIEMBRE 2025" sheetId="49" r:id="rId35"/>
    <sheet name="OCTUBRE 2025" sheetId="50" r:id="rId36"/>
    <sheet name="NOVIEMBRE 2025" sheetId="51" r:id="rId37"/>
    <sheet name="DICIEMBRE 2025" sheetId="52" r:id="rId38"/>
    <sheet name="ENERO 2026" sheetId="53" r:id="rId39"/>
    <sheet name="FEBRERO 2026" sheetId="54" r:id="rId40"/>
    <sheet name="MARZO 2026" sheetId="55" r:id="rId41"/>
    <sheet name="ABRIL 2026" sheetId="56" r:id="rId42"/>
    <sheet name="MAYO 2026" sheetId="57" r:id="rId43"/>
    <sheet name="JUNIO 2026" sheetId="58" r:id="rId44"/>
    <sheet name="CONCILIACION" sheetId="19" r:id="rId45"/>
  </sheets>
  <externalReferences>
    <externalReference r:id="rId46"/>
  </externalReferences>
  <calcPr calcId="162913"/>
  <extLst>
    <ext uri="GoogleSheetsCustomDataVersion1">
      <go:sheetsCustomData xmlns:go="http://customooxmlschemas.google.com/" r:id="rId47" roundtripDataSignature="AMtx7miNQiSsYOVGVAE96/TU36dI825vdw=="/>
    </ext>
  </extLst>
</workbook>
</file>

<file path=xl/calcChain.xml><?xml version="1.0" encoding="utf-8"?>
<calcChain xmlns="http://schemas.openxmlformats.org/spreadsheetml/2006/main">
  <c r="D48" i="19" l="1"/>
  <c r="D47" i="19"/>
  <c r="C48" i="19"/>
  <c r="C47" i="19"/>
  <c r="E21" i="58"/>
  <c r="F21" i="58"/>
  <c r="D21" i="58"/>
  <c r="E20" i="58"/>
  <c r="F20" i="58"/>
  <c r="I30" i="58"/>
  <c r="C29" i="58"/>
  <c r="D26" i="58"/>
  <c r="C23" i="58"/>
  <c r="G29" i="58"/>
  <c r="F19" i="58"/>
  <c r="E19" i="58"/>
  <c r="F18" i="58"/>
  <c r="E18" i="58"/>
  <c r="F17" i="58"/>
  <c r="E17" i="58"/>
  <c r="D14" i="58"/>
  <c r="E29" i="58" s="1"/>
  <c r="F13" i="58"/>
  <c r="E13" i="58"/>
  <c r="F12" i="58"/>
  <c r="E12" i="58"/>
  <c r="F11" i="58"/>
  <c r="E11" i="58"/>
  <c r="F10" i="58"/>
  <c r="E10" i="58"/>
  <c r="F9" i="58"/>
  <c r="F14" i="58" s="1"/>
  <c r="E9" i="58"/>
  <c r="E6" i="58"/>
  <c r="D6" i="58"/>
  <c r="F4" i="58"/>
  <c r="F6" i="58" s="1"/>
  <c r="E4" i="58"/>
  <c r="I29" i="57"/>
  <c r="C28" i="57"/>
  <c r="D25" i="57"/>
  <c r="C22" i="57"/>
  <c r="E20" i="57"/>
  <c r="D20" i="57"/>
  <c r="G28" i="57" s="1"/>
  <c r="F19" i="57"/>
  <c r="E19" i="57"/>
  <c r="F18" i="57"/>
  <c r="E18" i="57"/>
  <c r="F17" i="57"/>
  <c r="F20" i="57" s="1"/>
  <c r="E17" i="57"/>
  <c r="D14" i="57"/>
  <c r="E28" i="57" s="1"/>
  <c r="F13" i="57"/>
  <c r="E13" i="57"/>
  <c r="F12" i="57"/>
  <c r="E12" i="57"/>
  <c r="F11" i="57"/>
  <c r="E11" i="57"/>
  <c r="F10" i="57"/>
  <c r="E10" i="57"/>
  <c r="F9" i="57"/>
  <c r="E9" i="57"/>
  <c r="E6" i="57"/>
  <c r="D6" i="57"/>
  <c r="F4" i="57"/>
  <c r="F6" i="57" s="1"/>
  <c r="E4" i="57"/>
  <c r="I29" i="58" l="1"/>
  <c r="E14" i="58"/>
  <c r="E14" i="57"/>
  <c r="C23" i="57" s="1"/>
  <c r="F14" i="57"/>
  <c r="C24" i="57" s="1"/>
  <c r="C25" i="58"/>
  <c r="C24" i="58"/>
  <c r="I28" i="57"/>
  <c r="D57" i="19"/>
  <c r="D46" i="19"/>
  <c r="D45" i="19"/>
  <c r="D44" i="19"/>
  <c r="D43" i="19"/>
  <c r="D42" i="19"/>
  <c r="D41" i="19"/>
  <c r="C45" i="19"/>
  <c r="C44" i="19"/>
  <c r="C43" i="19"/>
  <c r="C42" i="19"/>
  <c r="C41" i="19"/>
  <c r="F12" i="56"/>
  <c r="E12" i="56"/>
  <c r="F11" i="56"/>
  <c r="E11" i="56"/>
  <c r="F10" i="56"/>
  <c r="E10" i="56"/>
  <c r="C28" i="56"/>
  <c r="I29" i="56"/>
  <c r="D25" i="56"/>
  <c r="C22" i="56"/>
  <c r="E20" i="56"/>
  <c r="D20" i="56"/>
  <c r="G28" i="56" s="1"/>
  <c r="F19" i="56"/>
  <c r="E19" i="56"/>
  <c r="F18" i="56"/>
  <c r="E18" i="56"/>
  <c r="F17" i="56"/>
  <c r="F20" i="56" s="1"/>
  <c r="E17" i="56"/>
  <c r="D14" i="56"/>
  <c r="E28" i="56" s="1"/>
  <c r="F13" i="56"/>
  <c r="E13" i="56"/>
  <c r="F9" i="56"/>
  <c r="E9" i="56"/>
  <c r="E14" i="56" s="1"/>
  <c r="D6" i="56"/>
  <c r="F4" i="56"/>
  <c r="F6" i="56" s="1"/>
  <c r="E4" i="56"/>
  <c r="E6" i="56" s="1"/>
  <c r="C27" i="55"/>
  <c r="I27" i="55" s="1"/>
  <c r="D23" i="55"/>
  <c r="C20" i="55"/>
  <c r="D18" i="55"/>
  <c r="G26" i="55" s="1"/>
  <c r="F17" i="55"/>
  <c r="E17" i="55"/>
  <c r="F16" i="55"/>
  <c r="E16" i="55"/>
  <c r="F15" i="55"/>
  <c r="E15" i="55"/>
  <c r="E18" i="55" s="1"/>
  <c r="D12" i="55"/>
  <c r="E26" i="55" s="1"/>
  <c r="F11" i="55"/>
  <c r="E11" i="55"/>
  <c r="F10" i="55"/>
  <c r="E10" i="55"/>
  <c r="F9" i="55"/>
  <c r="F12" i="55" s="1"/>
  <c r="E9" i="55"/>
  <c r="E12" i="55" s="1"/>
  <c r="D6" i="55"/>
  <c r="F4" i="55"/>
  <c r="F6" i="55" s="1"/>
  <c r="E4" i="55"/>
  <c r="E6" i="55" s="1"/>
  <c r="C27" i="54"/>
  <c r="I27" i="54" s="1"/>
  <c r="D23" i="54"/>
  <c r="C20" i="54"/>
  <c r="E18" i="54"/>
  <c r="D18" i="54"/>
  <c r="G26" i="54" s="1"/>
  <c r="F17" i="54"/>
  <c r="E17" i="54"/>
  <c r="F16" i="54"/>
  <c r="E16" i="54"/>
  <c r="F15" i="54"/>
  <c r="F18" i="54" s="1"/>
  <c r="E15" i="54"/>
  <c r="F12" i="54"/>
  <c r="D12" i="54"/>
  <c r="E26" i="54" s="1"/>
  <c r="F11" i="54"/>
  <c r="E11" i="54"/>
  <c r="F10" i="54"/>
  <c r="E10" i="54"/>
  <c r="F9" i="54"/>
  <c r="E9" i="54"/>
  <c r="E12" i="54" s="1"/>
  <c r="D6" i="54"/>
  <c r="F4" i="54"/>
  <c r="F6" i="54" s="1"/>
  <c r="E4" i="54"/>
  <c r="E6" i="54" s="1"/>
  <c r="C27" i="53"/>
  <c r="I27" i="53" s="1"/>
  <c r="D23" i="53"/>
  <c r="C20" i="53"/>
  <c r="E18" i="53"/>
  <c r="D18" i="53"/>
  <c r="G26" i="53" s="1"/>
  <c r="F17" i="53"/>
  <c r="E17" i="53"/>
  <c r="F16" i="53"/>
  <c r="E16" i="53"/>
  <c r="F15" i="53"/>
  <c r="F18" i="53" s="1"/>
  <c r="E15" i="53"/>
  <c r="D12" i="53"/>
  <c r="E26" i="53" s="1"/>
  <c r="F11" i="53"/>
  <c r="E11" i="53"/>
  <c r="F10" i="53"/>
  <c r="E10" i="53"/>
  <c r="F9" i="53"/>
  <c r="F12" i="53" s="1"/>
  <c r="E9" i="53"/>
  <c r="E12" i="53" s="1"/>
  <c r="D6" i="53"/>
  <c r="F4" i="53"/>
  <c r="F6" i="53" s="1"/>
  <c r="E4" i="53"/>
  <c r="E6" i="53" s="1"/>
  <c r="C26" i="58" l="1"/>
  <c r="C25" i="57"/>
  <c r="F14" i="56"/>
  <c r="I28" i="56"/>
  <c r="C46" i="19" s="1"/>
  <c r="I26" i="55"/>
  <c r="F18" i="55"/>
  <c r="C22" i="55" s="1"/>
  <c r="I26" i="54"/>
  <c r="I26" i="53"/>
  <c r="C23" i="56"/>
  <c r="C24" i="56"/>
  <c r="C21" i="55"/>
  <c r="C22" i="54"/>
  <c r="C21" i="54"/>
  <c r="C21" i="53"/>
  <c r="C22" i="53"/>
  <c r="C23" i="53" s="1"/>
  <c r="D40" i="19"/>
  <c r="D39" i="19"/>
  <c r="D38" i="19"/>
  <c r="D37" i="19"/>
  <c r="D36" i="19"/>
  <c r="C40" i="19"/>
  <c r="C39" i="19"/>
  <c r="C38" i="19"/>
  <c r="C37" i="19"/>
  <c r="C36" i="19"/>
  <c r="E29" i="50"/>
  <c r="E28" i="50"/>
  <c r="E10" i="50"/>
  <c r="F10" i="50"/>
  <c r="E11" i="50"/>
  <c r="F11" i="50"/>
  <c r="C25" i="56" l="1"/>
  <c r="C23" i="55"/>
  <c r="C23" i="54"/>
  <c r="C28" i="50"/>
  <c r="C26" i="49"/>
  <c r="C26" i="48"/>
  <c r="C27" i="52"/>
  <c r="I27" i="52" s="1"/>
  <c r="D23" i="52"/>
  <c r="C20" i="52"/>
  <c r="D18" i="52"/>
  <c r="G26" i="52" s="1"/>
  <c r="F17" i="52"/>
  <c r="E17" i="52"/>
  <c r="F16" i="52"/>
  <c r="E16" i="52"/>
  <c r="F15" i="52"/>
  <c r="E15" i="52"/>
  <c r="E18" i="52" s="1"/>
  <c r="D12" i="52"/>
  <c r="E26" i="52" s="1"/>
  <c r="F11" i="52"/>
  <c r="E11" i="52"/>
  <c r="F10" i="52"/>
  <c r="E10" i="52"/>
  <c r="F9" i="52"/>
  <c r="F12" i="52" s="1"/>
  <c r="E9" i="52"/>
  <c r="E12" i="52" s="1"/>
  <c r="E6" i="52"/>
  <c r="D6" i="52"/>
  <c r="F4" i="52"/>
  <c r="F6" i="52" s="1"/>
  <c r="E4" i="52"/>
  <c r="C27" i="51"/>
  <c r="I27" i="51" s="1"/>
  <c r="D23" i="51"/>
  <c r="C20" i="51"/>
  <c r="D18" i="51"/>
  <c r="G26" i="51" s="1"/>
  <c r="F17" i="51"/>
  <c r="E17" i="51"/>
  <c r="F16" i="51"/>
  <c r="F18" i="51" s="1"/>
  <c r="E16" i="51"/>
  <c r="F15" i="51"/>
  <c r="E15" i="51"/>
  <c r="E18" i="51" s="1"/>
  <c r="D12" i="51"/>
  <c r="E26" i="51" s="1"/>
  <c r="F11" i="51"/>
  <c r="E11" i="51"/>
  <c r="F10" i="51"/>
  <c r="E10" i="51"/>
  <c r="F9" i="51"/>
  <c r="F12" i="51" s="1"/>
  <c r="E9" i="51"/>
  <c r="E12" i="51" s="1"/>
  <c r="E6" i="51"/>
  <c r="D6" i="51"/>
  <c r="F4" i="51"/>
  <c r="F6" i="51" s="1"/>
  <c r="E4" i="51"/>
  <c r="I29" i="50"/>
  <c r="D25" i="50"/>
  <c r="C22" i="50"/>
  <c r="E20" i="50"/>
  <c r="D20" i="50"/>
  <c r="G28" i="50" s="1"/>
  <c r="F19" i="50"/>
  <c r="E19" i="50"/>
  <c r="F18" i="50"/>
  <c r="E18" i="50"/>
  <c r="F17" i="50"/>
  <c r="F20" i="50" s="1"/>
  <c r="E17" i="50"/>
  <c r="D14" i="50"/>
  <c r="F13" i="50"/>
  <c r="E13" i="50"/>
  <c r="F12" i="50"/>
  <c r="E12" i="50"/>
  <c r="F9" i="50"/>
  <c r="E9" i="50"/>
  <c r="E6" i="50"/>
  <c r="D6" i="50"/>
  <c r="F4" i="50"/>
  <c r="F6" i="50" s="1"/>
  <c r="E4" i="50"/>
  <c r="I27" i="49"/>
  <c r="D23" i="49"/>
  <c r="C20" i="49"/>
  <c r="E18" i="49"/>
  <c r="D18" i="49"/>
  <c r="G26" i="49" s="1"/>
  <c r="F17" i="49"/>
  <c r="E17" i="49"/>
  <c r="F16" i="49"/>
  <c r="F18" i="49" s="1"/>
  <c r="E16" i="49"/>
  <c r="F15" i="49"/>
  <c r="E15" i="49"/>
  <c r="F12" i="49"/>
  <c r="D12" i="49"/>
  <c r="E26" i="49" s="1"/>
  <c r="F11" i="49"/>
  <c r="E11" i="49"/>
  <c r="F10" i="49"/>
  <c r="E10" i="49"/>
  <c r="F9" i="49"/>
  <c r="E9" i="49"/>
  <c r="E12" i="49" s="1"/>
  <c r="E6" i="49"/>
  <c r="D6" i="49"/>
  <c r="F4" i="49"/>
  <c r="F6" i="49" s="1"/>
  <c r="E4" i="49"/>
  <c r="I27" i="48"/>
  <c r="D23" i="48"/>
  <c r="C20" i="48"/>
  <c r="E18" i="48"/>
  <c r="D18" i="48"/>
  <c r="G26" i="48" s="1"/>
  <c r="F17" i="48"/>
  <c r="E17" i="48"/>
  <c r="F16" i="48"/>
  <c r="E16" i="48"/>
  <c r="F15" i="48"/>
  <c r="E15" i="48"/>
  <c r="F12" i="48"/>
  <c r="D12" i="48"/>
  <c r="E26" i="48" s="1"/>
  <c r="F11" i="48"/>
  <c r="E11" i="48"/>
  <c r="F10" i="48"/>
  <c r="E10" i="48"/>
  <c r="F9" i="48"/>
  <c r="E9" i="48"/>
  <c r="E12" i="48" s="1"/>
  <c r="D6" i="48"/>
  <c r="F4" i="48"/>
  <c r="F6" i="48" s="1"/>
  <c r="E4" i="48"/>
  <c r="E6" i="48" s="1"/>
  <c r="C27" i="47"/>
  <c r="I27" i="47" s="1"/>
  <c r="D23" i="47"/>
  <c r="C20" i="47"/>
  <c r="D18" i="47"/>
  <c r="G26" i="47" s="1"/>
  <c r="F17" i="47"/>
  <c r="E17" i="47"/>
  <c r="F16" i="47"/>
  <c r="E16" i="47"/>
  <c r="F15" i="47"/>
  <c r="F18" i="47" s="1"/>
  <c r="E15" i="47"/>
  <c r="E18" i="47" s="1"/>
  <c r="D12" i="47"/>
  <c r="E26" i="47" s="1"/>
  <c r="F11" i="47"/>
  <c r="E11" i="47"/>
  <c r="F10" i="47"/>
  <c r="E10" i="47"/>
  <c r="F9" i="47"/>
  <c r="E9" i="47"/>
  <c r="D6" i="47"/>
  <c r="F4" i="47"/>
  <c r="F6" i="47" s="1"/>
  <c r="E4" i="47"/>
  <c r="E6" i="47" s="1"/>
  <c r="C27" i="46"/>
  <c r="I27" i="46" s="1"/>
  <c r="D23" i="46"/>
  <c r="C20" i="46"/>
  <c r="D18" i="46"/>
  <c r="G26" i="46" s="1"/>
  <c r="F17" i="46"/>
  <c r="E17" i="46"/>
  <c r="F16" i="46"/>
  <c r="E16" i="46"/>
  <c r="F15" i="46"/>
  <c r="F18" i="46" s="1"/>
  <c r="E15" i="46"/>
  <c r="E18" i="46" s="1"/>
  <c r="D12" i="46"/>
  <c r="E26" i="46" s="1"/>
  <c r="F11" i="46"/>
  <c r="E11" i="46"/>
  <c r="F10" i="46"/>
  <c r="E10" i="46"/>
  <c r="F9" i="46"/>
  <c r="E9" i="46"/>
  <c r="E12" i="46" s="1"/>
  <c r="D6" i="46"/>
  <c r="F4" i="46"/>
  <c r="F6" i="46" s="1"/>
  <c r="E4" i="46"/>
  <c r="E6" i="46" s="1"/>
  <c r="I26" i="52" l="1"/>
  <c r="F18" i="52"/>
  <c r="I26" i="51"/>
  <c r="I28" i="50"/>
  <c r="E14" i="50"/>
  <c r="C23" i="50" s="1"/>
  <c r="F14" i="50"/>
  <c r="C24" i="50" s="1"/>
  <c r="I26" i="49"/>
  <c r="F18" i="48"/>
  <c r="E12" i="47"/>
  <c r="F12" i="47"/>
  <c r="I26" i="47"/>
  <c r="F12" i="46"/>
  <c r="I26" i="48"/>
  <c r="C22" i="47"/>
  <c r="C22" i="52"/>
  <c r="C21" i="52"/>
  <c r="C22" i="51"/>
  <c r="C21" i="51"/>
  <c r="C23" i="51" s="1"/>
  <c r="C22" i="49"/>
  <c r="C21" i="49"/>
  <c r="C22" i="48"/>
  <c r="C21" i="48"/>
  <c r="C21" i="47"/>
  <c r="I26" i="46"/>
  <c r="C22" i="46"/>
  <c r="C21" i="46"/>
  <c r="D35" i="19"/>
  <c r="D34" i="19"/>
  <c r="D33" i="19"/>
  <c r="D32" i="19"/>
  <c r="C34" i="19"/>
  <c r="C33" i="19"/>
  <c r="C32" i="19"/>
  <c r="C31" i="19"/>
  <c r="C23" i="52" l="1"/>
  <c r="C25" i="50"/>
  <c r="C23" i="48"/>
  <c r="C23" i="47"/>
  <c r="C23" i="46"/>
  <c r="C23" i="49"/>
  <c r="C26" i="44"/>
  <c r="C26" i="43"/>
  <c r="C27" i="45"/>
  <c r="I27" i="45" s="1"/>
  <c r="D23" i="45"/>
  <c r="C20" i="45"/>
  <c r="D18" i="45"/>
  <c r="G26" i="45" s="1"/>
  <c r="F17" i="45"/>
  <c r="E17" i="45"/>
  <c r="F16" i="45"/>
  <c r="E16" i="45"/>
  <c r="F15" i="45"/>
  <c r="E15" i="45"/>
  <c r="F12" i="45"/>
  <c r="D12" i="45"/>
  <c r="E26" i="45" s="1"/>
  <c r="F11" i="45"/>
  <c r="E11" i="45"/>
  <c r="F10" i="45"/>
  <c r="E10" i="45"/>
  <c r="F9" i="45"/>
  <c r="E9" i="45"/>
  <c r="E12" i="45" s="1"/>
  <c r="E6" i="45"/>
  <c r="D6" i="45"/>
  <c r="F4" i="45"/>
  <c r="F6" i="45" s="1"/>
  <c r="E4" i="45"/>
  <c r="I27" i="44"/>
  <c r="D23" i="44"/>
  <c r="C20" i="44"/>
  <c r="D18" i="44"/>
  <c r="G26" i="44" s="1"/>
  <c r="F17" i="44"/>
  <c r="E17" i="44"/>
  <c r="F16" i="44"/>
  <c r="E16" i="44"/>
  <c r="F15" i="44"/>
  <c r="F18" i="44" s="1"/>
  <c r="E15" i="44"/>
  <c r="E18" i="44" s="1"/>
  <c r="D12" i="44"/>
  <c r="E26" i="44" s="1"/>
  <c r="F11" i="44"/>
  <c r="E11" i="44"/>
  <c r="F10" i="44"/>
  <c r="E10" i="44"/>
  <c r="F9" i="44"/>
  <c r="F12" i="44" s="1"/>
  <c r="E9" i="44"/>
  <c r="E12" i="44" s="1"/>
  <c r="D6" i="44"/>
  <c r="F4" i="44"/>
  <c r="F6" i="44" s="1"/>
  <c r="E4" i="44"/>
  <c r="E6" i="44" s="1"/>
  <c r="I27" i="43"/>
  <c r="D23" i="43"/>
  <c r="C20" i="43"/>
  <c r="D18" i="43"/>
  <c r="G26" i="43" s="1"/>
  <c r="F17" i="43"/>
  <c r="E17" i="43"/>
  <c r="F16" i="43"/>
  <c r="F18" i="43" s="1"/>
  <c r="E16" i="43"/>
  <c r="E18" i="43" s="1"/>
  <c r="F15" i="43"/>
  <c r="E15" i="43"/>
  <c r="D12" i="43"/>
  <c r="E26" i="43" s="1"/>
  <c r="F11" i="43"/>
  <c r="E11" i="43"/>
  <c r="F10" i="43"/>
  <c r="E10" i="43"/>
  <c r="F9" i="43"/>
  <c r="F12" i="43" s="1"/>
  <c r="E9" i="43"/>
  <c r="E12" i="43" s="1"/>
  <c r="D6" i="43"/>
  <c r="F4" i="43"/>
  <c r="F6" i="43" s="1"/>
  <c r="E4" i="43"/>
  <c r="E6" i="43" s="1"/>
  <c r="C27" i="42"/>
  <c r="I27" i="42" s="1"/>
  <c r="D23" i="42"/>
  <c r="C20" i="42"/>
  <c r="D18" i="42"/>
  <c r="G26" i="42" s="1"/>
  <c r="F17" i="42"/>
  <c r="E17" i="42"/>
  <c r="F16" i="42"/>
  <c r="E16" i="42"/>
  <c r="E18" i="42" s="1"/>
  <c r="F15" i="42"/>
  <c r="E15" i="42"/>
  <c r="D12" i="42"/>
  <c r="E26" i="42" s="1"/>
  <c r="F11" i="42"/>
  <c r="E11" i="42"/>
  <c r="F10" i="42"/>
  <c r="E10" i="42"/>
  <c r="F9" i="42"/>
  <c r="F12" i="42" s="1"/>
  <c r="E9" i="42"/>
  <c r="E12" i="42" s="1"/>
  <c r="D6" i="42"/>
  <c r="F4" i="42"/>
  <c r="F6" i="42" s="1"/>
  <c r="E4" i="42"/>
  <c r="E6" i="42" s="1"/>
  <c r="E18" i="45" l="1"/>
  <c r="F18" i="45"/>
  <c r="C22" i="45" s="1"/>
  <c r="I26" i="45"/>
  <c r="C35" i="19" s="1"/>
  <c r="I26" i="44"/>
  <c r="C21" i="45"/>
  <c r="C21" i="44"/>
  <c r="C22" i="44"/>
  <c r="I26" i="43"/>
  <c r="C22" i="43"/>
  <c r="C21" i="43"/>
  <c r="I26" i="42"/>
  <c r="F18" i="42"/>
  <c r="C22" i="42" s="1"/>
  <c r="C21" i="42"/>
  <c r="D31" i="19"/>
  <c r="C27" i="41"/>
  <c r="I27" i="41" s="1"/>
  <c r="D23" i="41"/>
  <c r="C20" i="41"/>
  <c r="D18" i="41"/>
  <c r="G26" i="41" s="1"/>
  <c r="F17" i="41"/>
  <c r="E17" i="41"/>
  <c r="F16" i="41"/>
  <c r="E16" i="41"/>
  <c r="F15" i="41"/>
  <c r="E15" i="41"/>
  <c r="E18" i="41" s="1"/>
  <c r="D12" i="41"/>
  <c r="E26" i="41" s="1"/>
  <c r="F11" i="41"/>
  <c r="E11" i="41"/>
  <c r="F10" i="41"/>
  <c r="E10" i="41"/>
  <c r="F9" i="41"/>
  <c r="F12" i="41" s="1"/>
  <c r="E9" i="41"/>
  <c r="E12" i="41" s="1"/>
  <c r="D6" i="41"/>
  <c r="F4" i="41"/>
  <c r="F6" i="41" s="1"/>
  <c r="E4" i="41"/>
  <c r="E6" i="41" s="1"/>
  <c r="C23" i="45" l="1"/>
  <c r="C23" i="44"/>
  <c r="C23" i="43"/>
  <c r="C23" i="42"/>
  <c r="I26" i="41"/>
  <c r="F18" i="41"/>
  <c r="C22" i="41"/>
  <c r="C21" i="41"/>
  <c r="C23" i="41" s="1"/>
  <c r="D30" i="19"/>
  <c r="D29" i="19"/>
  <c r="D28" i="19"/>
  <c r="C27" i="19"/>
  <c r="C27" i="40"/>
  <c r="I27" i="40" s="1"/>
  <c r="D23" i="40"/>
  <c r="C20" i="40"/>
  <c r="D18" i="40"/>
  <c r="G26" i="40" s="1"/>
  <c r="F17" i="40"/>
  <c r="E17" i="40"/>
  <c r="F16" i="40"/>
  <c r="E16" i="40"/>
  <c r="E18" i="40" s="1"/>
  <c r="F15" i="40"/>
  <c r="E15" i="40"/>
  <c r="D12" i="40"/>
  <c r="E26" i="40" s="1"/>
  <c r="F11" i="40"/>
  <c r="E11" i="40"/>
  <c r="F10" i="40"/>
  <c r="E10" i="40"/>
  <c r="F9" i="40"/>
  <c r="E9" i="40"/>
  <c r="E12" i="40" s="1"/>
  <c r="D6" i="40"/>
  <c r="F4" i="40"/>
  <c r="F6" i="40" s="1"/>
  <c r="E4" i="40"/>
  <c r="E6" i="40" s="1"/>
  <c r="D18" i="39"/>
  <c r="C27" i="39"/>
  <c r="I27" i="39" s="1"/>
  <c r="D23" i="39"/>
  <c r="C20" i="39"/>
  <c r="G26" i="39"/>
  <c r="F17" i="39"/>
  <c r="E17" i="39"/>
  <c r="F16" i="39"/>
  <c r="F18" i="39" s="1"/>
  <c r="E16" i="39"/>
  <c r="E18" i="39" s="1"/>
  <c r="F15" i="39"/>
  <c r="E15" i="39"/>
  <c r="D12" i="39"/>
  <c r="E26" i="39" s="1"/>
  <c r="F11" i="39"/>
  <c r="E11" i="39"/>
  <c r="F10" i="39"/>
  <c r="E10" i="39"/>
  <c r="F9" i="39"/>
  <c r="E9" i="39"/>
  <c r="E12" i="39" s="1"/>
  <c r="D6" i="39"/>
  <c r="F4" i="39"/>
  <c r="F6" i="39" s="1"/>
  <c r="E4" i="39"/>
  <c r="E6" i="39" s="1"/>
  <c r="D12" i="38"/>
  <c r="C27" i="38"/>
  <c r="I27" i="38" s="1"/>
  <c r="D23" i="38"/>
  <c r="C20" i="38"/>
  <c r="E18" i="38"/>
  <c r="D18" i="38"/>
  <c r="G26" i="38" s="1"/>
  <c r="F17" i="38"/>
  <c r="E17" i="38"/>
  <c r="F16" i="38"/>
  <c r="E16" i="38"/>
  <c r="F15" i="38"/>
  <c r="E15" i="38"/>
  <c r="E26" i="38"/>
  <c r="F11" i="38"/>
  <c r="E11" i="38"/>
  <c r="F10" i="38"/>
  <c r="E10" i="38"/>
  <c r="F9" i="38"/>
  <c r="F12" i="38" s="1"/>
  <c r="E9" i="38"/>
  <c r="E12" i="38" s="1"/>
  <c r="E6" i="38"/>
  <c r="D6" i="38"/>
  <c r="F4" i="38"/>
  <c r="F6" i="38" s="1"/>
  <c r="E4" i="38"/>
  <c r="F12" i="39" l="1"/>
  <c r="F18" i="40"/>
  <c r="I26" i="40"/>
  <c r="C30" i="19" s="1"/>
  <c r="F12" i="40"/>
  <c r="C21" i="40"/>
  <c r="I26" i="39"/>
  <c r="C29" i="19" s="1"/>
  <c r="C22" i="39"/>
  <c r="C21" i="39"/>
  <c r="I26" i="38"/>
  <c r="C28" i="19" s="1"/>
  <c r="F18" i="38"/>
  <c r="C21" i="38"/>
  <c r="C22" i="38"/>
  <c r="C23" i="38" s="1"/>
  <c r="D6" i="16"/>
  <c r="C26" i="37"/>
  <c r="C26" i="36"/>
  <c r="C27" i="35"/>
  <c r="C27" i="34"/>
  <c r="C26" i="33"/>
  <c r="I26" i="32"/>
  <c r="C26" i="32"/>
  <c r="I27" i="31"/>
  <c r="I26" i="31"/>
  <c r="D21" i="19"/>
  <c r="C20" i="19"/>
  <c r="C55" i="19"/>
  <c r="C22" i="40" l="1"/>
  <c r="C23" i="40"/>
  <c r="C23" i="39"/>
  <c r="I27" i="37"/>
  <c r="D27" i="19" s="1"/>
  <c r="E26" i="37"/>
  <c r="D23" i="37"/>
  <c r="C20" i="37"/>
  <c r="D18" i="37"/>
  <c r="G26" i="37" s="1"/>
  <c r="F17" i="37"/>
  <c r="E17" i="37"/>
  <c r="F16" i="37"/>
  <c r="F18" i="37" s="1"/>
  <c r="E16" i="37"/>
  <c r="F15" i="37"/>
  <c r="E15" i="37"/>
  <c r="E12" i="37"/>
  <c r="D12" i="37"/>
  <c r="F11" i="37"/>
  <c r="E11" i="37"/>
  <c r="F10" i="37"/>
  <c r="F12" i="37" s="1"/>
  <c r="E10" i="37"/>
  <c r="F9" i="37"/>
  <c r="E9" i="37"/>
  <c r="F6" i="37"/>
  <c r="D6" i="37"/>
  <c r="F4" i="37"/>
  <c r="E4" i="37"/>
  <c r="E6" i="37" s="1"/>
  <c r="I27" i="36"/>
  <c r="D26" i="19" s="1"/>
  <c r="D23" i="36"/>
  <c r="C20" i="36"/>
  <c r="D18" i="36"/>
  <c r="G26" i="36" s="1"/>
  <c r="F17" i="36"/>
  <c r="E17" i="36"/>
  <c r="F16" i="36"/>
  <c r="E16" i="36"/>
  <c r="E18" i="36" s="1"/>
  <c r="F15" i="36"/>
  <c r="F18" i="36" s="1"/>
  <c r="E15" i="36"/>
  <c r="E12" i="36"/>
  <c r="D12" i="36"/>
  <c r="E26" i="36" s="1"/>
  <c r="F11" i="36"/>
  <c r="E11" i="36"/>
  <c r="F10" i="36"/>
  <c r="E10" i="36"/>
  <c r="F9" i="36"/>
  <c r="E9" i="36"/>
  <c r="D6" i="36"/>
  <c r="F4" i="36"/>
  <c r="F6" i="36" s="1"/>
  <c r="E4" i="36"/>
  <c r="E6" i="36" s="1"/>
  <c r="I27" i="35"/>
  <c r="D25" i="19" s="1"/>
  <c r="E26" i="35"/>
  <c r="D23" i="35"/>
  <c r="C20" i="35"/>
  <c r="D18" i="35"/>
  <c r="G26" i="35" s="1"/>
  <c r="F17" i="35"/>
  <c r="E17" i="35"/>
  <c r="F16" i="35"/>
  <c r="E16" i="35"/>
  <c r="F15" i="35"/>
  <c r="F18" i="35" s="1"/>
  <c r="E15" i="35"/>
  <c r="E18" i="35" s="1"/>
  <c r="E12" i="35"/>
  <c r="D12" i="35"/>
  <c r="F11" i="35"/>
  <c r="E11" i="35"/>
  <c r="F10" i="35"/>
  <c r="E10" i="35"/>
  <c r="F9" i="35"/>
  <c r="F12" i="35" s="1"/>
  <c r="E9" i="35"/>
  <c r="D6" i="35"/>
  <c r="F4" i="35"/>
  <c r="F6" i="35" s="1"/>
  <c r="E4" i="35"/>
  <c r="E6" i="35" s="1"/>
  <c r="I27" i="34"/>
  <c r="D24" i="19" s="1"/>
  <c r="D23" i="34"/>
  <c r="C20" i="34"/>
  <c r="D18" i="34"/>
  <c r="G26" i="34" s="1"/>
  <c r="F17" i="34"/>
  <c r="E17" i="34"/>
  <c r="F16" i="34"/>
  <c r="E16" i="34"/>
  <c r="F15" i="34"/>
  <c r="F18" i="34" s="1"/>
  <c r="E15" i="34"/>
  <c r="E18" i="34" s="1"/>
  <c r="D12" i="34"/>
  <c r="E26" i="34" s="1"/>
  <c r="F11" i="34"/>
  <c r="E11" i="34"/>
  <c r="F10" i="34"/>
  <c r="E10" i="34"/>
  <c r="F9" i="34"/>
  <c r="E9" i="34"/>
  <c r="D6" i="34"/>
  <c r="F4" i="34"/>
  <c r="F6" i="34" s="1"/>
  <c r="E4" i="34"/>
  <c r="E6" i="34" s="1"/>
  <c r="I27" i="33"/>
  <c r="D23" i="19" s="1"/>
  <c r="E26" i="33"/>
  <c r="I26" i="33" s="1"/>
  <c r="C23" i="19" s="1"/>
  <c r="D23" i="33"/>
  <c r="C20" i="33"/>
  <c r="D18" i="33"/>
  <c r="G26" i="33" s="1"/>
  <c r="F17" i="33"/>
  <c r="E17" i="33"/>
  <c r="F16" i="33"/>
  <c r="E16" i="33"/>
  <c r="F15" i="33"/>
  <c r="E15" i="33"/>
  <c r="E12" i="33"/>
  <c r="D12" i="33"/>
  <c r="F11" i="33"/>
  <c r="E11" i="33"/>
  <c r="F10" i="33"/>
  <c r="F12" i="33" s="1"/>
  <c r="E10" i="33"/>
  <c r="F9" i="33"/>
  <c r="E9" i="33"/>
  <c r="D6" i="33"/>
  <c r="F4" i="33"/>
  <c r="F6" i="33" s="1"/>
  <c r="E4" i="33"/>
  <c r="E6" i="33" s="1"/>
  <c r="I27" i="32"/>
  <c r="D22" i="19" s="1"/>
  <c r="D23" i="32"/>
  <c r="C20" i="32"/>
  <c r="D18" i="32"/>
  <c r="G26" i="32" s="1"/>
  <c r="F17" i="32"/>
  <c r="E17" i="32"/>
  <c r="F16" i="32"/>
  <c r="E16" i="32"/>
  <c r="F15" i="32"/>
  <c r="E15" i="32"/>
  <c r="E12" i="32"/>
  <c r="D12" i="32"/>
  <c r="E26" i="32" s="1"/>
  <c r="F11" i="32"/>
  <c r="E11" i="32"/>
  <c r="F10" i="32"/>
  <c r="E10" i="32"/>
  <c r="F9" i="32"/>
  <c r="E9" i="32"/>
  <c r="D6" i="32"/>
  <c r="F4" i="32"/>
  <c r="F6" i="32" s="1"/>
  <c r="E4" i="32"/>
  <c r="E6" i="32" s="1"/>
  <c r="D23" i="31"/>
  <c r="C20" i="31"/>
  <c r="D18" i="31"/>
  <c r="G26" i="31" s="1"/>
  <c r="F17" i="31"/>
  <c r="E17" i="31"/>
  <c r="F16" i="31"/>
  <c r="E16" i="31"/>
  <c r="F15" i="31"/>
  <c r="F18" i="31" s="1"/>
  <c r="E15" i="31"/>
  <c r="E18" i="31" s="1"/>
  <c r="D12" i="31"/>
  <c r="E26" i="31" s="1"/>
  <c r="F11" i="31"/>
  <c r="E11" i="31"/>
  <c r="F10" i="31"/>
  <c r="E10" i="31"/>
  <c r="F9" i="31"/>
  <c r="E9" i="31"/>
  <c r="F6" i="31"/>
  <c r="D6" i="31"/>
  <c r="F4" i="31"/>
  <c r="E4" i="31"/>
  <c r="E6" i="31" s="1"/>
  <c r="I26" i="35" l="1"/>
  <c r="C25" i="19" s="1"/>
  <c r="F18" i="33"/>
  <c r="C22" i="19"/>
  <c r="E18" i="32"/>
  <c r="E18" i="37"/>
  <c r="I26" i="36"/>
  <c r="C26" i="19" s="1"/>
  <c r="F12" i="36"/>
  <c r="I26" i="34"/>
  <c r="C24" i="19" s="1"/>
  <c r="F12" i="34"/>
  <c r="E12" i="34"/>
  <c r="C22" i="34"/>
  <c r="E18" i="33"/>
  <c r="F18" i="32"/>
  <c r="F12" i="32"/>
  <c r="F12" i="31"/>
  <c r="E12" i="31"/>
  <c r="C21" i="31"/>
  <c r="C22" i="31"/>
  <c r="C22" i="37"/>
  <c r="I26" i="37"/>
  <c r="C21" i="37"/>
  <c r="C22" i="36"/>
  <c r="C21" i="36"/>
  <c r="C22" i="35"/>
  <c r="C21" i="35"/>
  <c r="C21" i="34"/>
  <c r="C22" i="33"/>
  <c r="C21" i="33"/>
  <c r="C23" i="33" s="1"/>
  <c r="C22" i="32"/>
  <c r="C21" i="32"/>
  <c r="C21" i="19"/>
  <c r="C7" i="19"/>
  <c r="I27" i="30"/>
  <c r="C26" i="30"/>
  <c r="D23" i="30"/>
  <c r="C20" i="30"/>
  <c r="D18" i="30"/>
  <c r="F17" i="30"/>
  <c r="E17" i="30"/>
  <c r="F16" i="30"/>
  <c r="E16" i="30"/>
  <c r="F15" i="30"/>
  <c r="E15" i="30"/>
  <c r="D12" i="30"/>
  <c r="E26" i="30" s="1"/>
  <c r="F11" i="30"/>
  <c r="E11" i="30"/>
  <c r="F10" i="30"/>
  <c r="E10" i="30"/>
  <c r="E12" i="30" s="1"/>
  <c r="F9" i="30"/>
  <c r="E9" i="30"/>
  <c r="D6" i="30"/>
  <c r="F5" i="30"/>
  <c r="E5" i="30"/>
  <c r="F4" i="30"/>
  <c r="F6" i="30" s="1"/>
  <c r="E4" i="30"/>
  <c r="E6" i="30" s="1"/>
  <c r="D13" i="16"/>
  <c r="F13" i="16" s="1"/>
  <c r="C23" i="35" l="1"/>
  <c r="C23" i="37"/>
  <c r="C23" i="36"/>
  <c r="C23" i="34"/>
  <c r="C23" i="32"/>
  <c r="C23" i="31"/>
  <c r="E18" i="30"/>
  <c r="C21" i="30" s="1"/>
  <c r="C23" i="30" s="1"/>
  <c r="F12" i="30"/>
  <c r="F18" i="30"/>
  <c r="I26" i="30"/>
  <c r="C22" i="30"/>
  <c r="E13" i="16"/>
  <c r="D20" i="19" l="1"/>
  <c r="D19" i="19"/>
  <c r="C19" i="19"/>
  <c r="D18" i="19"/>
  <c r="C18" i="19"/>
  <c r="D17" i="19"/>
  <c r="C17" i="19"/>
  <c r="D16" i="19"/>
  <c r="C16" i="19"/>
  <c r="D15" i="19"/>
  <c r="C15" i="19"/>
  <c r="D4" i="25"/>
  <c r="D4" i="27"/>
  <c r="I27" i="29" l="1"/>
  <c r="D23" i="29"/>
  <c r="C20" i="29"/>
  <c r="D18" i="29"/>
  <c r="G26" i="29" s="1"/>
  <c r="F17" i="29"/>
  <c r="E17" i="29"/>
  <c r="F16" i="29"/>
  <c r="E16" i="29"/>
  <c r="F15" i="29"/>
  <c r="F18" i="29" s="1"/>
  <c r="E15" i="29"/>
  <c r="E18" i="29" s="1"/>
  <c r="D12" i="29"/>
  <c r="E26" i="29" s="1"/>
  <c r="F11" i="29"/>
  <c r="E11" i="29"/>
  <c r="F10" i="29"/>
  <c r="E10" i="29"/>
  <c r="F9" i="29"/>
  <c r="F12" i="29" s="1"/>
  <c r="E9" i="29"/>
  <c r="D6" i="29"/>
  <c r="F4" i="29"/>
  <c r="F6" i="29" s="1"/>
  <c r="E12" i="29" l="1"/>
  <c r="I26" i="29"/>
  <c r="C22" i="29"/>
  <c r="E4" i="29"/>
  <c r="E6" i="29" s="1"/>
  <c r="C21" i="29" s="1"/>
  <c r="I27" i="28"/>
  <c r="E26" i="28"/>
  <c r="D23" i="28"/>
  <c r="C20" i="28"/>
  <c r="D18" i="28"/>
  <c r="G26" i="28" s="1"/>
  <c r="F17" i="28"/>
  <c r="E17" i="28"/>
  <c r="F16" i="28"/>
  <c r="E16" i="28"/>
  <c r="F15" i="28"/>
  <c r="E15" i="28"/>
  <c r="D12" i="28"/>
  <c r="F11" i="28"/>
  <c r="E11" i="28"/>
  <c r="F10" i="28"/>
  <c r="E10" i="28"/>
  <c r="F9" i="28"/>
  <c r="E9" i="28"/>
  <c r="E12" i="28" s="1"/>
  <c r="F4" i="28"/>
  <c r="F6" i="28" s="1"/>
  <c r="C23" i="29" l="1"/>
  <c r="F12" i="28"/>
  <c r="C22" i="28" s="1"/>
  <c r="E18" i="28"/>
  <c r="F18" i="28"/>
  <c r="E4" i="28"/>
  <c r="E6" i="28" s="1"/>
  <c r="C21" i="28" s="1"/>
  <c r="D6" i="28"/>
  <c r="I26" i="28" s="1"/>
  <c r="E6" i="16"/>
  <c r="F6" i="16"/>
  <c r="I27" i="27"/>
  <c r="D23" i="27"/>
  <c r="C20" i="27"/>
  <c r="D18" i="27"/>
  <c r="G26" i="27" s="1"/>
  <c r="F17" i="27"/>
  <c r="E17" i="27"/>
  <c r="F16" i="27"/>
  <c r="E16" i="27"/>
  <c r="F15" i="27"/>
  <c r="F18" i="27" s="1"/>
  <c r="E15" i="27"/>
  <c r="E18" i="27" s="1"/>
  <c r="D12" i="27"/>
  <c r="E26" i="27" s="1"/>
  <c r="F11" i="27"/>
  <c r="E11" i="27"/>
  <c r="F10" i="27"/>
  <c r="E10" i="27"/>
  <c r="F9" i="27"/>
  <c r="F12" i="27" s="1"/>
  <c r="E9" i="27"/>
  <c r="E12" i="27" s="1"/>
  <c r="D6" i="27"/>
  <c r="F5" i="27"/>
  <c r="F6" i="27" s="1"/>
  <c r="E5" i="27"/>
  <c r="F4" i="27"/>
  <c r="E4" i="27"/>
  <c r="E5" i="16"/>
  <c r="F5" i="16"/>
  <c r="I27" i="26"/>
  <c r="D23" i="26"/>
  <c r="C20" i="26"/>
  <c r="D18" i="26"/>
  <c r="G26" i="26" s="1"/>
  <c r="F17" i="26"/>
  <c r="E17" i="26"/>
  <c r="F16" i="26"/>
  <c r="E16" i="26"/>
  <c r="F15" i="26"/>
  <c r="F18" i="26" s="1"/>
  <c r="D12" i="26"/>
  <c r="E26" i="26" s="1"/>
  <c r="F11" i="26"/>
  <c r="E11" i="26"/>
  <c r="F10" i="26"/>
  <c r="E10" i="26"/>
  <c r="F9" i="26"/>
  <c r="F12" i="26" s="1"/>
  <c r="E9" i="26"/>
  <c r="E12" i="26" s="1"/>
  <c r="D6" i="26"/>
  <c r="F5" i="26"/>
  <c r="E5" i="26"/>
  <c r="F4" i="26"/>
  <c r="F6" i="26" s="1"/>
  <c r="E4" i="26"/>
  <c r="E6" i="26" s="1"/>
  <c r="I27" i="25"/>
  <c r="D23" i="25"/>
  <c r="C20" i="25"/>
  <c r="D18" i="25"/>
  <c r="G26" i="25" s="1"/>
  <c r="F17" i="25"/>
  <c r="E17" i="25"/>
  <c r="F16" i="25"/>
  <c r="E16" i="25"/>
  <c r="F15" i="25"/>
  <c r="F18" i="25" s="1"/>
  <c r="D12" i="25"/>
  <c r="E26" i="25" s="1"/>
  <c r="F11" i="25"/>
  <c r="F12" i="25" s="1"/>
  <c r="E11" i="25"/>
  <c r="F10" i="25"/>
  <c r="E10" i="25"/>
  <c r="F9" i="25"/>
  <c r="E9" i="25"/>
  <c r="D6" i="25"/>
  <c r="F5" i="25"/>
  <c r="F6" i="25" s="1"/>
  <c r="E5" i="25"/>
  <c r="F4" i="25"/>
  <c r="E4" i="25"/>
  <c r="E6" i="25" s="1"/>
  <c r="I27" i="24"/>
  <c r="D23" i="24"/>
  <c r="C20" i="24"/>
  <c r="F17" i="24"/>
  <c r="E17" i="24"/>
  <c r="F16" i="24"/>
  <c r="E16" i="24"/>
  <c r="F15" i="24"/>
  <c r="F18" i="24" s="1"/>
  <c r="E15" i="24"/>
  <c r="E18" i="24" s="1"/>
  <c r="D18" i="24"/>
  <c r="G26" i="24" s="1"/>
  <c r="D12" i="24"/>
  <c r="E26" i="24" s="1"/>
  <c r="I26" i="24" s="1"/>
  <c r="F11" i="24"/>
  <c r="E11" i="24"/>
  <c r="F10" i="24"/>
  <c r="E10" i="24"/>
  <c r="E12" i="24" s="1"/>
  <c r="F9" i="24"/>
  <c r="F12" i="24" s="1"/>
  <c r="E9" i="24"/>
  <c r="D6" i="24"/>
  <c r="F5" i="24"/>
  <c r="E5" i="24"/>
  <c r="F4" i="24"/>
  <c r="F6" i="24" s="1"/>
  <c r="E4" i="24"/>
  <c r="E6" i="24" s="1"/>
  <c r="E6" i="27" l="1"/>
  <c r="E12" i="25"/>
  <c r="C23" i="28"/>
  <c r="I26" i="26"/>
  <c r="I26" i="25"/>
  <c r="C21" i="27"/>
  <c r="C22" i="27"/>
  <c r="I26" i="27"/>
  <c r="C21" i="24"/>
  <c r="C22" i="26"/>
  <c r="E15" i="26"/>
  <c r="E18" i="26" s="1"/>
  <c r="C21" i="26" s="1"/>
  <c r="C22" i="25"/>
  <c r="E15" i="25"/>
  <c r="E18" i="25" s="1"/>
  <c r="C21" i="25" s="1"/>
  <c r="C22" i="24"/>
  <c r="D14" i="19"/>
  <c r="D12" i="21"/>
  <c r="E26" i="21" s="1"/>
  <c r="D12" i="20"/>
  <c r="E26" i="20" s="1"/>
  <c r="D12" i="18"/>
  <c r="D15" i="23"/>
  <c r="D15" i="22"/>
  <c r="C23" i="26" l="1"/>
  <c r="C23" i="24"/>
  <c r="C23" i="25"/>
  <c r="C23" i="27"/>
  <c r="I27" i="23"/>
  <c r="D23" i="23"/>
  <c r="C20" i="23"/>
  <c r="D18" i="23"/>
  <c r="G26" i="23" s="1"/>
  <c r="I26" i="23" s="1"/>
  <c r="C14" i="19" s="1"/>
  <c r="F17" i="23"/>
  <c r="E17" i="23"/>
  <c r="F16" i="23"/>
  <c r="E16" i="23"/>
  <c r="F15" i="23"/>
  <c r="E15" i="23"/>
  <c r="D12" i="23"/>
  <c r="E26" i="23" s="1"/>
  <c r="F11" i="23"/>
  <c r="E11" i="23"/>
  <c r="F10" i="23"/>
  <c r="E10" i="23"/>
  <c r="F9" i="23"/>
  <c r="E9" i="23"/>
  <c r="D6" i="23"/>
  <c r="F5" i="23"/>
  <c r="E5" i="23"/>
  <c r="F4" i="23"/>
  <c r="E4" i="23"/>
  <c r="E6" i="23" l="1"/>
  <c r="F6" i="23"/>
  <c r="F12" i="23"/>
  <c r="E18" i="23"/>
  <c r="F18" i="23"/>
  <c r="E12" i="23"/>
  <c r="C56" i="19"/>
  <c r="D12" i="19"/>
  <c r="I27" i="22"/>
  <c r="D13" i="19" s="1"/>
  <c r="D23" i="22"/>
  <c r="C20" i="22"/>
  <c r="D18" i="22"/>
  <c r="G26" i="22" s="1"/>
  <c r="F17" i="22"/>
  <c r="E17" i="22"/>
  <c r="F16" i="22"/>
  <c r="E16" i="22"/>
  <c r="F15" i="22"/>
  <c r="E15" i="22"/>
  <c r="E18" i="22" s="1"/>
  <c r="D12" i="22"/>
  <c r="E26" i="22" s="1"/>
  <c r="F11" i="22"/>
  <c r="E11" i="22"/>
  <c r="F10" i="22"/>
  <c r="E10" i="22"/>
  <c r="F9" i="22"/>
  <c r="E9" i="22"/>
  <c r="D6" i="22"/>
  <c r="F5" i="22"/>
  <c r="E5" i="22"/>
  <c r="F4" i="22"/>
  <c r="E4" i="22"/>
  <c r="E6" i="22" s="1"/>
  <c r="D23" i="21"/>
  <c r="C20" i="21"/>
  <c r="D18" i="21"/>
  <c r="G26" i="21" s="1"/>
  <c r="I26" i="21" s="1"/>
  <c r="C12" i="19" s="1"/>
  <c r="F17" i="21"/>
  <c r="E17" i="21"/>
  <c r="F16" i="21"/>
  <c r="E16" i="21"/>
  <c r="F15" i="21"/>
  <c r="F18" i="21" s="1"/>
  <c r="E15" i="21"/>
  <c r="F11" i="21"/>
  <c r="E11" i="21"/>
  <c r="F10" i="21"/>
  <c r="E10" i="21"/>
  <c r="F9" i="21"/>
  <c r="E9" i="21"/>
  <c r="D6" i="21"/>
  <c r="I27" i="21" s="1"/>
  <c r="F5" i="21"/>
  <c r="E5" i="21"/>
  <c r="F4" i="21"/>
  <c r="F6" i="21" s="1"/>
  <c r="E4" i="21"/>
  <c r="C22" i="23" l="1"/>
  <c r="C23" i="23" s="1"/>
  <c r="C21" i="23"/>
  <c r="I26" i="22"/>
  <c r="C13" i="19" s="1"/>
  <c r="F6" i="22"/>
  <c r="E12" i="22"/>
  <c r="F18" i="22"/>
  <c r="F12" i="22"/>
  <c r="C22" i="22" s="1"/>
  <c r="E6" i="21"/>
  <c r="E18" i="21"/>
  <c r="C21" i="21" s="1"/>
  <c r="F12" i="21"/>
  <c r="E12" i="21"/>
  <c r="C21" i="22"/>
  <c r="C22" i="21"/>
  <c r="C23" i="22" l="1"/>
  <c r="C23" i="21"/>
  <c r="D23" i="20" l="1"/>
  <c r="C20" i="20"/>
  <c r="D18" i="20"/>
  <c r="G26" i="20" s="1"/>
  <c r="F17" i="20"/>
  <c r="E17" i="20"/>
  <c r="F16" i="20"/>
  <c r="E16" i="20"/>
  <c r="F15" i="20"/>
  <c r="F18" i="20" s="1"/>
  <c r="E15" i="20"/>
  <c r="E18" i="20" s="1"/>
  <c r="I26" i="20"/>
  <c r="C11" i="19" s="1"/>
  <c r="F11" i="20"/>
  <c r="E11" i="20"/>
  <c r="F10" i="20"/>
  <c r="E10" i="20"/>
  <c r="F9" i="20"/>
  <c r="E9" i="20"/>
  <c r="D6" i="20"/>
  <c r="C27" i="20" s="1"/>
  <c r="I27" i="20" s="1"/>
  <c r="D11" i="19" s="1"/>
  <c r="F5" i="20"/>
  <c r="E5" i="20"/>
  <c r="F4" i="20"/>
  <c r="E4" i="20"/>
  <c r="E6" i="20" s="1"/>
  <c r="E12" i="20" l="1"/>
  <c r="F6" i="20"/>
  <c r="F12" i="20"/>
  <c r="C22" i="20" s="1"/>
  <c r="C21" i="20"/>
  <c r="D9" i="19"/>
  <c r="D6" i="19"/>
  <c r="K27" i="17"/>
  <c r="K27" i="15"/>
  <c r="D8" i="19" s="1"/>
  <c r="E26" i="18"/>
  <c r="I28" i="12"/>
  <c r="C27" i="12"/>
  <c r="D23" i="18"/>
  <c r="C20" i="18"/>
  <c r="D18" i="18"/>
  <c r="G26" i="18" s="1"/>
  <c r="F17" i="18"/>
  <c r="E17" i="18"/>
  <c r="F16" i="18"/>
  <c r="E16" i="18"/>
  <c r="F15" i="18"/>
  <c r="E15" i="18"/>
  <c r="F11" i="18"/>
  <c r="E11" i="18"/>
  <c r="F10" i="18"/>
  <c r="E10" i="18"/>
  <c r="F9" i="18"/>
  <c r="E9" i="18"/>
  <c r="E12" i="18" s="1"/>
  <c r="D6" i="18"/>
  <c r="C27" i="18" s="1"/>
  <c r="I27" i="18" s="1"/>
  <c r="D10" i="19" s="1"/>
  <c r="F5" i="18"/>
  <c r="E5" i="18"/>
  <c r="F4" i="18"/>
  <c r="E4" i="18"/>
  <c r="E6" i="18" s="1"/>
  <c r="D23" i="17"/>
  <c r="C20" i="17"/>
  <c r="D18" i="17"/>
  <c r="F17" i="17"/>
  <c r="E17" i="17"/>
  <c r="F16" i="17"/>
  <c r="E16" i="17"/>
  <c r="F15" i="17"/>
  <c r="F18" i="17" s="1"/>
  <c r="E15" i="17"/>
  <c r="E18" i="17" s="1"/>
  <c r="D12" i="17"/>
  <c r="E26" i="17" s="1"/>
  <c r="K26" i="17" s="1"/>
  <c r="C9" i="19" s="1"/>
  <c r="F11" i="17"/>
  <c r="E11" i="17"/>
  <c r="F10" i="17"/>
  <c r="E10" i="17"/>
  <c r="F9" i="17"/>
  <c r="E9" i="17"/>
  <c r="D6" i="17"/>
  <c r="F5" i="17"/>
  <c r="E5" i="17"/>
  <c r="F4" i="17"/>
  <c r="F6" i="17" s="1"/>
  <c r="E4" i="17"/>
  <c r="E12" i="17" l="1"/>
  <c r="C23" i="20"/>
  <c r="F12" i="18"/>
  <c r="F18" i="18"/>
  <c r="F6" i="18"/>
  <c r="E18" i="18"/>
  <c r="C21" i="18" s="1"/>
  <c r="E6" i="17"/>
  <c r="C21" i="17" s="1"/>
  <c r="F12" i="17"/>
  <c r="C22" i="17" s="1"/>
  <c r="I26" i="18"/>
  <c r="C10" i="19" s="1"/>
  <c r="D10" i="16"/>
  <c r="D21" i="16"/>
  <c r="F20" i="16"/>
  <c r="E20" i="16"/>
  <c r="F19" i="16"/>
  <c r="E19" i="16"/>
  <c r="F18" i="16"/>
  <c r="E18" i="16"/>
  <c r="F14" i="16"/>
  <c r="E14" i="16"/>
  <c r="C22" i="18" l="1"/>
  <c r="C23" i="18" s="1"/>
  <c r="C23" i="17"/>
  <c r="E21" i="16"/>
  <c r="F21" i="16"/>
  <c r="E4" i="16"/>
  <c r="E10" i="16" s="1"/>
  <c r="F4" i="16"/>
  <c r="F10" i="16" s="1"/>
  <c r="D23" i="15"/>
  <c r="C20" i="15"/>
  <c r="D18" i="15"/>
  <c r="F17" i="15"/>
  <c r="E17" i="15"/>
  <c r="F16" i="15"/>
  <c r="E16" i="15"/>
  <c r="F15" i="15"/>
  <c r="F18" i="15" s="1"/>
  <c r="E15" i="15"/>
  <c r="E18" i="15" s="1"/>
  <c r="D12" i="15"/>
  <c r="E26" i="15" s="1"/>
  <c r="F11" i="15"/>
  <c r="E11" i="15"/>
  <c r="F10" i="15"/>
  <c r="E10" i="15"/>
  <c r="F9" i="15"/>
  <c r="E9" i="15"/>
  <c r="E12" i="15" s="1"/>
  <c r="D6" i="15"/>
  <c r="C26" i="15" s="1"/>
  <c r="F5" i="15"/>
  <c r="E5" i="15"/>
  <c r="F4" i="15"/>
  <c r="F6" i="15" s="1"/>
  <c r="E4" i="15"/>
  <c r="K26" i="15" l="1"/>
  <c r="C8" i="19" s="1"/>
  <c r="E6" i="15"/>
  <c r="C21" i="15" s="1"/>
  <c r="F12" i="15"/>
  <c r="C22" i="15"/>
  <c r="E16" i="12"/>
  <c r="F16" i="12"/>
  <c r="E17" i="12"/>
  <c r="F17" i="12"/>
  <c r="E18" i="12"/>
  <c r="F18" i="12"/>
  <c r="F15" i="12"/>
  <c r="E15" i="12"/>
  <c r="F10" i="12"/>
  <c r="F11" i="12"/>
  <c r="E10" i="12"/>
  <c r="E11" i="12"/>
  <c r="F9" i="12"/>
  <c r="E9" i="12"/>
  <c r="D12" i="12"/>
  <c r="E27" i="12" s="1"/>
  <c r="I27" i="12" s="1"/>
  <c r="C6" i="19" s="1"/>
  <c r="E4" i="12"/>
  <c r="D24" i="12"/>
  <c r="C21" i="12"/>
  <c r="D19" i="12"/>
  <c r="D6" i="12"/>
  <c r="F5" i="12"/>
  <c r="E5" i="12"/>
  <c r="F4" i="12"/>
  <c r="C57" i="19" l="1"/>
  <c r="D58" i="19" s="1"/>
  <c r="C23" i="15"/>
  <c r="F19" i="12"/>
  <c r="E19" i="12"/>
  <c r="E12" i="12"/>
  <c r="E6" i="12"/>
  <c r="F6" i="12"/>
  <c r="F12" i="12"/>
  <c r="C22" i="12" l="1"/>
  <c r="C23" i="12"/>
  <c r="F15" i="16" l="1"/>
  <c r="E15" i="16"/>
  <c r="D15" i="16"/>
  <c r="C24" i="12"/>
</calcChain>
</file>

<file path=xl/comments1.xml><?xml version="1.0" encoding="utf-8"?>
<comments xmlns="http://schemas.openxmlformats.org/spreadsheetml/2006/main">
  <authors>
    <author>LENOVO</author>
  </authors>
  <commentList>
    <comment ref="I26" authorId="0" shapeId="0">
      <text>
        <r>
          <rPr>
            <b/>
            <sz val="9"/>
            <color indexed="81"/>
            <rFont val="Tahoma"/>
            <charset val="1"/>
          </rPr>
          <t>COMISION INMOBILIARIA 
INFORME GENERAL - RUBROS VARIABLES</t>
        </r>
      </text>
    </comment>
  </commentList>
</comments>
</file>

<file path=xl/comments2.xml><?xml version="1.0" encoding="utf-8"?>
<comments xmlns="http://schemas.openxmlformats.org/spreadsheetml/2006/main">
  <authors>
    <author>LENOVO</author>
  </authors>
  <commentList>
    <comment ref="I27" authorId="0" shapeId="0">
      <text>
        <r>
          <rPr>
            <b/>
            <sz val="9"/>
            <color indexed="81"/>
            <rFont val="Tahoma"/>
            <charset val="1"/>
          </rPr>
          <t>COMISION INMOBILIARIA 
INFORME GENERAL - RUBROS VARIABLES</t>
        </r>
      </text>
    </comment>
  </commentList>
</comments>
</file>

<file path=xl/sharedStrings.xml><?xml version="1.0" encoding="utf-8"?>
<sst xmlns="http://schemas.openxmlformats.org/spreadsheetml/2006/main" count="2141" uniqueCount="82">
  <si>
    <t>MES:</t>
  </si>
  <si>
    <t>AÑO</t>
  </si>
  <si>
    <t>ENERO</t>
  </si>
  <si>
    <t>GASTO</t>
  </si>
  <si>
    <t>DOS57                  (50%)</t>
  </si>
  <si>
    <t>OBSERVACION</t>
  </si>
  <si>
    <t>ALQUILER</t>
  </si>
  <si>
    <t>TOTAL</t>
  </si>
  <si>
    <t>GASTO POR EMPRESA</t>
  </si>
  <si>
    <t>Porcentaje</t>
  </si>
  <si>
    <t>DOS57</t>
  </si>
  <si>
    <t>TOTALES</t>
  </si>
  <si>
    <t>EPEC</t>
  </si>
  <si>
    <t xml:space="preserve">RENDICION DE GASTOS NAVE 15 </t>
  </si>
  <si>
    <t>DICIEMBRE</t>
  </si>
  <si>
    <t>RUBROS FIJOS</t>
  </si>
  <si>
    <t>RUBROS VARIABLES</t>
  </si>
  <si>
    <t>EXTRAS</t>
  </si>
  <si>
    <t>EXPENSAS</t>
  </si>
  <si>
    <t>JIMENEZ                (50%)</t>
  </si>
  <si>
    <t>IMPUESTOS DGR</t>
  </si>
  <si>
    <t>JIMENEZ</t>
  </si>
  <si>
    <t xml:space="preserve">INFORME DE GASTO NAVE 15 </t>
  </si>
  <si>
    <t>2022 al 2025</t>
  </si>
  <si>
    <t>ALQUILER - PERIODO 12/2022 al 05/2023 (INCLUSIVE)</t>
  </si>
  <si>
    <t>ALQUILER - PERIODO 06/2023 al 11/2023 (INCLUSIVE)</t>
  </si>
  <si>
    <t>ALQUILER - PERIODO 12/2023 al 05/2024 (INCLUSIVE)</t>
  </si>
  <si>
    <t>ALQUILER - PERIODO 06/2024 al 11/2024 (INCLUSIVE)</t>
  </si>
  <si>
    <t>ALQUILER - PERIODO 12/2024 al 05/2025 (INCLUSIVE)</t>
  </si>
  <si>
    <t>ALQUILER - PERIODO 06/2025 al 11/2025 (INCLUSIVE)</t>
  </si>
  <si>
    <t>COMISION INMOBILIARIA - 4% VALOR CONTRATO</t>
  </si>
  <si>
    <t>Se lleva adelante en 2 cuotas 50% Febrero 2023 y Marzo 2023</t>
  </si>
  <si>
    <t>TIMBRADO</t>
  </si>
  <si>
    <t>Se lleva adelante timbrado sobre contrato blanco</t>
  </si>
  <si>
    <t>EXTRAS DE OBRA</t>
  </si>
  <si>
    <t>MANTENIMIENTO JARDINEROS</t>
  </si>
  <si>
    <t>INTERNET - WIFI</t>
  </si>
  <si>
    <t>AREA PROTEGIDA</t>
  </si>
  <si>
    <t xml:space="preserve"> APROX MENSUAL $ 5.000</t>
  </si>
  <si>
    <t>SIN COBERTURA APROX MENSUAL $6.000</t>
  </si>
  <si>
    <t>SEPARACION 50% GALPON DURLOCK</t>
  </si>
  <si>
    <t xml:space="preserve">RAMPA ACCESO + PORTON </t>
  </si>
  <si>
    <t>FEBRERO</t>
  </si>
  <si>
    <t>DICHO COSTO ES MENSUAL</t>
  </si>
  <si>
    <t>DICHO COSTO ES MENSUAL CON 35% SEMESTRAL</t>
  </si>
  <si>
    <t>CAMARAS (12 + DVR)</t>
  </si>
  <si>
    <t>DICHO COSTO ESTA SUJETO A APROBACION DE AMBAS PARTES EN EL CASO DE APROBAR SE ABONARA CON CHEQUE 30/60/90 A PARTIR DEL 01/03/2023</t>
  </si>
  <si>
    <t>DICHA OBRA SE LLEVO ADELANTE PARA LA DIVISION INTERNA DE GALPONES, DICHA OBRA SE ABONO CON CHEQUES ABRIL/MAYO/ JUNIO 2023</t>
  </si>
  <si>
    <t>DICHA OBRA SE LLEVA ADELANTE PORQUE EL LADO DE DOS57 NO POSEIA NI RAMPA NI PORTON,DICHA OBRA SE ABONO CON CHEQUES ABRIL/MAYO/ JUNIO 2023</t>
  </si>
  <si>
    <t>SIN INSTALACION APROX MENSUAL $ 8.000, SE REQUIERE DE DICHO SERVICIO PARA FUNCIONAMIENTO DE CAMARAS</t>
  </si>
  <si>
    <t>GASTO POR EMPRESA (TEORIA)</t>
  </si>
  <si>
    <t xml:space="preserve">Alquiler </t>
  </si>
  <si>
    <t>Extras</t>
  </si>
  <si>
    <t>Total Aportes</t>
  </si>
  <si>
    <t>GASTO POR EMPRESA (PRACTICA)</t>
  </si>
  <si>
    <t>Extraordinario</t>
  </si>
  <si>
    <t>MES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</si>
  <si>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</si>
  <si>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</si>
  <si>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</si>
  <si>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</si>
  <si>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</si>
  <si>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</si>
  <si>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</si>
  <si>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</si>
  <si>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</si>
  <si>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INSTALACION DE SERVICIO + ROUTER</t>
  </si>
  <si>
    <t>ABONO MENSUAL</t>
  </si>
  <si>
    <t>EXTRA</t>
  </si>
  <si>
    <t>SEPARACION DURLOCK</t>
  </si>
  <si>
    <t>RAMPA + PORTON</t>
  </si>
  <si>
    <t>LIQUIDACION ABRIL 2023</t>
  </si>
  <si>
    <t>EN LA LIQUIDACION DE MAYO 2023</t>
  </si>
  <si>
    <t>EN LA LIQUIDACION AGOSTO 2023</t>
  </si>
  <si>
    <t xml:space="preserve">EPEC </t>
  </si>
  <si>
    <t>EN LA LIQUIDACION DEJUNIO/JULIO 2023</t>
  </si>
  <si>
    <t>CONCILIACION SOCIEDAD JIMENEZ - NAVE 15 POLO52</t>
  </si>
  <si>
    <t>Rubros Variables</t>
  </si>
  <si>
    <t>AGUAS CORDOBESAS</t>
  </si>
  <si>
    <t>IMPUESTOS MUNICIPALES</t>
  </si>
  <si>
    <t>IMPUESTOS PROVINCIALES</t>
  </si>
  <si>
    <t>RENOVACIÓN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</si>
</sst>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_-&quot;$&quot;\ * #,##0.00_-;\-&quot;$&quot;\ * #,##0.00_-;_-&quot;$&quot;\ * &quot;-&quot;??_-;_-@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BE4D5"/>
        <bgColor rgb="FFFBE4D5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C2490"/>
        <bgColor indexed="64"/>
      </patternFill>
    </fill>
  </fills>
  <borders count="7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4" fillId="0" borderId="0" applyFont="0" applyFill="0" applyBorder="0" applyAlignment="0" applyProtection="0"/>
    <xf numFmtId="44" fontId="15" fillId="0" borderId="0" applyFont="0" applyFill="0" applyBorder="0" applyAlignment="0" applyProtection="0"/>
  </cellStyleXfs>
  <cellXfs count="249">
    <xf numFmtId="0" fontId="0" fillId="0" borderId="0" xfId="0"/>
    <xf numFmtId="0" fontId="11" fillId="3" borderId="2" xfId="0" applyFont="1" applyFill="1" applyBorder="1" applyAlignment="1">
      <alignment horizontal="center" vertical="center"/>
    </xf>
    <xf numFmtId="1" fontId="11" fillId="3" borderId="4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164" fontId="12" fillId="0" borderId="0" xfId="0" applyNumberFormat="1" applyFont="1"/>
    <xf numFmtId="164" fontId="11" fillId="2" borderId="14" xfId="0" applyNumberFormat="1" applyFont="1" applyFill="1" applyBorder="1"/>
    <xf numFmtId="0" fontId="11" fillId="0" borderId="0" xfId="0" applyFont="1"/>
    <xf numFmtId="164" fontId="12" fillId="0" borderId="0" xfId="0" applyNumberFormat="1" applyFont="1" applyAlignment="1">
      <alignment horizontal="center"/>
    </xf>
    <xf numFmtId="0" fontId="12" fillId="0" borderId="0" xfId="0" applyFont="1"/>
    <xf numFmtId="164" fontId="12" fillId="0" borderId="14" xfId="0" applyNumberFormat="1" applyFont="1" applyBorder="1" applyAlignment="1">
      <alignment horizontal="center"/>
    </xf>
    <xf numFmtId="0" fontId="11" fillId="0" borderId="0" xfId="0" applyFont="1" applyAlignment="1">
      <alignment horizontal="right"/>
    </xf>
    <xf numFmtId="164" fontId="11" fillId="0" borderId="0" xfId="0" applyNumberFormat="1" applyFont="1"/>
    <xf numFmtId="9" fontId="12" fillId="0" borderId="0" xfId="0" applyNumberFormat="1" applyFont="1" applyAlignment="1">
      <alignment horizontal="center"/>
    </xf>
    <xf numFmtId="164" fontId="12" fillId="6" borderId="16" xfId="0" applyNumberFormat="1" applyFont="1" applyFill="1" applyBorder="1"/>
    <xf numFmtId="44" fontId="0" fillId="0" borderId="0" xfId="0" applyNumberFormat="1"/>
    <xf numFmtId="164" fontId="12" fillId="0" borderId="16" xfId="0" applyNumberFormat="1" applyFont="1" applyBorder="1"/>
    <xf numFmtId="164" fontId="12" fillId="6" borderId="11" xfId="0" applyNumberFormat="1" applyFont="1" applyFill="1" applyBorder="1"/>
    <xf numFmtId="164" fontId="11" fillId="2" borderId="16" xfId="0" applyNumberFormat="1" applyFont="1" applyFill="1" applyBorder="1"/>
    <xf numFmtId="164" fontId="12" fillId="0" borderId="18" xfId="0" applyNumberFormat="1" applyFont="1" applyBorder="1"/>
    <xf numFmtId="164" fontId="12" fillId="0" borderId="20" xfId="0" applyNumberFormat="1" applyFont="1" applyBorder="1"/>
    <xf numFmtId="0" fontId="11" fillId="2" borderId="19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/>
    <xf numFmtId="9" fontId="12" fillId="0" borderId="18" xfId="0" applyNumberFormat="1" applyFont="1" applyBorder="1" applyAlignment="1">
      <alignment horizontal="center"/>
    </xf>
    <xf numFmtId="17" fontId="11" fillId="2" borderId="18" xfId="0" applyNumberFormat="1" applyFont="1" applyFill="1" applyBorder="1" applyAlignment="1">
      <alignment horizontal="center"/>
    </xf>
    <xf numFmtId="164" fontId="11" fillId="5" borderId="3" xfId="0" applyNumberFormat="1" applyFont="1" applyFill="1" applyBorder="1"/>
    <xf numFmtId="9" fontId="11" fillId="0" borderId="18" xfId="0" applyNumberFormat="1" applyFont="1" applyBorder="1" applyAlignment="1">
      <alignment horizontal="center"/>
    </xf>
    <xf numFmtId="164" fontId="12" fillId="0" borderId="14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/>
    <xf numFmtId="9" fontId="12" fillId="0" borderId="20" xfId="1" applyFont="1" applyBorder="1" applyAlignment="1">
      <alignment horizontal="center"/>
    </xf>
    <xf numFmtId="164" fontId="12" fillId="0" borderId="18" xfId="0" applyNumberFormat="1" applyFont="1" applyBorder="1" applyAlignment="1">
      <alignment vertical="center"/>
    </xf>
    <xf numFmtId="164" fontId="12" fillId="0" borderId="11" xfId="0" applyNumberFormat="1" applyFont="1" applyBorder="1" applyAlignment="1">
      <alignment vertical="center"/>
    </xf>
    <xf numFmtId="16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11" fillId="3" borderId="26" xfId="0" applyFont="1" applyFill="1" applyBorder="1" applyAlignment="1">
      <alignment horizontal="center" vertical="center"/>
    </xf>
    <xf numFmtId="1" fontId="11" fillId="3" borderId="28" xfId="0" applyNumberFormat="1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/>
    </xf>
    <xf numFmtId="0" fontId="11" fillId="0" borderId="34" xfId="0" applyFont="1" applyBorder="1"/>
    <xf numFmtId="0" fontId="12" fillId="0" borderId="27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164" fontId="12" fillId="0" borderId="17" xfId="0" applyNumberFormat="1" applyFont="1" applyBorder="1" applyAlignment="1">
      <alignment horizontal="center"/>
    </xf>
    <xf numFmtId="164" fontId="12" fillId="0" borderId="17" xfId="0" applyNumberFormat="1" applyFont="1" applyBorder="1"/>
    <xf numFmtId="0" fontId="12" fillId="0" borderId="35" xfId="0" applyFont="1" applyBorder="1"/>
    <xf numFmtId="0" fontId="12" fillId="0" borderId="34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wrapText="1"/>
    </xf>
    <xf numFmtId="0" fontId="12" fillId="0" borderId="27" xfId="0" applyFont="1" applyBorder="1" applyAlignment="1">
      <alignment horizontal="center"/>
    </xf>
    <xf numFmtId="0" fontId="0" fillId="0" borderId="17" xfId="0" applyBorder="1"/>
    <xf numFmtId="0" fontId="0" fillId="0" borderId="35" xfId="0" applyBorder="1"/>
    <xf numFmtId="0" fontId="12" fillId="0" borderId="32" xfId="0" applyFont="1" applyBorder="1" applyAlignment="1">
      <alignment vertical="center" wrapText="1"/>
    </xf>
    <xf numFmtId="0" fontId="12" fillId="0" borderId="32" xfId="0" applyFont="1" applyBorder="1" applyAlignment="1">
      <alignment horizontal="left" vertical="center" wrapText="1"/>
    </xf>
    <xf numFmtId="164" fontId="11" fillId="2" borderId="41" xfId="0" applyNumberFormat="1" applyFont="1" applyFill="1" applyBorder="1"/>
    <xf numFmtId="0" fontId="11" fillId="0" borderId="42" xfId="0" applyFont="1" applyBorder="1"/>
    <xf numFmtId="0" fontId="12" fillId="0" borderId="0" xfId="0" applyFont="1" applyAlignment="1">
      <alignment horizontal="center"/>
    </xf>
    <xf numFmtId="0" fontId="0" fillId="0" borderId="0" xfId="0"/>
    <xf numFmtId="164" fontId="12" fillId="0" borderId="18" xfId="0" applyNumberFormat="1" applyFont="1" applyBorder="1" applyAlignment="1">
      <alignment horizontal="center"/>
    </xf>
    <xf numFmtId="0" fontId="11" fillId="2" borderId="18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 wrapText="1"/>
    </xf>
    <xf numFmtId="164" fontId="11" fillId="2" borderId="18" xfId="0" applyNumberFormat="1" applyFont="1" applyFill="1" applyBorder="1"/>
    <xf numFmtId="164" fontId="11" fillId="7" borderId="18" xfId="0" applyNumberFormat="1" applyFont="1" applyFill="1" applyBorder="1" applyAlignment="1">
      <alignment horizontal="center"/>
    </xf>
    <xf numFmtId="164" fontId="12" fillId="6" borderId="18" xfId="0" applyNumberFormat="1" applyFont="1" applyFill="1" applyBorder="1"/>
    <xf numFmtId="0" fontId="11" fillId="2" borderId="20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 wrapText="1"/>
    </xf>
    <xf numFmtId="0" fontId="11" fillId="3" borderId="45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1" fontId="11" fillId="3" borderId="47" xfId="0" applyNumberFormat="1" applyFont="1" applyFill="1" applyBorder="1" applyAlignment="1">
      <alignment horizontal="center" vertical="center"/>
    </xf>
    <xf numFmtId="0" fontId="12" fillId="0" borderId="17" xfId="0" applyFont="1" applyBorder="1"/>
    <xf numFmtId="164" fontId="11" fillId="2" borderId="52" xfId="0" applyNumberFormat="1" applyFont="1" applyFill="1" applyBorder="1"/>
    <xf numFmtId="164" fontId="12" fillId="0" borderId="18" xfId="0" applyNumberFormat="1" applyFont="1" applyBorder="1" applyAlignment="1">
      <alignment horizontal="center" vertical="center"/>
    </xf>
    <xf numFmtId="44" fontId="0" fillId="0" borderId="18" xfId="2" applyFont="1" applyBorder="1" applyAlignment="1">
      <alignment horizontal="center"/>
    </xf>
    <xf numFmtId="44" fontId="16" fillId="8" borderId="18" xfId="2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/>
    <xf numFmtId="0" fontId="12" fillId="0" borderId="0" xfId="0" applyFont="1" applyAlignment="1">
      <alignment horizontal="center"/>
    </xf>
    <xf numFmtId="0" fontId="0" fillId="0" borderId="0" xfId="0"/>
    <xf numFmtId="0" fontId="0" fillId="0" borderId="0" xfId="0"/>
    <xf numFmtId="17" fontId="8" fillId="9" borderId="18" xfId="0" applyNumberFormat="1" applyFont="1" applyFill="1" applyBorder="1"/>
    <xf numFmtId="44" fontId="0" fillId="9" borderId="18" xfId="2" applyFont="1" applyFill="1" applyBorder="1" applyAlignment="1">
      <alignment horizontal="center"/>
    </xf>
    <xf numFmtId="0" fontId="8" fillId="9" borderId="18" xfId="0" applyFont="1" applyFill="1" applyBorder="1"/>
    <xf numFmtId="0" fontId="8" fillId="10" borderId="18" xfId="0" applyFont="1" applyFill="1" applyBorder="1"/>
    <xf numFmtId="44" fontId="0" fillId="10" borderId="18" xfId="2" applyFont="1" applyFill="1" applyBorder="1" applyAlignment="1">
      <alignment horizontal="center"/>
    </xf>
    <xf numFmtId="44" fontId="8" fillId="10" borderId="18" xfId="2" applyFont="1" applyFill="1" applyBorder="1" applyAlignment="1">
      <alignment horizontal="center"/>
    </xf>
    <xf numFmtId="0" fontId="8" fillId="11" borderId="18" xfId="0" applyFont="1" applyFill="1" applyBorder="1"/>
    <xf numFmtId="44" fontId="0" fillId="11" borderId="18" xfId="2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/>
    <xf numFmtId="164" fontId="12" fillId="0" borderId="16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164" fontId="12" fillId="6" borderId="9" xfId="0" applyNumberFormat="1" applyFont="1" applyFill="1" applyBorder="1"/>
    <xf numFmtId="1" fontId="11" fillId="3" borderId="58" xfId="0" applyNumberFormat="1" applyFont="1" applyFill="1" applyBorder="1" applyAlignment="1">
      <alignment horizontal="center" vertical="center"/>
    </xf>
    <xf numFmtId="164" fontId="12" fillId="0" borderId="9" xfId="0" applyNumberFormat="1" applyFont="1" applyBorder="1"/>
    <xf numFmtId="164" fontId="12" fillId="0" borderId="9" xfId="0" applyNumberFormat="1" applyFont="1" applyBorder="1" applyAlignment="1">
      <alignment vertical="center"/>
    </xf>
    <xf numFmtId="0" fontId="11" fillId="0" borderId="17" xfId="0" applyFont="1" applyBorder="1"/>
    <xf numFmtId="0" fontId="11" fillId="3" borderId="59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1" fillId="2" borderId="62" xfId="0" applyFont="1" applyFill="1" applyBorder="1" applyAlignment="1">
      <alignment horizontal="center" vertical="center"/>
    </xf>
    <xf numFmtId="0" fontId="11" fillId="2" borderId="6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3" borderId="64" xfId="0" applyFont="1" applyFill="1" applyBorder="1" applyAlignment="1">
      <alignment horizontal="center" vertical="center"/>
    </xf>
    <xf numFmtId="0" fontId="11" fillId="2" borderId="68" xfId="0" applyFont="1" applyFill="1" applyBorder="1" applyAlignment="1">
      <alignment horizontal="center" vertical="center" wrapText="1"/>
    </xf>
    <xf numFmtId="44" fontId="17" fillId="0" borderId="0" xfId="0" applyNumberFormat="1" applyFont="1"/>
    <xf numFmtId="0" fontId="12" fillId="0" borderId="0" xfId="0" applyFont="1" applyAlignment="1">
      <alignment horizontal="center"/>
    </xf>
    <xf numFmtId="0" fontId="0" fillId="0" borderId="0" xfId="0"/>
    <xf numFmtId="9" fontId="0" fillId="0" borderId="0" xfId="1" applyFont="1"/>
    <xf numFmtId="2" fontId="0" fillId="0" borderId="0" xfId="0" applyNumberFormat="1"/>
    <xf numFmtId="164" fontId="12" fillId="12" borderId="14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/>
    <xf numFmtId="164" fontId="12" fillId="8" borderId="20" xfId="0" applyNumberFormat="1" applyFont="1" applyFill="1" applyBorder="1"/>
    <xf numFmtId="164" fontId="12" fillId="13" borderId="11" xfId="0" applyNumberFormat="1" applyFont="1" applyFill="1" applyBorder="1"/>
    <xf numFmtId="164" fontId="12" fillId="13" borderId="16" xfId="0" applyNumberFormat="1" applyFont="1" applyFill="1" applyBorder="1"/>
    <xf numFmtId="0" fontId="12" fillId="8" borderId="32" xfId="0" applyFont="1" applyFill="1" applyBorder="1" applyAlignment="1">
      <alignment horizontal="center"/>
    </xf>
    <xf numFmtId="164" fontId="12" fillId="0" borderId="14" xfId="0" applyNumberFormat="1" applyFont="1" applyFill="1" applyBorder="1" applyAlignment="1">
      <alignment horizontal="center"/>
    </xf>
    <xf numFmtId="164" fontId="12" fillId="0" borderId="14" xfId="0" applyNumberFormat="1" applyFont="1" applyFill="1" applyBorder="1" applyAlignment="1">
      <alignment horizontal="center" vertical="center"/>
    </xf>
    <xf numFmtId="0" fontId="0" fillId="0" borderId="0" xfId="0"/>
    <xf numFmtId="164" fontId="10" fillId="0" borderId="18" xfId="0" applyNumberFormat="1" applyFont="1" applyFill="1" applyBorder="1" applyAlignment="1">
      <alignment horizontal="center"/>
    </xf>
    <xf numFmtId="164" fontId="12" fillId="0" borderId="18" xfId="0" applyNumberFormat="1" applyFont="1" applyFill="1" applyBorder="1" applyAlignment="1">
      <alignment horizontal="center"/>
    </xf>
    <xf numFmtId="0" fontId="8" fillId="8" borderId="18" xfId="0" applyFont="1" applyFill="1" applyBorder="1"/>
    <xf numFmtId="44" fontId="0" fillId="8" borderId="18" xfId="2" applyFont="1" applyFill="1" applyBorder="1" applyAlignment="1">
      <alignment horizontal="center"/>
    </xf>
    <xf numFmtId="0" fontId="8" fillId="15" borderId="18" xfId="0" applyFont="1" applyFill="1" applyBorder="1"/>
    <xf numFmtId="44" fontId="0" fillId="15" borderId="18" xfId="2" applyFont="1" applyFill="1" applyBorder="1" applyAlignment="1">
      <alignment horizontal="center"/>
    </xf>
    <xf numFmtId="0" fontId="16" fillId="14" borderId="18" xfId="0" applyFont="1" applyFill="1" applyBorder="1" applyAlignment="1">
      <alignment horizontal="center"/>
    </xf>
    <xf numFmtId="0" fontId="0" fillId="14" borderId="18" xfId="0" applyFill="1" applyBorder="1" applyAlignment="1">
      <alignment horizontal="center"/>
    </xf>
    <xf numFmtId="0" fontId="7" fillId="14" borderId="54" xfId="0" applyFont="1" applyFill="1" applyBorder="1" applyAlignment="1">
      <alignment horizontal="center" vertical="center"/>
    </xf>
    <xf numFmtId="0" fontId="7" fillId="0" borderId="18" xfId="0" applyFont="1" applyBorder="1"/>
    <xf numFmtId="0" fontId="12" fillId="0" borderId="0" xfId="0" applyFont="1" applyAlignment="1">
      <alignment horizontal="center"/>
    </xf>
    <xf numFmtId="0" fontId="0" fillId="0" borderId="0" xfId="0"/>
    <xf numFmtId="0" fontId="12" fillId="0" borderId="0" xfId="0" applyFont="1" applyAlignment="1">
      <alignment horizontal="center"/>
    </xf>
    <xf numFmtId="0" fontId="0" fillId="0" borderId="0" xfId="0"/>
    <xf numFmtId="0" fontId="12" fillId="0" borderId="0" xfId="0" applyFont="1" applyAlignment="1">
      <alignment horizontal="center"/>
    </xf>
    <xf numFmtId="0" fontId="0" fillId="0" borderId="0" xfId="0"/>
    <xf numFmtId="0" fontId="6" fillId="15" borderId="18" xfId="0" applyFont="1" applyFill="1" applyBorder="1"/>
    <xf numFmtId="0" fontId="12" fillId="0" borderId="0" xfId="0" applyFont="1" applyAlignment="1">
      <alignment horizontal="center"/>
    </xf>
    <xf numFmtId="0" fontId="0" fillId="0" borderId="0" xfId="0"/>
    <xf numFmtId="0" fontId="5" fillId="15" borderId="18" xfId="0" applyFont="1" applyFill="1" applyBorder="1"/>
    <xf numFmtId="0" fontId="12" fillId="0" borderId="0" xfId="0" applyFont="1" applyAlignment="1">
      <alignment horizontal="center"/>
    </xf>
    <xf numFmtId="0" fontId="0" fillId="0" borderId="0" xfId="0"/>
    <xf numFmtId="44" fontId="0" fillId="17" borderId="18" xfId="2" applyFont="1" applyFill="1" applyBorder="1" applyAlignment="1">
      <alignment horizontal="center"/>
    </xf>
    <xf numFmtId="0" fontId="4" fillId="17" borderId="18" xfId="0" applyFont="1" applyFill="1" applyBorder="1"/>
    <xf numFmtId="0" fontId="0" fillId="0" borderId="0" xfId="0"/>
    <xf numFmtId="0" fontId="3" fillId="17" borderId="18" xfId="0" applyFont="1" applyFill="1" applyBorder="1"/>
    <xf numFmtId="0" fontId="12" fillId="0" borderId="0" xfId="0" applyFont="1" applyAlignment="1">
      <alignment horizontal="center"/>
    </xf>
    <xf numFmtId="0" fontId="0" fillId="0" borderId="0" xfId="0"/>
    <xf numFmtId="0" fontId="0" fillId="0" borderId="0" xfId="0"/>
    <xf numFmtId="0" fontId="12" fillId="0" borderId="0" xfId="0" applyFont="1" applyAlignment="1">
      <alignment horizontal="center"/>
    </xf>
    <xf numFmtId="0" fontId="0" fillId="0" borderId="0" xfId="0"/>
    <xf numFmtId="0" fontId="2" fillId="17" borderId="18" xfId="0" applyFont="1" applyFill="1" applyBorder="1"/>
    <xf numFmtId="0" fontId="12" fillId="0" borderId="0" xfId="0" applyFont="1" applyAlignment="1">
      <alignment horizontal="center"/>
    </xf>
    <xf numFmtId="0" fontId="0" fillId="0" borderId="0" xfId="0"/>
    <xf numFmtId="0" fontId="1" fillId="17" borderId="18" xfId="0" applyFont="1" applyFill="1" applyBorder="1"/>
    <xf numFmtId="0" fontId="4" fillId="18" borderId="18" xfId="0" applyFont="1" applyFill="1" applyBorder="1"/>
    <xf numFmtId="44" fontId="0" fillId="18" borderId="18" xfId="2" applyFont="1" applyFill="1" applyBorder="1" applyAlignment="1">
      <alignment horizontal="center"/>
    </xf>
    <xf numFmtId="0" fontId="3" fillId="18" borderId="18" xfId="0" applyFont="1" applyFill="1" applyBorder="1"/>
    <xf numFmtId="0" fontId="2" fillId="18" borderId="18" xfId="0" applyFont="1" applyFill="1" applyBorder="1"/>
    <xf numFmtId="0" fontId="1" fillId="18" borderId="18" xfId="0" applyFont="1" applyFill="1" applyBorder="1"/>
    <xf numFmtId="0" fontId="12" fillId="0" borderId="33" xfId="0" applyFont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0" fillId="0" borderId="6" xfId="0" applyFont="1" applyBorder="1"/>
    <xf numFmtId="0" fontId="12" fillId="0" borderId="31" xfId="0" applyFont="1" applyBorder="1" applyAlignment="1">
      <alignment horizontal="center"/>
    </xf>
    <xf numFmtId="0" fontId="10" fillId="0" borderId="10" xfId="0" applyFont="1" applyBorder="1"/>
    <xf numFmtId="0" fontId="12" fillId="8" borderId="31" xfId="0" applyFont="1" applyFill="1" applyBorder="1" applyAlignment="1">
      <alignment horizontal="center"/>
    </xf>
    <xf numFmtId="0" fontId="10" fillId="8" borderId="10" xfId="0" applyFont="1" applyFill="1" applyBorder="1"/>
    <xf numFmtId="0" fontId="11" fillId="0" borderId="33" xfId="0" applyFont="1" applyBorder="1" applyAlignment="1">
      <alignment horizontal="right"/>
    </xf>
    <xf numFmtId="0" fontId="11" fillId="0" borderId="15" xfId="0" applyFont="1" applyBorder="1" applyAlignment="1">
      <alignment horizontal="right"/>
    </xf>
    <xf numFmtId="0" fontId="11" fillId="0" borderId="13" xfId="0" applyFont="1" applyBorder="1" applyAlignment="1">
      <alignment horizontal="right"/>
    </xf>
    <xf numFmtId="0" fontId="10" fillId="0" borderId="8" xfId="0" applyFont="1" applyBorder="1"/>
    <xf numFmtId="0" fontId="12" fillId="0" borderId="37" xfId="0" applyFont="1" applyBorder="1" applyAlignment="1">
      <alignment horizontal="center" vertical="center"/>
    </xf>
    <xf numFmtId="0" fontId="10" fillId="0" borderId="18" xfId="0" applyFont="1" applyBorder="1" applyAlignment="1">
      <alignment vertical="center"/>
    </xf>
    <xf numFmtId="0" fontId="11" fillId="0" borderId="38" xfId="0" applyFont="1" applyBorder="1" applyAlignment="1">
      <alignment horizontal="right"/>
    </xf>
    <xf numFmtId="0" fontId="10" fillId="0" borderId="39" xfId="0" applyFont="1" applyBorder="1"/>
    <xf numFmtId="0" fontId="10" fillId="0" borderId="40" xfId="0" applyFont="1" applyBorder="1"/>
    <xf numFmtId="0" fontId="10" fillId="0" borderId="15" xfId="0" applyFont="1" applyBorder="1"/>
    <xf numFmtId="0" fontId="10" fillId="0" borderId="13" xfId="0" applyFont="1" applyBorder="1"/>
    <xf numFmtId="0" fontId="12" fillId="0" borderId="27" xfId="0" applyFont="1" applyBorder="1" applyAlignment="1">
      <alignment horizontal="center"/>
    </xf>
    <xf numFmtId="0" fontId="0" fillId="0" borderId="17" xfId="0" applyBorder="1"/>
    <xf numFmtId="0" fontId="11" fillId="2" borderId="36" xfId="0" applyFont="1" applyFill="1" applyBorder="1" applyAlignment="1">
      <alignment horizontal="center" vertical="center"/>
    </xf>
    <xf numFmtId="0" fontId="10" fillId="0" borderId="1" xfId="0" applyFont="1" applyBorder="1"/>
    <xf numFmtId="0" fontId="11" fillId="2" borderId="20" xfId="0" applyFont="1" applyFill="1" applyBorder="1" applyAlignment="1">
      <alignment horizontal="center" vertical="center" wrapText="1"/>
    </xf>
    <xf numFmtId="0" fontId="11" fillId="2" borderId="49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9" fillId="2" borderId="43" xfId="0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 wrapText="1"/>
    </xf>
    <xf numFmtId="0" fontId="11" fillId="2" borderId="50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/>
    </xf>
    <xf numFmtId="0" fontId="12" fillId="0" borderId="18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0" fillId="0" borderId="18" xfId="0" applyFont="1" applyBorder="1"/>
    <xf numFmtId="0" fontId="11" fillId="4" borderId="12" xfId="0" applyFont="1" applyFill="1" applyBorder="1" applyAlignment="1">
      <alignment horizontal="right" vertical="center"/>
    </xf>
    <xf numFmtId="0" fontId="11" fillId="0" borderId="37" xfId="0" applyFont="1" applyBorder="1" applyAlignment="1">
      <alignment horizontal="right"/>
    </xf>
    <xf numFmtId="0" fontId="11" fillId="2" borderId="48" xfId="0" applyFont="1" applyFill="1" applyBorder="1" applyAlignment="1">
      <alignment horizontal="center" vertical="center"/>
    </xf>
    <xf numFmtId="0" fontId="10" fillId="0" borderId="20" xfId="0" applyFont="1" applyBorder="1"/>
    <xf numFmtId="0" fontId="11" fillId="2" borderId="37" xfId="0" applyFont="1" applyFill="1" applyBorder="1" applyAlignment="1">
      <alignment horizontal="center" vertical="center"/>
    </xf>
    <xf numFmtId="0" fontId="11" fillId="0" borderId="51" xfId="0" applyFont="1" applyBorder="1" applyAlignment="1">
      <alignment horizontal="right"/>
    </xf>
    <xf numFmtId="0" fontId="10" fillId="0" borderId="52" xfId="0" applyFont="1" applyBorder="1"/>
    <xf numFmtId="0" fontId="12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right"/>
    </xf>
    <xf numFmtId="0" fontId="12" fillId="0" borderId="57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/>
    <xf numFmtId="0" fontId="11" fillId="2" borderId="5" xfId="0" applyFont="1" applyFill="1" applyBorder="1" applyAlignment="1">
      <alignment horizontal="center" vertical="center"/>
    </xf>
    <xf numFmtId="0" fontId="11" fillId="2" borderId="65" xfId="0" applyFont="1" applyFill="1" applyBorder="1" applyAlignment="1">
      <alignment horizontal="center" vertical="center" wrapText="1"/>
    </xf>
    <xf numFmtId="0" fontId="11" fillId="2" borderId="66" xfId="0" applyFont="1" applyFill="1" applyBorder="1" applyAlignment="1">
      <alignment horizontal="center" vertical="center" wrapText="1"/>
    </xf>
    <xf numFmtId="0" fontId="11" fillId="2" borderId="67" xfId="0" applyFont="1" applyFill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9" fillId="2" borderId="35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0" fillId="0" borderId="61" xfId="0" applyFont="1" applyBorder="1"/>
    <xf numFmtId="0" fontId="11" fillId="2" borderId="69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wrapText="1"/>
    </xf>
    <xf numFmtId="0" fontId="12" fillId="0" borderId="18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0" fillId="14" borderId="18" xfId="0" applyFill="1" applyBorder="1" applyAlignment="1">
      <alignment horizontal="center" vertical="center"/>
    </xf>
    <xf numFmtId="0" fontId="16" fillId="8" borderId="54" xfId="0" applyFont="1" applyFill="1" applyBorder="1" applyAlignment="1">
      <alignment horizontal="right"/>
    </xf>
    <xf numFmtId="0" fontId="16" fillId="8" borderId="55" xfId="0" applyFont="1" applyFill="1" applyBorder="1" applyAlignment="1">
      <alignment horizontal="right"/>
    </xf>
    <xf numFmtId="0" fontId="16" fillId="16" borderId="54" xfId="0" applyFont="1" applyFill="1" applyBorder="1" applyAlignment="1">
      <alignment horizontal="center" vertical="center"/>
    </xf>
    <xf numFmtId="0" fontId="16" fillId="16" borderId="56" xfId="0" applyFont="1" applyFill="1" applyBorder="1" applyAlignment="1">
      <alignment horizontal="center" vertical="center"/>
    </xf>
    <xf numFmtId="0" fontId="16" fillId="16" borderId="55" xfId="0" applyFont="1" applyFill="1" applyBorder="1" applyAlignment="1">
      <alignment horizontal="center" vertical="center"/>
    </xf>
    <xf numFmtId="0" fontId="0" fillId="14" borderId="70" xfId="0" applyFill="1" applyBorder="1" applyAlignment="1">
      <alignment horizontal="center" vertical="center"/>
    </xf>
    <xf numFmtId="0" fontId="0" fillId="14" borderId="71" xfId="0" applyFill="1" applyBorder="1" applyAlignment="1">
      <alignment horizontal="center" vertical="center"/>
    </xf>
    <xf numFmtId="0" fontId="0" fillId="14" borderId="20" xfId="0" applyFill="1" applyBorder="1" applyAlignment="1">
      <alignment horizontal="center" vertical="center"/>
    </xf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C24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customschemas.google.com/relationships/workbookmetadata" Target="metadata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esktop/MAYRA%202024/MAYRA%20-%20DOS57/CUENTAS%20CLIENTES%20Y%20PROVEEDORES/Planilla%20Nave%2015%20-%20Polo%20Sociedad%20Jimenez%2014-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E GENERAL (BIS)"/>
      <sheetName val="INFORME GENERAL"/>
      <sheetName val="DICIEMBRE 2022"/>
      <sheetName val="ENERO 2023"/>
      <sheetName val="FEBRERO 2023"/>
      <sheetName val="MARZO 2023"/>
      <sheetName val="ABRIL 2023"/>
      <sheetName val="MAYO 2023"/>
      <sheetName val="JUNIO 2023"/>
      <sheetName val="JULIO 2023 "/>
      <sheetName val="AGOSTO 2023"/>
      <sheetName val="SEPTIEMBRE 2023 "/>
      <sheetName val="OCTUBRE 2023"/>
      <sheetName val="NOVIEMBRE 2023"/>
      <sheetName val="DICIEMBRE 2023"/>
      <sheetName val="ENERO 2024"/>
      <sheetName val="FEBRERO 2024"/>
      <sheetName val="CONCILIACION"/>
    </sheetNames>
    <sheetDataSet>
      <sheetData sheetId="0" refreshError="1"/>
      <sheetData sheetId="1">
        <row r="13">
          <cell r="D13">
            <v>1958148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98"/>
  <sheetViews>
    <sheetView workbookViewId="0">
      <selection activeCell="I8" sqref="I8"/>
    </sheetView>
  </sheetViews>
  <sheetFormatPr baseColWidth="10" defaultColWidth="14.44140625" defaultRowHeight="14.4" x14ac:dyDescent="0.3"/>
  <cols>
    <col min="1" max="1" width="21.6640625" style="24" customWidth="1"/>
    <col min="2" max="6" width="15.6640625" style="24" customWidth="1"/>
    <col min="7" max="7" width="64.5546875" style="24" bestFit="1" customWidth="1"/>
    <col min="8" max="8" width="12" style="24" customWidth="1"/>
    <col min="9" max="10" width="20.6640625" style="24" customWidth="1"/>
    <col min="11" max="25" width="10" style="24" customWidth="1"/>
    <col min="26" max="16384" width="14.44140625" style="24"/>
  </cols>
  <sheetData>
    <row r="1" spans="1:25" ht="15" customHeight="1" x14ac:dyDescent="0.3">
      <c r="A1" s="166" t="s">
        <v>22</v>
      </c>
      <c r="B1" s="167"/>
      <c r="C1" s="167"/>
      <c r="D1" s="167"/>
      <c r="E1" s="167"/>
      <c r="F1" s="168"/>
      <c r="G1" s="39" t="s">
        <v>1</v>
      </c>
    </row>
    <row r="2" spans="1:25" ht="15.75" customHeight="1" thickBot="1" x14ac:dyDescent="0.35">
      <c r="A2" s="169"/>
      <c r="B2" s="170"/>
      <c r="C2" s="170"/>
      <c r="D2" s="170"/>
      <c r="E2" s="170"/>
      <c r="F2" s="171"/>
      <c r="G2" s="40" t="s">
        <v>23</v>
      </c>
    </row>
    <row r="3" spans="1:25" ht="30" customHeight="1" thickBot="1" x14ac:dyDescent="0.35">
      <c r="A3" s="172" t="s">
        <v>15</v>
      </c>
      <c r="B3" s="173"/>
      <c r="C3" s="173"/>
      <c r="D3" s="22" t="s">
        <v>3</v>
      </c>
      <c r="E3" s="5" t="s">
        <v>4</v>
      </c>
      <c r="F3" s="4" t="s">
        <v>19</v>
      </c>
      <c r="G3" s="41" t="s">
        <v>5</v>
      </c>
    </row>
    <row r="4" spans="1:25" ht="19.5" customHeight="1" x14ac:dyDescent="0.3">
      <c r="A4" s="174" t="s">
        <v>24</v>
      </c>
      <c r="B4" s="175"/>
      <c r="C4" s="175"/>
      <c r="D4" s="21">
        <v>565000</v>
      </c>
      <c r="E4" s="18">
        <f>D4*50%</f>
        <v>282500</v>
      </c>
      <c r="F4" s="15">
        <f t="shared" ref="F4" si="0">+D4*50%</f>
        <v>282500</v>
      </c>
      <c r="G4" s="42" t="s">
        <v>43</v>
      </c>
      <c r="H4" s="6"/>
      <c r="I4" s="6"/>
    </row>
    <row r="5" spans="1:25" ht="19.5" customHeight="1" x14ac:dyDescent="0.3">
      <c r="A5" s="174" t="s">
        <v>25</v>
      </c>
      <c r="B5" s="175"/>
      <c r="C5" s="175"/>
      <c r="D5" s="21">
        <v>762750</v>
      </c>
      <c r="E5" s="18">
        <f>D5*50%</f>
        <v>381375</v>
      </c>
      <c r="F5" s="15">
        <f t="shared" ref="F5" si="1">+D5*50%</f>
        <v>381375</v>
      </c>
      <c r="G5" s="42" t="s">
        <v>43</v>
      </c>
      <c r="H5" s="6"/>
      <c r="I5" s="6"/>
    </row>
    <row r="6" spans="1:25" ht="19.5" customHeight="1" x14ac:dyDescent="0.3">
      <c r="A6" s="176" t="s">
        <v>26</v>
      </c>
      <c r="B6" s="177"/>
      <c r="C6" s="177"/>
      <c r="D6" s="116">
        <f>+D5*35%+D5</f>
        <v>1029712.5</v>
      </c>
      <c r="E6" s="117">
        <f>D6*50%</f>
        <v>514856.25</v>
      </c>
      <c r="F6" s="118">
        <f t="shared" ref="F6" si="2">+D6*50%</f>
        <v>514856.25</v>
      </c>
      <c r="G6" s="119" t="s">
        <v>44</v>
      </c>
      <c r="H6" s="6"/>
      <c r="I6" s="6"/>
    </row>
    <row r="7" spans="1:25" ht="19.5" customHeight="1" x14ac:dyDescent="0.3">
      <c r="A7" s="174" t="s">
        <v>27</v>
      </c>
      <c r="B7" s="175"/>
      <c r="C7" s="175"/>
      <c r="D7" s="34">
        <v>0.35</v>
      </c>
      <c r="E7" s="18"/>
      <c r="F7" s="15"/>
      <c r="G7" s="42" t="s">
        <v>44</v>
      </c>
      <c r="H7" s="6"/>
      <c r="I7" s="6"/>
    </row>
    <row r="8" spans="1:25" ht="19.5" customHeight="1" x14ac:dyDescent="0.3">
      <c r="A8" s="174" t="s">
        <v>28</v>
      </c>
      <c r="B8" s="175"/>
      <c r="C8" s="175"/>
      <c r="D8" s="34">
        <v>0.35</v>
      </c>
      <c r="E8" s="18"/>
      <c r="F8" s="15"/>
      <c r="G8" s="42" t="s">
        <v>44</v>
      </c>
      <c r="H8" s="6"/>
      <c r="I8" s="6"/>
    </row>
    <row r="9" spans="1:25" ht="18" customHeight="1" x14ac:dyDescent="0.3">
      <c r="A9" s="174" t="s">
        <v>29</v>
      </c>
      <c r="B9" s="175"/>
      <c r="C9" s="175"/>
      <c r="D9" s="34">
        <v>0.35</v>
      </c>
      <c r="E9" s="18"/>
      <c r="F9" s="15"/>
      <c r="G9" s="42" t="s">
        <v>44</v>
      </c>
      <c r="H9" s="6"/>
      <c r="I9" s="6"/>
    </row>
    <row r="10" spans="1:25" x14ac:dyDescent="0.3">
      <c r="A10" s="178" t="s">
        <v>7</v>
      </c>
      <c r="B10" s="179"/>
      <c r="C10" s="180"/>
      <c r="D10" s="19">
        <f>SUM(D4:D9)</f>
        <v>2357463.5500000003</v>
      </c>
      <c r="E10" s="7">
        <f>SUM(E4:E9)</f>
        <v>1178731.25</v>
      </c>
      <c r="F10" s="7">
        <f>SUM(F4:F9)</f>
        <v>1178731.25</v>
      </c>
      <c r="G10" s="43"/>
      <c r="H10" s="6"/>
      <c r="I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6.75" customHeight="1" thickBot="1" x14ac:dyDescent="0.35">
      <c r="A11" s="44"/>
      <c r="B11" s="45"/>
      <c r="C11" s="45"/>
      <c r="D11" s="46"/>
      <c r="E11" s="47"/>
      <c r="F11" s="47"/>
      <c r="G11" s="48"/>
      <c r="H11" s="6"/>
      <c r="I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ht="30.75" customHeight="1" thickBot="1" x14ac:dyDescent="0.35">
      <c r="A12" s="172" t="s">
        <v>16</v>
      </c>
      <c r="B12" s="173"/>
      <c r="C12" s="181"/>
      <c r="D12" s="3" t="s">
        <v>3</v>
      </c>
      <c r="E12" s="5" t="s">
        <v>4</v>
      </c>
      <c r="F12" s="4" t="s">
        <v>19</v>
      </c>
      <c r="G12" s="41" t="s">
        <v>5</v>
      </c>
      <c r="H12" s="6"/>
    </row>
    <row r="13" spans="1:25" x14ac:dyDescent="0.3">
      <c r="A13" s="163" t="s">
        <v>30</v>
      </c>
      <c r="B13" s="164"/>
      <c r="C13" s="165"/>
      <c r="D13" s="29">
        <f>+'[1]INFORME GENERAL'!D13</f>
        <v>1958148</v>
      </c>
      <c r="E13" s="30">
        <f>+D13*50%</f>
        <v>979074</v>
      </c>
      <c r="F13" s="30">
        <f>+D13*50%</f>
        <v>979074</v>
      </c>
      <c r="G13" s="49" t="s">
        <v>31</v>
      </c>
      <c r="H13" s="6"/>
    </row>
    <row r="14" spans="1:25" x14ac:dyDescent="0.3">
      <c r="A14" s="163" t="s">
        <v>32</v>
      </c>
      <c r="B14" s="164"/>
      <c r="C14" s="165"/>
      <c r="D14" s="29">
        <v>108240</v>
      </c>
      <c r="E14" s="30">
        <f>+D14*50%</f>
        <v>54120</v>
      </c>
      <c r="F14" s="30">
        <f>+D14*50%</f>
        <v>54120</v>
      </c>
      <c r="G14" s="50" t="s">
        <v>33</v>
      </c>
      <c r="H14" s="6"/>
      <c r="I14" s="16"/>
    </row>
    <row r="15" spans="1:25" x14ac:dyDescent="0.3">
      <c r="A15" s="178" t="s">
        <v>7</v>
      </c>
      <c r="B15" s="187"/>
      <c r="C15" s="188"/>
      <c r="D15" s="7">
        <f>SUM(D13:D14)</f>
        <v>2066388</v>
      </c>
      <c r="E15" s="7">
        <f>SUM(E13:E14)</f>
        <v>1033194</v>
      </c>
      <c r="F15" s="7">
        <f>SUM(F13:F14)</f>
        <v>1033194</v>
      </c>
      <c r="G15" s="43"/>
      <c r="H15" s="6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ht="6.75" customHeight="1" thickBot="1" x14ac:dyDescent="0.35">
      <c r="A16" s="189"/>
      <c r="B16" s="190"/>
      <c r="C16" s="190"/>
      <c r="D16" s="45"/>
      <c r="E16" s="52"/>
      <c r="F16" s="52"/>
      <c r="G16" s="53"/>
      <c r="H16" s="6"/>
    </row>
    <row r="17" spans="1:25" ht="30.75" customHeight="1" thickBot="1" x14ac:dyDescent="0.35">
      <c r="A17" s="191" t="s">
        <v>34</v>
      </c>
      <c r="B17" s="192"/>
      <c r="C17" s="192"/>
      <c r="D17" s="31" t="s">
        <v>3</v>
      </c>
      <c r="E17" s="5" t="s">
        <v>4</v>
      </c>
      <c r="F17" s="4" t="s">
        <v>19</v>
      </c>
      <c r="G17" s="41" t="s">
        <v>5</v>
      </c>
      <c r="H17" s="6"/>
    </row>
    <row r="18" spans="1:25" s="38" customFormat="1" ht="34.799999999999997" customHeight="1" x14ac:dyDescent="0.3">
      <c r="A18" s="182" t="s">
        <v>45</v>
      </c>
      <c r="B18" s="183"/>
      <c r="C18" s="183"/>
      <c r="D18" s="35">
        <v>450000</v>
      </c>
      <c r="E18" s="36">
        <f>+D18*50%</f>
        <v>225000</v>
      </c>
      <c r="F18" s="30">
        <f>+D18*50%</f>
        <v>225000</v>
      </c>
      <c r="G18" s="54" t="s">
        <v>46</v>
      </c>
      <c r="H18" s="37"/>
    </row>
    <row r="19" spans="1:25" s="38" customFormat="1" ht="32.4" customHeight="1" x14ac:dyDescent="0.3">
      <c r="A19" s="182" t="s">
        <v>40</v>
      </c>
      <c r="B19" s="183"/>
      <c r="C19" s="183"/>
      <c r="D19" s="35">
        <v>472300</v>
      </c>
      <c r="E19" s="36">
        <f t="shared" ref="E19:E20" si="3">+D19*50%</f>
        <v>236150</v>
      </c>
      <c r="F19" s="30">
        <f t="shared" ref="F19:F20" si="4">+D19*50%</f>
        <v>236150</v>
      </c>
      <c r="G19" s="54" t="s">
        <v>47</v>
      </c>
      <c r="H19" s="37"/>
    </row>
    <row r="20" spans="1:25" s="38" customFormat="1" ht="43.2" x14ac:dyDescent="0.3">
      <c r="A20" s="182" t="s">
        <v>41</v>
      </c>
      <c r="B20" s="183"/>
      <c r="C20" s="183"/>
      <c r="D20" s="35">
        <v>521620</v>
      </c>
      <c r="E20" s="36">
        <f t="shared" si="3"/>
        <v>260810</v>
      </c>
      <c r="F20" s="30">
        <f t="shared" si="4"/>
        <v>260810</v>
      </c>
      <c r="G20" s="55" t="s">
        <v>48</v>
      </c>
      <c r="H20" s="37"/>
    </row>
    <row r="21" spans="1:25" ht="15" thickBot="1" x14ac:dyDescent="0.35">
      <c r="A21" s="184" t="s">
        <v>7</v>
      </c>
      <c r="B21" s="185"/>
      <c r="C21" s="186"/>
      <c r="D21" s="56">
        <f>SUM(D18:D20)</f>
        <v>1443920</v>
      </c>
      <c r="E21" s="56">
        <f>SUM(E18:E20)</f>
        <v>721960</v>
      </c>
      <c r="F21" s="56">
        <f>SUM(F18:F20)</f>
        <v>721960</v>
      </c>
      <c r="G21" s="57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ht="6.75" customHeight="1" x14ac:dyDescent="0.3">
      <c r="A22" s="12"/>
      <c r="B22" s="12"/>
      <c r="C22" s="12"/>
      <c r="D22" s="13"/>
      <c r="E22" s="13"/>
      <c r="F22" s="13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ht="15.75" customHeight="1" x14ac:dyDescent="0.3">
      <c r="C23" s="6"/>
      <c r="D23" s="6"/>
    </row>
    <row r="24" spans="1:25" ht="19.5" customHeight="1" x14ac:dyDescent="0.3"/>
    <row r="25" spans="1:25" ht="19.5" customHeight="1" x14ac:dyDescent="0.3">
      <c r="C25" s="6"/>
    </row>
    <row r="26" spans="1:25" ht="19.5" customHeight="1" x14ac:dyDescent="0.3">
      <c r="C26" s="6"/>
    </row>
    <row r="27" spans="1:25" ht="19.5" customHeight="1" x14ac:dyDescent="0.3">
      <c r="C27" s="6"/>
      <c r="H27" s="6"/>
    </row>
    <row r="28" spans="1:25" ht="19.5" customHeight="1" x14ac:dyDescent="0.3"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G31" s="6"/>
      <c r="H31" s="6"/>
    </row>
    <row r="32" spans="1:25" ht="19.5" customHeight="1" x14ac:dyDescent="0.3">
      <c r="G32" s="6"/>
      <c r="H32" s="6"/>
    </row>
    <row r="33" spans="7:8" ht="19.5" customHeight="1" x14ac:dyDescent="0.3">
      <c r="H33" s="6"/>
    </row>
    <row r="34" spans="7:8" ht="24.75" customHeight="1" x14ac:dyDescent="0.3">
      <c r="G34" s="6"/>
    </row>
    <row r="35" spans="7:8" ht="24.75" customHeight="1" x14ac:dyDescent="0.3">
      <c r="G35" s="6"/>
    </row>
    <row r="36" spans="7:8" ht="19.5" customHeight="1" x14ac:dyDescent="0.3">
      <c r="G36" s="6"/>
    </row>
    <row r="37" spans="7:8" ht="18" customHeight="1" x14ac:dyDescent="0.3"/>
    <row r="38" spans="7:8" ht="19.5" customHeight="1" x14ac:dyDescent="0.3">
      <c r="G38" s="6"/>
    </row>
    <row r="39" spans="7:8" ht="18" customHeight="1" x14ac:dyDescent="0.3"/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>
      <c r="H43" s="6"/>
    </row>
    <row r="44" spans="7:8" ht="18" customHeight="1" x14ac:dyDescent="0.3"/>
    <row r="45" spans="7:8" ht="18" customHeight="1" x14ac:dyDescent="0.3">
      <c r="G45" s="6"/>
    </row>
    <row r="46" spans="7:8" ht="18" customHeight="1" x14ac:dyDescent="0.3"/>
    <row r="47" spans="7:8" ht="18" customHeight="1" x14ac:dyDescent="0.3"/>
    <row r="48" spans="7:8" ht="18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19">
    <mergeCell ref="A20:C20"/>
    <mergeCell ref="A21:C21"/>
    <mergeCell ref="A15:C15"/>
    <mergeCell ref="A16:C16"/>
    <mergeCell ref="A17:C17"/>
    <mergeCell ref="A18:C18"/>
    <mergeCell ref="A19:C19"/>
    <mergeCell ref="A14:C14"/>
    <mergeCell ref="A1:F2"/>
    <mergeCell ref="A3:C3"/>
    <mergeCell ref="A4:C4"/>
    <mergeCell ref="A5:C5"/>
    <mergeCell ref="A6:C6"/>
    <mergeCell ref="A7:C7"/>
    <mergeCell ref="A8:C8"/>
    <mergeCell ref="A9:C9"/>
    <mergeCell ref="A10:C10"/>
    <mergeCell ref="A12:C12"/>
    <mergeCell ref="A13:C13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Y999"/>
  <sheetViews>
    <sheetView topLeftCell="A6" zoomScale="90" zoomScaleNormal="90" workbookViewId="0">
      <selection sqref="A1:I28"/>
    </sheetView>
  </sheetViews>
  <sheetFormatPr baseColWidth="10" defaultColWidth="14.44140625" defaultRowHeight="14.4" x14ac:dyDescent="0.3"/>
  <cols>
    <col min="1" max="1" width="21.6640625" customWidth="1"/>
    <col min="2" max="2" width="15.6640625" customWidth="1"/>
    <col min="3" max="13" width="15.77734375" customWidth="1"/>
    <col min="14" max="25" width="10" customWidth="1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68" t="s">
        <v>0</v>
      </c>
      <c r="I1" s="39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69" t="s">
        <v>14</v>
      </c>
      <c r="I2" s="70">
        <v>2022</v>
      </c>
    </row>
    <row r="3" spans="1:25" ht="30" customHeight="1" x14ac:dyDescent="0.3">
      <c r="A3" s="213" t="s">
        <v>15</v>
      </c>
      <c r="B3" s="214"/>
      <c r="C3" s="214"/>
      <c r="D3" s="66" t="s">
        <v>3</v>
      </c>
      <c r="E3" s="67" t="s">
        <v>4</v>
      </c>
      <c r="F3" s="67" t="s">
        <v>19</v>
      </c>
      <c r="G3" s="193" t="s">
        <v>5</v>
      </c>
      <c r="H3" s="193"/>
      <c r="I3" s="194"/>
    </row>
    <row r="4" spans="1:25" ht="19.5" customHeight="1" x14ac:dyDescent="0.3">
      <c r="A4" s="209" t="s">
        <v>6</v>
      </c>
      <c r="B4" s="210"/>
      <c r="C4" s="210"/>
      <c r="D4" s="20">
        <v>565000</v>
      </c>
      <c r="E4" s="65">
        <f>D4*50%</f>
        <v>282500</v>
      </c>
      <c r="F4" s="65">
        <f t="shared" ref="F4:F5" si="0">+D4*50%</f>
        <v>282500</v>
      </c>
      <c r="G4" s="195"/>
      <c r="H4" s="195"/>
      <c r="I4" s="196"/>
    </row>
    <row r="5" spans="1:25" ht="19.5" customHeight="1" x14ac:dyDescent="0.3">
      <c r="A5" s="209"/>
      <c r="B5" s="210"/>
      <c r="C5" s="210"/>
      <c r="D5" s="20"/>
      <c r="E5" s="65">
        <f t="shared" ref="E5" si="1">D5*25%</f>
        <v>0</v>
      </c>
      <c r="F5" s="65">
        <f t="shared" si="0"/>
        <v>0</v>
      </c>
      <c r="G5" s="195"/>
      <c r="H5" s="195"/>
      <c r="I5" s="196"/>
    </row>
    <row r="6" spans="1:25" x14ac:dyDescent="0.3">
      <c r="A6" s="212" t="s">
        <v>7</v>
      </c>
      <c r="B6" s="210"/>
      <c r="C6" s="210"/>
      <c r="D6" s="63">
        <f>SUM(D4:D5)</f>
        <v>565000</v>
      </c>
      <c r="E6" s="63">
        <f>SUM(E4:E5)</f>
        <v>282500</v>
      </c>
      <c r="F6" s="63">
        <f>SUM(F4:F5)</f>
        <v>282500</v>
      </c>
      <c r="G6" s="195"/>
      <c r="H6" s="195"/>
      <c r="I6" s="196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x14ac:dyDescent="0.3">
      <c r="A7" s="51"/>
      <c r="B7" s="45"/>
      <c r="C7" s="45"/>
      <c r="D7" s="46"/>
      <c r="E7" s="47"/>
      <c r="F7" s="47"/>
      <c r="G7" s="71"/>
      <c r="H7" s="47"/>
      <c r="I7" s="48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x14ac:dyDescent="0.3">
      <c r="A8" s="215" t="s">
        <v>16</v>
      </c>
      <c r="B8" s="210"/>
      <c r="C8" s="210"/>
      <c r="D8" s="61" t="s">
        <v>3</v>
      </c>
      <c r="E8" s="62" t="s">
        <v>4</v>
      </c>
      <c r="F8" s="62" t="s">
        <v>19</v>
      </c>
      <c r="G8" s="201" t="s">
        <v>5</v>
      </c>
      <c r="H8" s="201"/>
      <c r="I8" s="202"/>
    </row>
    <row r="9" spans="1:25" ht="19.5" customHeight="1" x14ac:dyDescent="0.3">
      <c r="A9" s="209" t="s">
        <v>18</v>
      </c>
      <c r="B9" s="210"/>
      <c r="C9" s="210"/>
      <c r="D9" s="123">
        <v>73929</v>
      </c>
      <c r="E9" s="20">
        <f>+D9*50%</f>
        <v>36964.5</v>
      </c>
      <c r="F9" s="20">
        <f>+D9*50%</f>
        <v>36964.5</v>
      </c>
      <c r="G9" s="195"/>
      <c r="H9" s="195"/>
      <c r="I9" s="196"/>
    </row>
    <row r="10" spans="1:25" ht="19.5" customHeight="1" x14ac:dyDescent="0.3">
      <c r="A10" s="209" t="s">
        <v>20</v>
      </c>
      <c r="B10" s="210"/>
      <c r="C10" s="210"/>
      <c r="D10" s="124">
        <v>234</v>
      </c>
      <c r="E10" s="20">
        <f t="shared" ref="E10:E11" si="2">+D10*50%</f>
        <v>117</v>
      </c>
      <c r="F10" s="20">
        <f t="shared" ref="F10:F11" si="3">+D10*50%</f>
        <v>117</v>
      </c>
      <c r="G10" s="195"/>
      <c r="H10" s="195"/>
      <c r="I10" s="196"/>
    </row>
    <row r="11" spans="1:25" ht="19.5" customHeight="1" x14ac:dyDescent="0.3">
      <c r="A11" s="209" t="s">
        <v>12</v>
      </c>
      <c r="B11" s="210"/>
      <c r="C11" s="210"/>
      <c r="D11" s="124">
        <v>0</v>
      </c>
      <c r="E11" s="20">
        <f t="shared" si="2"/>
        <v>0</v>
      </c>
      <c r="F11" s="20">
        <f t="shared" si="3"/>
        <v>0</v>
      </c>
      <c r="G11" s="195"/>
      <c r="H11" s="195"/>
      <c r="I11" s="196"/>
    </row>
    <row r="12" spans="1:25" x14ac:dyDescent="0.3">
      <c r="A12" s="212" t="s">
        <v>7</v>
      </c>
      <c r="B12" s="210"/>
      <c r="C12" s="210"/>
      <c r="D12" s="63">
        <f>SUM(D9:D11)</f>
        <v>74163</v>
      </c>
      <c r="E12" s="63">
        <f>SUM(E9:E11)</f>
        <v>37081.5</v>
      </c>
      <c r="F12" s="63">
        <f t="shared" ref="F12" si="4">SUM(F9:F11)</f>
        <v>37081.5</v>
      </c>
      <c r="G12" s="195"/>
      <c r="H12" s="195"/>
      <c r="I12" s="196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x14ac:dyDescent="0.3">
      <c r="A13" s="189"/>
      <c r="B13" s="190"/>
      <c r="C13" s="190"/>
      <c r="D13" s="45"/>
      <c r="E13" s="52"/>
      <c r="F13" s="52"/>
      <c r="G13" s="52"/>
      <c r="H13" s="47"/>
      <c r="I13" s="53"/>
    </row>
    <row r="14" spans="1:25" ht="30.75" customHeight="1" x14ac:dyDescent="0.3">
      <c r="A14" s="215" t="s">
        <v>17</v>
      </c>
      <c r="B14" s="210"/>
      <c r="C14" s="210"/>
      <c r="D14" s="61" t="s">
        <v>3</v>
      </c>
      <c r="E14" s="62" t="s">
        <v>4</v>
      </c>
      <c r="F14" s="62" t="s">
        <v>19</v>
      </c>
      <c r="G14" s="201" t="s">
        <v>5</v>
      </c>
      <c r="H14" s="201"/>
      <c r="I14" s="202"/>
    </row>
    <row r="15" spans="1:25" ht="41.4" customHeight="1" x14ac:dyDescent="0.3">
      <c r="A15" s="182" t="s">
        <v>36</v>
      </c>
      <c r="B15" s="183"/>
      <c r="C15" s="183"/>
      <c r="D15" s="73">
        <v>0</v>
      </c>
      <c r="E15" s="35">
        <f>+D15*50%</f>
        <v>0</v>
      </c>
      <c r="F15" s="35">
        <f>+D15*50%</f>
        <v>0</v>
      </c>
      <c r="G15" s="205" t="s">
        <v>49</v>
      </c>
      <c r="H15" s="205"/>
      <c r="I15" s="206"/>
    </row>
    <row r="16" spans="1:25" ht="19.5" customHeight="1" x14ac:dyDescent="0.3">
      <c r="A16" s="209" t="s">
        <v>35</v>
      </c>
      <c r="B16" s="210"/>
      <c r="C16" s="210"/>
      <c r="D16" s="60">
        <v>0</v>
      </c>
      <c r="E16" s="20">
        <f t="shared" ref="E16:E18" si="5">+D16*50%</f>
        <v>0</v>
      </c>
      <c r="F16" s="20">
        <f t="shared" ref="F16:F18" si="6">+D16*50%</f>
        <v>0</v>
      </c>
      <c r="G16" s="195" t="s">
        <v>38</v>
      </c>
      <c r="H16" s="195"/>
      <c r="I16" s="196"/>
    </row>
    <row r="17" spans="1:25" ht="19.5" customHeight="1" x14ac:dyDescent="0.3">
      <c r="A17" s="209" t="s">
        <v>37</v>
      </c>
      <c r="B17" s="210"/>
      <c r="C17" s="210"/>
      <c r="D17" s="60">
        <v>0</v>
      </c>
      <c r="E17" s="20">
        <f t="shared" si="5"/>
        <v>0</v>
      </c>
      <c r="F17" s="20">
        <f t="shared" si="6"/>
        <v>0</v>
      </c>
      <c r="G17" s="195" t="s">
        <v>39</v>
      </c>
      <c r="H17" s="195"/>
      <c r="I17" s="196"/>
    </row>
    <row r="18" spans="1:25" ht="19.5" customHeight="1" x14ac:dyDescent="0.3">
      <c r="A18" s="209"/>
      <c r="B18" s="210"/>
      <c r="C18" s="210"/>
      <c r="D18" s="60">
        <v>0</v>
      </c>
      <c r="E18" s="20">
        <f t="shared" si="5"/>
        <v>0</v>
      </c>
      <c r="F18" s="20">
        <f t="shared" si="6"/>
        <v>0</v>
      </c>
      <c r="G18" s="195"/>
      <c r="H18" s="195"/>
      <c r="I18" s="196"/>
    </row>
    <row r="19" spans="1:25" ht="15" thickBot="1" x14ac:dyDescent="0.35">
      <c r="A19" s="216" t="s">
        <v>7</v>
      </c>
      <c r="B19" s="217"/>
      <c r="C19" s="217"/>
      <c r="D19" s="72">
        <f>SUM(D15)</f>
        <v>0</v>
      </c>
      <c r="E19" s="72">
        <f>SUM(E15:E18)</f>
        <v>0</v>
      </c>
      <c r="F19" s="72">
        <f>SUM(F15:F18)</f>
        <v>0</v>
      </c>
      <c r="G19" s="207"/>
      <c r="H19" s="207"/>
      <c r="I19" s="20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6.75" customHeight="1" x14ac:dyDescent="0.3">
      <c r="A20" s="12"/>
      <c r="B20" s="12"/>
      <c r="C20" s="12"/>
      <c r="D20" s="13"/>
      <c r="E20" s="13"/>
      <c r="F20" s="13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x14ac:dyDescent="0.3">
      <c r="A21" s="203" t="s">
        <v>50</v>
      </c>
      <c r="B21" s="187"/>
      <c r="C21" s="26" t="str">
        <f>+H2</f>
        <v>DICIEMBRE</v>
      </c>
      <c r="D21" s="26" t="s">
        <v>9</v>
      </c>
    </row>
    <row r="22" spans="1:25" ht="15.75" customHeight="1" x14ac:dyDescent="0.3">
      <c r="A22" s="204" t="s">
        <v>10</v>
      </c>
      <c r="B22" s="187"/>
      <c r="C22" s="20">
        <f>+E19+E12+E6</f>
        <v>319581.5</v>
      </c>
      <c r="D22" s="25">
        <v>0.5</v>
      </c>
      <c r="E22" s="6"/>
      <c r="F22" s="14"/>
    </row>
    <row r="23" spans="1:25" ht="15.75" customHeight="1" x14ac:dyDescent="0.3">
      <c r="A23" s="204" t="s">
        <v>21</v>
      </c>
      <c r="B23" s="187"/>
      <c r="C23" s="20">
        <f>+F19+F12+F6</f>
        <v>319581.5</v>
      </c>
      <c r="D23" s="25">
        <v>0.5</v>
      </c>
      <c r="E23" s="6"/>
    </row>
    <row r="24" spans="1:25" ht="15.75" customHeight="1" thickBot="1" x14ac:dyDescent="0.35">
      <c r="A24" s="211" t="s">
        <v>11</v>
      </c>
      <c r="B24" s="187"/>
      <c r="C24" s="27">
        <f>SUM(C22:C23)</f>
        <v>639163</v>
      </c>
      <c r="D24" s="28">
        <f>SUM(D22:D23)</f>
        <v>1</v>
      </c>
      <c r="E24" s="6"/>
    </row>
    <row r="25" spans="1:25" ht="15.75" customHeight="1" x14ac:dyDescent="0.3">
      <c r="C25" s="6"/>
      <c r="D25" s="6"/>
    </row>
    <row r="26" spans="1:25" ht="19.5" customHeight="1" x14ac:dyDescent="0.3">
      <c r="A26" s="203" t="s">
        <v>54</v>
      </c>
      <c r="B26" s="187"/>
      <c r="C26" s="26" t="s">
        <v>51</v>
      </c>
      <c r="D26" s="26" t="s">
        <v>9</v>
      </c>
      <c r="E26" s="26" t="s">
        <v>77</v>
      </c>
      <c r="F26" s="26" t="s">
        <v>9</v>
      </c>
      <c r="G26" s="26" t="s">
        <v>52</v>
      </c>
      <c r="H26" s="26" t="s">
        <v>9</v>
      </c>
      <c r="I26" s="26" t="s">
        <v>53</v>
      </c>
    </row>
    <row r="27" spans="1:25" ht="19.5" customHeight="1" x14ac:dyDescent="0.3">
      <c r="A27" s="204" t="s">
        <v>10</v>
      </c>
      <c r="B27" s="187"/>
      <c r="C27" s="60">
        <f>+D4</f>
        <v>565000</v>
      </c>
      <c r="D27" s="25">
        <v>1</v>
      </c>
      <c r="E27" s="60">
        <f>+D12</f>
        <v>74163</v>
      </c>
      <c r="F27" s="25">
        <v>1</v>
      </c>
      <c r="G27" s="60">
        <v>0</v>
      </c>
      <c r="H27" s="25">
        <v>0</v>
      </c>
      <c r="I27" s="64">
        <f>+C27+E27+G27</f>
        <v>639163</v>
      </c>
    </row>
    <row r="28" spans="1:25" ht="19.5" customHeight="1" x14ac:dyDescent="0.3">
      <c r="A28" s="204" t="s">
        <v>21</v>
      </c>
      <c r="B28" s="187"/>
      <c r="C28" s="60">
        <v>0</v>
      </c>
      <c r="D28" s="25">
        <v>0</v>
      </c>
      <c r="E28" s="60">
        <v>0</v>
      </c>
      <c r="F28" s="25">
        <v>0</v>
      </c>
      <c r="G28" s="60">
        <v>0</v>
      </c>
      <c r="H28" s="25">
        <v>0</v>
      </c>
      <c r="I28" s="64">
        <f>+C28+E28+G28</f>
        <v>0</v>
      </c>
    </row>
    <row r="29" spans="1:25" ht="19.5" customHeight="1" x14ac:dyDescent="0.3">
      <c r="D29" s="33"/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9">
    <mergeCell ref="A13:C13"/>
    <mergeCell ref="A14:C14"/>
    <mergeCell ref="A15:C15"/>
    <mergeCell ref="A19:C19"/>
    <mergeCell ref="A21:B21"/>
    <mergeCell ref="A12:C12"/>
    <mergeCell ref="A3:C3"/>
    <mergeCell ref="A4:C4"/>
    <mergeCell ref="A5:C5"/>
    <mergeCell ref="A6:C6"/>
    <mergeCell ref="A8:C8"/>
    <mergeCell ref="A9:C9"/>
    <mergeCell ref="A10:C10"/>
    <mergeCell ref="A11:C11"/>
    <mergeCell ref="A26:B26"/>
    <mergeCell ref="A27:B27"/>
    <mergeCell ref="A28:B28"/>
    <mergeCell ref="G14:I14"/>
    <mergeCell ref="G15:I15"/>
    <mergeCell ref="G16:I16"/>
    <mergeCell ref="G17:I17"/>
    <mergeCell ref="G18:I18"/>
    <mergeCell ref="G19:I19"/>
    <mergeCell ref="A16:C16"/>
    <mergeCell ref="A17:C17"/>
    <mergeCell ref="A18:C18"/>
    <mergeCell ref="A23:B23"/>
    <mergeCell ref="A24:B24"/>
    <mergeCell ref="A22:B22"/>
    <mergeCell ref="G8:I8"/>
    <mergeCell ref="G9:I9"/>
    <mergeCell ref="G10:I10"/>
    <mergeCell ref="G11:I11"/>
    <mergeCell ref="G12:I12"/>
    <mergeCell ref="G3:I3"/>
    <mergeCell ref="G4:I4"/>
    <mergeCell ref="G5:I5"/>
    <mergeCell ref="G6:I6"/>
    <mergeCell ref="A1:G2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I27"/>
  <sheetViews>
    <sheetView topLeftCell="A3" workbookViewId="0">
      <selection sqref="A1:I27"/>
    </sheetView>
  </sheetViews>
  <sheetFormatPr baseColWidth="10" defaultRowHeight="14.4" x14ac:dyDescent="0.3"/>
  <cols>
    <col min="1" max="9" width="15.77734375" customWidth="1"/>
  </cols>
  <sheetData>
    <row r="1" spans="1:9" ht="14.4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9" ht="15" customHeight="1" thickBot="1" x14ac:dyDescent="0.35">
      <c r="A2" s="198"/>
      <c r="B2" s="199"/>
      <c r="C2" s="199"/>
      <c r="D2" s="199"/>
      <c r="E2" s="199"/>
      <c r="F2" s="199"/>
      <c r="G2" s="231"/>
      <c r="H2" s="106" t="s">
        <v>2</v>
      </c>
      <c r="I2" s="97">
        <v>2023</v>
      </c>
    </row>
    <row r="3" spans="1:9" ht="29.4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5" t="s">
        <v>19</v>
      </c>
      <c r="G3" s="225" t="s">
        <v>5</v>
      </c>
      <c r="H3" s="226"/>
      <c r="I3" s="227"/>
    </row>
    <row r="4" spans="1:9" x14ac:dyDescent="0.3">
      <c r="A4" s="230" t="s">
        <v>6</v>
      </c>
      <c r="B4" s="175"/>
      <c r="C4" s="175"/>
      <c r="D4" s="21">
        <v>565000</v>
      </c>
      <c r="E4" s="18">
        <f>D4*50%</f>
        <v>282500</v>
      </c>
      <c r="F4" s="96">
        <f t="shared" ref="F4:F5" si="0">+D4*50%</f>
        <v>282500</v>
      </c>
      <c r="G4" s="195"/>
      <c r="H4" s="195"/>
      <c r="I4" s="195"/>
    </row>
    <row r="5" spans="1:9" x14ac:dyDescent="0.3">
      <c r="A5" s="230"/>
      <c r="B5" s="175"/>
      <c r="C5" s="175"/>
      <c r="D5" s="20"/>
      <c r="E5" s="18">
        <f t="shared" ref="E5" si="1">D5*25%</f>
        <v>0</v>
      </c>
      <c r="F5" s="96">
        <f t="shared" si="0"/>
        <v>0</v>
      </c>
      <c r="G5" s="195"/>
      <c r="H5" s="195"/>
      <c r="I5" s="195"/>
    </row>
    <row r="6" spans="1:9" x14ac:dyDescent="0.3">
      <c r="A6" s="219" t="s">
        <v>7</v>
      </c>
      <c r="B6" s="187"/>
      <c r="C6" s="188"/>
      <c r="D6" s="19">
        <f>SUM(D4:D5)</f>
        <v>565000</v>
      </c>
      <c r="E6" s="7">
        <f>SUM(E4:E5)</f>
        <v>282500</v>
      </c>
      <c r="F6" s="7">
        <f>SUM(F4:F5)</f>
        <v>282500</v>
      </c>
      <c r="G6" s="220"/>
      <c r="H6" s="221"/>
      <c r="I6" s="221"/>
    </row>
    <row r="7" spans="1:9" ht="15" thickBot="1" x14ac:dyDescent="0.35">
      <c r="A7" s="133"/>
      <c r="B7" s="133"/>
      <c r="C7" s="133"/>
      <c r="D7" s="9"/>
      <c r="E7" s="6"/>
      <c r="F7" s="6"/>
      <c r="G7" s="10"/>
      <c r="H7" s="6"/>
      <c r="I7" s="10"/>
    </row>
    <row r="8" spans="1:9" ht="29.4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95" t="s">
        <v>19</v>
      </c>
      <c r="G8" s="225" t="s">
        <v>5</v>
      </c>
      <c r="H8" s="226"/>
      <c r="I8" s="227"/>
    </row>
    <row r="9" spans="1:9" x14ac:dyDescent="0.3">
      <c r="A9" s="204" t="s">
        <v>18</v>
      </c>
      <c r="B9" s="187"/>
      <c r="C9" s="188"/>
      <c r="D9" s="120">
        <v>83649</v>
      </c>
      <c r="E9" s="17">
        <f>+D9*50%</f>
        <v>41824.5</v>
      </c>
      <c r="F9" s="98">
        <f>+D9*50%</f>
        <v>41824.5</v>
      </c>
      <c r="G9" s="229"/>
      <c r="H9" s="229"/>
      <c r="I9" s="229"/>
    </row>
    <row r="10" spans="1:9" x14ac:dyDescent="0.3">
      <c r="A10" s="204" t="s">
        <v>20</v>
      </c>
      <c r="B10" s="187"/>
      <c r="C10" s="188"/>
      <c r="D10" s="120">
        <v>259</v>
      </c>
      <c r="E10" s="17">
        <f t="shared" ref="E10:E11" si="2">+D10*50%</f>
        <v>129.5</v>
      </c>
      <c r="F10" s="98">
        <f t="shared" ref="F10:F11" si="3">+D10*50%</f>
        <v>129.5</v>
      </c>
      <c r="G10" s="195"/>
      <c r="H10" s="195"/>
      <c r="I10" s="195"/>
    </row>
    <row r="11" spans="1:9" x14ac:dyDescent="0.3">
      <c r="A11" s="218" t="s">
        <v>12</v>
      </c>
      <c r="B11" s="164"/>
      <c r="C11" s="165"/>
      <c r="D11" s="121">
        <v>6885</v>
      </c>
      <c r="E11" s="30">
        <f t="shared" si="2"/>
        <v>3442.5</v>
      </c>
      <c r="F11" s="99">
        <f t="shared" si="3"/>
        <v>3442.5</v>
      </c>
      <c r="G11" s="195"/>
      <c r="H11" s="195"/>
      <c r="I11" s="195"/>
    </row>
    <row r="12" spans="1:9" x14ac:dyDescent="0.3">
      <c r="A12" s="219" t="s">
        <v>7</v>
      </c>
      <c r="B12" s="187"/>
      <c r="C12" s="188"/>
      <c r="D12" s="7">
        <f>SUM(D9:D11)</f>
        <v>90793</v>
      </c>
      <c r="E12" s="7">
        <f>SUM(E9:E11)</f>
        <v>45396.5</v>
      </c>
      <c r="F12" s="7">
        <f t="shared" ref="F12" si="4">SUM(F9:F11)</f>
        <v>45396.5</v>
      </c>
      <c r="G12" s="220"/>
      <c r="H12" s="221"/>
      <c r="I12" s="221"/>
    </row>
    <row r="13" spans="1:9" ht="15" thickBot="1" x14ac:dyDescent="0.35">
      <c r="A13" s="222"/>
      <c r="B13" s="223"/>
      <c r="C13" s="223"/>
      <c r="D13" s="133"/>
      <c r="E13" s="134"/>
      <c r="F13" s="134"/>
      <c r="G13" s="134"/>
      <c r="H13" s="6"/>
      <c r="I13" s="134"/>
    </row>
    <row r="14" spans="1:9" ht="29.4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95" t="s">
        <v>19</v>
      </c>
      <c r="G14" s="225" t="s">
        <v>5</v>
      </c>
      <c r="H14" s="226"/>
      <c r="I14" s="227"/>
    </row>
    <row r="15" spans="1:9" ht="14.4" customHeight="1" x14ac:dyDescent="0.3">
      <c r="A15" s="218" t="s">
        <v>36</v>
      </c>
      <c r="B15" s="164"/>
      <c r="C15" s="165"/>
      <c r="D15" s="29">
        <v>0</v>
      </c>
      <c r="E15" s="30">
        <f>+D15*50%</f>
        <v>0</v>
      </c>
      <c r="F15" s="99">
        <f>+D15*50%</f>
        <v>0</v>
      </c>
      <c r="G15" s="228" t="s">
        <v>49</v>
      </c>
      <c r="H15" s="228"/>
      <c r="I15" s="228"/>
    </row>
    <row r="16" spans="1:9" ht="14.4" customHeight="1" x14ac:dyDescent="0.3">
      <c r="A16" s="218" t="s">
        <v>35</v>
      </c>
      <c r="B16" s="164"/>
      <c r="C16" s="165"/>
      <c r="D16" s="29">
        <v>0</v>
      </c>
      <c r="E16" s="30">
        <f t="shared" ref="E16:E17" si="5">+D16*50%</f>
        <v>0</v>
      </c>
      <c r="F16" s="99">
        <f t="shared" ref="F16:F17" si="6">+D16*50%</f>
        <v>0</v>
      </c>
      <c r="G16" s="205" t="s">
        <v>38</v>
      </c>
      <c r="H16" s="205"/>
      <c r="I16" s="205"/>
    </row>
    <row r="17" spans="1:9" ht="14.4" customHeight="1" x14ac:dyDescent="0.3">
      <c r="A17" s="218" t="s">
        <v>37</v>
      </c>
      <c r="B17" s="164"/>
      <c r="C17" s="165"/>
      <c r="D17" s="29">
        <v>0</v>
      </c>
      <c r="E17" s="30">
        <f t="shared" si="5"/>
        <v>0</v>
      </c>
      <c r="F17" s="99">
        <f t="shared" si="6"/>
        <v>0</v>
      </c>
      <c r="G17" s="205" t="s">
        <v>39</v>
      </c>
      <c r="H17" s="205"/>
      <c r="I17" s="205"/>
    </row>
    <row r="18" spans="1:9" x14ac:dyDescent="0.3">
      <c r="A18" s="219" t="s">
        <v>7</v>
      </c>
      <c r="B18" s="187"/>
      <c r="C18" s="188"/>
      <c r="D18" s="19">
        <f>SUM(D15)</f>
        <v>0</v>
      </c>
      <c r="E18" s="7">
        <f>SUM(E15:E17)</f>
        <v>0</v>
      </c>
      <c r="F18" s="7">
        <f>SUM(F15:F17)</f>
        <v>0</v>
      </c>
      <c r="G18" s="100"/>
      <c r="H18" s="100"/>
      <c r="I18" s="100"/>
    </row>
    <row r="19" spans="1:9" x14ac:dyDescent="0.3">
      <c r="A19" s="12"/>
      <c r="B19" s="12"/>
      <c r="C19" s="12"/>
      <c r="D19" s="13"/>
      <c r="E19" s="13"/>
      <c r="F19" s="13"/>
      <c r="G19" s="8"/>
      <c r="H19" s="8"/>
      <c r="I19" s="8"/>
    </row>
    <row r="20" spans="1:9" x14ac:dyDescent="0.3">
      <c r="A20" s="203" t="s">
        <v>8</v>
      </c>
      <c r="B20" s="187"/>
      <c r="C20" s="26" t="str">
        <f>+H2</f>
        <v>ENERO</v>
      </c>
      <c r="D20" s="26" t="s">
        <v>9</v>
      </c>
      <c r="E20" s="134"/>
      <c r="F20" s="134"/>
      <c r="G20" s="134"/>
      <c r="H20" s="134"/>
      <c r="I20" s="134"/>
    </row>
    <row r="21" spans="1:9" x14ac:dyDescent="0.3">
      <c r="A21" s="204" t="s">
        <v>10</v>
      </c>
      <c r="B21" s="187"/>
      <c r="C21" s="20">
        <f>+E18+E12+E6</f>
        <v>327896.5</v>
      </c>
      <c r="D21" s="25">
        <v>0.5</v>
      </c>
      <c r="E21" s="6"/>
      <c r="F21" s="14"/>
      <c r="G21" s="134"/>
      <c r="H21" s="134"/>
      <c r="I21" s="134"/>
    </row>
    <row r="22" spans="1:9" x14ac:dyDescent="0.3">
      <c r="A22" s="204" t="s">
        <v>21</v>
      </c>
      <c r="B22" s="187"/>
      <c r="C22" s="20">
        <f>+F18+F12+F6</f>
        <v>327896.5</v>
      </c>
      <c r="D22" s="25">
        <v>0.5</v>
      </c>
      <c r="E22" s="6"/>
      <c r="F22" s="134"/>
      <c r="G22" s="134"/>
      <c r="H22" s="134"/>
      <c r="I22" s="134"/>
    </row>
    <row r="23" spans="1:9" ht="15" thickBot="1" x14ac:dyDescent="0.35">
      <c r="A23" s="211" t="s">
        <v>11</v>
      </c>
      <c r="B23" s="187"/>
      <c r="C23" s="27">
        <f>SUM(C21:C22)</f>
        <v>655793</v>
      </c>
      <c r="D23" s="28">
        <f>SUM(D21:D22)</f>
        <v>1</v>
      </c>
      <c r="E23" s="6"/>
      <c r="F23" s="134"/>
      <c r="G23" s="134"/>
      <c r="H23" s="134"/>
      <c r="I23" s="134"/>
    </row>
    <row r="24" spans="1:9" x14ac:dyDescent="0.3">
      <c r="A24" s="134"/>
      <c r="B24" s="134"/>
      <c r="C24" s="6"/>
      <c r="D24" s="6"/>
      <c r="E24" s="134"/>
      <c r="F24" s="134"/>
      <c r="G24" s="134"/>
      <c r="H24" s="134"/>
      <c r="I24" s="134"/>
    </row>
    <row r="25" spans="1:9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9" x14ac:dyDescent="0.3">
      <c r="A26" s="204" t="s">
        <v>10</v>
      </c>
      <c r="B26" s="187"/>
      <c r="C26" s="60">
        <f>+D4</f>
        <v>565000</v>
      </c>
      <c r="D26" s="25">
        <v>1</v>
      </c>
      <c r="E26" s="60">
        <f>+D12</f>
        <v>90793</v>
      </c>
      <c r="F26" s="25">
        <v>1</v>
      </c>
      <c r="G26" s="60">
        <v>0</v>
      </c>
      <c r="H26" s="25">
        <v>0</v>
      </c>
      <c r="I26" s="64">
        <f>+C26+E26+G26</f>
        <v>655793</v>
      </c>
    </row>
    <row r="27" spans="1:9" x14ac:dyDescent="0.3">
      <c r="A27" s="204" t="s">
        <v>21</v>
      </c>
      <c r="B27" s="187"/>
      <c r="C27" s="60">
        <v>0</v>
      </c>
      <c r="D27" s="25">
        <v>0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0</v>
      </c>
    </row>
  </sheetData>
  <mergeCells count="36">
    <mergeCell ref="A5:C5"/>
    <mergeCell ref="G5:I5"/>
    <mergeCell ref="A1:G2"/>
    <mergeCell ref="A3:C3"/>
    <mergeCell ref="G3:I3"/>
    <mergeCell ref="A4:C4"/>
    <mergeCell ref="G4:I4"/>
    <mergeCell ref="A6:C6"/>
    <mergeCell ref="G6:I6"/>
    <mergeCell ref="A8:C8"/>
    <mergeCell ref="G8:I8"/>
    <mergeCell ref="A9:C9"/>
    <mergeCell ref="G9:I9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G17:I17"/>
    <mergeCell ref="A18:C18"/>
    <mergeCell ref="A20:B20"/>
    <mergeCell ref="A21:B21"/>
    <mergeCell ref="A22:B22"/>
    <mergeCell ref="A23:B23"/>
    <mergeCell ref="A25:B25"/>
    <mergeCell ref="A26:B26"/>
    <mergeCell ref="A27:B27"/>
    <mergeCell ref="A17:C17"/>
  </mergeCells>
  <pageMargins left="0.7" right="0.7" top="0.75" bottom="0.75" header="0.3" footer="0.3"/>
  <pageSetup paperSize="9" scale="9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A999"/>
  <sheetViews>
    <sheetView workbookViewId="0">
      <selection sqref="A1:K27"/>
    </sheetView>
  </sheetViews>
  <sheetFormatPr baseColWidth="10" defaultColWidth="14.44140625" defaultRowHeight="14.4" x14ac:dyDescent="0.3"/>
  <cols>
    <col min="1" max="1" width="21.6640625" style="24" customWidth="1"/>
    <col min="2" max="4" width="15.6640625" style="24" customWidth="1"/>
    <col min="5" max="8" width="15.77734375" style="24" customWidth="1"/>
    <col min="9" max="10" width="15.77734375" style="33" customWidth="1"/>
    <col min="11" max="11" width="15.77734375" style="24" customWidth="1"/>
    <col min="12" max="12" width="20.6640625" style="24" customWidth="1"/>
    <col min="13" max="27" width="10" style="24" customWidth="1"/>
    <col min="28" max="16384" width="14.44140625" style="24"/>
  </cols>
  <sheetData>
    <row r="1" spans="1:27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7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42</v>
      </c>
      <c r="I2" s="2">
        <v>2023</v>
      </c>
    </row>
    <row r="3" spans="1:27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7" ht="19.5" customHeight="1" x14ac:dyDescent="0.3">
      <c r="A4" s="230" t="s">
        <v>6</v>
      </c>
      <c r="B4" s="175"/>
      <c r="C4" s="175"/>
      <c r="D4" s="21">
        <v>565000</v>
      </c>
      <c r="E4" s="18">
        <f>D4*50%</f>
        <v>282500</v>
      </c>
      <c r="F4" s="15">
        <f t="shared" ref="F4:F5" si="0">+D4*50%</f>
        <v>282500</v>
      </c>
      <c r="G4" s="229"/>
      <c r="H4" s="229"/>
      <c r="I4" s="229"/>
      <c r="J4" s="6"/>
      <c r="K4" s="6"/>
    </row>
    <row r="5" spans="1:27" ht="19.5" customHeight="1" x14ac:dyDescent="0.3">
      <c r="A5" s="230"/>
      <c r="B5" s="175"/>
      <c r="C5" s="175"/>
      <c r="D5" s="20"/>
      <c r="E5" s="18">
        <f t="shared" ref="E5" si="1">D5*25%</f>
        <v>0</v>
      </c>
      <c r="F5" s="15">
        <f t="shared" si="0"/>
        <v>0</v>
      </c>
      <c r="G5" s="195"/>
      <c r="H5" s="195"/>
      <c r="I5" s="195"/>
      <c r="J5" s="6"/>
      <c r="K5" s="6"/>
    </row>
    <row r="6" spans="1:27" x14ac:dyDescent="0.3">
      <c r="A6" s="219" t="s">
        <v>7</v>
      </c>
      <c r="B6" s="187"/>
      <c r="C6" s="188"/>
      <c r="D6" s="19">
        <f>SUM(D4:D5)</f>
        <v>565000</v>
      </c>
      <c r="E6" s="7">
        <f>SUM(E4:E5)</f>
        <v>282500</v>
      </c>
      <c r="F6" s="7">
        <f>SUM(F4:F5)</f>
        <v>282500</v>
      </c>
      <c r="G6" s="220"/>
      <c r="H6" s="221"/>
      <c r="I6" s="221"/>
      <c r="J6" s="6"/>
      <c r="K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6.75" customHeight="1" thickBot="1" x14ac:dyDescent="0.35">
      <c r="A7" s="23"/>
      <c r="B7" s="23"/>
      <c r="C7" s="23"/>
      <c r="D7" s="9"/>
      <c r="E7" s="6"/>
      <c r="F7" s="6"/>
      <c r="G7" s="10"/>
      <c r="H7" s="6"/>
      <c r="I7" s="10"/>
      <c r="J7" s="6"/>
      <c r="K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  <c r="J8" s="6"/>
    </row>
    <row r="9" spans="1:27" ht="19.5" customHeight="1" x14ac:dyDescent="0.3">
      <c r="A9" s="204" t="s">
        <v>18</v>
      </c>
      <c r="B9" s="187"/>
      <c r="C9" s="188"/>
      <c r="D9" s="120">
        <v>91824</v>
      </c>
      <c r="E9" s="17">
        <f>+D9*50%</f>
        <v>45912</v>
      </c>
      <c r="F9" s="17">
        <f>+D9*50%</f>
        <v>45912</v>
      </c>
      <c r="G9" s="195"/>
      <c r="H9" s="195"/>
      <c r="I9" s="195"/>
      <c r="J9" s="6"/>
    </row>
    <row r="10" spans="1:27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2">+D10*50%</f>
        <v>0</v>
      </c>
      <c r="F10" s="17">
        <f t="shared" ref="F10:F11" si="3">+D10*50%</f>
        <v>0</v>
      </c>
      <c r="G10" s="195"/>
      <c r="H10" s="195"/>
      <c r="I10" s="195"/>
      <c r="J10" s="6"/>
      <c r="K10" s="16"/>
    </row>
    <row r="11" spans="1:27" ht="18.600000000000001" customHeight="1" x14ac:dyDescent="0.3">
      <c r="A11" s="218" t="s">
        <v>12</v>
      </c>
      <c r="B11" s="164"/>
      <c r="C11" s="165"/>
      <c r="D11" s="120">
        <v>365</v>
      </c>
      <c r="E11" s="17">
        <f t="shared" si="2"/>
        <v>182.5</v>
      </c>
      <c r="F11" s="17">
        <f t="shared" si="3"/>
        <v>182.5</v>
      </c>
      <c r="G11" s="195" t="s">
        <v>71</v>
      </c>
      <c r="H11" s="195"/>
      <c r="I11" s="195"/>
      <c r="J11" s="6"/>
    </row>
    <row r="12" spans="1:27" x14ac:dyDescent="0.3">
      <c r="A12" s="219" t="s">
        <v>7</v>
      </c>
      <c r="B12" s="187"/>
      <c r="C12" s="188"/>
      <c r="D12" s="7">
        <f>SUM(D9:D11)</f>
        <v>92189</v>
      </c>
      <c r="E12" s="7">
        <f>SUM(E9:E11)</f>
        <v>46094.5</v>
      </c>
      <c r="F12" s="7">
        <f t="shared" ref="F12" si="4">SUM(F9:F11)</f>
        <v>46094.5</v>
      </c>
      <c r="G12" s="220"/>
      <c r="H12" s="221"/>
      <c r="I12" s="221"/>
      <c r="J12" s="6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6.75" customHeight="1" thickBot="1" x14ac:dyDescent="0.35">
      <c r="A13" s="222"/>
      <c r="B13" s="223"/>
      <c r="C13" s="223"/>
      <c r="D13" s="23"/>
      <c r="G13" s="80"/>
      <c r="H13" s="6"/>
      <c r="I13" s="80"/>
      <c r="J13" s="6"/>
    </row>
    <row r="14" spans="1:27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  <c r="J14" s="6"/>
    </row>
    <row r="15" spans="1:27" s="94" customFormat="1" x14ac:dyDescent="0.3">
      <c r="A15" s="218" t="s">
        <v>36</v>
      </c>
      <c r="B15" s="235"/>
      <c r="C15" s="236"/>
      <c r="D15" s="29">
        <v>0</v>
      </c>
      <c r="E15" s="91">
        <f>+D15*50%</f>
        <v>0</v>
      </c>
      <c r="F15" s="91">
        <f>+D15*50%</f>
        <v>0</v>
      </c>
      <c r="G15" s="228" t="s">
        <v>49</v>
      </c>
      <c r="H15" s="228"/>
      <c r="I15" s="228"/>
      <c r="J15" s="92"/>
      <c r="K15" s="93"/>
    </row>
    <row r="16" spans="1:27" s="94" customFormat="1" x14ac:dyDescent="0.3">
      <c r="A16" s="218" t="s">
        <v>35</v>
      </c>
      <c r="B16" s="235"/>
      <c r="C16" s="236"/>
      <c r="D16" s="29">
        <v>0</v>
      </c>
      <c r="E16" s="91">
        <f t="shared" ref="E16:E17" si="5">+D16*50%</f>
        <v>0</v>
      </c>
      <c r="F16" s="91">
        <f t="shared" ref="F16:F17" si="6">+D16*50%</f>
        <v>0</v>
      </c>
      <c r="G16" s="205" t="s">
        <v>38</v>
      </c>
      <c r="H16" s="205"/>
      <c r="I16" s="205"/>
      <c r="J16" s="92"/>
      <c r="K16" s="93"/>
    </row>
    <row r="17" spans="1:27" s="94" customFormat="1" x14ac:dyDescent="0.3">
      <c r="A17" s="218" t="s">
        <v>37</v>
      </c>
      <c r="B17" s="235"/>
      <c r="C17" s="236"/>
      <c r="D17" s="29">
        <v>0</v>
      </c>
      <c r="E17" s="91">
        <f t="shared" si="5"/>
        <v>0</v>
      </c>
      <c r="F17" s="91">
        <f t="shared" si="6"/>
        <v>0</v>
      </c>
      <c r="G17" s="205" t="s">
        <v>39</v>
      </c>
      <c r="H17" s="205"/>
      <c r="I17" s="205"/>
      <c r="J17" s="92"/>
      <c r="K17" s="93"/>
    </row>
    <row r="18" spans="1:27" x14ac:dyDescent="0.3">
      <c r="A18" s="219" t="s">
        <v>7</v>
      </c>
      <c r="B18" s="187"/>
      <c r="C18" s="188"/>
      <c r="D18" s="19">
        <f>SUM(D15)</f>
        <v>0</v>
      </c>
      <c r="E18" s="7">
        <f>SUM(E15:E17)</f>
        <v>0</v>
      </c>
      <c r="F18" s="7">
        <f>SUM(F15:F17)</f>
        <v>0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x14ac:dyDescent="0.3">
      <c r="A20" s="203" t="s">
        <v>8</v>
      </c>
      <c r="B20" s="187"/>
      <c r="C20" s="26" t="str">
        <f>+H2</f>
        <v>FEBRERO</v>
      </c>
      <c r="D20" s="26" t="s">
        <v>9</v>
      </c>
    </row>
    <row r="21" spans="1:27" ht="15.75" customHeight="1" x14ac:dyDescent="0.3">
      <c r="A21" s="204" t="s">
        <v>10</v>
      </c>
      <c r="B21" s="187"/>
      <c r="C21" s="20">
        <f>+E18+E12+E6</f>
        <v>328594.5</v>
      </c>
      <c r="D21" s="25">
        <v>0.5</v>
      </c>
      <c r="E21" s="6"/>
      <c r="F21" s="14"/>
    </row>
    <row r="22" spans="1:27" ht="15.75" customHeight="1" x14ac:dyDescent="0.3">
      <c r="A22" s="204" t="s">
        <v>21</v>
      </c>
      <c r="B22" s="187"/>
      <c r="C22" s="20">
        <f>+F18+F12+F6</f>
        <v>328594.5</v>
      </c>
      <c r="D22" s="25">
        <v>0.5</v>
      </c>
      <c r="E22" s="6"/>
    </row>
    <row r="23" spans="1:27" ht="15.75" customHeight="1" thickBot="1" x14ac:dyDescent="0.35">
      <c r="A23" s="211" t="s">
        <v>11</v>
      </c>
      <c r="B23" s="187"/>
      <c r="C23" s="27">
        <f>SUM(C21:C22)</f>
        <v>657189</v>
      </c>
      <c r="D23" s="28">
        <f>SUM(D21:D22)</f>
        <v>1</v>
      </c>
      <c r="E23" s="6"/>
    </row>
    <row r="24" spans="1:27" ht="15.75" customHeight="1" x14ac:dyDescent="0.3">
      <c r="C24" s="6"/>
      <c r="D24" s="6"/>
    </row>
    <row r="25" spans="1:27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55</v>
      </c>
      <c r="J25" s="26" t="s">
        <v>9</v>
      </c>
      <c r="K25" s="26" t="s">
        <v>53</v>
      </c>
    </row>
    <row r="26" spans="1:27" ht="19.5" customHeight="1" x14ac:dyDescent="0.3">
      <c r="A26" s="204" t="s">
        <v>10</v>
      </c>
      <c r="B26" s="187"/>
      <c r="C26" s="60">
        <f>+D6</f>
        <v>565000</v>
      </c>
      <c r="D26" s="25">
        <v>1</v>
      </c>
      <c r="E26" s="60">
        <f>+D12</f>
        <v>92189</v>
      </c>
      <c r="F26" s="25">
        <v>1</v>
      </c>
      <c r="G26" s="60">
        <v>0</v>
      </c>
      <c r="H26" s="25">
        <v>0</v>
      </c>
      <c r="I26" s="60">
        <v>979074</v>
      </c>
      <c r="J26" s="25">
        <v>1</v>
      </c>
      <c r="K26" s="64">
        <f>+C26+E26+G26+I26</f>
        <v>1636263</v>
      </c>
    </row>
    <row r="27" spans="1:27" ht="19.5" customHeight="1" x14ac:dyDescent="0.3">
      <c r="A27" s="204" t="s">
        <v>21</v>
      </c>
      <c r="B27" s="187"/>
      <c r="C27" s="60">
        <v>0</v>
      </c>
      <c r="D27" s="25">
        <v>0</v>
      </c>
      <c r="E27" s="60">
        <v>0</v>
      </c>
      <c r="F27" s="25">
        <v>0</v>
      </c>
      <c r="G27" s="60">
        <v>0</v>
      </c>
      <c r="H27" s="25">
        <v>0</v>
      </c>
      <c r="I27" s="60">
        <v>0</v>
      </c>
      <c r="J27" s="25">
        <v>0</v>
      </c>
      <c r="K27" s="64">
        <f>+C27+E27+G27+I27</f>
        <v>0</v>
      </c>
    </row>
    <row r="28" spans="1:27" ht="19.5" customHeight="1" x14ac:dyDescent="0.3">
      <c r="C28" s="6"/>
      <c r="H28" s="6"/>
      <c r="I28" s="6"/>
      <c r="J28" s="6"/>
    </row>
    <row r="29" spans="1:27" ht="19.5" customHeight="1" x14ac:dyDescent="0.3">
      <c r="H29" s="6"/>
      <c r="I29" s="6"/>
      <c r="J29" s="6"/>
    </row>
    <row r="30" spans="1:27" ht="19.5" customHeight="1" x14ac:dyDescent="0.3">
      <c r="H30" s="6"/>
      <c r="I30" s="6"/>
      <c r="J30" s="6"/>
    </row>
    <row r="31" spans="1:27" ht="19.5" customHeight="1" x14ac:dyDescent="0.3">
      <c r="H31" s="6"/>
      <c r="I31" s="6"/>
      <c r="J31" s="6"/>
    </row>
    <row r="32" spans="1:27" ht="19.5" customHeight="1" x14ac:dyDescent="0.3">
      <c r="G32" s="6"/>
      <c r="H32" s="6"/>
      <c r="I32" s="6"/>
      <c r="J32" s="6"/>
    </row>
    <row r="33" spans="7:10" ht="19.5" customHeight="1" x14ac:dyDescent="0.3">
      <c r="G33" s="6"/>
      <c r="H33" s="6"/>
      <c r="I33" s="6"/>
      <c r="J33" s="6"/>
    </row>
    <row r="34" spans="7:10" ht="19.5" customHeight="1" x14ac:dyDescent="0.3">
      <c r="H34" s="6"/>
      <c r="I34" s="6"/>
      <c r="J34" s="6"/>
    </row>
    <row r="35" spans="7:10" ht="24.75" customHeight="1" x14ac:dyDescent="0.3">
      <c r="G35" s="6"/>
    </row>
    <row r="36" spans="7:10" ht="24.75" customHeight="1" x14ac:dyDescent="0.3">
      <c r="G36" s="6"/>
    </row>
    <row r="37" spans="7:10" ht="19.5" customHeight="1" x14ac:dyDescent="0.3">
      <c r="G37" s="6"/>
    </row>
    <row r="38" spans="7:10" ht="18" customHeight="1" x14ac:dyDescent="0.3"/>
    <row r="39" spans="7:10" ht="19.5" customHeight="1" x14ac:dyDescent="0.3">
      <c r="G39" s="6"/>
    </row>
    <row r="40" spans="7:10" ht="18" customHeight="1" x14ac:dyDescent="0.3"/>
    <row r="41" spans="7:10" ht="18" customHeight="1" x14ac:dyDescent="0.3"/>
    <row r="42" spans="7:10" ht="18" customHeight="1" x14ac:dyDescent="0.3"/>
    <row r="43" spans="7:10" ht="18" customHeight="1" x14ac:dyDescent="0.3"/>
    <row r="44" spans="7:10" ht="18" customHeight="1" x14ac:dyDescent="0.3">
      <c r="H44" s="6"/>
      <c r="I44" s="6"/>
      <c r="J44" s="6"/>
    </row>
    <row r="45" spans="7:10" ht="18" customHeight="1" x14ac:dyDescent="0.3"/>
    <row r="46" spans="7:10" ht="18" customHeight="1" x14ac:dyDescent="0.3">
      <c r="G46" s="6"/>
    </row>
    <row r="47" spans="7:10" ht="18" customHeight="1" x14ac:dyDescent="0.3"/>
    <row r="48" spans="7:10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23:B23"/>
    <mergeCell ref="A15:C15"/>
    <mergeCell ref="A16:C16"/>
    <mergeCell ref="A17:C17"/>
    <mergeCell ref="A18:C18"/>
    <mergeCell ref="A20:B20"/>
    <mergeCell ref="A25:B25"/>
    <mergeCell ref="A26:B26"/>
    <mergeCell ref="A27:B27"/>
    <mergeCell ref="A14:C14"/>
    <mergeCell ref="A3:C3"/>
    <mergeCell ref="A4:C4"/>
    <mergeCell ref="A5:C5"/>
    <mergeCell ref="A6:C6"/>
    <mergeCell ref="A8:C8"/>
    <mergeCell ref="A9:C9"/>
    <mergeCell ref="A10:C10"/>
    <mergeCell ref="A11:C11"/>
    <mergeCell ref="A12:C12"/>
    <mergeCell ref="A13:C13"/>
    <mergeCell ref="A21:B21"/>
    <mergeCell ref="A22:B22"/>
    <mergeCell ref="G15:I15"/>
    <mergeCell ref="G16:I16"/>
    <mergeCell ref="G17:I17"/>
    <mergeCell ref="A1:G2"/>
    <mergeCell ref="G9:I9"/>
    <mergeCell ref="G10:I10"/>
    <mergeCell ref="G11:I11"/>
    <mergeCell ref="G12:I12"/>
    <mergeCell ref="G14:I14"/>
    <mergeCell ref="G3:I3"/>
    <mergeCell ref="G4:I4"/>
    <mergeCell ref="G5:I5"/>
    <mergeCell ref="G6:I6"/>
    <mergeCell ref="G8:I8"/>
  </mergeCell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Y999"/>
  <sheetViews>
    <sheetView topLeftCell="A6" workbookViewId="0">
      <selection sqref="A1:K27"/>
    </sheetView>
  </sheetViews>
  <sheetFormatPr baseColWidth="10" defaultColWidth="14.44140625" defaultRowHeight="14.4" x14ac:dyDescent="0.3"/>
  <cols>
    <col min="1" max="1" width="21.6640625" style="33" customWidth="1"/>
    <col min="2" max="3" width="15.6640625" style="33" customWidth="1"/>
    <col min="4" max="16" width="15.77734375" style="33" customWidth="1"/>
    <col min="17" max="25" width="10" style="33" customWidth="1"/>
    <col min="26" max="16384" width="14.44140625" style="33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57</v>
      </c>
      <c r="I2" s="2">
        <v>2023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565000</v>
      </c>
      <c r="E4" s="18">
        <f>D4*50%</f>
        <v>282500</v>
      </c>
      <c r="F4" s="15">
        <f t="shared" ref="F4:F5" si="0">+D4*50%</f>
        <v>282500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>
        <f t="shared" ref="E5" si="1">D5*25%</f>
        <v>0</v>
      </c>
      <c r="F5" s="15">
        <f t="shared" si="0"/>
        <v>0</v>
      </c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565000</v>
      </c>
      <c r="E6" s="7">
        <f>SUM(E4:E5)</f>
        <v>282500</v>
      </c>
      <c r="F6" s="7">
        <f>SUM(F4:F5)</f>
        <v>282500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32"/>
      <c r="B7" s="32"/>
      <c r="C7" s="32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98410</v>
      </c>
      <c r="E9" s="17">
        <f>+D9*50%</f>
        <v>49205</v>
      </c>
      <c r="F9" s="17">
        <f>+D9*50%</f>
        <v>49205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2">+D10*50%</f>
        <v>0</v>
      </c>
      <c r="F10" s="17">
        <f t="shared" ref="F10:F11" si="3">+D10*50%</f>
        <v>0</v>
      </c>
      <c r="G10" s="195"/>
      <c r="H10" s="195"/>
      <c r="I10" s="195"/>
    </row>
    <row r="11" spans="1:25" ht="18.600000000000001" customHeight="1" x14ac:dyDescent="0.3">
      <c r="A11" s="218" t="s">
        <v>12</v>
      </c>
      <c r="B11" s="164"/>
      <c r="C11" s="165"/>
      <c r="D11" s="120">
        <v>5331</v>
      </c>
      <c r="E11" s="17">
        <f t="shared" si="2"/>
        <v>2665.5</v>
      </c>
      <c r="F11" s="17">
        <f t="shared" si="3"/>
        <v>2665.5</v>
      </c>
      <c r="G11" s="237" t="s">
        <v>72</v>
      </c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103741</v>
      </c>
      <c r="E12" s="7">
        <f>SUM(E9:E11)</f>
        <v>51870.5</v>
      </c>
      <c r="F12" s="7">
        <f t="shared" ref="F12" si="4">SUM(F9:F11)</f>
        <v>51870.5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32"/>
      <c r="G13" s="80"/>
      <c r="H13" s="6"/>
      <c r="I13" s="80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s="94" customFormat="1" x14ac:dyDescent="0.3">
      <c r="A15" s="218" t="s">
        <v>36</v>
      </c>
      <c r="B15" s="235"/>
      <c r="C15" s="236"/>
      <c r="D15" s="29">
        <v>0</v>
      </c>
      <c r="E15" s="91">
        <f>+D15*50%</f>
        <v>0</v>
      </c>
      <c r="F15" s="91">
        <f>+D15*50%</f>
        <v>0</v>
      </c>
      <c r="G15" s="228" t="s">
        <v>49</v>
      </c>
      <c r="H15" s="228"/>
      <c r="I15" s="228"/>
    </row>
    <row r="16" spans="1:25" s="94" customFormat="1" x14ac:dyDescent="0.3">
      <c r="A16" s="218" t="s">
        <v>35</v>
      </c>
      <c r="B16" s="235"/>
      <c r="C16" s="236"/>
      <c r="D16" s="29">
        <v>0</v>
      </c>
      <c r="E16" s="91">
        <f t="shared" ref="E16:E17" si="5">+D16*50%</f>
        <v>0</v>
      </c>
      <c r="F16" s="91">
        <f t="shared" ref="F16:F17" si="6">+D16*50%</f>
        <v>0</v>
      </c>
      <c r="G16" s="205" t="s">
        <v>38</v>
      </c>
      <c r="H16" s="205"/>
      <c r="I16" s="205"/>
    </row>
    <row r="17" spans="1:25" s="94" customFormat="1" x14ac:dyDescent="0.3">
      <c r="A17" s="218" t="s">
        <v>37</v>
      </c>
      <c r="B17" s="235"/>
      <c r="C17" s="236"/>
      <c r="D17" s="29">
        <v>0</v>
      </c>
      <c r="E17" s="91">
        <f t="shared" si="5"/>
        <v>0</v>
      </c>
      <c r="F17" s="91">
        <f t="shared" si="6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SUM(D15)</f>
        <v>0</v>
      </c>
      <c r="E18" s="7">
        <f>SUM(E15:E17)</f>
        <v>0</v>
      </c>
      <c r="F18" s="7">
        <f>SUM(F15:F17)</f>
        <v>0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MARZO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334370.5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334370.5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668741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55</v>
      </c>
      <c r="J25" s="26" t="s">
        <v>9</v>
      </c>
      <c r="K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103741</v>
      </c>
      <c r="F26" s="25">
        <v>1</v>
      </c>
      <c r="G26" s="60">
        <v>0</v>
      </c>
      <c r="H26" s="25">
        <v>0</v>
      </c>
      <c r="I26" s="60">
        <v>0</v>
      </c>
      <c r="J26" s="25">
        <v>0</v>
      </c>
      <c r="K26" s="64">
        <f>+C26+E26+G26+I26</f>
        <v>103741</v>
      </c>
    </row>
    <row r="27" spans="1:25" ht="19.5" customHeight="1" x14ac:dyDescent="0.3">
      <c r="A27" s="204" t="s">
        <v>21</v>
      </c>
      <c r="B27" s="187"/>
      <c r="C27" s="60">
        <v>565000</v>
      </c>
      <c r="D27" s="25">
        <v>1</v>
      </c>
      <c r="E27" s="60">
        <v>0</v>
      </c>
      <c r="F27" s="25">
        <v>0</v>
      </c>
      <c r="G27" s="60">
        <v>0</v>
      </c>
      <c r="H27" s="25">
        <v>0</v>
      </c>
      <c r="I27" s="60">
        <v>979074</v>
      </c>
      <c r="J27" s="25">
        <v>1</v>
      </c>
      <c r="K27" s="64">
        <f>+C27+E27+G27+I27</f>
        <v>1544074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10:C10"/>
    <mergeCell ref="A11:C11"/>
    <mergeCell ref="A12:C12"/>
    <mergeCell ref="A13:C13"/>
    <mergeCell ref="A4:C4"/>
    <mergeCell ref="A5:C5"/>
    <mergeCell ref="A6:C6"/>
    <mergeCell ref="A8:C8"/>
    <mergeCell ref="A9:C9"/>
    <mergeCell ref="A27:B27"/>
    <mergeCell ref="A15:C15"/>
    <mergeCell ref="A16:C16"/>
    <mergeCell ref="A17:C17"/>
    <mergeCell ref="A18:C18"/>
    <mergeCell ref="A20:B20"/>
    <mergeCell ref="A21:B21"/>
    <mergeCell ref="A22:B22"/>
    <mergeCell ref="A23:B23"/>
    <mergeCell ref="A25:B25"/>
    <mergeCell ref="A26:B26"/>
    <mergeCell ref="G15:I15"/>
    <mergeCell ref="G16:I16"/>
    <mergeCell ref="G17:I17"/>
    <mergeCell ref="A1:G2"/>
    <mergeCell ref="G9:I9"/>
    <mergeCell ref="G10:I10"/>
    <mergeCell ref="G11:I11"/>
    <mergeCell ref="G12:I12"/>
    <mergeCell ref="G14:I14"/>
    <mergeCell ref="G3:I3"/>
    <mergeCell ref="G4:I4"/>
    <mergeCell ref="G5:I5"/>
    <mergeCell ref="G6:I6"/>
    <mergeCell ref="G8:I8"/>
    <mergeCell ref="A14:C14"/>
    <mergeCell ref="A3:C3"/>
  </mergeCell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Y999"/>
  <sheetViews>
    <sheetView topLeftCell="A7" workbookViewId="0">
      <selection activeCell="E25" sqref="E25"/>
    </sheetView>
  </sheetViews>
  <sheetFormatPr baseColWidth="10" defaultColWidth="14.44140625" defaultRowHeight="14.4" x14ac:dyDescent="0.3"/>
  <cols>
    <col min="1" max="1" width="21.6640625" style="33" customWidth="1"/>
    <col min="2" max="3" width="15.6640625" style="33" customWidth="1"/>
    <col min="4" max="9" width="15.77734375" style="33" customWidth="1"/>
    <col min="10" max="10" width="20.6640625" style="33" customWidth="1"/>
    <col min="11" max="25" width="10" style="33" customWidth="1"/>
    <col min="26" max="16384" width="14.44140625" style="33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58</v>
      </c>
      <c r="I2" s="2">
        <v>2023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565000</v>
      </c>
      <c r="E4" s="18">
        <f>D4*50%</f>
        <v>282500</v>
      </c>
      <c r="F4" s="15">
        <f t="shared" ref="F4:F5" si="0">+D4*50%</f>
        <v>282500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>
        <f t="shared" ref="E5" si="1">D5*25%</f>
        <v>0</v>
      </c>
      <c r="F5" s="15">
        <f t="shared" si="0"/>
        <v>0</v>
      </c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565000</v>
      </c>
      <c r="E6" s="7">
        <f>SUM(E4:E5)</f>
        <v>282500</v>
      </c>
      <c r="F6" s="7">
        <f>SUM(F4:F5)</f>
        <v>282500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32"/>
      <c r="B7" s="32"/>
      <c r="C7" s="32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109765</v>
      </c>
      <c r="E9" s="17">
        <f>+D9*50%</f>
        <v>54882.5</v>
      </c>
      <c r="F9" s="17">
        <f>+D9*50%</f>
        <v>54882.5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2">+D10*50%</f>
        <v>0</v>
      </c>
      <c r="F10" s="17">
        <f t="shared" ref="F10:F11" si="3">+D10*50%</f>
        <v>0</v>
      </c>
      <c r="G10" s="195"/>
      <c r="H10" s="195"/>
      <c r="I10" s="195"/>
    </row>
    <row r="11" spans="1:25" ht="18" customHeight="1" x14ac:dyDescent="0.3">
      <c r="A11" s="218" t="s">
        <v>12</v>
      </c>
      <c r="B11" s="164"/>
      <c r="C11" s="165"/>
      <c r="D11" s="120">
        <v>251</v>
      </c>
      <c r="E11" s="17">
        <f t="shared" si="2"/>
        <v>125.5</v>
      </c>
      <c r="F11" s="17">
        <f t="shared" si="3"/>
        <v>125.5</v>
      </c>
      <c r="G11" s="237" t="s">
        <v>75</v>
      </c>
      <c r="H11" s="237"/>
      <c r="I11" s="237"/>
    </row>
    <row r="12" spans="1:25" x14ac:dyDescent="0.3">
      <c r="A12" s="219" t="s">
        <v>7</v>
      </c>
      <c r="B12" s="187"/>
      <c r="C12" s="188"/>
      <c r="D12" s="7">
        <f>+D9+D10+D11</f>
        <v>110016</v>
      </c>
      <c r="E12" s="7">
        <f>SUM(E9:E11)</f>
        <v>55008</v>
      </c>
      <c r="F12" s="7">
        <f t="shared" ref="F12" si="4">SUM(F9:F11)</f>
        <v>55008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32"/>
      <c r="G13" s="80"/>
      <c r="H13" s="6"/>
      <c r="I13" s="80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29">
        <v>26214.1</v>
      </c>
      <c r="E15" s="30">
        <f>+D15*50%</f>
        <v>13107.05</v>
      </c>
      <c r="F15" s="30">
        <f>+D15*50%</f>
        <v>13107.05</v>
      </c>
      <c r="G15" s="228" t="s">
        <v>66</v>
      </c>
      <c r="H15" s="228"/>
      <c r="I15" s="228"/>
    </row>
    <row r="16" spans="1:25" x14ac:dyDescent="0.3">
      <c r="A16" s="218" t="s">
        <v>35</v>
      </c>
      <c r="B16" s="164"/>
      <c r="C16" s="165"/>
      <c r="D16" s="29">
        <v>0</v>
      </c>
      <c r="E16" s="30">
        <f t="shared" ref="E16:E17" si="5">+D16*50%</f>
        <v>0</v>
      </c>
      <c r="F16" s="30">
        <f t="shared" ref="F16:F17" si="6">+D16*50%</f>
        <v>0</v>
      </c>
      <c r="G16" s="205" t="s">
        <v>38</v>
      </c>
      <c r="H16" s="205"/>
      <c r="I16" s="205"/>
    </row>
    <row r="17" spans="1:25" x14ac:dyDescent="0.3">
      <c r="A17" s="218" t="s">
        <v>37</v>
      </c>
      <c r="B17" s="164"/>
      <c r="C17" s="165"/>
      <c r="D17" s="29">
        <v>0</v>
      </c>
      <c r="E17" s="30">
        <f t="shared" si="5"/>
        <v>0</v>
      </c>
      <c r="F17" s="30">
        <f t="shared" si="6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SUM(D15)</f>
        <v>26214.1</v>
      </c>
      <c r="E18" s="7">
        <f>SUM(E15:E17)</f>
        <v>13107.05</v>
      </c>
      <c r="F18" s="7">
        <f>SUM(F15:F17)</f>
        <v>13107.05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ABRIL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350615.05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350615.05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701230.1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110016</v>
      </c>
      <c r="F26" s="25">
        <v>1</v>
      </c>
      <c r="G26" s="60">
        <f>+D18</f>
        <v>26214.1</v>
      </c>
      <c r="H26" s="25">
        <v>1</v>
      </c>
      <c r="I26" s="64">
        <f>+C26+E26+G26</f>
        <v>136230.1</v>
      </c>
    </row>
    <row r="27" spans="1:25" ht="19.5" customHeight="1" x14ac:dyDescent="0.3">
      <c r="A27" s="204" t="s">
        <v>21</v>
      </c>
      <c r="B27" s="187"/>
      <c r="C27" s="60">
        <f>+D6</f>
        <v>565000</v>
      </c>
      <c r="D27" s="25">
        <v>1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565000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10:C10"/>
    <mergeCell ref="A11:C11"/>
    <mergeCell ref="A12:C12"/>
    <mergeCell ref="A13:C13"/>
    <mergeCell ref="A4:C4"/>
    <mergeCell ref="A5:C5"/>
    <mergeCell ref="A6:C6"/>
    <mergeCell ref="A8:C8"/>
    <mergeCell ref="A9:C9"/>
    <mergeCell ref="A27:B27"/>
    <mergeCell ref="A15:C15"/>
    <mergeCell ref="A16:C16"/>
    <mergeCell ref="A17:C17"/>
    <mergeCell ref="A18:C18"/>
    <mergeCell ref="A20:B20"/>
    <mergeCell ref="A21:B21"/>
    <mergeCell ref="A22:B22"/>
    <mergeCell ref="A23:B23"/>
    <mergeCell ref="A25:B25"/>
    <mergeCell ref="A26:B26"/>
    <mergeCell ref="G15:I15"/>
    <mergeCell ref="G16:I16"/>
    <mergeCell ref="G17:I17"/>
    <mergeCell ref="A1:G2"/>
    <mergeCell ref="G9:I9"/>
    <mergeCell ref="G10:I10"/>
    <mergeCell ref="G11:I11"/>
    <mergeCell ref="G12:I12"/>
    <mergeCell ref="G14:I14"/>
    <mergeCell ref="G3:I3"/>
    <mergeCell ref="G4:I4"/>
    <mergeCell ref="G5:I5"/>
    <mergeCell ref="G6:I6"/>
    <mergeCell ref="G8:I8"/>
    <mergeCell ref="A14:C14"/>
    <mergeCell ref="A3:C3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Y999"/>
  <sheetViews>
    <sheetView topLeftCell="A4" workbookViewId="0">
      <selection activeCell="E25" sqref="E25"/>
    </sheetView>
  </sheetViews>
  <sheetFormatPr baseColWidth="10" defaultColWidth="14.44140625" defaultRowHeight="14.4" x14ac:dyDescent="0.3"/>
  <cols>
    <col min="1" max="1" width="21.6640625" style="59" customWidth="1"/>
    <col min="2" max="3" width="15.6640625" style="59" customWidth="1"/>
    <col min="4" max="9" width="15.77734375" style="59" customWidth="1"/>
    <col min="10" max="10" width="20.6640625" style="59" customWidth="1"/>
    <col min="11" max="25" width="10" style="59" customWidth="1"/>
    <col min="26" max="16384" width="14.44140625" style="59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59</v>
      </c>
      <c r="I2" s="2">
        <v>2023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565000</v>
      </c>
      <c r="E4" s="18">
        <f>D4*50%</f>
        <v>282500</v>
      </c>
      <c r="F4" s="15">
        <f t="shared" ref="F4:F5" si="0">+D4*50%</f>
        <v>282500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>
        <f t="shared" ref="E5" si="1">D5*25%</f>
        <v>0</v>
      </c>
      <c r="F5" s="15">
        <f t="shared" si="0"/>
        <v>0</v>
      </c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565000</v>
      </c>
      <c r="E6" s="7">
        <f>SUM(E4:E5)</f>
        <v>282500</v>
      </c>
      <c r="F6" s="7">
        <f>SUM(F4:F5)</f>
        <v>282500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58"/>
      <c r="B7" s="58"/>
      <c r="C7" s="58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134746</v>
      </c>
      <c r="E9" s="17">
        <f>+D9*50%</f>
        <v>67373</v>
      </c>
      <c r="F9" s="17">
        <f>+D9*50%</f>
        <v>67373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2">+D10*50%</f>
        <v>0</v>
      </c>
      <c r="F10" s="17">
        <f t="shared" ref="F10:F11" si="3">+D10*50%</f>
        <v>0</v>
      </c>
      <c r="G10" s="195"/>
      <c r="H10" s="195"/>
      <c r="I10" s="195"/>
    </row>
    <row r="11" spans="1:25" ht="18" customHeight="1" x14ac:dyDescent="0.3">
      <c r="A11" s="218" t="s">
        <v>12</v>
      </c>
      <c r="B11" s="164"/>
      <c r="C11" s="165"/>
      <c r="D11" s="120">
        <v>355</v>
      </c>
      <c r="E11" s="17">
        <f t="shared" si="2"/>
        <v>177.5</v>
      </c>
      <c r="F11" s="17">
        <f t="shared" si="3"/>
        <v>177.5</v>
      </c>
      <c r="G11" s="237" t="s">
        <v>75</v>
      </c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135101</v>
      </c>
      <c r="E12" s="7">
        <f>SUM(E9:E11)</f>
        <v>67550.5</v>
      </c>
      <c r="F12" s="7">
        <f t="shared" ref="F12" si="4">SUM(F9:F11)</f>
        <v>67550.5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58"/>
      <c r="G13" s="80"/>
      <c r="H13" s="6"/>
      <c r="I13" s="80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235"/>
      <c r="C15" s="236"/>
      <c r="D15" s="29">
        <v>5727.95</v>
      </c>
      <c r="E15" s="91">
        <f>+D15*50%</f>
        <v>2863.9749999999999</v>
      </c>
      <c r="F15" s="91">
        <f>+D15*50%</f>
        <v>2863.9749999999999</v>
      </c>
      <c r="G15" s="228" t="s">
        <v>67</v>
      </c>
      <c r="H15" s="228"/>
      <c r="I15" s="228"/>
    </row>
    <row r="16" spans="1:25" ht="19.8" customHeight="1" x14ac:dyDescent="0.3">
      <c r="A16" s="218" t="s">
        <v>35</v>
      </c>
      <c r="B16" s="235"/>
      <c r="C16" s="236"/>
      <c r="D16" s="29">
        <v>0</v>
      </c>
      <c r="E16" s="91">
        <f t="shared" ref="E16:E17" si="5">+D16*50%</f>
        <v>0</v>
      </c>
      <c r="F16" s="91">
        <f t="shared" ref="F16:F17" si="6">+D16*50%</f>
        <v>0</v>
      </c>
      <c r="G16" s="205" t="s">
        <v>38</v>
      </c>
      <c r="H16" s="205"/>
      <c r="I16" s="205"/>
    </row>
    <row r="17" spans="1:25" ht="18.600000000000001" customHeight="1" x14ac:dyDescent="0.3">
      <c r="A17" s="218" t="s">
        <v>37</v>
      </c>
      <c r="B17" s="235"/>
      <c r="C17" s="236"/>
      <c r="D17" s="29">
        <v>0</v>
      </c>
      <c r="E17" s="91">
        <f t="shared" si="5"/>
        <v>0</v>
      </c>
      <c r="F17" s="91">
        <f t="shared" si="6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SUM(D15)</f>
        <v>5727.95</v>
      </c>
      <c r="E18" s="7">
        <f>SUM(E15:E17)</f>
        <v>2863.9749999999999</v>
      </c>
      <c r="F18" s="7">
        <f>SUM(F15:F17)</f>
        <v>2863.9749999999999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MAYO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352914.47499999998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352914.47499999998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705828.95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135101</v>
      </c>
      <c r="F26" s="25">
        <v>1</v>
      </c>
      <c r="G26" s="60">
        <f>+D18</f>
        <v>5727.95</v>
      </c>
      <c r="H26" s="25">
        <v>1</v>
      </c>
      <c r="I26" s="64">
        <f>+C26+E26+G26</f>
        <v>140828.95000000001</v>
      </c>
    </row>
    <row r="27" spans="1:25" ht="19.5" customHeight="1" x14ac:dyDescent="0.3">
      <c r="A27" s="204" t="s">
        <v>21</v>
      </c>
      <c r="B27" s="187"/>
      <c r="C27" s="60">
        <f>+D6</f>
        <v>565000</v>
      </c>
      <c r="D27" s="25">
        <v>1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565000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10:C10"/>
    <mergeCell ref="A11:C11"/>
    <mergeCell ref="A12:C12"/>
    <mergeCell ref="A13:C13"/>
    <mergeCell ref="A27:B27"/>
    <mergeCell ref="A15:C15"/>
    <mergeCell ref="A16:C16"/>
    <mergeCell ref="A17:C17"/>
    <mergeCell ref="A18:C18"/>
    <mergeCell ref="A20:B20"/>
    <mergeCell ref="A21:B21"/>
    <mergeCell ref="A22:B22"/>
    <mergeCell ref="A23:B23"/>
    <mergeCell ref="A25:B25"/>
    <mergeCell ref="A26:B26"/>
    <mergeCell ref="A4:C4"/>
    <mergeCell ref="A5:C5"/>
    <mergeCell ref="A6:C6"/>
    <mergeCell ref="A8:C8"/>
    <mergeCell ref="A9:C9"/>
    <mergeCell ref="G15:I15"/>
    <mergeCell ref="G16:I16"/>
    <mergeCell ref="G17:I17"/>
    <mergeCell ref="A1:G2"/>
    <mergeCell ref="G9:I9"/>
    <mergeCell ref="G10:I10"/>
    <mergeCell ref="G11:I11"/>
    <mergeCell ref="G12:I12"/>
    <mergeCell ref="G14:I14"/>
    <mergeCell ref="G3:I3"/>
    <mergeCell ref="G4:I4"/>
    <mergeCell ref="G5:I5"/>
    <mergeCell ref="G6:I6"/>
    <mergeCell ref="G8:I8"/>
    <mergeCell ref="A14:C14"/>
    <mergeCell ref="A3:C3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Y999"/>
  <sheetViews>
    <sheetView topLeftCell="A10" workbookViewId="0">
      <selection activeCell="E25" sqref="E25"/>
    </sheetView>
  </sheetViews>
  <sheetFormatPr baseColWidth="10" defaultColWidth="14.44140625" defaultRowHeight="14.4" x14ac:dyDescent="0.3"/>
  <cols>
    <col min="1" max="1" width="21.6640625" style="77" customWidth="1"/>
    <col min="2" max="3" width="15.6640625" style="77" customWidth="1"/>
    <col min="4" max="9" width="15.77734375" style="77" customWidth="1"/>
    <col min="10" max="10" width="20.6640625" style="77" customWidth="1"/>
    <col min="11" max="25" width="10" style="77" customWidth="1"/>
    <col min="26" max="16384" width="14.44140625" style="77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60</v>
      </c>
      <c r="I2" s="2">
        <v>2023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762750</v>
      </c>
      <c r="E4" s="18">
        <f>D4*50%</f>
        <v>381375</v>
      </c>
      <c r="F4" s="15">
        <f t="shared" ref="F4:F5" si="0">+D4*50%</f>
        <v>381375</v>
      </c>
      <c r="G4" s="229"/>
      <c r="H4" s="229"/>
      <c r="I4" s="229"/>
    </row>
    <row r="5" spans="1:25" ht="19.5" customHeight="1" x14ac:dyDescent="0.3">
      <c r="A5" s="230"/>
      <c r="B5" s="175"/>
      <c r="C5" s="175"/>
      <c r="D5" s="20"/>
      <c r="E5" s="18">
        <f t="shared" ref="E5" si="1">D5*25%</f>
        <v>0</v>
      </c>
      <c r="F5" s="15">
        <f t="shared" si="0"/>
        <v>0</v>
      </c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762750</v>
      </c>
      <c r="E6" s="7">
        <f>SUM(E4:E5)</f>
        <v>381375</v>
      </c>
      <c r="F6" s="7">
        <f>SUM(F4:F5)</f>
        <v>381375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76"/>
      <c r="B7" s="76"/>
      <c r="C7" s="76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157427</v>
      </c>
      <c r="E9" s="17">
        <f>+D9*50%</f>
        <v>78713.5</v>
      </c>
      <c r="F9" s="17">
        <f>+D9*50%</f>
        <v>78713.5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2">+D10*50%</f>
        <v>0</v>
      </c>
      <c r="F10" s="17">
        <f t="shared" ref="F10:F11" si="3">+D10*50%</f>
        <v>0</v>
      </c>
      <c r="G10" s="195"/>
      <c r="H10" s="195"/>
      <c r="I10" s="195"/>
    </row>
    <row r="11" spans="1:25" ht="18" customHeight="1" x14ac:dyDescent="0.3">
      <c r="A11" s="218" t="s">
        <v>74</v>
      </c>
      <c r="B11" s="164"/>
      <c r="C11" s="165"/>
      <c r="D11" s="120">
        <v>246</v>
      </c>
      <c r="E11" s="17">
        <f t="shared" si="2"/>
        <v>123</v>
      </c>
      <c r="F11" s="17">
        <f t="shared" si="3"/>
        <v>123</v>
      </c>
      <c r="G11" s="237" t="s">
        <v>73</v>
      </c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157673</v>
      </c>
      <c r="E12" s="7">
        <f>SUM(E9:E11)</f>
        <v>78836.5</v>
      </c>
      <c r="F12" s="7">
        <f t="shared" ref="F12" si="4">SUM(F9:F11)</f>
        <v>78836.5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76"/>
      <c r="G13" s="80"/>
      <c r="H13" s="6"/>
      <c r="I13" s="80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ht="19.95" customHeight="1" x14ac:dyDescent="0.3">
      <c r="A15" s="218" t="s">
        <v>36</v>
      </c>
      <c r="B15" s="164"/>
      <c r="C15" s="165"/>
      <c r="D15" s="11">
        <v>5985.71</v>
      </c>
      <c r="E15" s="17">
        <f>+D15*50%</f>
        <v>2992.855</v>
      </c>
      <c r="F15" s="17">
        <f>+D15*50%</f>
        <v>2992.855</v>
      </c>
      <c r="G15" s="228" t="s">
        <v>67</v>
      </c>
      <c r="H15" s="228"/>
      <c r="I15" s="228"/>
    </row>
    <row r="16" spans="1:25" ht="19.95" customHeight="1" x14ac:dyDescent="0.3">
      <c r="A16" s="204" t="s">
        <v>35</v>
      </c>
      <c r="B16" s="187"/>
      <c r="C16" s="188"/>
      <c r="D16" s="11">
        <v>0</v>
      </c>
      <c r="E16" s="17">
        <f t="shared" ref="E16:E17" si="5">+D16*50%</f>
        <v>0</v>
      </c>
      <c r="F16" s="17">
        <f t="shared" ref="F16:F17" si="6">+D16*50%</f>
        <v>0</v>
      </c>
      <c r="G16" s="205" t="s">
        <v>38</v>
      </c>
      <c r="H16" s="205"/>
      <c r="I16" s="205"/>
    </row>
    <row r="17" spans="1:25" s="38" customFormat="1" ht="19.95" customHeight="1" x14ac:dyDescent="0.3">
      <c r="A17" s="218" t="s">
        <v>37</v>
      </c>
      <c r="B17" s="164"/>
      <c r="C17" s="165"/>
      <c r="D17" s="29">
        <v>0</v>
      </c>
      <c r="E17" s="30">
        <f t="shared" si="5"/>
        <v>0</v>
      </c>
      <c r="F17" s="30">
        <f t="shared" si="6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SUM(D15)</f>
        <v>5985.71</v>
      </c>
      <c r="E18" s="7">
        <f>SUM(E15:E17)</f>
        <v>2992.855</v>
      </c>
      <c r="F18" s="7">
        <f>SUM(F15:F17)</f>
        <v>2992.855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JUNIO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463204.35499999998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463204.35499999998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926408.71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762750</v>
      </c>
      <c r="D26" s="25">
        <v>0</v>
      </c>
      <c r="E26" s="60">
        <f>+D12</f>
        <v>157673</v>
      </c>
      <c r="F26" s="25">
        <v>1</v>
      </c>
      <c r="G26" s="60">
        <f>+D18</f>
        <v>5985.71</v>
      </c>
      <c r="H26" s="25">
        <v>1</v>
      </c>
      <c r="I26" s="64">
        <f>+C26+E26+G26</f>
        <v>926408.71</v>
      </c>
    </row>
    <row r="27" spans="1:25" ht="19.5" customHeight="1" x14ac:dyDescent="0.3">
      <c r="A27" s="204" t="s">
        <v>21</v>
      </c>
      <c r="B27" s="187"/>
      <c r="C27" s="60">
        <v>0</v>
      </c>
      <c r="D27" s="25">
        <v>0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10:C10"/>
    <mergeCell ref="A11:C11"/>
    <mergeCell ref="A12:C12"/>
    <mergeCell ref="A13:C13"/>
    <mergeCell ref="A4:C4"/>
    <mergeCell ref="A5:C5"/>
    <mergeCell ref="A6:C6"/>
    <mergeCell ref="A8:C8"/>
    <mergeCell ref="A9:C9"/>
    <mergeCell ref="A27:B27"/>
    <mergeCell ref="A15:C15"/>
    <mergeCell ref="A16:C16"/>
    <mergeCell ref="A17:C17"/>
    <mergeCell ref="A18:C18"/>
    <mergeCell ref="A20:B20"/>
    <mergeCell ref="A21:B21"/>
    <mergeCell ref="A22:B22"/>
    <mergeCell ref="A23:B23"/>
    <mergeCell ref="A25:B25"/>
    <mergeCell ref="A26:B26"/>
    <mergeCell ref="G15:I15"/>
    <mergeCell ref="G16:I16"/>
    <mergeCell ref="G17:I17"/>
    <mergeCell ref="A1:G2"/>
    <mergeCell ref="G9:I9"/>
    <mergeCell ref="G10:I10"/>
    <mergeCell ref="G11:I11"/>
    <mergeCell ref="G12:I12"/>
    <mergeCell ref="G14:I14"/>
    <mergeCell ref="G3:I3"/>
    <mergeCell ref="G4:I4"/>
    <mergeCell ref="G5:I5"/>
    <mergeCell ref="G6:I6"/>
    <mergeCell ref="G8:I8"/>
    <mergeCell ref="A14:C14"/>
    <mergeCell ref="A3:C3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Y999"/>
  <sheetViews>
    <sheetView topLeftCell="A7" workbookViewId="0">
      <selection activeCell="E25" sqref="E25"/>
    </sheetView>
  </sheetViews>
  <sheetFormatPr baseColWidth="10" defaultColWidth="14.44140625" defaultRowHeight="14.4" x14ac:dyDescent="0.3"/>
  <cols>
    <col min="1" max="1" width="21.6640625" style="77" customWidth="1"/>
    <col min="2" max="3" width="15.6640625" style="77" customWidth="1"/>
    <col min="4" max="9" width="15.77734375" style="77" customWidth="1"/>
    <col min="10" max="10" width="20.6640625" style="77" customWidth="1"/>
    <col min="11" max="25" width="10" style="77" customWidth="1"/>
    <col min="26" max="16384" width="14.44140625" style="77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61</v>
      </c>
      <c r="I2" s="2">
        <v>2023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762750</v>
      </c>
      <c r="E4" s="18">
        <f>D4*50%</f>
        <v>381375</v>
      </c>
      <c r="F4" s="15">
        <f t="shared" ref="F4:F5" si="0">+D4*50%</f>
        <v>381375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>
        <f t="shared" ref="E5" si="1">D5*25%</f>
        <v>0</v>
      </c>
      <c r="F5" s="15">
        <f t="shared" si="0"/>
        <v>0</v>
      </c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762750</v>
      </c>
      <c r="E6" s="7">
        <f>SUM(E4:E5)</f>
        <v>381375</v>
      </c>
      <c r="F6" s="7">
        <f>SUM(F4:F5)</f>
        <v>381375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76"/>
      <c r="B7" s="76"/>
      <c r="C7" s="76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178078</v>
      </c>
      <c r="E9" s="17">
        <f>+D9*50%</f>
        <v>89039</v>
      </c>
      <c r="F9" s="17">
        <f>+D9*50%</f>
        <v>89039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2">+D10*50%</f>
        <v>0</v>
      </c>
      <c r="F10" s="17">
        <f t="shared" ref="F10:F11" si="3">+D10*50%</f>
        <v>0</v>
      </c>
      <c r="G10" s="195"/>
      <c r="H10" s="195"/>
      <c r="I10" s="195"/>
    </row>
    <row r="11" spans="1:25" ht="18" customHeight="1" x14ac:dyDescent="0.3">
      <c r="A11" s="218" t="s">
        <v>12</v>
      </c>
      <c r="B11" s="164"/>
      <c r="C11" s="165"/>
      <c r="D11" s="120">
        <v>104</v>
      </c>
      <c r="E11" s="17">
        <f t="shared" si="2"/>
        <v>52</v>
      </c>
      <c r="F11" s="17">
        <f t="shared" si="3"/>
        <v>52</v>
      </c>
      <c r="G11" s="237"/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178182</v>
      </c>
      <c r="E12" s="7">
        <f>SUM(E9:E11)</f>
        <v>89091</v>
      </c>
      <c r="F12" s="7">
        <f t="shared" ref="F12" si="4">SUM(F9:F11)</f>
        <v>89091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76"/>
      <c r="G13" s="80"/>
      <c r="H13" s="6"/>
      <c r="I13" s="80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29">
        <f>6255.07+437.75</f>
        <v>6692.82</v>
      </c>
      <c r="E15" s="30">
        <f>+D15*50%</f>
        <v>3346.41</v>
      </c>
      <c r="F15" s="30">
        <f>+D15*50%</f>
        <v>3346.41</v>
      </c>
      <c r="G15" s="228" t="s">
        <v>67</v>
      </c>
      <c r="H15" s="228"/>
      <c r="I15" s="228"/>
    </row>
    <row r="16" spans="1:25" ht="19.8" customHeight="1" x14ac:dyDescent="0.3">
      <c r="A16" s="218" t="s">
        <v>35</v>
      </c>
      <c r="B16" s="164"/>
      <c r="C16" s="165"/>
      <c r="D16" s="29">
        <v>0</v>
      </c>
      <c r="E16" s="30">
        <f t="shared" ref="E16:E17" si="5">+D16*50%</f>
        <v>0</v>
      </c>
      <c r="F16" s="30">
        <f t="shared" ref="F16:F17" si="6">+D16*50%</f>
        <v>0</v>
      </c>
      <c r="G16" s="205" t="s">
        <v>38</v>
      </c>
      <c r="H16" s="205"/>
      <c r="I16" s="205"/>
    </row>
    <row r="17" spans="1:25" ht="20.399999999999999" customHeight="1" x14ac:dyDescent="0.3">
      <c r="A17" s="218" t="s">
        <v>37</v>
      </c>
      <c r="B17" s="164"/>
      <c r="C17" s="165"/>
      <c r="D17" s="29">
        <v>0</v>
      </c>
      <c r="E17" s="30">
        <f t="shared" si="5"/>
        <v>0</v>
      </c>
      <c r="F17" s="30">
        <f t="shared" si="6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SUM(D15)</f>
        <v>6692.82</v>
      </c>
      <c r="E18" s="7">
        <f>SUM(E15:E17)</f>
        <v>3346.41</v>
      </c>
      <c r="F18" s="7">
        <f>SUM(F15:F17)</f>
        <v>3346.41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JULIO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473812.41000000003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473812.41000000003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947624.82000000007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762750</v>
      </c>
      <c r="D26" s="25">
        <v>1</v>
      </c>
      <c r="E26" s="60">
        <f>+D12</f>
        <v>178182</v>
      </c>
      <c r="F26" s="25">
        <v>1</v>
      </c>
      <c r="G26" s="60">
        <f>+D18</f>
        <v>6692.82</v>
      </c>
      <c r="H26" s="25">
        <v>1</v>
      </c>
      <c r="I26" s="64">
        <f>+C26+E26+G26</f>
        <v>947624.82</v>
      </c>
    </row>
    <row r="27" spans="1:25" ht="19.5" customHeight="1" x14ac:dyDescent="0.3">
      <c r="A27" s="204" t="s">
        <v>21</v>
      </c>
      <c r="B27" s="187"/>
      <c r="C27" s="60">
        <v>0</v>
      </c>
      <c r="D27" s="25">
        <v>0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10:C10"/>
    <mergeCell ref="A11:C11"/>
    <mergeCell ref="A12:C12"/>
    <mergeCell ref="A13:C13"/>
    <mergeCell ref="A4:C4"/>
    <mergeCell ref="A5:C5"/>
    <mergeCell ref="A6:C6"/>
    <mergeCell ref="A8:C8"/>
    <mergeCell ref="A9:C9"/>
    <mergeCell ref="A27:B27"/>
    <mergeCell ref="A15:C15"/>
    <mergeCell ref="A16:C16"/>
    <mergeCell ref="A17:C17"/>
    <mergeCell ref="A18:C18"/>
    <mergeCell ref="A20:B20"/>
    <mergeCell ref="A21:B21"/>
    <mergeCell ref="A22:B22"/>
    <mergeCell ref="A23:B23"/>
    <mergeCell ref="A25:B25"/>
    <mergeCell ref="A26:B26"/>
    <mergeCell ref="G15:I15"/>
    <mergeCell ref="G16:I16"/>
    <mergeCell ref="G17:I17"/>
    <mergeCell ref="A1:G2"/>
    <mergeCell ref="G9:I9"/>
    <mergeCell ref="G10:I10"/>
    <mergeCell ref="G11:I11"/>
    <mergeCell ref="G12:I12"/>
    <mergeCell ref="G14:I14"/>
    <mergeCell ref="G3:I3"/>
    <mergeCell ref="G4:I4"/>
    <mergeCell ref="G5:I5"/>
    <mergeCell ref="G6:I6"/>
    <mergeCell ref="G8:I8"/>
    <mergeCell ref="A14:C14"/>
    <mergeCell ref="A3:C3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Y999"/>
  <sheetViews>
    <sheetView topLeftCell="A4" workbookViewId="0">
      <selection activeCell="E25" sqref="E25"/>
    </sheetView>
  </sheetViews>
  <sheetFormatPr baseColWidth="10" defaultColWidth="14.44140625" defaultRowHeight="14.4" x14ac:dyDescent="0.3"/>
  <cols>
    <col min="1" max="1" width="21.6640625" style="79" customWidth="1"/>
    <col min="2" max="3" width="15.6640625" style="79" customWidth="1"/>
    <col min="4" max="9" width="15.77734375" style="79" customWidth="1"/>
    <col min="10" max="10" width="20.6640625" style="79" customWidth="1"/>
    <col min="11" max="25" width="10" style="79" customWidth="1"/>
    <col min="26" max="16384" width="14.44140625" style="79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62</v>
      </c>
      <c r="I2" s="2">
        <v>2023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762750</v>
      </c>
      <c r="E4" s="18">
        <f>D4*50%</f>
        <v>381375</v>
      </c>
      <c r="F4" s="15">
        <f t="shared" ref="F4:F5" si="0">+D4*50%</f>
        <v>381375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>
        <v>0</v>
      </c>
      <c r="E5" s="18">
        <f t="shared" ref="E5" si="1">D5*25%</f>
        <v>0</v>
      </c>
      <c r="F5" s="15">
        <f t="shared" si="0"/>
        <v>0</v>
      </c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762750</v>
      </c>
      <c r="E6" s="7">
        <f>SUM(E4:E5)</f>
        <v>381375</v>
      </c>
      <c r="F6" s="7">
        <f>SUM(F4:F5)</f>
        <v>381375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78"/>
      <c r="B7" s="78"/>
      <c r="C7" s="78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192231</v>
      </c>
      <c r="E9" s="17">
        <f>+D9*50%</f>
        <v>96115.5</v>
      </c>
      <c r="F9" s="17">
        <f>+D9*50%</f>
        <v>96115.5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2">+D10*50%</f>
        <v>0</v>
      </c>
      <c r="F10" s="17">
        <f t="shared" ref="F10:F11" si="3">+D10*50%</f>
        <v>0</v>
      </c>
      <c r="G10" s="195"/>
      <c r="H10" s="195"/>
      <c r="I10" s="195"/>
    </row>
    <row r="11" spans="1:25" ht="18" customHeight="1" x14ac:dyDescent="0.3">
      <c r="A11" s="218" t="s">
        <v>12</v>
      </c>
      <c r="B11" s="164"/>
      <c r="C11" s="165"/>
      <c r="D11" s="120">
        <v>584</v>
      </c>
      <c r="E11" s="17">
        <f t="shared" si="2"/>
        <v>292</v>
      </c>
      <c r="F11" s="17">
        <f t="shared" si="3"/>
        <v>292</v>
      </c>
      <c r="G11" s="237"/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192815</v>
      </c>
      <c r="E12" s="7">
        <f>SUM(E9:E11)</f>
        <v>96407.5</v>
      </c>
      <c r="F12" s="7">
        <f t="shared" ref="F12" si="4">SUM(F9:F11)</f>
        <v>96407.5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78"/>
      <c r="G13" s="80"/>
      <c r="H13" s="6"/>
      <c r="I13" s="80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f>11095.04+493.53</f>
        <v>11588.570000000002</v>
      </c>
      <c r="E15" s="30">
        <f>+D15*50%</f>
        <v>5794.2850000000008</v>
      </c>
      <c r="F15" s="30">
        <f>+D15*50%</f>
        <v>5794.2850000000008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5">+D16*50%</f>
        <v>0</v>
      </c>
      <c r="F16" s="30">
        <f t="shared" ref="F16:F17" si="6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5"/>
        <v>0</v>
      </c>
      <c r="F17" s="30">
        <f t="shared" si="6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SUM(D15)</f>
        <v>11588.570000000002</v>
      </c>
      <c r="E18" s="7">
        <f>SUM(E15:E17)</f>
        <v>5794.2850000000008</v>
      </c>
      <c r="F18" s="7">
        <f>SUM(F15:F17)</f>
        <v>5794.2850000000008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AGOSTO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483576.78500000003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483576.78500000003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967153.57000000007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762750</v>
      </c>
      <c r="D26" s="25">
        <v>1</v>
      </c>
      <c r="E26" s="60">
        <f>+D12</f>
        <v>192815</v>
      </c>
      <c r="F26" s="25">
        <v>1</v>
      </c>
      <c r="G26" s="60">
        <f>+D18</f>
        <v>11588.570000000002</v>
      </c>
      <c r="H26" s="25">
        <v>1</v>
      </c>
      <c r="I26" s="64">
        <f>+C26+E26+G26</f>
        <v>967153.57</v>
      </c>
    </row>
    <row r="27" spans="1:25" ht="19.5" customHeight="1" x14ac:dyDescent="0.3">
      <c r="A27" s="204" t="s">
        <v>21</v>
      </c>
      <c r="B27" s="187"/>
      <c r="C27" s="60">
        <v>0</v>
      </c>
      <c r="D27" s="25">
        <v>0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10:C10"/>
    <mergeCell ref="A11:C11"/>
    <mergeCell ref="A12:C12"/>
    <mergeCell ref="A13:C13"/>
    <mergeCell ref="A27:B27"/>
    <mergeCell ref="A15:C15"/>
    <mergeCell ref="A16:C16"/>
    <mergeCell ref="A17:C17"/>
    <mergeCell ref="A18:C18"/>
    <mergeCell ref="A20:B20"/>
    <mergeCell ref="A21:B21"/>
    <mergeCell ref="A22:B22"/>
    <mergeCell ref="A23:B23"/>
    <mergeCell ref="A25:B25"/>
    <mergeCell ref="A26:B26"/>
    <mergeCell ref="A4:C4"/>
    <mergeCell ref="A5:C5"/>
    <mergeCell ref="A6:C6"/>
    <mergeCell ref="A8:C8"/>
    <mergeCell ref="A9:C9"/>
    <mergeCell ref="G15:I15"/>
    <mergeCell ref="G16:I16"/>
    <mergeCell ref="G17:I17"/>
    <mergeCell ref="A1:G2"/>
    <mergeCell ref="G9:I9"/>
    <mergeCell ref="G10:I10"/>
    <mergeCell ref="G11:I11"/>
    <mergeCell ref="G12:I12"/>
    <mergeCell ref="G14:I14"/>
    <mergeCell ref="G3:I3"/>
    <mergeCell ref="G4:I4"/>
    <mergeCell ref="G5:I5"/>
    <mergeCell ref="G6:I6"/>
    <mergeCell ref="G8:I8"/>
    <mergeCell ref="A14:C14"/>
    <mergeCell ref="A3:C3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Y999"/>
  <sheetViews>
    <sheetView topLeftCell="A7" workbookViewId="0">
      <selection activeCell="E25" sqref="E25"/>
    </sheetView>
  </sheetViews>
  <sheetFormatPr baseColWidth="10" defaultColWidth="14.44140625" defaultRowHeight="14.4" x14ac:dyDescent="0.3"/>
  <cols>
    <col min="1" max="1" width="21.6640625" style="90" customWidth="1"/>
    <col min="2" max="3" width="15.6640625" style="90" customWidth="1"/>
    <col min="4" max="9" width="15.77734375" style="90" customWidth="1"/>
    <col min="10" max="10" width="20.6640625" style="90" customWidth="1"/>
    <col min="11" max="25" width="10" style="90" customWidth="1"/>
    <col min="26" max="16384" width="14.44140625" style="90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63</v>
      </c>
      <c r="I2" s="2">
        <v>2023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759750</v>
      </c>
      <c r="E4" s="18">
        <f>D4*50%</f>
        <v>379875</v>
      </c>
      <c r="F4" s="15">
        <f t="shared" ref="F4:F5" si="0">+D4*50%</f>
        <v>379875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>
        <f t="shared" ref="E5" si="1">D5*25%</f>
        <v>0</v>
      </c>
      <c r="F5" s="15">
        <f t="shared" si="0"/>
        <v>0</v>
      </c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759750</v>
      </c>
      <c r="E6" s="7">
        <f>SUM(E4:E5)</f>
        <v>379875</v>
      </c>
      <c r="F6" s="7">
        <f>SUM(F4:F5)</f>
        <v>379875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89"/>
      <c r="B7" s="89"/>
      <c r="C7" s="89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211133</v>
      </c>
      <c r="E9" s="17">
        <f>+D9*50%</f>
        <v>105566.5</v>
      </c>
      <c r="F9" s="17">
        <f>+D9*50%</f>
        <v>105566.5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2">+D10*50%</f>
        <v>0</v>
      </c>
      <c r="F10" s="17">
        <f t="shared" ref="F10:F11" si="3">+D10*50%</f>
        <v>0</v>
      </c>
      <c r="G10" s="195"/>
      <c r="H10" s="195"/>
      <c r="I10" s="195"/>
    </row>
    <row r="11" spans="1:25" ht="18" customHeight="1" x14ac:dyDescent="0.3">
      <c r="A11" s="218" t="s">
        <v>12</v>
      </c>
      <c r="B11" s="164"/>
      <c r="C11" s="165"/>
      <c r="D11" s="120">
        <v>3377</v>
      </c>
      <c r="E11" s="17">
        <f t="shared" si="2"/>
        <v>1688.5</v>
      </c>
      <c r="F11" s="17">
        <f t="shared" si="3"/>
        <v>1688.5</v>
      </c>
      <c r="G11" s="237"/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214510</v>
      </c>
      <c r="E12" s="7">
        <f>SUM(E9:E11)</f>
        <v>107255</v>
      </c>
      <c r="F12" s="7">
        <f t="shared" ref="F12" si="4">SUM(F9:F11)</f>
        <v>107255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89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12446.04</v>
      </c>
      <c r="E15" s="30">
        <f>+D15*50%</f>
        <v>6223.02</v>
      </c>
      <c r="F15" s="30">
        <f>+D15*50%</f>
        <v>6223.02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5">+D16*50%</f>
        <v>0</v>
      </c>
      <c r="F16" s="30">
        <f t="shared" ref="F16:F17" si="6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5"/>
        <v>0</v>
      </c>
      <c r="F17" s="30">
        <f t="shared" si="6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SUM(D15)</f>
        <v>12446.04</v>
      </c>
      <c r="E18" s="7">
        <f>SUM(E15:E17)</f>
        <v>6223.02</v>
      </c>
      <c r="F18" s="7">
        <f>SUM(F15:F17)</f>
        <v>6223.02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SEPTIEMBRE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493353.02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493353.02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986706.04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214510</v>
      </c>
      <c r="F26" s="25">
        <v>1</v>
      </c>
      <c r="G26" s="60">
        <f>+D18</f>
        <v>12446.04</v>
      </c>
      <c r="H26" s="25">
        <v>1</v>
      </c>
      <c r="I26" s="64">
        <f>+C26+E26+G26</f>
        <v>226956.04</v>
      </c>
    </row>
    <row r="27" spans="1:25" ht="19.5" customHeight="1" x14ac:dyDescent="0.3">
      <c r="A27" s="204" t="s">
        <v>21</v>
      </c>
      <c r="B27" s="187"/>
      <c r="C27" s="60">
        <v>759750</v>
      </c>
      <c r="D27" s="25">
        <v>1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759750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23:B23"/>
    <mergeCell ref="A25:B25"/>
    <mergeCell ref="A26:B26"/>
    <mergeCell ref="A27:B27"/>
    <mergeCell ref="A17:C17"/>
    <mergeCell ref="G17:I17"/>
    <mergeCell ref="A18:C18"/>
    <mergeCell ref="A20:B20"/>
    <mergeCell ref="A21:B21"/>
    <mergeCell ref="A22:B22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A6:C6"/>
    <mergeCell ref="G6:I6"/>
    <mergeCell ref="A8:C8"/>
    <mergeCell ref="G8:I8"/>
    <mergeCell ref="A9:C9"/>
    <mergeCell ref="G9:I9"/>
    <mergeCell ref="A5:C5"/>
    <mergeCell ref="G5:I5"/>
    <mergeCell ref="A1:G2"/>
    <mergeCell ref="A3:C3"/>
    <mergeCell ref="G3:I3"/>
    <mergeCell ref="A4:C4"/>
    <mergeCell ref="G4:I4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Y999"/>
  <sheetViews>
    <sheetView topLeftCell="A7" workbookViewId="0">
      <selection activeCell="E25" sqref="E25"/>
    </sheetView>
  </sheetViews>
  <sheetFormatPr baseColWidth="10" defaultColWidth="14.44140625" defaultRowHeight="14.4" x14ac:dyDescent="0.3"/>
  <cols>
    <col min="1" max="1" width="21.6640625" style="90" customWidth="1"/>
    <col min="2" max="3" width="15.6640625" style="90" customWidth="1"/>
    <col min="4" max="9" width="15.77734375" style="90" customWidth="1"/>
    <col min="10" max="10" width="20.6640625" style="90" customWidth="1"/>
    <col min="11" max="25" width="10" style="90" customWidth="1"/>
    <col min="26" max="16384" width="14.44140625" style="90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64</v>
      </c>
      <c r="I2" s="2">
        <v>2023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f>+'SEPTIEMBRE 2023 '!D4</f>
        <v>759750</v>
      </c>
      <c r="E4" s="18">
        <f>D4*50%</f>
        <v>379875</v>
      </c>
      <c r="F4" s="15">
        <f t="shared" ref="F4:F5" si="0">+D4*50%</f>
        <v>379875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>
        <f t="shared" ref="E5" si="1">D5*25%</f>
        <v>0</v>
      </c>
      <c r="F5" s="15">
        <f t="shared" si="0"/>
        <v>0</v>
      </c>
      <c r="G5" s="237"/>
      <c r="H5" s="237"/>
      <c r="I5" s="237"/>
    </row>
    <row r="6" spans="1:25" x14ac:dyDescent="0.3">
      <c r="A6" s="219" t="s">
        <v>7</v>
      </c>
      <c r="B6" s="187"/>
      <c r="C6" s="188"/>
      <c r="D6" s="19">
        <f>SUM(D4:D5)</f>
        <v>759750</v>
      </c>
      <c r="E6" s="7">
        <f>SUM(E4:E5)</f>
        <v>379875</v>
      </c>
      <c r="F6" s="7">
        <f>SUM(F4:F5)</f>
        <v>379875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89"/>
      <c r="B7" s="89"/>
      <c r="C7" s="89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226440</v>
      </c>
      <c r="E9" s="17">
        <f>+D9*50%</f>
        <v>113220</v>
      </c>
      <c r="F9" s="17">
        <f>+D9*50%</f>
        <v>113220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2">+D10*50%</f>
        <v>0</v>
      </c>
      <c r="F10" s="17">
        <f t="shared" ref="F10:F11" si="3">+D10*50%</f>
        <v>0</v>
      </c>
      <c r="G10" s="195"/>
      <c r="H10" s="195"/>
      <c r="I10" s="195"/>
    </row>
    <row r="11" spans="1:25" ht="18" customHeight="1" x14ac:dyDescent="0.3">
      <c r="A11" s="218" t="s">
        <v>12</v>
      </c>
      <c r="B11" s="164"/>
      <c r="C11" s="165"/>
      <c r="D11" s="120">
        <v>6890</v>
      </c>
      <c r="E11" s="17">
        <f t="shared" si="2"/>
        <v>3445</v>
      </c>
      <c r="F11" s="17">
        <f t="shared" si="3"/>
        <v>3445</v>
      </c>
      <c r="G11" s="237"/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233330</v>
      </c>
      <c r="E12" s="7">
        <f>SUM(E9:E11)</f>
        <v>116665</v>
      </c>
      <c r="F12" s="7">
        <f t="shared" ref="F12" si="4">SUM(F9:F11)</f>
        <v>116665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89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17149.759999999998</v>
      </c>
      <c r="E15" s="30">
        <f>+D15*50%</f>
        <v>8574.8799999999992</v>
      </c>
      <c r="F15" s="30">
        <f>+D15*50%</f>
        <v>8574.8799999999992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5">+D16*50%</f>
        <v>0</v>
      </c>
      <c r="F16" s="30">
        <f t="shared" ref="F16:F17" si="6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5"/>
        <v>0</v>
      </c>
      <c r="F17" s="30">
        <f t="shared" si="6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SUM(D15)</f>
        <v>17149.759999999998</v>
      </c>
      <c r="E18" s="7">
        <f>SUM(E15:E17)</f>
        <v>8574.8799999999992</v>
      </c>
      <c r="F18" s="7">
        <f>SUM(F15:F17)</f>
        <v>8574.8799999999992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OCTUBRE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505114.88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505114.88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1010229.76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233330</v>
      </c>
      <c r="F26" s="25">
        <v>1</v>
      </c>
      <c r="G26" s="60">
        <f>+D18</f>
        <v>17149.759999999998</v>
      </c>
      <c r="H26" s="25">
        <v>1</v>
      </c>
      <c r="I26" s="64">
        <f>+C26+E26+G26</f>
        <v>250479.76</v>
      </c>
    </row>
    <row r="27" spans="1:25" ht="19.5" customHeight="1" x14ac:dyDescent="0.3">
      <c r="A27" s="204" t="s">
        <v>21</v>
      </c>
      <c r="B27" s="187"/>
      <c r="C27" s="60">
        <v>759750</v>
      </c>
      <c r="D27" s="25">
        <v>0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759750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23:B23"/>
    <mergeCell ref="A25:B25"/>
    <mergeCell ref="A26:B26"/>
    <mergeCell ref="A27:B27"/>
    <mergeCell ref="A17:C17"/>
    <mergeCell ref="G17:I17"/>
    <mergeCell ref="A18:C18"/>
    <mergeCell ref="A20:B20"/>
    <mergeCell ref="A21:B21"/>
    <mergeCell ref="A22:B22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A6:C6"/>
    <mergeCell ref="G6:I6"/>
    <mergeCell ref="A8:C8"/>
    <mergeCell ref="G8:I8"/>
    <mergeCell ref="A9:C9"/>
    <mergeCell ref="G9:I9"/>
    <mergeCell ref="A5:C5"/>
    <mergeCell ref="G5:I5"/>
    <mergeCell ref="A1:G2"/>
    <mergeCell ref="A3:C3"/>
    <mergeCell ref="G3:I3"/>
    <mergeCell ref="A4:C4"/>
    <mergeCell ref="G4:I4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Y999"/>
  <sheetViews>
    <sheetView topLeftCell="A12" workbookViewId="0">
      <selection activeCell="E25" sqref="E25"/>
    </sheetView>
  </sheetViews>
  <sheetFormatPr baseColWidth="10" defaultColWidth="14.44140625" defaultRowHeight="14.4" x14ac:dyDescent="0.3"/>
  <cols>
    <col min="1" max="1" width="21.6640625" style="90" customWidth="1"/>
    <col min="2" max="3" width="15.6640625" style="90" customWidth="1"/>
    <col min="4" max="9" width="15.77734375" style="90" customWidth="1"/>
    <col min="10" max="10" width="20.6640625" style="90" customWidth="1"/>
    <col min="11" max="25" width="10" style="90" customWidth="1"/>
    <col min="26" max="16384" width="14.44140625" style="90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65</v>
      </c>
      <c r="I2" s="2">
        <v>2023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f>+'OCTUBRE 2023'!D4</f>
        <v>759750</v>
      </c>
      <c r="E4" s="18">
        <f>D4*50%</f>
        <v>379875</v>
      </c>
      <c r="F4" s="15">
        <f t="shared" ref="F4:F5" si="0">+D4*50%</f>
        <v>379875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>
        <f t="shared" ref="E5" si="1">D5*25%</f>
        <v>0</v>
      </c>
      <c r="F5" s="15">
        <f t="shared" si="0"/>
        <v>0</v>
      </c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759750</v>
      </c>
      <c r="E6" s="7">
        <f>SUM(E4:E5)</f>
        <v>379875</v>
      </c>
      <c r="F6" s="7">
        <f>SUM(F4:F5)</f>
        <v>379875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89"/>
      <c r="B7" s="89"/>
      <c r="C7" s="89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13">
        <v>260406</v>
      </c>
      <c r="E9" s="17">
        <f>+D9*50%</f>
        <v>130203</v>
      </c>
      <c r="F9" s="17">
        <f>+D9*50%</f>
        <v>130203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1">
        <v>0</v>
      </c>
      <c r="E10" s="17">
        <f t="shared" ref="E10:E11" si="2">+D10*50%</f>
        <v>0</v>
      </c>
      <c r="F10" s="17">
        <f t="shared" ref="F10:F11" si="3">+D10*50%</f>
        <v>0</v>
      </c>
      <c r="G10" s="195"/>
      <c r="H10" s="195"/>
      <c r="I10" s="195"/>
    </row>
    <row r="11" spans="1:25" ht="18" customHeight="1" x14ac:dyDescent="0.3">
      <c r="A11" s="218" t="s">
        <v>12</v>
      </c>
      <c r="B11" s="164"/>
      <c r="C11" s="165"/>
      <c r="D11" s="11">
        <v>1744</v>
      </c>
      <c r="E11" s="17">
        <f t="shared" si="2"/>
        <v>872</v>
      </c>
      <c r="F11" s="17">
        <f t="shared" si="3"/>
        <v>872</v>
      </c>
      <c r="G11" s="237"/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262150</v>
      </c>
      <c r="E12" s="7">
        <f>SUM(E9:E11)</f>
        <v>131075</v>
      </c>
      <c r="F12" s="7">
        <f t="shared" ref="F12" si="4">SUM(F9:F11)</f>
        <v>131075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89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29">
        <v>18305.669999999998</v>
      </c>
      <c r="E15" s="30">
        <f>+D15*50%</f>
        <v>9152.8349999999991</v>
      </c>
      <c r="F15" s="30">
        <f>+D15*50%</f>
        <v>9152.8349999999991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5">+D16*50%</f>
        <v>0</v>
      </c>
      <c r="F16" s="30">
        <f t="shared" ref="F16:F17" si="6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5"/>
        <v>0</v>
      </c>
      <c r="F17" s="30">
        <f t="shared" si="6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SUM(D15)</f>
        <v>18305.669999999998</v>
      </c>
      <c r="E18" s="7">
        <f>SUM(E15:E17)</f>
        <v>9152.8349999999991</v>
      </c>
      <c r="F18" s="7">
        <f>SUM(F15:F17)</f>
        <v>9152.8349999999991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NOVIEMBRE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520102.83499999996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520102.83499999996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1040205.6699999999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262150</v>
      </c>
      <c r="F26" s="25">
        <v>1</v>
      </c>
      <c r="G26" s="60">
        <f>+D18</f>
        <v>18305.669999999998</v>
      </c>
      <c r="H26" s="25">
        <v>1</v>
      </c>
      <c r="I26" s="64">
        <f>+C26+E26+G26</f>
        <v>280455.67</v>
      </c>
    </row>
    <row r="27" spans="1:25" ht="19.5" customHeight="1" x14ac:dyDescent="0.3">
      <c r="A27" s="204" t="s">
        <v>21</v>
      </c>
      <c r="B27" s="187"/>
      <c r="C27" s="60">
        <v>759750</v>
      </c>
      <c r="D27" s="25">
        <v>0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759750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23:B23"/>
    <mergeCell ref="A25:B25"/>
    <mergeCell ref="A26:B26"/>
    <mergeCell ref="A27:B27"/>
    <mergeCell ref="A17:C17"/>
    <mergeCell ref="G17:I17"/>
    <mergeCell ref="A18:C18"/>
    <mergeCell ref="A20:B20"/>
    <mergeCell ref="A21:B21"/>
    <mergeCell ref="A22:B22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A6:C6"/>
    <mergeCell ref="G6:I6"/>
    <mergeCell ref="A8:C8"/>
    <mergeCell ref="G8:I8"/>
    <mergeCell ref="A9:C9"/>
    <mergeCell ref="G9:I9"/>
    <mergeCell ref="A5:C5"/>
    <mergeCell ref="G5:I5"/>
    <mergeCell ref="A1:G2"/>
    <mergeCell ref="A3:C3"/>
    <mergeCell ref="G3:I3"/>
    <mergeCell ref="A4:C4"/>
    <mergeCell ref="G4:I4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Y999"/>
  <sheetViews>
    <sheetView topLeftCell="A7" workbookViewId="0">
      <selection activeCell="E25" sqref="E25"/>
    </sheetView>
  </sheetViews>
  <sheetFormatPr baseColWidth="10" defaultColWidth="14.44140625" defaultRowHeight="14.4" x14ac:dyDescent="0.3"/>
  <cols>
    <col min="1" max="1" width="21.6640625" style="90" customWidth="1"/>
    <col min="2" max="3" width="15.6640625" style="90" customWidth="1"/>
    <col min="4" max="9" width="15.77734375" style="90" customWidth="1"/>
    <col min="10" max="10" width="20.6640625" style="90" customWidth="1"/>
    <col min="11" max="25" width="10" style="90" customWidth="1"/>
    <col min="26" max="16384" width="14.44140625" style="90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14</v>
      </c>
      <c r="I2" s="2">
        <v>2023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1030000</v>
      </c>
      <c r="E4" s="18">
        <f>D4*50%</f>
        <v>515000</v>
      </c>
      <c r="F4" s="15">
        <f t="shared" ref="F4:F5" si="0">+D4*50%</f>
        <v>515000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>
        <f t="shared" ref="E5" si="1">D5*25%</f>
        <v>0</v>
      </c>
      <c r="F5" s="15">
        <f t="shared" si="0"/>
        <v>0</v>
      </c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1030000</v>
      </c>
      <c r="E6" s="7">
        <f>SUM(E4:E5)</f>
        <v>515000</v>
      </c>
      <c r="F6" s="7">
        <f>SUM(F4:F5)</f>
        <v>515000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89"/>
      <c r="B7" s="89"/>
      <c r="C7" s="89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314599</v>
      </c>
      <c r="E9" s="17">
        <f>+D9*50%</f>
        <v>157299.5</v>
      </c>
      <c r="F9" s="17">
        <f>+D9*50%</f>
        <v>157299.5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2">+D10*50%</f>
        <v>0</v>
      </c>
      <c r="F10" s="17">
        <f t="shared" ref="F10:F11" si="3">+D10*50%</f>
        <v>0</v>
      </c>
      <c r="G10" s="195"/>
      <c r="H10" s="195"/>
      <c r="I10" s="195"/>
    </row>
    <row r="11" spans="1:25" ht="18" customHeight="1" x14ac:dyDescent="0.3">
      <c r="A11" s="218" t="s">
        <v>12</v>
      </c>
      <c r="B11" s="164"/>
      <c r="C11" s="165"/>
      <c r="D11" s="120">
        <v>10894</v>
      </c>
      <c r="E11" s="17">
        <f t="shared" si="2"/>
        <v>5447</v>
      </c>
      <c r="F11" s="17">
        <f t="shared" si="3"/>
        <v>5447</v>
      </c>
      <c r="G11" s="237"/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325493</v>
      </c>
      <c r="E12" s="7">
        <f>SUM(E9:E11)</f>
        <v>162746.5</v>
      </c>
      <c r="F12" s="7">
        <f t="shared" ref="F12" si="4">SUM(F9:F11)</f>
        <v>162746.5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89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19263.900000000001</v>
      </c>
      <c r="E15" s="30">
        <f>+D15*50%</f>
        <v>9631.9500000000007</v>
      </c>
      <c r="F15" s="30">
        <f>+D15*50%</f>
        <v>9631.9500000000007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5">+D16*50%</f>
        <v>0</v>
      </c>
      <c r="F16" s="30">
        <f t="shared" ref="F16:F17" si="6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5"/>
        <v>0</v>
      </c>
      <c r="F17" s="30">
        <f t="shared" si="6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SUM(D15)</f>
        <v>19263.900000000001</v>
      </c>
      <c r="E18" s="7">
        <f>SUM(E15:E17)</f>
        <v>9631.9500000000007</v>
      </c>
      <c r="F18" s="7">
        <f>SUM(F15:F17)</f>
        <v>9631.9500000000007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DICIEMBRE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687378.45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687378.45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1374756.9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325493</v>
      </c>
      <c r="F26" s="25">
        <v>1</v>
      </c>
      <c r="G26" s="60">
        <f>+D18</f>
        <v>19263.900000000001</v>
      </c>
      <c r="H26" s="25">
        <v>1</v>
      </c>
      <c r="I26" s="64">
        <f>+C26+E26+G26</f>
        <v>344756.9</v>
      </c>
    </row>
    <row r="27" spans="1:25" ht="19.5" customHeight="1" x14ac:dyDescent="0.3">
      <c r="A27" s="204" t="s">
        <v>21</v>
      </c>
      <c r="B27" s="187"/>
      <c r="C27" s="60">
        <v>1030000</v>
      </c>
      <c r="D27" s="25">
        <v>0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1030000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23:B23"/>
    <mergeCell ref="A25:B25"/>
    <mergeCell ref="A26:B26"/>
    <mergeCell ref="A27:B27"/>
    <mergeCell ref="A17:C17"/>
    <mergeCell ref="G17:I17"/>
    <mergeCell ref="A18:C18"/>
    <mergeCell ref="A20:B20"/>
    <mergeCell ref="A21:B21"/>
    <mergeCell ref="A22:B22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A6:C6"/>
    <mergeCell ref="G6:I6"/>
    <mergeCell ref="A8:C8"/>
    <mergeCell ref="G8:I8"/>
    <mergeCell ref="A9:C9"/>
    <mergeCell ref="G9:I9"/>
    <mergeCell ref="A5:C5"/>
    <mergeCell ref="G5:I5"/>
    <mergeCell ref="A1:G2"/>
    <mergeCell ref="A3:C3"/>
    <mergeCell ref="G3:I3"/>
    <mergeCell ref="A4:C4"/>
    <mergeCell ref="G4:I4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Y999"/>
  <sheetViews>
    <sheetView workbookViewId="0">
      <selection activeCell="D15" sqref="D15"/>
    </sheetView>
  </sheetViews>
  <sheetFormatPr baseColWidth="10" defaultColWidth="14.44140625" defaultRowHeight="14.4" x14ac:dyDescent="0.3"/>
  <cols>
    <col min="1" max="1" width="21.6640625" style="110" customWidth="1"/>
    <col min="2" max="3" width="15.6640625" style="110" customWidth="1"/>
    <col min="4" max="9" width="15.77734375" style="110" customWidth="1"/>
    <col min="10" max="10" width="20.6640625" style="110" customWidth="1"/>
    <col min="11" max="25" width="10" style="110" customWidth="1"/>
    <col min="26" max="16384" width="14.44140625" style="110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2</v>
      </c>
      <c r="I2" s="2">
        <v>2024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1030000</v>
      </c>
      <c r="E4" s="18">
        <f>D4*50%</f>
        <v>515000</v>
      </c>
      <c r="F4" s="15">
        <f t="shared" ref="F4" si="0">+D4*50%</f>
        <v>515000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1030000</v>
      </c>
      <c r="E6" s="7">
        <f>SUM(E4:E5)</f>
        <v>515000</v>
      </c>
      <c r="F6" s="7">
        <f>SUM(F4:F5)</f>
        <v>515000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09"/>
      <c r="B7" s="109"/>
      <c r="C7" s="109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350099</v>
      </c>
      <c r="E9" s="17">
        <f>+D9*50%</f>
        <v>175049.5</v>
      </c>
      <c r="F9" s="17">
        <f>+D9*50%</f>
        <v>175049.5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195"/>
      <c r="H10" s="195"/>
      <c r="I10" s="195"/>
    </row>
    <row r="11" spans="1:25" ht="18" customHeight="1" x14ac:dyDescent="0.3">
      <c r="A11" s="218" t="s">
        <v>12</v>
      </c>
      <c r="B11" s="164"/>
      <c r="C11" s="165"/>
      <c r="D11" s="120">
        <v>33111</v>
      </c>
      <c r="E11" s="17">
        <f t="shared" si="1"/>
        <v>16555.5</v>
      </c>
      <c r="F11" s="17">
        <f t="shared" si="2"/>
        <v>16555.5</v>
      </c>
      <c r="G11" s="237"/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383210</v>
      </c>
      <c r="E12" s="7">
        <f>SUM(E9:E11)</f>
        <v>191605</v>
      </c>
      <c r="F12" s="7">
        <f t="shared" ref="F12" si="3">SUM(F9:F11)</f>
        <v>191605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09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18110.57</v>
      </c>
      <c r="E15" s="30">
        <f>+D15*50%</f>
        <v>9055.2849999999999</v>
      </c>
      <c r="F15" s="30">
        <f>+D15*50%</f>
        <v>9055.2849999999999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4">+D16*50%</f>
        <v>0</v>
      </c>
      <c r="F16" s="30">
        <f t="shared" ref="F16:F17" si="5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SUM(D15)</f>
        <v>18110.57</v>
      </c>
      <c r="E18" s="7">
        <f>SUM(E15:E17)</f>
        <v>9055.2849999999999</v>
      </c>
      <c r="F18" s="7">
        <f>SUM(F15:F17)</f>
        <v>9055.2849999999999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ENERO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715660.28500000003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715660.28500000003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1431320.57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383210</v>
      </c>
      <c r="F26" s="25">
        <v>1</v>
      </c>
      <c r="G26" s="60">
        <f>+D18</f>
        <v>18110.57</v>
      </c>
      <c r="H26" s="25">
        <v>1</v>
      </c>
      <c r="I26" s="64">
        <f>+C26+E26+G26</f>
        <v>401320.57</v>
      </c>
    </row>
    <row r="27" spans="1:25" ht="19.5" customHeight="1" x14ac:dyDescent="0.3">
      <c r="A27" s="204" t="s">
        <v>21</v>
      </c>
      <c r="B27" s="187"/>
      <c r="C27" s="60">
        <v>1030000</v>
      </c>
      <c r="D27" s="25">
        <v>0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1030000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5:C5"/>
    <mergeCell ref="G5:I5"/>
    <mergeCell ref="A1:G2"/>
    <mergeCell ref="A3:C3"/>
    <mergeCell ref="G3:I3"/>
    <mergeCell ref="A4:C4"/>
    <mergeCell ref="G4:I4"/>
    <mergeCell ref="A6:C6"/>
    <mergeCell ref="G6:I6"/>
    <mergeCell ref="A8:C8"/>
    <mergeCell ref="G8:I8"/>
    <mergeCell ref="A9:C9"/>
    <mergeCell ref="G9:I9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G17:I17"/>
    <mergeCell ref="A18:C18"/>
    <mergeCell ref="A20:B20"/>
    <mergeCell ref="A21:B21"/>
    <mergeCell ref="A22:B22"/>
    <mergeCell ref="A23:B23"/>
    <mergeCell ref="A25:B25"/>
    <mergeCell ref="A26:B26"/>
    <mergeCell ref="A27:B27"/>
    <mergeCell ref="A17:C17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Y999"/>
  <sheetViews>
    <sheetView workbookViewId="0">
      <selection activeCell="E25" sqref="E25"/>
    </sheetView>
  </sheetViews>
  <sheetFormatPr baseColWidth="10" defaultColWidth="14.44140625" defaultRowHeight="14.4" x14ac:dyDescent="0.3"/>
  <cols>
    <col min="1" max="1" width="21.6640625" style="115" customWidth="1"/>
    <col min="2" max="3" width="15.6640625" style="115" customWidth="1"/>
    <col min="4" max="9" width="15.77734375" style="115" customWidth="1"/>
    <col min="10" max="10" width="33.77734375" style="115" bestFit="1" customWidth="1"/>
    <col min="11" max="25" width="10" style="115" customWidth="1"/>
    <col min="26" max="16384" width="14.44140625" style="115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42</v>
      </c>
      <c r="I2" s="2">
        <v>2024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1030000</v>
      </c>
      <c r="E4" s="18">
        <f>D4*50%</f>
        <v>515000</v>
      </c>
      <c r="F4" s="15">
        <f t="shared" ref="F4" si="0">+D4*50%</f>
        <v>515000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1030000</v>
      </c>
      <c r="E6" s="7">
        <f>SUM(E4:E5)</f>
        <v>515000</v>
      </c>
      <c r="F6" s="7">
        <f>SUM(F4:F5)</f>
        <v>515000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14"/>
      <c r="B7" s="114"/>
      <c r="C7" s="114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420118</v>
      </c>
      <c r="E9" s="17">
        <f>+D9*50%</f>
        <v>210059</v>
      </c>
      <c r="F9" s="17">
        <f>+D9*50%</f>
        <v>210059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195"/>
      <c r="H10" s="195"/>
      <c r="I10" s="195"/>
    </row>
    <row r="11" spans="1:25" ht="18" customHeight="1" x14ac:dyDescent="0.3">
      <c r="A11" s="218" t="s">
        <v>12</v>
      </c>
      <c r="B11" s="164"/>
      <c r="C11" s="165"/>
      <c r="D11" s="120">
        <v>36180</v>
      </c>
      <c r="E11" s="17">
        <f t="shared" si="1"/>
        <v>18090</v>
      </c>
      <c r="F11" s="17">
        <f t="shared" si="2"/>
        <v>18090</v>
      </c>
      <c r="G11" s="237"/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456298</v>
      </c>
      <c r="E12" s="7">
        <f>SUM(E9:E11)</f>
        <v>228149</v>
      </c>
      <c r="F12" s="7">
        <f t="shared" ref="F12" si="3">SUM(F9:F11)</f>
        <v>228149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14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28695.32</v>
      </c>
      <c r="E15" s="30">
        <f>+D15*50%</f>
        <v>14347.66</v>
      </c>
      <c r="F15" s="30">
        <f>+D15*50%</f>
        <v>14347.66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4">+D16*50%</f>
        <v>0</v>
      </c>
      <c r="F16" s="30">
        <f t="shared" ref="F16:F17" si="5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SUM(D15)</f>
        <v>28695.32</v>
      </c>
      <c r="E18" s="7">
        <f>SUM(E15:E17)</f>
        <v>14347.66</v>
      </c>
      <c r="F18" s="7">
        <f>SUM(F15:F17)</f>
        <v>14347.66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FEBRERO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757496.66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757496.66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1514993.32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456298</v>
      </c>
      <c r="F26" s="25">
        <v>1</v>
      </c>
      <c r="G26" s="60">
        <f>+D18</f>
        <v>28695.32</v>
      </c>
      <c r="H26" s="25">
        <v>1</v>
      </c>
      <c r="I26" s="64">
        <f>+C26+E26+G26</f>
        <v>484993.32</v>
      </c>
    </row>
    <row r="27" spans="1:25" ht="19.5" customHeight="1" x14ac:dyDescent="0.3">
      <c r="A27" s="204" t="s">
        <v>21</v>
      </c>
      <c r="B27" s="187"/>
      <c r="C27" s="60">
        <v>1030000</v>
      </c>
      <c r="D27" s="25">
        <v>1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1030000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23:B23"/>
    <mergeCell ref="A25:B25"/>
    <mergeCell ref="A26:B26"/>
    <mergeCell ref="A27:B27"/>
    <mergeCell ref="A17:C17"/>
    <mergeCell ref="G17:I17"/>
    <mergeCell ref="A18:C18"/>
    <mergeCell ref="A20:B20"/>
    <mergeCell ref="A21:B21"/>
    <mergeCell ref="A22:B22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A6:C6"/>
    <mergeCell ref="G6:I6"/>
    <mergeCell ref="A8:C8"/>
    <mergeCell ref="G8:I8"/>
    <mergeCell ref="A9:C9"/>
    <mergeCell ref="G9:I9"/>
    <mergeCell ref="A5:C5"/>
    <mergeCell ref="G5:I5"/>
    <mergeCell ref="A1:G2"/>
    <mergeCell ref="A3:C3"/>
    <mergeCell ref="G3:I3"/>
    <mergeCell ref="A4:C4"/>
    <mergeCell ref="G4:I4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Y999"/>
  <sheetViews>
    <sheetView workbookViewId="0">
      <selection activeCell="D11" sqref="D11"/>
    </sheetView>
  </sheetViews>
  <sheetFormatPr baseColWidth="10" defaultColWidth="14.44140625" defaultRowHeight="14.4" x14ac:dyDescent="0.3"/>
  <cols>
    <col min="1" max="1" width="21.6640625" style="136" customWidth="1"/>
    <col min="2" max="3" width="15.6640625" style="136" customWidth="1"/>
    <col min="4" max="9" width="15.77734375" style="136" customWidth="1"/>
    <col min="10" max="10" width="33.77734375" style="136" bestFit="1" customWidth="1"/>
    <col min="11" max="25" width="10" style="136" customWidth="1"/>
    <col min="26" max="16384" width="14.44140625" style="136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57</v>
      </c>
      <c r="I2" s="2">
        <v>2024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1030000</v>
      </c>
      <c r="E4" s="18">
        <f>D4*50%</f>
        <v>515000</v>
      </c>
      <c r="F4" s="15">
        <f t="shared" ref="F4" si="0">+D4*50%</f>
        <v>515000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1030000</v>
      </c>
      <c r="E6" s="7">
        <f>SUM(E4:E5)</f>
        <v>515000</v>
      </c>
      <c r="F6" s="7">
        <f>SUM(F4:F5)</f>
        <v>515000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35"/>
      <c r="B7" s="135"/>
      <c r="C7" s="135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527406</v>
      </c>
      <c r="E9" s="17">
        <f>+D9*50%</f>
        <v>263703</v>
      </c>
      <c r="F9" s="17">
        <f>+D9*50%</f>
        <v>263703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195"/>
      <c r="H10" s="195"/>
      <c r="I10" s="195"/>
    </row>
    <row r="11" spans="1:25" ht="18" customHeight="1" x14ac:dyDescent="0.3">
      <c r="A11" s="218" t="s">
        <v>12</v>
      </c>
      <c r="B11" s="164"/>
      <c r="C11" s="165"/>
      <c r="D11" s="120">
        <v>17751</v>
      </c>
      <c r="E11" s="17">
        <f t="shared" si="1"/>
        <v>8875.5</v>
      </c>
      <c r="F11" s="17">
        <f t="shared" si="2"/>
        <v>8875.5</v>
      </c>
      <c r="G11" s="237"/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545157</v>
      </c>
      <c r="E12" s="7">
        <f>SUM(E9:E11)</f>
        <v>272578.5</v>
      </c>
      <c r="F12" s="7">
        <f t="shared" ref="F12" si="3">SUM(F9:F11)</f>
        <v>272578.5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35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35416.18</v>
      </c>
      <c r="E15" s="30">
        <f>+D15*50%</f>
        <v>17708.09</v>
      </c>
      <c r="F15" s="30">
        <f>+D15*50%</f>
        <v>17708.09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4">+D16*50%</f>
        <v>0</v>
      </c>
      <c r="F16" s="30">
        <f t="shared" ref="F16:F17" si="5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SUM(D15)</f>
        <v>35416.18</v>
      </c>
      <c r="E18" s="7">
        <f>SUM(E15:E17)</f>
        <v>17708.09</v>
      </c>
      <c r="F18" s="7">
        <f>SUM(F15:F17)</f>
        <v>17708.09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MARZO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805286.59000000008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805286.59000000008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1610573.1800000002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545157</v>
      </c>
      <c r="F26" s="25">
        <v>1</v>
      </c>
      <c r="G26" s="60">
        <f>+D18</f>
        <v>35416.18</v>
      </c>
      <c r="H26" s="25">
        <v>1</v>
      </c>
      <c r="I26" s="64">
        <f>+C26+E26+G26</f>
        <v>580573.18000000005</v>
      </c>
    </row>
    <row r="27" spans="1:25" ht="19.5" customHeight="1" x14ac:dyDescent="0.3">
      <c r="A27" s="204" t="s">
        <v>21</v>
      </c>
      <c r="B27" s="187"/>
      <c r="C27" s="60">
        <v>1030000</v>
      </c>
      <c r="D27" s="25">
        <v>1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1030000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23:B23"/>
    <mergeCell ref="A25:B25"/>
    <mergeCell ref="A26:B26"/>
    <mergeCell ref="A27:B27"/>
    <mergeCell ref="A17:C17"/>
    <mergeCell ref="G17:I17"/>
    <mergeCell ref="A18:C18"/>
    <mergeCell ref="A20:B20"/>
    <mergeCell ref="A21:B21"/>
    <mergeCell ref="A22:B22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A6:C6"/>
    <mergeCell ref="G6:I6"/>
    <mergeCell ref="A8:C8"/>
    <mergeCell ref="G8:I8"/>
    <mergeCell ref="A9:C9"/>
    <mergeCell ref="G9:I9"/>
    <mergeCell ref="A5:C5"/>
    <mergeCell ref="G5:I5"/>
    <mergeCell ref="A1:G2"/>
    <mergeCell ref="A3:C3"/>
    <mergeCell ref="G3:I3"/>
    <mergeCell ref="A4:C4"/>
    <mergeCell ref="G4:I4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Y999"/>
  <sheetViews>
    <sheetView workbookViewId="0">
      <selection activeCell="D15" sqref="D15"/>
    </sheetView>
  </sheetViews>
  <sheetFormatPr baseColWidth="10" defaultColWidth="14.44140625" defaultRowHeight="14.4" x14ac:dyDescent="0.3"/>
  <cols>
    <col min="1" max="1" width="21.6640625" style="136" customWidth="1"/>
    <col min="2" max="3" width="15.6640625" style="136" customWidth="1"/>
    <col min="4" max="9" width="15.77734375" style="136" customWidth="1"/>
    <col min="10" max="10" width="33.77734375" style="136" bestFit="1" customWidth="1"/>
    <col min="11" max="25" width="10" style="136" customWidth="1"/>
    <col min="26" max="16384" width="14.44140625" style="136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58</v>
      </c>
      <c r="I2" s="2">
        <v>2024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1505350</v>
      </c>
      <c r="E4" s="18">
        <f>D4*50%</f>
        <v>752675</v>
      </c>
      <c r="F4" s="15">
        <f t="shared" ref="F4" si="0">+D4*50%</f>
        <v>752675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1505350</v>
      </c>
      <c r="E6" s="7">
        <f>SUM(E4:E5)</f>
        <v>752675</v>
      </c>
      <c r="F6" s="7">
        <f>SUM(F4:F5)</f>
        <v>752675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35"/>
      <c r="B7" s="135"/>
      <c r="C7" s="135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560911</v>
      </c>
      <c r="E9" s="17">
        <f>+D9*50%</f>
        <v>280455.5</v>
      </c>
      <c r="F9" s="17">
        <f>+D9*50%</f>
        <v>280455.5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195"/>
      <c r="H10" s="195"/>
      <c r="I10" s="195"/>
    </row>
    <row r="11" spans="1:25" ht="18" customHeight="1" x14ac:dyDescent="0.3">
      <c r="A11" s="218" t="s">
        <v>12</v>
      </c>
      <c r="B11" s="164"/>
      <c r="C11" s="165"/>
      <c r="D11" s="120">
        <v>11019</v>
      </c>
      <c r="E11" s="17">
        <f t="shared" si="1"/>
        <v>5509.5</v>
      </c>
      <c r="F11" s="17">
        <f t="shared" si="2"/>
        <v>5509.5</v>
      </c>
      <c r="G11" s="237"/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571930</v>
      </c>
      <c r="E12" s="7">
        <f>SUM(E9:E11)</f>
        <v>285965</v>
      </c>
      <c r="F12" s="7">
        <f t="shared" ref="F12" si="3">SUM(F9:F11)</f>
        <v>285965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35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38375.300000000003</v>
      </c>
      <c r="E15" s="30">
        <f>+D15*50%</f>
        <v>19187.650000000001</v>
      </c>
      <c r="F15" s="30">
        <f>+D15*50%</f>
        <v>19187.650000000001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4">+D16*50%</f>
        <v>0</v>
      </c>
      <c r="F16" s="30">
        <f t="shared" ref="F16:F17" si="5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SUM(D15)</f>
        <v>38375.300000000003</v>
      </c>
      <c r="E18" s="7">
        <f>SUM(E15:E17)</f>
        <v>19187.650000000001</v>
      </c>
      <c r="F18" s="7">
        <f>SUM(F15:F17)</f>
        <v>19187.650000000001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ABRIL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1057827.6499999999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1057827.6499999999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2115655.2999999998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f>+D4</f>
        <v>1505350</v>
      </c>
      <c r="D26" s="25">
        <v>1</v>
      </c>
      <c r="E26" s="60">
        <f>+D12</f>
        <v>571930</v>
      </c>
      <c r="F26" s="25">
        <v>1</v>
      </c>
      <c r="G26" s="60">
        <f>+D18</f>
        <v>38375.300000000003</v>
      </c>
      <c r="H26" s="25">
        <v>1</v>
      </c>
      <c r="I26" s="64">
        <f>+C26+E26+G26</f>
        <v>2115655.2999999998</v>
      </c>
    </row>
    <row r="27" spans="1:25" ht="19.5" customHeight="1" x14ac:dyDescent="0.3">
      <c r="A27" s="204" t="s">
        <v>21</v>
      </c>
      <c r="B27" s="187"/>
      <c r="C27" s="60">
        <v>0</v>
      </c>
      <c r="D27" s="25">
        <v>0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23:B23"/>
    <mergeCell ref="A25:B25"/>
    <mergeCell ref="A26:B26"/>
    <mergeCell ref="A27:B27"/>
    <mergeCell ref="A17:C17"/>
    <mergeCell ref="G17:I17"/>
    <mergeCell ref="A18:C18"/>
    <mergeCell ref="A20:B20"/>
    <mergeCell ref="A21:B21"/>
    <mergeCell ref="A22:B22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A6:C6"/>
    <mergeCell ref="G6:I6"/>
    <mergeCell ref="A8:C8"/>
    <mergeCell ref="G8:I8"/>
    <mergeCell ref="A9:C9"/>
    <mergeCell ref="G9:I9"/>
    <mergeCell ref="A5:C5"/>
    <mergeCell ref="G5:I5"/>
    <mergeCell ref="A1:G2"/>
    <mergeCell ref="A3:C3"/>
    <mergeCell ref="G3:I3"/>
    <mergeCell ref="A4:C4"/>
    <mergeCell ref="G4:I4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Y999"/>
  <sheetViews>
    <sheetView workbookViewId="0">
      <selection activeCell="D15" sqref="D15"/>
    </sheetView>
  </sheetViews>
  <sheetFormatPr baseColWidth="10" defaultColWidth="14.44140625" defaultRowHeight="14.4" x14ac:dyDescent="0.3"/>
  <cols>
    <col min="1" max="1" width="21.6640625" style="136" customWidth="1"/>
    <col min="2" max="3" width="15.6640625" style="136" customWidth="1"/>
    <col min="4" max="9" width="15.77734375" style="136" customWidth="1"/>
    <col min="10" max="10" width="33.77734375" style="136" bestFit="1" customWidth="1"/>
    <col min="11" max="25" width="10" style="136" customWidth="1"/>
    <col min="26" max="16384" width="14.44140625" style="136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59</v>
      </c>
      <c r="I2" s="2">
        <v>2024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1888950</v>
      </c>
      <c r="E4" s="18">
        <f>D4*50%</f>
        <v>944475</v>
      </c>
      <c r="F4" s="15">
        <f t="shared" ref="F4" si="0">+D4*50%</f>
        <v>944475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1888950</v>
      </c>
      <c r="E6" s="7">
        <f>SUM(E4:E5)</f>
        <v>944475</v>
      </c>
      <c r="F6" s="7">
        <f>SUM(F4:F5)</f>
        <v>944475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35"/>
      <c r="B7" s="135"/>
      <c r="C7" s="135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654240</v>
      </c>
      <c r="E9" s="17">
        <f>+D9*50%</f>
        <v>327120</v>
      </c>
      <c r="F9" s="17">
        <f>+D9*50%</f>
        <v>327120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195"/>
      <c r="H10" s="195"/>
      <c r="I10" s="195"/>
    </row>
    <row r="11" spans="1:25" ht="18" customHeight="1" x14ac:dyDescent="0.3">
      <c r="A11" s="218" t="s">
        <v>12</v>
      </c>
      <c r="B11" s="164"/>
      <c r="C11" s="165"/>
      <c r="D11" s="120">
        <v>99</v>
      </c>
      <c r="E11" s="17">
        <f t="shared" si="1"/>
        <v>49.5</v>
      </c>
      <c r="F11" s="17">
        <f t="shared" si="2"/>
        <v>49.5</v>
      </c>
      <c r="G11" s="237"/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654339</v>
      </c>
      <c r="E12" s="7">
        <f>SUM(E9:E11)</f>
        <v>327169.5</v>
      </c>
      <c r="F12" s="7">
        <f t="shared" ref="F12" si="3">SUM(F9:F11)</f>
        <v>327169.5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35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34869.279999999999</v>
      </c>
      <c r="E15" s="30">
        <f>+D15*50%</f>
        <v>17434.64</v>
      </c>
      <c r="F15" s="30">
        <f>+D15*50%</f>
        <v>17434.64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4">+D16*50%</f>
        <v>0</v>
      </c>
      <c r="F16" s="30">
        <f t="shared" ref="F16:F17" si="5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SUM(D15)</f>
        <v>34869.279999999999</v>
      </c>
      <c r="E18" s="7">
        <f>SUM(E15:E17)</f>
        <v>17434.64</v>
      </c>
      <c r="F18" s="7">
        <f>SUM(F15:F17)</f>
        <v>17434.64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MAYO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1289079.1400000001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1289079.1400000001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2578158.2800000003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f>+D4</f>
        <v>1888950</v>
      </c>
      <c r="D26" s="25">
        <v>1</v>
      </c>
      <c r="E26" s="60">
        <f>+D12</f>
        <v>654339</v>
      </c>
      <c r="F26" s="25">
        <v>1</v>
      </c>
      <c r="G26" s="60">
        <f>+D18</f>
        <v>34869.279999999999</v>
      </c>
      <c r="H26" s="25">
        <v>1</v>
      </c>
      <c r="I26" s="64">
        <f>+C26+E26+G26</f>
        <v>2578158.2799999998</v>
      </c>
    </row>
    <row r="27" spans="1:25" ht="19.5" customHeight="1" x14ac:dyDescent="0.3">
      <c r="A27" s="204" t="s">
        <v>21</v>
      </c>
      <c r="B27" s="187"/>
      <c r="C27" s="60">
        <v>0</v>
      </c>
      <c r="D27" s="25">
        <v>0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23:B23"/>
    <mergeCell ref="A25:B25"/>
    <mergeCell ref="A26:B26"/>
    <mergeCell ref="A27:B27"/>
    <mergeCell ref="A17:C17"/>
    <mergeCell ref="G17:I17"/>
    <mergeCell ref="A18:C18"/>
    <mergeCell ref="A20:B20"/>
    <mergeCell ref="A21:B21"/>
    <mergeCell ref="A22:B22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A6:C6"/>
    <mergeCell ref="G6:I6"/>
    <mergeCell ref="A8:C8"/>
    <mergeCell ref="G8:I8"/>
    <mergeCell ref="A9:C9"/>
    <mergeCell ref="G9:I9"/>
    <mergeCell ref="A5:C5"/>
    <mergeCell ref="G5:I5"/>
    <mergeCell ref="A1:G2"/>
    <mergeCell ref="A3:C3"/>
    <mergeCell ref="G3:I3"/>
    <mergeCell ref="A4:C4"/>
    <mergeCell ref="G4:I4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Y999"/>
  <sheetViews>
    <sheetView workbookViewId="0">
      <selection activeCell="E22" sqref="E22"/>
    </sheetView>
  </sheetViews>
  <sheetFormatPr baseColWidth="10" defaultColWidth="14.44140625" defaultRowHeight="14.4" x14ac:dyDescent="0.3"/>
  <cols>
    <col min="1" max="1" width="21.6640625" style="136" customWidth="1"/>
    <col min="2" max="3" width="15.6640625" style="136" customWidth="1"/>
    <col min="4" max="9" width="15.77734375" style="136" customWidth="1"/>
    <col min="10" max="10" width="33.77734375" style="136" bestFit="1" customWidth="1"/>
    <col min="11" max="25" width="10" style="136" customWidth="1"/>
    <col min="26" max="16384" width="14.44140625" style="136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60</v>
      </c>
      <c r="I2" s="2">
        <v>2024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2062125</v>
      </c>
      <c r="E4" s="18">
        <f>D4*50%</f>
        <v>1031062.5</v>
      </c>
      <c r="F4" s="15">
        <f t="shared" ref="F4" si="0">+D4*50%</f>
        <v>1031062.5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2062125</v>
      </c>
      <c r="E6" s="7">
        <f>SUM(E4:E5)</f>
        <v>1031062.5</v>
      </c>
      <c r="F6" s="7">
        <f>SUM(F4:F5)</f>
        <v>1031062.5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35"/>
      <c r="B7" s="135"/>
      <c r="C7" s="135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801147</v>
      </c>
      <c r="E9" s="17">
        <f>+D9*50%</f>
        <v>400573.5</v>
      </c>
      <c r="F9" s="17">
        <f>+D9*50%</f>
        <v>400573.5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195"/>
      <c r="H10" s="195"/>
      <c r="I10" s="195"/>
    </row>
    <row r="11" spans="1:25" ht="18" customHeight="1" x14ac:dyDescent="0.3">
      <c r="A11" s="218" t="s">
        <v>12</v>
      </c>
      <c r="B11" s="164"/>
      <c r="C11" s="165"/>
      <c r="D11" s="120">
        <v>403</v>
      </c>
      <c r="E11" s="17">
        <f t="shared" si="1"/>
        <v>201.5</v>
      </c>
      <c r="F11" s="17">
        <f t="shared" si="2"/>
        <v>201.5</v>
      </c>
      <c r="G11" s="237"/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801550</v>
      </c>
      <c r="E12" s="7">
        <f>SUM(E9:E11)</f>
        <v>400775</v>
      </c>
      <c r="F12" s="7">
        <f t="shared" ref="F12" si="3">SUM(F9:F11)</f>
        <v>400775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35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34226</v>
      </c>
      <c r="E15" s="30">
        <f>+D15*50%</f>
        <v>17113</v>
      </c>
      <c r="F15" s="30">
        <f>+D15*50%</f>
        <v>17113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4">+D16*50%</f>
        <v>0</v>
      </c>
      <c r="F16" s="30">
        <f t="shared" ref="F16:F17" si="5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SUM(D15)</f>
        <v>34226</v>
      </c>
      <c r="E18" s="7">
        <f>SUM(E15:E17)</f>
        <v>17113</v>
      </c>
      <c r="F18" s="7">
        <f>SUM(F15:F17)</f>
        <v>17113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JUNIO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1448950.5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1448950.5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2897901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801550</v>
      </c>
      <c r="F26" s="25">
        <v>1</v>
      </c>
      <c r="G26" s="60">
        <f>+D18</f>
        <v>34226</v>
      </c>
      <c r="H26" s="25">
        <v>1</v>
      </c>
      <c r="I26" s="64">
        <f>+C26+E26+G26</f>
        <v>835776</v>
      </c>
    </row>
    <row r="27" spans="1:25" ht="19.5" customHeight="1" x14ac:dyDescent="0.3">
      <c r="A27" s="204" t="s">
        <v>21</v>
      </c>
      <c r="B27" s="187"/>
      <c r="C27" s="60">
        <f>+D4</f>
        <v>2062125</v>
      </c>
      <c r="D27" s="25">
        <v>1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2062125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23:B23"/>
    <mergeCell ref="A25:B25"/>
    <mergeCell ref="A26:B26"/>
    <mergeCell ref="A27:B27"/>
    <mergeCell ref="A17:C17"/>
    <mergeCell ref="G17:I17"/>
    <mergeCell ref="A18:C18"/>
    <mergeCell ref="A20:B20"/>
    <mergeCell ref="A21:B21"/>
    <mergeCell ref="A22:B22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A6:C6"/>
    <mergeCell ref="G6:I6"/>
    <mergeCell ref="A8:C8"/>
    <mergeCell ref="G8:I8"/>
    <mergeCell ref="A9:C9"/>
    <mergeCell ref="G9:I9"/>
    <mergeCell ref="A5:C5"/>
    <mergeCell ref="G5:I5"/>
    <mergeCell ref="A1:G2"/>
    <mergeCell ref="A3:C3"/>
    <mergeCell ref="G3:I3"/>
    <mergeCell ref="A4:C4"/>
    <mergeCell ref="G4:I4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Y999"/>
  <sheetViews>
    <sheetView workbookViewId="0">
      <selection activeCell="D15" sqref="D15"/>
    </sheetView>
  </sheetViews>
  <sheetFormatPr baseColWidth="10" defaultColWidth="14.44140625" defaultRowHeight="14.4" x14ac:dyDescent="0.3"/>
  <cols>
    <col min="1" max="1" width="21.6640625" style="136" customWidth="1"/>
    <col min="2" max="3" width="15.6640625" style="136" customWidth="1"/>
    <col min="4" max="9" width="15.77734375" style="136" customWidth="1"/>
    <col min="10" max="10" width="33.77734375" style="136" bestFit="1" customWidth="1"/>
    <col min="11" max="25" width="10" style="136" customWidth="1"/>
    <col min="26" max="16384" width="14.44140625" style="136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61</v>
      </c>
      <c r="I2" s="2">
        <v>2024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2247600</v>
      </c>
      <c r="E4" s="18">
        <f>D4*50%</f>
        <v>1123800</v>
      </c>
      <c r="F4" s="15">
        <f t="shared" ref="F4" si="0">+D4*50%</f>
        <v>1123800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2247600</v>
      </c>
      <c r="E6" s="7">
        <f>SUM(E4:E5)</f>
        <v>1123800</v>
      </c>
      <c r="F6" s="7">
        <f>SUM(F4:F5)</f>
        <v>1123800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35"/>
      <c r="B7" s="135"/>
      <c r="C7" s="135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798074</v>
      </c>
      <c r="E9" s="17">
        <f>+D9*50%</f>
        <v>399037</v>
      </c>
      <c r="F9" s="17">
        <f>+D9*50%</f>
        <v>399037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195"/>
      <c r="H10" s="195"/>
      <c r="I10" s="195"/>
    </row>
    <row r="11" spans="1:25" ht="18" customHeight="1" x14ac:dyDescent="0.3">
      <c r="A11" s="218" t="s">
        <v>12</v>
      </c>
      <c r="B11" s="164"/>
      <c r="C11" s="165"/>
      <c r="D11" s="120">
        <v>3017</v>
      </c>
      <c r="E11" s="17">
        <f t="shared" si="1"/>
        <v>1508.5</v>
      </c>
      <c r="F11" s="17">
        <f t="shared" si="2"/>
        <v>1508.5</v>
      </c>
      <c r="G11" s="237"/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801091</v>
      </c>
      <c r="E12" s="7">
        <f>SUM(E9:E11)</f>
        <v>400545.5</v>
      </c>
      <c r="F12" s="7">
        <f t="shared" ref="F12" si="3">SUM(F9:F11)</f>
        <v>400545.5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35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49291.08</v>
      </c>
      <c r="E15" s="30">
        <f>+D15*50%</f>
        <v>24645.54</v>
      </c>
      <c r="F15" s="30">
        <f>+D15*50%</f>
        <v>24645.54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4">+D16*50%</f>
        <v>0</v>
      </c>
      <c r="F16" s="30">
        <f t="shared" ref="F16:F17" si="5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SUM(D15)</f>
        <v>49291.08</v>
      </c>
      <c r="E18" s="7">
        <f>SUM(E15:E17)</f>
        <v>24645.54</v>
      </c>
      <c r="F18" s="7">
        <f>SUM(F15:F17)</f>
        <v>24645.54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JULIO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1548991.04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1548991.04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3097982.08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801091</v>
      </c>
      <c r="F26" s="25">
        <v>1</v>
      </c>
      <c r="G26" s="60">
        <f>+D18</f>
        <v>49291.08</v>
      </c>
      <c r="H26" s="25">
        <v>1</v>
      </c>
      <c r="I26" s="64">
        <f>+C26+E26+G26</f>
        <v>850382.08</v>
      </c>
    </row>
    <row r="27" spans="1:25" ht="19.5" customHeight="1" x14ac:dyDescent="0.3">
      <c r="A27" s="204" t="s">
        <v>21</v>
      </c>
      <c r="B27" s="187"/>
      <c r="C27" s="60">
        <f>+D4</f>
        <v>2247600</v>
      </c>
      <c r="D27" s="25">
        <v>1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2247600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23:B23"/>
    <mergeCell ref="A25:B25"/>
    <mergeCell ref="A26:B26"/>
    <mergeCell ref="A27:B27"/>
    <mergeCell ref="A17:C17"/>
    <mergeCell ref="G17:I17"/>
    <mergeCell ref="A18:C18"/>
    <mergeCell ref="A20:B20"/>
    <mergeCell ref="A21:B21"/>
    <mergeCell ref="A22:B22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A6:C6"/>
    <mergeCell ref="G6:I6"/>
    <mergeCell ref="A8:C8"/>
    <mergeCell ref="G8:I8"/>
    <mergeCell ref="A9:C9"/>
    <mergeCell ref="G9:I9"/>
    <mergeCell ref="A5:C5"/>
    <mergeCell ref="G5:I5"/>
    <mergeCell ref="A1:G2"/>
    <mergeCell ref="A3:C3"/>
    <mergeCell ref="G3:I3"/>
    <mergeCell ref="A4:C4"/>
    <mergeCell ref="G4:I4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Y999"/>
  <sheetViews>
    <sheetView workbookViewId="0">
      <selection activeCell="D15" sqref="D15"/>
    </sheetView>
  </sheetViews>
  <sheetFormatPr baseColWidth="10" defaultColWidth="14.44140625" defaultRowHeight="14.4" x14ac:dyDescent="0.3"/>
  <cols>
    <col min="1" max="1" width="21.6640625" style="136" customWidth="1"/>
    <col min="2" max="3" width="15.6640625" style="136" customWidth="1"/>
    <col min="4" max="9" width="15.77734375" style="136" customWidth="1"/>
    <col min="10" max="10" width="33.77734375" style="136" bestFit="1" customWidth="1"/>
    <col min="11" max="25" width="10" style="136" customWidth="1"/>
    <col min="26" max="16384" width="14.44140625" style="136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62</v>
      </c>
      <c r="I2" s="2">
        <v>2024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2436525</v>
      </c>
      <c r="E4" s="18">
        <f>D4*50%</f>
        <v>1218262.5</v>
      </c>
      <c r="F4" s="15">
        <f t="shared" ref="F4" si="0">+D4*50%</f>
        <v>1218262.5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2436525</v>
      </c>
      <c r="E6" s="7">
        <f>SUM(E4:E5)</f>
        <v>1218262.5</v>
      </c>
      <c r="F6" s="7">
        <f>SUM(F4:F5)</f>
        <v>1218262.5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35"/>
      <c r="B7" s="135"/>
      <c r="C7" s="135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849814</v>
      </c>
      <c r="E9" s="17">
        <f>+D9*50%</f>
        <v>424907</v>
      </c>
      <c r="F9" s="17">
        <f>+D9*50%</f>
        <v>424907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195"/>
      <c r="H10" s="195"/>
      <c r="I10" s="195"/>
    </row>
    <row r="11" spans="1:25" ht="18" customHeight="1" x14ac:dyDescent="0.3">
      <c r="A11" s="218" t="s">
        <v>12</v>
      </c>
      <c r="B11" s="164"/>
      <c r="C11" s="165"/>
      <c r="D11" s="120">
        <v>3470</v>
      </c>
      <c r="E11" s="17">
        <f t="shared" si="1"/>
        <v>1735</v>
      </c>
      <c r="F11" s="17">
        <f t="shared" si="2"/>
        <v>1735</v>
      </c>
      <c r="G11" s="237"/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853284</v>
      </c>
      <c r="E12" s="7">
        <f>SUM(E9:E11)</f>
        <v>426642</v>
      </c>
      <c r="F12" s="7">
        <f t="shared" ref="F12" si="3">SUM(F9:F11)</f>
        <v>426642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35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54767.83</v>
      </c>
      <c r="E15" s="30">
        <f>+D15*50%</f>
        <v>27383.915000000001</v>
      </c>
      <c r="F15" s="30">
        <f>+D15*50%</f>
        <v>27383.915000000001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4">+D16*50%</f>
        <v>0</v>
      </c>
      <c r="F16" s="30">
        <f t="shared" ref="F16:F17" si="5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SUM(D15)</f>
        <v>54767.83</v>
      </c>
      <c r="E18" s="7">
        <f>SUM(E15:E17)</f>
        <v>27383.915000000001</v>
      </c>
      <c r="F18" s="7">
        <f>SUM(F15:F17)</f>
        <v>27383.915000000001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AGOSTO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1672288.415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1672288.415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3344576.83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f>+D4</f>
        <v>2436525</v>
      </c>
      <c r="D26" s="25">
        <v>1</v>
      </c>
      <c r="E26" s="60">
        <f>+D12</f>
        <v>853284</v>
      </c>
      <c r="F26" s="25">
        <v>1</v>
      </c>
      <c r="G26" s="60">
        <f>+D18</f>
        <v>54767.83</v>
      </c>
      <c r="H26" s="25">
        <v>1</v>
      </c>
      <c r="I26" s="64">
        <f>+C26+E26+G26</f>
        <v>3344576.83</v>
      </c>
    </row>
    <row r="27" spans="1:25" ht="19.5" customHeight="1" x14ac:dyDescent="0.3">
      <c r="A27" s="204" t="s">
        <v>21</v>
      </c>
      <c r="B27" s="187"/>
      <c r="C27" s="60">
        <v>0</v>
      </c>
      <c r="D27" s="25">
        <v>0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23:B23"/>
    <mergeCell ref="A25:B25"/>
    <mergeCell ref="A26:B26"/>
    <mergeCell ref="A27:B27"/>
    <mergeCell ref="A17:C17"/>
    <mergeCell ref="G17:I17"/>
    <mergeCell ref="A18:C18"/>
    <mergeCell ref="A20:B20"/>
    <mergeCell ref="A21:B21"/>
    <mergeCell ref="A22:B22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A6:C6"/>
    <mergeCell ref="G6:I6"/>
    <mergeCell ref="A8:C8"/>
    <mergeCell ref="G8:I8"/>
    <mergeCell ref="A9:C9"/>
    <mergeCell ref="G9:I9"/>
    <mergeCell ref="A5:C5"/>
    <mergeCell ref="G5:I5"/>
    <mergeCell ref="A1:G2"/>
    <mergeCell ref="A3:C3"/>
    <mergeCell ref="G3:I3"/>
    <mergeCell ref="A4:C4"/>
    <mergeCell ref="G4:I4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Y999"/>
  <sheetViews>
    <sheetView workbookViewId="0">
      <selection activeCell="D15" sqref="D15"/>
    </sheetView>
  </sheetViews>
  <sheetFormatPr baseColWidth="10" defaultColWidth="14.44140625" defaultRowHeight="14.4" x14ac:dyDescent="0.3"/>
  <cols>
    <col min="1" max="1" width="21.6640625" style="136" customWidth="1"/>
    <col min="2" max="3" width="15.6640625" style="136" customWidth="1"/>
    <col min="4" max="9" width="15.77734375" style="136" customWidth="1"/>
    <col min="10" max="10" width="33.77734375" style="136" bestFit="1" customWidth="1"/>
    <col min="11" max="25" width="10" style="136" customWidth="1"/>
    <col min="26" max="16384" width="14.44140625" style="136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63</v>
      </c>
      <c r="I2" s="2">
        <v>2024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2491350</v>
      </c>
      <c r="E4" s="18">
        <f>D4*50%</f>
        <v>1245675</v>
      </c>
      <c r="F4" s="15">
        <f t="shared" ref="F4" si="0">+D4*50%</f>
        <v>1245675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2491350</v>
      </c>
      <c r="E6" s="7">
        <f>SUM(E4:E5)</f>
        <v>1245675</v>
      </c>
      <c r="F6" s="7">
        <f>SUM(F4:F5)</f>
        <v>1245675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35"/>
      <c r="B7" s="135"/>
      <c r="C7" s="135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756030</v>
      </c>
      <c r="E9" s="17">
        <f>+D9*50%</f>
        <v>378015</v>
      </c>
      <c r="F9" s="17">
        <f>+D9*50%</f>
        <v>378015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195"/>
      <c r="H10" s="195"/>
      <c r="I10" s="195"/>
    </row>
    <row r="11" spans="1:25" ht="18" customHeight="1" x14ac:dyDescent="0.3">
      <c r="A11" s="218" t="s">
        <v>12</v>
      </c>
      <c r="B11" s="164"/>
      <c r="C11" s="165"/>
      <c r="D11" s="120">
        <v>11055</v>
      </c>
      <c r="E11" s="17">
        <f t="shared" si="1"/>
        <v>5527.5</v>
      </c>
      <c r="F11" s="17">
        <f t="shared" si="2"/>
        <v>5527.5</v>
      </c>
      <c r="G11" s="237"/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767085</v>
      </c>
      <c r="E12" s="7">
        <f>SUM(E9:E11)</f>
        <v>383542.5</v>
      </c>
      <c r="F12" s="7">
        <f t="shared" ref="F12" si="3">SUM(F9:F11)</f>
        <v>383542.5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35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57186.37</v>
      </c>
      <c r="E15" s="30">
        <f>+D15*50%</f>
        <v>28593.185000000001</v>
      </c>
      <c r="F15" s="30">
        <f>+D15*50%</f>
        <v>28593.185000000001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4">+D16*50%</f>
        <v>0</v>
      </c>
      <c r="F16" s="30">
        <f t="shared" ref="F16:F17" si="5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SUM(D15)</f>
        <v>57186.37</v>
      </c>
      <c r="E18" s="7">
        <f>SUM(E15:E17)</f>
        <v>28593.185000000001</v>
      </c>
      <c r="F18" s="7">
        <f>SUM(F15:F17)</f>
        <v>28593.185000000001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SEPTIEMBRE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1657810.6850000001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1657810.6850000001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3315621.37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f>+D4</f>
        <v>2491350</v>
      </c>
      <c r="D26" s="25">
        <v>1</v>
      </c>
      <c r="E26" s="60">
        <f>+D12</f>
        <v>767085</v>
      </c>
      <c r="F26" s="25">
        <v>1</v>
      </c>
      <c r="G26" s="60">
        <f>+D18</f>
        <v>57186.37</v>
      </c>
      <c r="H26" s="25">
        <v>1</v>
      </c>
      <c r="I26" s="64">
        <f>+C26+E26+G26</f>
        <v>3315621.37</v>
      </c>
    </row>
    <row r="27" spans="1:25" ht="19.5" customHeight="1" x14ac:dyDescent="0.3">
      <c r="A27" s="204" t="s">
        <v>21</v>
      </c>
      <c r="B27" s="187"/>
      <c r="C27" s="60">
        <v>0</v>
      </c>
      <c r="D27" s="25">
        <v>0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23:B23"/>
    <mergeCell ref="A25:B25"/>
    <mergeCell ref="A26:B26"/>
    <mergeCell ref="A27:B27"/>
    <mergeCell ref="A17:C17"/>
    <mergeCell ref="G17:I17"/>
    <mergeCell ref="A18:C18"/>
    <mergeCell ref="A20:B20"/>
    <mergeCell ref="A21:B21"/>
    <mergeCell ref="A22:B22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A6:C6"/>
    <mergeCell ref="G6:I6"/>
    <mergeCell ref="A8:C8"/>
    <mergeCell ref="G8:I8"/>
    <mergeCell ref="A9:C9"/>
    <mergeCell ref="G9:I9"/>
    <mergeCell ref="A5:C5"/>
    <mergeCell ref="G5:I5"/>
    <mergeCell ref="A1:G2"/>
    <mergeCell ref="A3:C3"/>
    <mergeCell ref="G3:I3"/>
    <mergeCell ref="A4:C4"/>
    <mergeCell ref="G4:I4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Y999"/>
  <sheetViews>
    <sheetView topLeftCell="A7" workbookViewId="0">
      <selection activeCell="D11" sqref="D11"/>
    </sheetView>
  </sheetViews>
  <sheetFormatPr baseColWidth="10" defaultColWidth="14.44140625" defaultRowHeight="14.4" x14ac:dyDescent="0.3"/>
  <cols>
    <col min="1" max="1" width="21.6640625" style="138" customWidth="1"/>
    <col min="2" max="3" width="15.6640625" style="138" customWidth="1"/>
    <col min="4" max="9" width="15.77734375" style="138" customWidth="1"/>
    <col min="10" max="10" width="33.77734375" style="138" bestFit="1" customWidth="1"/>
    <col min="11" max="25" width="10" style="138" customWidth="1"/>
    <col min="26" max="16384" width="14.44140625" style="138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64</v>
      </c>
      <c r="I2" s="2">
        <v>2024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2675700</v>
      </c>
      <c r="E4" s="18">
        <f>D4*50%</f>
        <v>1337850</v>
      </c>
      <c r="F4" s="15">
        <f t="shared" ref="F4" si="0">+D4*50%</f>
        <v>1337850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2675700</v>
      </c>
      <c r="E6" s="7">
        <f>SUM(E4:E5)</f>
        <v>1337850</v>
      </c>
      <c r="F6" s="7">
        <f>SUM(F4:F5)</f>
        <v>1337850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37"/>
      <c r="B7" s="137"/>
      <c r="C7" s="137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799095</v>
      </c>
      <c r="E9" s="17">
        <f>+D9*50%</f>
        <v>399547.5</v>
      </c>
      <c r="F9" s="17">
        <f>+D9*50%</f>
        <v>399547.5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195"/>
      <c r="H10" s="195"/>
      <c r="I10" s="195"/>
    </row>
    <row r="11" spans="1:25" ht="18" customHeight="1" x14ac:dyDescent="0.3">
      <c r="A11" s="218" t="s">
        <v>12</v>
      </c>
      <c r="B11" s="164"/>
      <c r="C11" s="165"/>
      <c r="D11" s="120">
        <v>1923</v>
      </c>
      <c r="E11" s="17">
        <f t="shared" si="1"/>
        <v>961.5</v>
      </c>
      <c r="F11" s="17">
        <f t="shared" si="2"/>
        <v>961.5</v>
      </c>
      <c r="G11" s="237"/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801018</v>
      </c>
      <c r="E12" s="7">
        <f>SUM(E9:E11)</f>
        <v>400509</v>
      </c>
      <c r="F12" s="7">
        <f t="shared" ref="F12" si="3">SUM(F9:F11)</f>
        <v>400509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37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70453.16</v>
      </c>
      <c r="E15" s="30">
        <f>+D15*50%</f>
        <v>35226.58</v>
      </c>
      <c r="F15" s="30">
        <f>+D15*50%</f>
        <v>35226.58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4">+D16*50%</f>
        <v>0</v>
      </c>
      <c r="F16" s="30">
        <f t="shared" ref="F16:F17" si="5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SUM(D15)</f>
        <v>70453.16</v>
      </c>
      <c r="E18" s="7">
        <f>SUM(E15:E17)</f>
        <v>35226.58</v>
      </c>
      <c r="F18" s="7">
        <f>SUM(F15:F17)</f>
        <v>35226.58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OCTUBRE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1773585.58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1773585.58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3547171.16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801018</v>
      </c>
      <c r="F26" s="25">
        <v>1</v>
      </c>
      <c r="G26" s="60">
        <f>+D18</f>
        <v>70453.16</v>
      </c>
      <c r="H26" s="25">
        <v>1</v>
      </c>
      <c r="I26" s="64">
        <f>+C26+E26+G26</f>
        <v>871471.16</v>
      </c>
    </row>
    <row r="27" spans="1:25" ht="19.5" customHeight="1" x14ac:dyDescent="0.3">
      <c r="A27" s="204" t="s">
        <v>21</v>
      </c>
      <c r="B27" s="187"/>
      <c r="C27" s="60">
        <f>+D4</f>
        <v>2675700</v>
      </c>
      <c r="D27" s="25">
        <v>1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2675700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5:C5"/>
    <mergeCell ref="G5:I5"/>
    <mergeCell ref="A1:G2"/>
    <mergeCell ref="A3:C3"/>
    <mergeCell ref="G3:I3"/>
    <mergeCell ref="A4:C4"/>
    <mergeCell ref="G4:I4"/>
    <mergeCell ref="A6:C6"/>
    <mergeCell ref="G6:I6"/>
    <mergeCell ref="A8:C8"/>
    <mergeCell ref="G8:I8"/>
    <mergeCell ref="A9:C9"/>
    <mergeCell ref="G9:I9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G17:I17"/>
    <mergeCell ref="A18:C18"/>
    <mergeCell ref="A20:B20"/>
    <mergeCell ref="A21:B21"/>
    <mergeCell ref="A22:B22"/>
    <mergeCell ref="A23:B23"/>
    <mergeCell ref="A25:B25"/>
    <mergeCell ref="A26:B26"/>
    <mergeCell ref="A27:B27"/>
    <mergeCell ref="A17:C17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Y999"/>
  <sheetViews>
    <sheetView topLeftCell="A7" workbookViewId="0">
      <selection activeCell="D16" sqref="D16"/>
    </sheetView>
  </sheetViews>
  <sheetFormatPr baseColWidth="10" defaultColWidth="14.44140625" defaultRowHeight="14.4" x14ac:dyDescent="0.3"/>
  <cols>
    <col min="1" max="1" width="21.6640625" style="138" customWidth="1"/>
    <col min="2" max="3" width="15.6640625" style="138" customWidth="1"/>
    <col min="4" max="9" width="15.77734375" style="138" customWidth="1"/>
    <col min="10" max="10" width="33.77734375" style="138" bestFit="1" customWidth="1"/>
    <col min="11" max="25" width="10" style="138" customWidth="1"/>
    <col min="26" max="16384" width="14.44140625" style="138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65</v>
      </c>
      <c r="I2" s="2">
        <v>2024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2887050</v>
      </c>
      <c r="E4" s="18">
        <f>D4*50%</f>
        <v>1443525</v>
      </c>
      <c r="F4" s="15">
        <f t="shared" ref="F4" si="0">+D4*50%</f>
        <v>1443525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2887050</v>
      </c>
      <c r="E6" s="7">
        <f>SUM(E4:E5)</f>
        <v>1443525</v>
      </c>
      <c r="F6" s="7">
        <f>SUM(F4:F5)</f>
        <v>1443525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37"/>
      <c r="B7" s="137"/>
      <c r="C7" s="137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916790</v>
      </c>
      <c r="E9" s="17">
        <f>+D9*50%</f>
        <v>458395</v>
      </c>
      <c r="F9" s="17">
        <f>+D9*50%</f>
        <v>458395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195"/>
      <c r="H10" s="195"/>
      <c r="I10" s="195"/>
    </row>
    <row r="11" spans="1:25" ht="18" customHeight="1" x14ac:dyDescent="0.3">
      <c r="A11" s="218" t="s">
        <v>12</v>
      </c>
      <c r="B11" s="164"/>
      <c r="C11" s="165"/>
      <c r="D11" s="120">
        <v>888</v>
      </c>
      <c r="E11" s="17">
        <f t="shared" si="1"/>
        <v>444</v>
      </c>
      <c r="F11" s="17">
        <f t="shared" si="2"/>
        <v>444</v>
      </c>
      <c r="G11" s="237"/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917678</v>
      </c>
      <c r="E12" s="7">
        <f>SUM(E9:E11)</f>
        <v>458839</v>
      </c>
      <c r="F12" s="7">
        <f t="shared" ref="F12" si="3">SUM(F9:F11)</f>
        <v>458839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37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67756.69</v>
      </c>
      <c r="E15" s="30">
        <f>+D15*50%</f>
        <v>33878.345000000001</v>
      </c>
      <c r="F15" s="30">
        <f>+D15*50%</f>
        <v>33878.345000000001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4">+D16*50%</f>
        <v>0</v>
      </c>
      <c r="F16" s="30">
        <f t="shared" ref="F16:F17" si="5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SUM(D15:D17)</f>
        <v>67756.69</v>
      </c>
      <c r="E18" s="19">
        <f t="shared" ref="E18:F18" si="6">SUM(E15:E17)</f>
        <v>33878.345000000001</v>
      </c>
      <c r="F18" s="19">
        <f t="shared" si="6"/>
        <v>33878.345000000001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NOVIEMBRE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1936242.345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1936242.345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3872484.69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917678</v>
      </c>
      <c r="F26" s="25">
        <v>1</v>
      </c>
      <c r="G26" s="60">
        <f>+D18</f>
        <v>67756.69</v>
      </c>
      <c r="H26" s="25">
        <v>1</v>
      </c>
      <c r="I26" s="64">
        <f>+C26+E26+G26</f>
        <v>985434.69</v>
      </c>
    </row>
    <row r="27" spans="1:25" ht="19.5" customHeight="1" x14ac:dyDescent="0.3">
      <c r="A27" s="204" t="s">
        <v>21</v>
      </c>
      <c r="B27" s="187"/>
      <c r="C27" s="60">
        <f>+D4</f>
        <v>2887050</v>
      </c>
      <c r="D27" s="25">
        <v>1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2887050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5:C5"/>
    <mergeCell ref="G5:I5"/>
    <mergeCell ref="A1:G2"/>
    <mergeCell ref="A3:C3"/>
    <mergeCell ref="G3:I3"/>
    <mergeCell ref="A4:C4"/>
    <mergeCell ref="G4:I4"/>
    <mergeCell ref="A6:C6"/>
    <mergeCell ref="G6:I6"/>
    <mergeCell ref="A8:C8"/>
    <mergeCell ref="G8:I8"/>
    <mergeCell ref="A9:C9"/>
    <mergeCell ref="G9:I9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G17:I17"/>
    <mergeCell ref="A18:C18"/>
    <mergeCell ref="A20:B20"/>
    <mergeCell ref="A21:B21"/>
    <mergeCell ref="A22:B22"/>
    <mergeCell ref="A23:B23"/>
    <mergeCell ref="A25:B25"/>
    <mergeCell ref="A26:B26"/>
    <mergeCell ref="A27:B27"/>
    <mergeCell ref="A17:C17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Y999"/>
  <sheetViews>
    <sheetView topLeftCell="A7" workbookViewId="0">
      <selection activeCell="D16" sqref="D16"/>
    </sheetView>
  </sheetViews>
  <sheetFormatPr baseColWidth="10" defaultColWidth="14.44140625" defaultRowHeight="14.4" x14ac:dyDescent="0.3"/>
  <cols>
    <col min="1" max="1" width="21.6640625" style="138" customWidth="1"/>
    <col min="2" max="3" width="15.6640625" style="138" customWidth="1"/>
    <col min="4" max="9" width="15.77734375" style="138" customWidth="1"/>
    <col min="10" max="10" width="33.77734375" style="138" bestFit="1" customWidth="1"/>
    <col min="11" max="25" width="10" style="138" customWidth="1"/>
    <col min="26" max="16384" width="14.44140625" style="138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14</v>
      </c>
      <c r="I2" s="2">
        <v>2024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3096000</v>
      </c>
      <c r="E4" s="18">
        <f>D4*50%</f>
        <v>1548000</v>
      </c>
      <c r="F4" s="15">
        <f t="shared" ref="F4" si="0">+D4*50%</f>
        <v>1548000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3096000</v>
      </c>
      <c r="E6" s="7">
        <f>SUM(E4:E5)</f>
        <v>1548000</v>
      </c>
      <c r="F6" s="7">
        <f>SUM(F4:F5)</f>
        <v>1548000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37"/>
      <c r="B7" s="137"/>
      <c r="C7" s="137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828153</v>
      </c>
      <c r="E9" s="17">
        <f>+D9*50%</f>
        <v>414076.5</v>
      </c>
      <c r="F9" s="17">
        <f>+D9*50%</f>
        <v>414076.5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195"/>
      <c r="H10" s="195"/>
      <c r="I10" s="195"/>
    </row>
    <row r="11" spans="1:25" ht="18" customHeight="1" x14ac:dyDescent="0.3">
      <c r="A11" s="218" t="s">
        <v>12</v>
      </c>
      <c r="B11" s="164"/>
      <c r="C11" s="165"/>
      <c r="D11" s="120">
        <v>2375</v>
      </c>
      <c r="E11" s="17">
        <f t="shared" si="1"/>
        <v>1187.5</v>
      </c>
      <c r="F11" s="17">
        <f t="shared" si="2"/>
        <v>1187.5</v>
      </c>
      <c r="G11" s="237"/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830528</v>
      </c>
      <c r="E12" s="7">
        <f>SUM(E9:E11)</f>
        <v>415264</v>
      </c>
      <c r="F12" s="7">
        <f t="shared" ref="F12" si="3">SUM(F9:F11)</f>
        <v>415264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37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72445.64</v>
      </c>
      <c r="E15" s="30">
        <f>+D15*50%</f>
        <v>36222.82</v>
      </c>
      <c r="F15" s="30">
        <f>+D15*50%</f>
        <v>36222.82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50000</v>
      </c>
      <c r="E16" s="30">
        <f t="shared" ref="E16:E17" si="4">+D16*50%</f>
        <v>25000</v>
      </c>
      <c r="F16" s="30">
        <f t="shared" ref="F16:F17" si="5">+D16*50%</f>
        <v>25000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SUM(D15:D17)</f>
        <v>122445.64</v>
      </c>
      <c r="E18" s="19">
        <f t="shared" ref="E18:F18" si="6">SUM(E15:E17)</f>
        <v>61222.82</v>
      </c>
      <c r="F18" s="19">
        <f t="shared" si="6"/>
        <v>61222.82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DICIEMBRE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2024486.82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2024486.82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4048973.64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830528</v>
      </c>
      <c r="F26" s="25">
        <v>1</v>
      </c>
      <c r="G26" s="60">
        <f>+D18</f>
        <v>122445.64</v>
      </c>
      <c r="H26" s="25">
        <v>1</v>
      </c>
      <c r="I26" s="64">
        <f>+C26+E26+G26</f>
        <v>952973.64</v>
      </c>
    </row>
    <row r="27" spans="1:25" ht="19.5" customHeight="1" x14ac:dyDescent="0.3">
      <c r="A27" s="204" t="s">
        <v>21</v>
      </c>
      <c r="B27" s="187"/>
      <c r="C27" s="60">
        <f>+D4</f>
        <v>3096000</v>
      </c>
      <c r="D27" s="25">
        <v>1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3096000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5:C5"/>
    <mergeCell ref="G5:I5"/>
    <mergeCell ref="A1:G2"/>
    <mergeCell ref="A3:C3"/>
    <mergeCell ref="G3:I3"/>
    <mergeCell ref="A4:C4"/>
    <mergeCell ref="G4:I4"/>
    <mergeCell ref="A6:C6"/>
    <mergeCell ref="G6:I6"/>
    <mergeCell ref="A8:C8"/>
    <mergeCell ref="G8:I8"/>
    <mergeCell ref="A9:C9"/>
    <mergeCell ref="G9:I9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G17:I17"/>
    <mergeCell ref="A18:C18"/>
    <mergeCell ref="A20:B20"/>
    <mergeCell ref="A21:B21"/>
    <mergeCell ref="A22:B22"/>
    <mergeCell ref="A23:B23"/>
    <mergeCell ref="A25:B25"/>
    <mergeCell ref="A26:B26"/>
    <mergeCell ref="A27:B27"/>
    <mergeCell ref="A17:C17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Y999"/>
  <sheetViews>
    <sheetView topLeftCell="A7" workbookViewId="0">
      <selection activeCell="D11" sqref="D11"/>
    </sheetView>
  </sheetViews>
  <sheetFormatPr baseColWidth="10" defaultColWidth="14.44140625" defaultRowHeight="14.4" x14ac:dyDescent="0.3"/>
  <cols>
    <col min="1" max="1" width="21.6640625" style="141" customWidth="1"/>
    <col min="2" max="3" width="15.6640625" style="141" customWidth="1"/>
    <col min="4" max="9" width="15.77734375" style="141" customWidth="1"/>
    <col min="10" max="10" width="33.77734375" style="141" bestFit="1" customWidth="1"/>
    <col min="11" max="25" width="10" style="141" customWidth="1"/>
    <col min="26" max="16384" width="14.44140625" style="141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2</v>
      </c>
      <c r="I2" s="2">
        <v>2025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3096000</v>
      </c>
      <c r="E4" s="18">
        <f>D4*50%</f>
        <v>1548000</v>
      </c>
      <c r="F4" s="15">
        <f t="shared" ref="F4" si="0">+D4*50%</f>
        <v>1548000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3096000</v>
      </c>
      <c r="E6" s="7">
        <f>SUM(E4:E5)</f>
        <v>1548000</v>
      </c>
      <c r="F6" s="7">
        <f>SUM(F4:F5)</f>
        <v>1548000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40"/>
      <c r="B7" s="140"/>
      <c r="C7" s="140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864398</v>
      </c>
      <c r="E9" s="17">
        <f>+D9*50%</f>
        <v>432199</v>
      </c>
      <c r="F9" s="17">
        <f>+D9*50%</f>
        <v>432199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195"/>
      <c r="H10" s="195"/>
      <c r="I10" s="195"/>
    </row>
    <row r="11" spans="1:25" ht="18" customHeight="1" x14ac:dyDescent="0.3">
      <c r="A11" s="218" t="s">
        <v>12</v>
      </c>
      <c r="B11" s="164"/>
      <c r="C11" s="165"/>
      <c r="D11" s="120">
        <v>9060</v>
      </c>
      <c r="E11" s="17">
        <f t="shared" si="1"/>
        <v>4530</v>
      </c>
      <c r="F11" s="17">
        <f t="shared" si="2"/>
        <v>4530</v>
      </c>
      <c r="G11" s="237"/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873458</v>
      </c>
      <c r="E12" s="7">
        <f>SUM(E9:E11)</f>
        <v>436729</v>
      </c>
      <c r="F12" s="7">
        <f t="shared" ref="F12" si="3">SUM(F9:F11)</f>
        <v>436729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40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77553.55</v>
      </c>
      <c r="E15" s="30">
        <f>+D15*50%</f>
        <v>38776.775000000001</v>
      </c>
      <c r="F15" s="30">
        <f>+D15*50%</f>
        <v>38776.775000000001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4">+D16*50%</f>
        <v>0</v>
      </c>
      <c r="F16" s="30">
        <f t="shared" ref="F16:F17" si="5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SUM(D15:D17)</f>
        <v>77553.55</v>
      </c>
      <c r="E18" s="19">
        <f t="shared" ref="E18:F18" si="6">SUM(E15:E17)</f>
        <v>38776.775000000001</v>
      </c>
      <c r="F18" s="19">
        <f t="shared" si="6"/>
        <v>38776.775000000001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ENERO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2023505.7749999999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2023505.7749999999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4047011.55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873458</v>
      </c>
      <c r="F26" s="25">
        <v>1</v>
      </c>
      <c r="G26" s="60">
        <f>+D18</f>
        <v>77553.55</v>
      </c>
      <c r="H26" s="25">
        <v>1</v>
      </c>
      <c r="I26" s="64">
        <f>+C26+E26+G26</f>
        <v>951011.55</v>
      </c>
    </row>
    <row r="27" spans="1:25" ht="19.5" customHeight="1" x14ac:dyDescent="0.3">
      <c r="A27" s="204" t="s">
        <v>21</v>
      </c>
      <c r="B27" s="187"/>
      <c r="C27" s="60">
        <f>+D4</f>
        <v>3096000</v>
      </c>
      <c r="D27" s="25">
        <v>1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3096000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23:B23"/>
    <mergeCell ref="A25:B25"/>
    <mergeCell ref="A26:B26"/>
    <mergeCell ref="A27:B27"/>
    <mergeCell ref="A17:C17"/>
    <mergeCell ref="G17:I17"/>
    <mergeCell ref="A18:C18"/>
    <mergeCell ref="A20:B20"/>
    <mergeCell ref="A21:B21"/>
    <mergeCell ref="A22:B22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A6:C6"/>
    <mergeCell ref="G6:I6"/>
    <mergeCell ref="A8:C8"/>
    <mergeCell ref="G8:I8"/>
    <mergeCell ref="A9:C9"/>
    <mergeCell ref="G9:I9"/>
    <mergeCell ref="A5:C5"/>
    <mergeCell ref="G5:I5"/>
    <mergeCell ref="A1:G2"/>
    <mergeCell ref="A3:C3"/>
    <mergeCell ref="G3:I3"/>
    <mergeCell ref="A4:C4"/>
    <mergeCell ref="G4:I4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Y999"/>
  <sheetViews>
    <sheetView topLeftCell="A7" workbookViewId="0">
      <selection activeCell="D11" sqref="D11"/>
    </sheetView>
  </sheetViews>
  <sheetFormatPr baseColWidth="10" defaultColWidth="14.44140625" defaultRowHeight="14.4" x14ac:dyDescent="0.3"/>
  <cols>
    <col min="1" max="1" width="21.6640625" style="144" customWidth="1"/>
    <col min="2" max="3" width="15.6640625" style="144" customWidth="1"/>
    <col min="4" max="9" width="15.77734375" style="144" customWidth="1"/>
    <col min="10" max="10" width="33.77734375" style="144" bestFit="1" customWidth="1"/>
    <col min="11" max="25" width="10" style="144" customWidth="1"/>
    <col min="26" max="16384" width="14.44140625" style="144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42</v>
      </c>
      <c r="I2" s="2">
        <v>2025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3981200</v>
      </c>
      <c r="E4" s="18">
        <f>D4*50%</f>
        <v>1990600</v>
      </c>
      <c r="F4" s="15">
        <f t="shared" ref="F4" si="0">+D4*50%</f>
        <v>1990600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3981200</v>
      </c>
      <c r="E6" s="7">
        <f>SUM(E4:E5)</f>
        <v>1990600</v>
      </c>
      <c r="F6" s="7">
        <f>SUM(F4:F5)</f>
        <v>1990600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43"/>
      <c r="B7" s="143"/>
      <c r="C7" s="143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872375</v>
      </c>
      <c r="E9" s="17">
        <f>+D9*50%</f>
        <v>436187.5</v>
      </c>
      <c r="F9" s="17">
        <f>+D9*50%</f>
        <v>436187.5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195"/>
      <c r="H10" s="195"/>
      <c r="I10" s="195"/>
    </row>
    <row r="11" spans="1:25" ht="18" customHeight="1" x14ac:dyDescent="0.3">
      <c r="A11" s="218" t="s">
        <v>12</v>
      </c>
      <c r="B11" s="164"/>
      <c r="C11" s="165"/>
      <c r="D11" s="120">
        <v>436</v>
      </c>
      <c r="E11" s="17">
        <f t="shared" si="1"/>
        <v>218</v>
      </c>
      <c r="F11" s="17">
        <f t="shared" si="2"/>
        <v>218</v>
      </c>
      <c r="G11" s="237"/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872811</v>
      </c>
      <c r="E12" s="7">
        <f>SUM(E9:E11)</f>
        <v>436405.5</v>
      </c>
      <c r="F12" s="7">
        <f t="shared" ref="F12" si="3">SUM(F9:F11)</f>
        <v>436405.5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43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79881.88</v>
      </c>
      <c r="E15" s="30">
        <f>+D15*50%</f>
        <v>39940.94</v>
      </c>
      <c r="F15" s="30">
        <f>+D15*50%</f>
        <v>39940.94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62500</v>
      </c>
      <c r="E16" s="30">
        <f t="shared" ref="E16:E17" si="4">+D16*50%</f>
        <v>31250</v>
      </c>
      <c r="F16" s="30">
        <f t="shared" ref="F16:F17" si="5">+D16*50%</f>
        <v>31250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SUM(D15:D17)</f>
        <v>142381.88</v>
      </c>
      <c r="E18" s="19">
        <f t="shared" ref="E18:F18" si="6">SUM(E15:E17)</f>
        <v>71190.94</v>
      </c>
      <c r="F18" s="19">
        <f t="shared" si="6"/>
        <v>71190.94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FEBRERO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2498196.44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2498196.44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4996392.88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872811</v>
      </c>
      <c r="F26" s="25">
        <v>1</v>
      </c>
      <c r="G26" s="60">
        <f>+D18</f>
        <v>142381.88</v>
      </c>
      <c r="H26" s="25">
        <v>1</v>
      </c>
      <c r="I26" s="64">
        <f>+C26+E26+G26</f>
        <v>1015192.88</v>
      </c>
    </row>
    <row r="27" spans="1:25" ht="19.5" customHeight="1" x14ac:dyDescent="0.3">
      <c r="A27" s="204" t="s">
        <v>21</v>
      </c>
      <c r="B27" s="187"/>
      <c r="C27" s="60">
        <f>+D4</f>
        <v>3981200</v>
      </c>
      <c r="D27" s="25">
        <v>1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3981200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5:C5"/>
    <mergeCell ref="G5:I5"/>
    <mergeCell ref="A1:G2"/>
    <mergeCell ref="A3:C3"/>
    <mergeCell ref="G3:I3"/>
    <mergeCell ref="A4:C4"/>
    <mergeCell ref="G4:I4"/>
    <mergeCell ref="A6:C6"/>
    <mergeCell ref="G6:I6"/>
    <mergeCell ref="A8:C8"/>
    <mergeCell ref="G8:I8"/>
    <mergeCell ref="A9:C9"/>
    <mergeCell ref="G9:I9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G17:I17"/>
    <mergeCell ref="A18:C18"/>
    <mergeCell ref="A20:B20"/>
    <mergeCell ref="A21:B21"/>
    <mergeCell ref="A22:B22"/>
    <mergeCell ref="A23:B23"/>
    <mergeCell ref="A25:B25"/>
    <mergeCell ref="A26:B26"/>
    <mergeCell ref="A27:B27"/>
    <mergeCell ref="A17:C17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Y999"/>
  <sheetViews>
    <sheetView topLeftCell="A10" workbookViewId="0">
      <selection activeCell="D16" sqref="D16"/>
    </sheetView>
  </sheetViews>
  <sheetFormatPr baseColWidth="10" defaultColWidth="14.44140625" defaultRowHeight="14.4" x14ac:dyDescent="0.3"/>
  <cols>
    <col min="1" max="1" width="21.6640625" style="144" customWidth="1"/>
    <col min="2" max="3" width="15.6640625" style="144" customWidth="1"/>
    <col min="4" max="9" width="15.77734375" style="144" customWidth="1"/>
    <col min="10" max="10" width="33.77734375" style="144" bestFit="1" customWidth="1"/>
    <col min="11" max="25" width="10" style="144" customWidth="1"/>
    <col min="26" max="16384" width="14.44140625" style="144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57</v>
      </c>
      <c r="I2" s="2">
        <v>2025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4446450</v>
      </c>
      <c r="E4" s="18">
        <f>D4*50%</f>
        <v>2223225</v>
      </c>
      <c r="F4" s="15">
        <f t="shared" ref="F4" si="0">+D4*50%</f>
        <v>2223225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4446450</v>
      </c>
      <c r="E6" s="7">
        <f>SUM(E4:E5)</f>
        <v>2223225</v>
      </c>
      <c r="F6" s="7">
        <f>SUM(F4:F5)</f>
        <v>2223225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43"/>
      <c r="B7" s="143"/>
      <c r="C7" s="143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894912</v>
      </c>
      <c r="E9" s="17">
        <f>+D9*50%</f>
        <v>447456</v>
      </c>
      <c r="F9" s="17">
        <f>+D9*50%</f>
        <v>447456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195"/>
      <c r="H10" s="195"/>
      <c r="I10" s="195"/>
    </row>
    <row r="11" spans="1:25" ht="18" customHeight="1" x14ac:dyDescent="0.3">
      <c r="A11" s="218" t="s">
        <v>12</v>
      </c>
      <c r="B11" s="164"/>
      <c r="C11" s="165"/>
      <c r="D11" s="120">
        <v>260</v>
      </c>
      <c r="E11" s="17">
        <f t="shared" si="1"/>
        <v>130</v>
      </c>
      <c r="F11" s="17">
        <f t="shared" si="2"/>
        <v>130</v>
      </c>
      <c r="G11" s="237"/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895172</v>
      </c>
      <c r="E12" s="7">
        <f>SUM(E9:E11)</f>
        <v>447586</v>
      </c>
      <c r="F12" s="7">
        <f t="shared" ref="F12" si="3">SUM(F9:F11)</f>
        <v>447586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43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82291.5</v>
      </c>
      <c r="E15" s="30">
        <f>+D15*50%</f>
        <v>41145.75</v>
      </c>
      <c r="F15" s="30">
        <f>+D15*50%</f>
        <v>41145.75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4">+D16*50%</f>
        <v>0</v>
      </c>
      <c r="F16" s="30">
        <f t="shared" ref="F16:F17" si="5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SUM(D15:D17)</f>
        <v>82291.5</v>
      </c>
      <c r="E18" s="19">
        <f t="shared" ref="E18:F18" si="6">SUM(E15:E17)</f>
        <v>41145.75</v>
      </c>
      <c r="F18" s="19">
        <f t="shared" si="6"/>
        <v>41145.75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MARZO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2711956.75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2711956.75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5423913.5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f>+D4</f>
        <v>4446450</v>
      </c>
      <c r="D26" s="25">
        <v>1</v>
      </c>
      <c r="E26" s="60">
        <f>+D12</f>
        <v>895172</v>
      </c>
      <c r="F26" s="25">
        <v>1</v>
      </c>
      <c r="G26" s="60">
        <f>+D18</f>
        <v>82291.5</v>
      </c>
      <c r="H26" s="25">
        <v>1</v>
      </c>
      <c r="I26" s="64">
        <f>+C26+E26+G26</f>
        <v>5423913.5</v>
      </c>
    </row>
    <row r="27" spans="1:25" ht="19.5" customHeight="1" x14ac:dyDescent="0.3">
      <c r="A27" s="204" t="s">
        <v>21</v>
      </c>
      <c r="B27" s="187"/>
      <c r="C27" s="60">
        <v>0</v>
      </c>
      <c r="D27" s="25">
        <v>0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5:C5"/>
    <mergeCell ref="G5:I5"/>
    <mergeCell ref="A1:G2"/>
    <mergeCell ref="A3:C3"/>
    <mergeCell ref="G3:I3"/>
    <mergeCell ref="A4:C4"/>
    <mergeCell ref="G4:I4"/>
    <mergeCell ref="A6:C6"/>
    <mergeCell ref="G6:I6"/>
    <mergeCell ref="A8:C8"/>
    <mergeCell ref="G8:I8"/>
    <mergeCell ref="A9:C9"/>
    <mergeCell ref="G9:I9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G17:I17"/>
    <mergeCell ref="A18:C18"/>
    <mergeCell ref="A20:B20"/>
    <mergeCell ref="A21:B21"/>
    <mergeCell ref="A22:B22"/>
    <mergeCell ref="A23:B23"/>
    <mergeCell ref="A25:B25"/>
    <mergeCell ref="A26:B26"/>
    <mergeCell ref="A27:B27"/>
    <mergeCell ref="A17:C17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Y999"/>
  <sheetViews>
    <sheetView workbookViewId="0">
      <selection activeCell="D11" activeCellId="1" sqref="D9 D11"/>
    </sheetView>
  </sheetViews>
  <sheetFormatPr baseColWidth="10" defaultColWidth="14.44140625" defaultRowHeight="14.4" x14ac:dyDescent="0.3"/>
  <cols>
    <col min="1" max="1" width="21.6640625" style="144" customWidth="1"/>
    <col min="2" max="3" width="15.6640625" style="144" customWidth="1"/>
    <col min="4" max="9" width="15.77734375" style="144" customWidth="1"/>
    <col min="10" max="10" width="33.77734375" style="144" bestFit="1" customWidth="1"/>
    <col min="11" max="25" width="10" style="144" customWidth="1"/>
    <col min="26" max="16384" width="14.44140625" style="144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58</v>
      </c>
      <c r="I2" s="2">
        <v>2025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4825700</v>
      </c>
      <c r="E4" s="18">
        <f>D4*50%</f>
        <v>2412850</v>
      </c>
      <c r="F4" s="15">
        <f t="shared" ref="F4" si="0">+D4*50%</f>
        <v>2412850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4825700</v>
      </c>
      <c r="E6" s="7">
        <f>SUM(E4:E5)</f>
        <v>2412850</v>
      </c>
      <c r="F6" s="7">
        <f>SUM(F4:F5)</f>
        <v>2412850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43"/>
      <c r="B7" s="143"/>
      <c r="C7" s="143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938395</v>
      </c>
      <c r="E9" s="17">
        <f>+D9*50%</f>
        <v>469197.5</v>
      </c>
      <c r="F9" s="17">
        <f>+D9*50%</f>
        <v>469197.5</v>
      </c>
      <c r="G9" s="229"/>
      <c r="H9" s="229"/>
      <c r="I9" s="22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195"/>
      <c r="H10" s="195"/>
      <c r="I10" s="195"/>
    </row>
    <row r="11" spans="1:25" ht="18" customHeight="1" x14ac:dyDescent="0.3">
      <c r="A11" s="218" t="s">
        <v>12</v>
      </c>
      <c r="B11" s="164"/>
      <c r="C11" s="165"/>
      <c r="D11" s="120">
        <v>783</v>
      </c>
      <c r="E11" s="17">
        <f t="shared" si="1"/>
        <v>391.5</v>
      </c>
      <c r="F11" s="17">
        <f t="shared" si="2"/>
        <v>391.5</v>
      </c>
      <c r="G11" s="237"/>
      <c r="H11" s="237"/>
      <c r="I11" s="237"/>
    </row>
    <row r="12" spans="1:25" x14ac:dyDescent="0.3">
      <c r="A12" s="219" t="s">
        <v>7</v>
      </c>
      <c r="B12" s="187"/>
      <c r="C12" s="188"/>
      <c r="D12" s="7">
        <f>SUM(D9:D11)</f>
        <v>939178</v>
      </c>
      <c r="E12" s="7">
        <f>SUM(E9:E11)</f>
        <v>469589</v>
      </c>
      <c r="F12" s="7">
        <f t="shared" ref="F12" si="3">SUM(F9:F11)</f>
        <v>469589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43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92616.06</v>
      </c>
      <c r="E15" s="30">
        <f>+D15*50%</f>
        <v>46308.03</v>
      </c>
      <c r="F15" s="30">
        <f>+D15*50%</f>
        <v>46308.03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4">+D16*50%</f>
        <v>0</v>
      </c>
      <c r="F16" s="30">
        <f t="shared" ref="F16:F17" si="5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SUM(D15:D17)</f>
        <v>92616.06</v>
      </c>
      <c r="E18" s="19">
        <f t="shared" ref="E18:F18" si="6">SUM(E15:E17)</f>
        <v>46308.03</v>
      </c>
      <c r="F18" s="19">
        <f t="shared" si="6"/>
        <v>46308.03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ABRIL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2928747.0300000003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2928747.0300000003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5857494.0600000005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f>+D4</f>
        <v>4825700</v>
      </c>
      <c r="D26" s="25">
        <v>1</v>
      </c>
      <c r="E26" s="60">
        <f>+D12</f>
        <v>939178</v>
      </c>
      <c r="F26" s="25">
        <v>1</v>
      </c>
      <c r="G26" s="60">
        <f>+D18</f>
        <v>92616.06</v>
      </c>
      <c r="H26" s="25">
        <v>1</v>
      </c>
      <c r="I26" s="64">
        <f>+C26+E26+G26</f>
        <v>5857494.0599999996</v>
      </c>
    </row>
    <row r="27" spans="1:25" ht="19.5" customHeight="1" x14ac:dyDescent="0.3">
      <c r="A27" s="204" t="s">
        <v>21</v>
      </c>
      <c r="B27" s="187"/>
      <c r="C27" s="60">
        <v>0</v>
      </c>
      <c r="D27" s="25">
        <v>0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5:C5"/>
    <mergeCell ref="G5:I5"/>
    <mergeCell ref="A1:G2"/>
    <mergeCell ref="A3:C3"/>
    <mergeCell ref="G3:I3"/>
    <mergeCell ref="A4:C4"/>
    <mergeCell ref="G4:I4"/>
    <mergeCell ref="A6:C6"/>
    <mergeCell ref="G6:I6"/>
    <mergeCell ref="A8:C8"/>
    <mergeCell ref="G8:I8"/>
    <mergeCell ref="A9:C9"/>
    <mergeCell ref="G9:I9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G17:I17"/>
    <mergeCell ref="A18:C18"/>
    <mergeCell ref="A20:B20"/>
    <mergeCell ref="A21:B21"/>
    <mergeCell ref="A22:B22"/>
    <mergeCell ref="A23:B23"/>
    <mergeCell ref="A25:B25"/>
    <mergeCell ref="A26:B26"/>
    <mergeCell ref="A27:B27"/>
    <mergeCell ref="A17:C17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Y999"/>
  <sheetViews>
    <sheetView topLeftCell="A4" workbookViewId="0">
      <selection activeCell="D15" sqref="D15"/>
    </sheetView>
  </sheetViews>
  <sheetFormatPr baseColWidth="10" defaultColWidth="14.44140625" defaultRowHeight="14.4" x14ac:dyDescent="0.3"/>
  <cols>
    <col min="1" max="1" width="21.6640625" style="144" customWidth="1"/>
    <col min="2" max="3" width="15.6640625" style="144" customWidth="1"/>
    <col min="4" max="9" width="15.77734375" style="144" customWidth="1"/>
    <col min="10" max="10" width="33.77734375" style="144" bestFit="1" customWidth="1"/>
    <col min="11" max="25" width="10" style="144" customWidth="1"/>
    <col min="26" max="16384" width="14.44140625" style="144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59</v>
      </c>
      <c r="I2" s="2">
        <v>2025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5593000</v>
      </c>
      <c r="E4" s="18">
        <f>D4*50%</f>
        <v>2796500</v>
      </c>
      <c r="F4" s="15">
        <f t="shared" ref="F4" si="0">+D4*50%</f>
        <v>2796500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5593000</v>
      </c>
      <c r="E6" s="7">
        <f>SUM(E4:E5)</f>
        <v>2796500</v>
      </c>
      <c r="F6" s="7">
        <f>SUM(F4:F5)</f>
        <v>2796500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43"/>
      <c r="B7" s="143"/>
      <c r="C7" s="143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1070247</v>
      </c>
      <c r="E9" s="17">
        <f>+D9*50%</f>
        <v>535123.5</v>
      </c>
      <c r="F9" s="17">
        <f>+D9*50%</f>
        <v>535123.5</v>
      </c>
      <c r="G9" s="239"/>
      <c r="H9" s="239"/>
      <c r="I9" s="23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238"/>
      <c r="H10" s="238"/>
      <c r="I10" s="238"/>
    </row>
    <row r="11" spans="1:25" ht="18" customHeight="1" x14ac:dyDescent="0.3">
      <c r="A11" s="218" t="s">
        <v>12</v>
      </c>
      <c r="B11" s="164"/>
      <c r="C11" s="165"/>
      <c r="D11" s="120">
        <v>14233</v>
      </c>
      <c r="E11" s="17">
        <f t="shared" si="1"/>
        <v>7116.5</v>
      </c>
      <c r="F11" s="17">
        <f t="shared" si="2"/>
        <v>7116.5</v>
      </c>
      <c r="G11" s="239"/>
      <c r="H11" s="239"/>
      <c r="I11" s="239"/>
    </row>
    <row r="12" spans="1:25" x14ac:dyDescent="0.3">
      <c r="A12" s="219" t="s">
        <v>7</v>
      </c>
      <c r="B12" s="187"/>
      <c r="C12" s="188"/>
      <c r="D12" s="7">
        <f>SUM(D9:D11)</f>
        <v>1084480</v>
      </c>
      <c r="E12" s="7">
        <f>SUM(E9:E11)</f>
        <v>542240</v>
      </c>
      <c r="F12" s="7">
        <f t="shared" ref="F12" si="3">SUM(F9:F11)</f>
        <v>542240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43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97577.48</v>
      </c>
      <c r="E15" s="30">
        <f>+D15*50%</f>
        <v>48788.74</v>
      </c>
      <c r="F15" s="30">
        <f>+D15*50%</f>
        <v>48788.74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25000</v>
      </c>
      <c r="E16" s="30">
        <f t="shared" ref="E16:E17" si="4">+D16*50%</f>
        <v>12500</v>
      </c>
      <c r="F16" s="30">
        <f t="shared" ref="F16:F17" si="5">+D16*50%</f>
        <v>12500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SUM(D15:D17)</f>
        <v>122577.48</v>
      </c>
      <c r="E18" s="19">
        <f t="shared" ref="E18:F18" si="6">SUM(E15:E17)</f>
        <v>61288.74</v>
      </c>
      <c r="F18" s="19">
        <f t="shared" si="6"/>
        <v>61288.74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MAYO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3400028.74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3400028.74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6800057.4800000004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1084480</v>
      </c>
      <c r="F26" s="25">
        <v>1</v>
      </c>
      <c r="G26" s="60">
        <f>+D18</f>
        <v>122577.48</v>
      </c>
      <c r="H26" s="25">
        <v>1</v>
      </c>
      <c r="I26" s="64">
        <f>+C26+E26+G26</f>
        <v>1207057.48</v>
      </c>
    </row>
    <row r="27" spans="1:25" ht="19.5" customHeight="1" x14ac:dyDescent="0.3">
      <c r="A27" s="204" t="s">
        <v>21</v>
      </c>
      <c r="B27" s="187"/>
      <c r="C27" s="60">
        <f>+D4</f>
        <v>5593000</v>
      </c>
      <c r="D27" s="25">
        <v>1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5593000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5:C5"/>
    <mergeCell ref="G5:I5"/>
    <mergeCell ref="A1:G2"/>
    <mergeCell ref="A3:C3"/>
    <mergeCell ref="G3:I3"/>
    <mergeCell ref="A4:C4"/>
    <mergeCell ref="G4:I4"/>
    <mergeCell ref="A6:C6"/>
    <mergeCell ref="G6:I6"/>
    <mergeCell ref="A8:C8"/>
    <mergeCell ref="G8:I8"/>
    <mergeCell ref="A9:C9"/>
    <mergeCell ref="G9:I9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G17:I17"/>
    <mergeCell ref="A18:C18"/>
    <mergeCell ref="A20:B20"/>
    <mergeCell ref="A21:B21"/>
    <mergeCell ref="A22:B22"/>
    <mergeCell ref="A23:B23"/>
    <mergeCell ref="A25:B25"/>
    <mergeCell ref="A26:B26"/>
    <mergeCell ref="A27:B27"/>
    <mergeCell ref="A17:C17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Y999"/>
  <sheetViews>
    <sheetView workbookViewId="0">
      <selection activeCell="D15" sqref="D15"/>
    </sheetView>
  </sheetViews>
  <sheetFormatPr baseColWidth="10" defaultColWidth="14.44140625" defaultRowHeight="14.4" x14ac:dyDescent="0.3"/>
  <cols>
    <col min="1" max="1" width="21.6640625" style="150" customWidth="1"/>
    <col min="2" max="3" width="15.6640625" style="150" customWidth="1"/>
    <col min="4" max="9" width="15.77734375" style="150" customWidth="1"/>
    <col min="10" max="10" width="33.77734375" style="150" bestFit="1" customWidth="1"/>
    <col min="11" max="25" width="10" style="150" customWidth="1"/>
    <col min="26" max="16384" width="14.44140625" style="150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60</v>
      </c>
      <c r="I2" s="2">
        <v>2025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6275000</v>
      </c>
      <c r="E4" s="18">
        <f>D4*50%</f>
        <v>3137500</v>
      </c>
      <c r="F4" s="15">
        <f t="shared" ref="F4" si="0">+D4*50%</f>
        <v>3137500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6275000</v>
      </c>
      <c r="E6" s="7">
        <f>SUM(E4:E5)</f>
        <v>3137500</v>
      </c>
      <c r="F6" s="7">
        <f>SUM(F4:F5)</f>
        <v>3137500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49"/>
      <c r="B7" s="149"/>
      <c r="C7" s="149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1137006</v>
      </c>
      <c r="E9" s="17">
        <f>+D9*50%</f>
        <v>568503</v>
      </c>
      <c r="F9" s="17">
        <f>+D9*50%</f>
        <v>568503</v>
      </c>
      <c r="G9" s="239"/>
      <c r="H9" s="239"/>
      <c r="I9" s="23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238"/>
      <c r="H10" s="238"/>
      <c r="I10" s="238"/>
    </row>
    <row r="11" spans="1:25" ht="18" customHeight="1" x14ac:dyDescent="0.3">
      <c r="A11" s="218" t="s">
        <v>12</v>
      </c>
      <c r="B11" s="164"/>
      <c r="C11" s="165"/>
      <c r="D11" s="120">
        <v>0</v>
      </c>
      <c r="E11" s="17">
        <f t="shared" si="1"/>
        <v>0</v>
      </c>
      <c r="F11" s="17">
        <f t="shared" si="2"/>
        <v>0</v>
      </c>
      <c r="G11" s="239"/>
      <c r="H11" s="239"/>
      <c r="I11" s="239"/>
    </row>
    <row r="12" spans="1:25" x14ac:dyDescent="0.3">
      <c r="A12" s="219" t="s">
        <v>7</v>
      </c>
      <c r="B12" s="187"/>
      <c r="C12" s="188"/>
      <c r="D12" s="7">
        <f>SUM(D9:D11)</f>
        <v>1137006</v>
      </c>
      <c r="E12" s="7">
        <f>SUM(E9:E11)</f>
        <v>568503</v>
      </c>
      <c r="F12" s="7">
        <f t="shared" ref="F12" si="3">SUM(F9:F11)</f>
        <v>568503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49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97577.48</v>
      </c>
      <c r="E15" s="30">
        <f>+D15*50%</f>
        <v>48788.74</v>
      </c>
      <c r="F15" s="30">
        <f>+D15*50%</f>
        <v>48788.74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4">+D16*50%</f>
        <v>0</v>
      </c>
      <c r="F16" s="30">
        <f t="shared" ref="F16:F17" si="5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SUM(D15:D17)</f>
        <v>97577.48</v>
      </c>
      <c r="E18" s="19">
        <f t="shared" ref="E18:F18" si="6">SUM(E15:E17)</f>
        <v>48788.74</v>
      </c>
      <c r="F18" s="19">
        <f t="shared" si="6"/>
        <v>48788.74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JUNIO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3754791.74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3754791.74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7509583.4800000004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1137006</v>
      </c>
      <c r="F26" s="25">
        <v>1</v>
      </c>
      <c r="G26" s="60">
        <f>+D18</f>
        <v>97577.48</v>
      </c>
      <c r="H26" s="25">
        <v>1</v>
      </c>
      <c r="I26" s="64">
        <f>+C26+E26+G26</f>
        <v>1234583.48</v>
      </c>
    </row>
    <row r="27" spans="1:25" ht="19.5" customHeight="1" x14ac:dyDescent="0.3">
      <c r="A27" s="204" t="s">
        <v>21</v>
      </c>
      <c r="B27" s="187"/>
      <c r="C27" s="60">
        <f>+D4</f>
        <v>6275000</v>
      </c>
      <c r="D27" s="25">
        <v>1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6275000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23:B23"/>
    <mergeCell ref="A25:B25"/>
    <mergeCell ref="A26:B26"/>
    <mergeCell ref="A27:B27"/>
    <mergeCell ref="A17:C17"/>
    <mergeCell ref="G17:I17"/>
    <mergeCell ref="A18:C18"/>
    <mergeCell ref="A20:B20"/>
    <mergeCell ref="A21:B21"/>
    <mergeCell ref="A22:B22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A6:C6"/>
    <mergeCell ref="G6:I6"/>
    <mergeCell ref="A8:C8"/>
    <mergeCell ref="G8:I8"/>
    <mergeCell ref="A9:C9"/>
    <mergeCell ref="G9:I9"/>
    <mergeCell ref="A5:C5"/>
    <mergeCell ref="G5:I5"/>
    <mergeCell ref="A1:G2"/>
    <mergeCell ref="A3:C3"/>
    <mergeCell ref="G3:I3"/>
    <mergeCell ref="A4:C4"/>
    <mergeCell ref="G4:I4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Y999"/>
  <sheetViews>
    <sheetView workbookViewId="0">
      <selection activeCell="D15" sqref="D15"/>
    </sheetView>
  </sheetViews>
  <sheetFormatPr baseColWidth="10" defaultColWidth="14.44140625" defaultRowHeight="14.4" x14ac:dyDescent="0.3"/>
  <cols>
    <col min="1" max="1" width="21.6640625" style="150" customWidth="1"/>
    <col min="2" max="3" width="15.6640625" style="150" customWidth="1"/>
    <col min="4" max="9" width="15.77734375" style="150" customWidth="1"/>
    <col min="10" max="10" width="33.77734375" style="150" bestFit="1" customWidth="1"/>
    <col min="11" max="25" width="10" style="150" customWidth="1"/>
    <col min="26" max="16384" width="14.44140625" style="150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61</v>
      </c>
      <c r="I2" s="2">
        <v>2025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6275000</v>
      </c>
      <c r="E4" s="18">
        <f>D4*50%</f>
        <v>3137500</v>
      </c>
      <c r="F4" s="15">
        <f t="shared" ref="F4" si="0">+D4*50%</f>
        <v>3137500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6275000</v>
      </c>
      <c r="E6" s="7">
        <f>SUM(E4:E5)</f>
        <v>3137500</v>
      </c>
      <c r="F6" s="7">
        <f>SUM(F4:F5)</f>
        <v>3137500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49"/>
      <c r="B7" s="149"/>
      <c r="C7" s="149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1151000</v>
      </c>
      <c r="E9" s="17">
        <f>+D9*50%</f>
        <v>575500</v>
      </c>
      <c r="F9" s="17">
        <f>+D9*50%</f>
        <v>575500</v>
      </c>
      <c r="G9" s="239"/>
      <c r="H9" s="239"/>
      <c r="I9" s="23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238"/>
      <c r="H10" s="238"/>
      <c r="I10" s="238"/>
    </row>
    <row r="11" spans="1:25" ht="18" customHeight="1" x14ac:dyDescent="0.3">
      <c r="A11" s="218" t="s">
        <v>12</v>
      </c>
      <c r="B11" s="164"/>
      <c r="C11" s="165"/>
      <c r="D11" s="120">
        <v>0</v>
      </c>
      <c r="E11" s="17">
        <f t="shared" si="1"/>
        <v>0</v>
      </c>
      <c r="F11" s="17">
        <f t="shared" si="2"/>
        <v>0</v>
      </c>
      <c r="G11" s="239"/>
      <c r="H11" s="239"/>
      <c r="I11" s="239"/>
    </row>
    <row r="12" spans="1:25" x14ac:dyDescent="0.3">
      <c r="A12" s="219" t="s">
        <v>7</v>
      </c>
      <c r="B12" s="187"/>
      <c r="C12" s="188"/>
      <c r="D12" s="7">
        <f>SUM(D9:D11)</f>
        <v>1151000</v>
      </c>
      <c r="E12" s="7">
        <f>SUM(E9:E11)</f>
        <v>575500</v>
      </c>
      <c r="F12" s="7">
        <f t="shared" ref="F12" si="3">SUM(F9:F11)</f>
        <v>575500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49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97577.48</v>
      </c>
      <c r="E15" s="30">
        <f>+D15*50%</f>
        <v>48788.74</v>
      </c>
      <c r="F15" s="30">
        <f>+D15*50%</f>
        <v>48788.74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4">+D16*50%</f>
        <v>0</v>
      </c>
      <c r="F16" s="30">
        <f t="shared" ref="F16:F17" si="5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SUM(D15:D17)</f>
        <v>97577.48</v>
      </c>
      <c r="E18" s="19">
        <f t="shared" ref="E18:F18" si="6">SUM(E15:E17)</f>
        <v>48788.74</v>
      </c>
      <c r="F18" s="19">
        <f t="shared" si="6"/>
        <v>48788.74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JULIO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3761788.74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3761788.74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7523577.4800000004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1151000</v>
      </c>
      <c r="F26" s="25">
        <v>1</v>
      </c>
      <c r="G26" s="60">
        <f>+D18</f>
        <v>97577.48</v>
      </c>
      <c r="H26" s="25">
        <v>1</v>
      </c>
      <c r="I26" s="64">
        <f>+C26+E26+G26</f>
        <v>1248577.48</v>
      </c>
    </row>
    <row r="27" spans="1:25" ht="19.5" customHeight="1" x14ac:dyDescent="0.3">
      <c r="A27" s="204" t="s">
        <v>21</v>
      </c>
      <c r="B27" s="187"/>
      <c r="C27" s="60">
        <f>+D4</f>
        <v>6275000</v>
      </c>
      <c r="D27" s="25">
        <v>1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6275000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23:B23"/>
    <mergeCell ref="A25:B25"/>
    <mergeCell ref="A26:B26"/>
    <mergeCell ref="A27:B27"/>
    <mergeCell ref="A17:C17"/>
    <mergeCell ref="G17:I17"/>
    <mergeCell ref="A18:C18"/>
    <mergeCell ref="A20:B20"/>
    <mergeCell ref="A21:B21"/>
    <mergeCell ref="A22:B22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A6:C6"/>
    <mergeCell ref="G6:I6"/>
    <mergeCell ref="A8:C8"/>
    <mergeCell ref="G8:I8"/>
    <mergeCell ref="A9:C9"/>
    <mergeCell ref="G9:I9"/>
    <mergeCell ref="A5:C5"/>
    <mergeCell ref="G5:I5"/>
    <mergeCell ref="A1:G2"/>
    <mergeCell ref="A3:C3"/>
    <mergeCell ref="G3:I3"/>
    <mergeCell ref="A4:C4"/>
    <mergeCell ref="G4:I4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Y999"/>
  <sheetViews>
    <sheetView topLeftCell="A4" workbookViewId="0">
      <selection activeCell="D15" sqref="D15"/>
    </sheetView>
  </sheetViews>
  <sheetFormatPr baseColWidth="10" defaultColWidth="14.44140625" defaultRowHeight="14.4" x14ac:dyDescent="0.3"/>
  <cols>
    <col min="1" max="1" width="21.6640625" style="150" customWidth="1"/>
    <col min="2" max="3" width="15.6640625" style="150" customWidth="1"/>
    <col min="4" max="9" width="15.77734375" style="150" customWidth="1"/>
    <col min="10" max="10" width="33.77734375" style="150" bestFit="1" customWidth="1"/>
    <col min="11" max="25" width="10" style="150" customWidth="1"/>
    <col min="26" max="16384" width="14.44140625" style="150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62</v>
      </c>
      <c r="I2" s="2">
        <v>2025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6675000</v>
      </c>
      <c r="E4" s="18">
        <f>D4*50%</f>
        <v>3337500</v>
      </c>
      <c r="F4" s="15">
        <f t="shared" ref="F4" si="0">+D4*50%</f>
        <v>3337500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6675000</v>
      </c>
      <c r="E6" s="7">
        <f>SUM(E4:E5)</f>
        <v>3337500</v>
      </c>
      <c r="F6" s="7">
        <f>SUM(F4:F5)</f>
        <v>3337500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49"/>
      <c r="B7" s="149"/>
      <c r="C7" s="149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1197040</v>
      </c>
      <c r="E9" s="17">
        <f>+D9*50%</f>
        <v>598520</v>
      </c>
      <c r="F9" s="17">
        <f>+D9*50%</f>
        <v>598520</v>
      </c>
      <c r="G9" s="239"/>
      <c r="H9" s="239"/>
      <c r="I9" s="23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238"/>
      <c r="H10" s="238"/>
      <c r="I10" s="238"/>
    </row>
    <row r="11" spans="1:25" ht="18" customHeight="1" x14ac:dyDescent="0.3">
      <c r="A11" s="218" t="s">
        <v>12</v>
      </c>
      <c r="B11" s="164"/>
      <c r="C11" s="165"/>
      <c r="D11" s="120">
        <v>12193</v>
      </c>
      <c r="E11" s="17">
        <f t="shared" si="1"/>
        <v>6096.5</v>
      </c>
      <c r="F11" s="17">
        <f t="shared" si="2"/>
        <v>6096.5</v>
      </c>
      <c r="G11" s="239"/>
      <c r="H11" s="239"/>
      <c r="I11" s="239"/>
    </row>
    <row r="12" spans="1:25" x14ac:dyDescent="0.3">
      <c r="A12" s="219" t="s">
        <v>7</v>
      </c>
      <c r="B12" s="187"/>
      <c r="C12" s="188"/>
      <c r="D12" s="7">
        <f>SUM(D9:D11)</f>
        <v>1209233</v>
      </c>
      <c r="E12" s="7">
        <f>SUM(E9:E11)</f>
        <v>604616.5</v>
      </c>
      <c r="F12" s="7">
        <f t="shared" ref="F12" si="3">SUM(F9:F11)</f>
        <v>604616.5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49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97577.48</v>
      </c>
      <c r="E15" s="30">
        <f>+D15*50%</f>
        <v>48788.74</v>
      </c>
      <c r="F15" s="30">
        <f>+D15*50%</f>
        <v>48788.74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4">+D16*50%</f>
        <v>0</v>
      </c>
      <c r="F16" s="30">
        <f t="shared" ref="F16:F17" si="5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SUM(D15:D17)</f>
        <v>97577.48</v>
      </c>
      <c r="E18" s="19">
        <f t="shared" ref="E18:F18" si="6">SUM(E15:E17)</f>
        <v>48788.74</v>
      </c>
      <c r="F18" s="19">
        <f t="shared" si="6"/>
        <v>48788.74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AGOSTO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3990905.24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3990905.24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7981810.4800000004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f>+D4</f>
        <v>6675000</v>
      </c>
      <c r="D26" s="25">
        <v>0</v>
      </c>
      <c r="E26" s="60">
        <f>+D12</f>
        <v>1209233</v>
      </c>
      <c r="F26" s="25">
        <v>1</v>
      </c>
      <c r="G26" s="60">
        <f>+D18</f>
        <v>97577.48</v>
      </c>
      <c r="H26" s="25">
        <v>1</v>
      </c>
      <c r="I26" s="64">
        <f>+C26+E26+G26</f>
        <v>7981810.4800000004</v>
      </c>
    </row>
    <row r="27" spans="1:25" ht="19.5" customHeight="1" x14ac:dyDescent="0.3">
      <c r="A27" s="204" t="s">
        <v>21</v>
      </c>
      <c r="B27" s="187"/>
      <c r="C27" s="60">
        <v>0</v>
      </c>
      <c r="D27" s="25">
        <v>1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23:B23"/>
    <mergeCell ref="A25:B25"/>
    <mergeCell ref="A26:B26"/>
    <mergeCell ref="A27:B27"/>
    <mergeCell ref="A17:C17"/>
    <mergeCell ref="G17:I17"/>
    <mergeCell ref="A18:C18"/>
    <mergeCell ref="A20:B20"/>
    <mergeCell ref="A21:B21"/>
    <mergeCell ref="A22:B22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A6:C6"/>
    <mergeCell ref="G6:I6"/>
    <mergeCell ref="A8:C8"/>
    <mergeCell ref="G8:I8"/>
    <mergeCell ref="A9:C9"/>
    <mergeCell ref="G9:I9"/>
    <mergeCell ref="A5:C5"/>
    <mergeCell ref="G5:I5"/>
    <mergeCell ref="A1:G2"/>
    <mergeCell ref="A3:C3"/>
    <mergeCell ref="G3:I3"/>
    <mergeCell ref="A4:C4"/>
    <mergeCell ref="G4:I4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Y999"/>
  <sheetViews>
    <sheetView topLeftCell="A4" workbookViewId="0">
      <selection activeCell="D15" sqref="D15"/>
    </sheetView>
  </sheetViews>
  <sheetFormatPr baseColWidth="10" defaultColWidth="14.44140625" defaultRowHeight="14.4" x14ac:dyDescent="0.3"/>
  <cols>
    <col min="1" max="1" width="21.6640625" style="150" customWidth="1"/>
    <col min="2" max="3" width="15.6640625" style="150" customWidth="1"/>
    <col min="4" max="9" width="15.77734375" style="150" customWidth="1"/>
    <col min="10" max="10" width="33.77734375" style="150" bestFit="1" customWidth="1"/>
    <col min="11" max="25" width="10" style="150" customWidth="1"/>
    <col min="26" max="16384" width="14.44140625" style="150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63</v>
      </c>
      <c r="I2" s="2">
        <v>2025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7185850</v>
      </c>
      <c r="E4" s="18">
        <f>D4*50%</f>
        <v>3592925</v>
      </c>
      <c r="F4" s="15">
        <f t="shared" ref="F4" si="0">+D4*50%</f>
        <v>3592925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7185850</v>
      </c>
      <c r="E6" s="7">
        <f>SUM(E4:E5)</f>
        <v>3592925</v>
      </c>
      <c r="F6" s="7">
        <f>SUM(F4:F5)</f>
        <v>3592925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49"/>
      <c r="B7" s="149"/>
      <c r="C7" s="149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1208082</v>
      </c>
      <c r="E9" s="17">
        <f>+D9*50%</f>
        <v>604041</v>
      </c>
      <c r="F9" s="17">
        <f>+D9*50%</f>
        <v>604041</v>
      </c>
      <c r="G9" s="239"/>
      <c r="H9" s="239"/>
      <c r="I9" s="23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238"/>
      <c r="H10" s="238"/>
      <c r="I10" s="238"/>
    </row>
    <row r="11" spans="1:25" ht="18" customHeight="1" x14ac:dyDescent="0.3">
      <c r="A11" s="218" t="s">
        <v>12</v>
      </c>
      <c r="B11" s="164"/>
      <c r="C11" s="165"/>
      <c r="D11" s="120">
        <v>0</v>
      </c>
      <c r="E11" s="17">
        <f t="shared" si="1"/>
        <v>0</v>
      </c>
      <c r="F11" s="17">
        <f t="shared" si="2"/>
        <v>0</v>
      </c>
      <c r="G11" s="239"/>
      <c r="H11" s="239"/>
      <c r="I11" s="239"/>
    </row>
    <row r="12" spans="1:25" x14ac:dyDescent="0.3">
      <c r="A12" s="219" t="s">
        <v>7</v>
      </c>
      <c r="B12" s="187"/>
      <c r="C12" s="188"/>
      <c r="D12" s="7">
        <f>SUM(D9:D11)</f>
        <v>1208082</v>
      </c>
      <c r="E12" s="7">
        <f>SUM(E9:E11)</f>
        <v>604041</v>
      </c>
      <c r="F12" s="7">
        <f t="shared" ref="F12" si="3">SUM(F9:F11)</f>
        <v>604041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49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97577.48</v>
      </c>
      <c r="E15" s="30">
        <f>+D15*50%</f>
        <v>48788.74</v>
      </c>
      <c r="F15" s="30">
        <f>+D15*50%</f>
        <v>48788.74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4">+D16*50%</f>
        <v>0</v>
      </c>
      <c r="F16" s="30">
        <f t="shared" ref="F16:F17" si="5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SUM(D15:D17)</f>
        <v>97577.48</v>
      </c>
      <c r="E18" s="19">
        <f t="shared" ref="E18:F18" si="6">SUM(E15:E17)</f>
        <v>48788.74</v>
      </c>
      <c r="F18" s="19">
        <f t="shared" si="6"/>
        <v>48788.74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SEPTIEMBRE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4245754.74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4245754.74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8491509.4800000004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f>+D4</f>
        <v>7185850</v>
      </c>
      <c r="D26" s="25">
        <v>0</v>
      </c>
      <c r="E26" s="60">
        <f>+D12</f>
        <v>1208082</v>
      </c>
      <c r="F26" s="25">
        <v>1</v>
      </c>
      <c r="G26" s="60">
        <f>+D18</f>
        <v>97577.48</v>
      </c>
      <c r="H26" s="25">
        <v>1</v>
      </c>
      <c r="I26" s="64">
        <f>+C26+E26+G26</f>
        <v>8491509.4800000004</v>
      </c>
    </row>
    <row r="27" spans="1:25" ht="19.5" customHeight="1" x14ac:dyDescent="0.3">
      <c r="A27" s="204" t="s">
        <v>21</v>
      </c>
      <c r="B27" s="187"/>
      <c r="C27" s="60">
        <v>0</v>
      </c>
      <c r="D27" s="25">
        <v>1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23:B23"/>
    <mergeCell ref="A25:B25"/>
    <mergeCell ref="A26:B26"/>
    <mergeCell ref="A27:B27"/>
    <mergeCell ref="A17:C17"/>
    <mergeCell ref="G17:I17"/>
    <mergeCell ref="A18:C18"/>
    <mergeCell ref="A20:B20"/>
    <mergeCell ref="A21:B21"/>
    <mergeCell ref="A22:B22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A6:C6"/>
    <mergeCell ref="G6:I6"/>
    <mergeCell ref="A8:C8"/>
    <mergeCell ref="G8:I8"/>
    <mergeCell ref="A9:C9"/>
    <mergeCell ref="G9:I9"/>
    <mergeCell ref="A5:C5"/>
    <mergeCell ref="G5:I5"/>
    <mergeCell ref="A1:G2"/>
    <mergeCell ref="A3:C3"/>
    <mergeCell ref="G3:I3"/>
    <mergeCell ref="A4:C4"/>
    <mergeCell ref="G4:I4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Y1001"/>
  <sheetViews>
    <sheetView topLeftCell="A7" workbookViewId="0">
      <selection activeCell="A10" sqref="A10:F12"/>
    </sheetView>
  </sheetViews>
  <sheetFormatPr baseColWidth="10" defaultColWidth="14.44140625" defaultRowHeight="14.4" x14ac:dyDescent="0.3"/>
  <cols>
    <col min="1" max="1" width="21.6640625" style="150" customWidth="1"/>
    <col min="2" max="3" width="15.6640625" style="150" customWidth="1"/>
    <col min="4" max="9" width="15.77734375" style="150" customWidth="1"/>
    <col min="10" max="10" width="33.77734375" style="150" bestFit="1" customWidth="1"/>
    <col min="11" max="25" width="10" style="150" customWidth="1"/>
    <col min="26" max="16384" width="14.44140625" style="150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64</v>
      </c>
      <c r="I2" s="2">
        <v>2025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6850000</v>
      </c>
      <c r="E4" s="18">
        <f>D4*50%</f>
        <v>3425000</v>
      </c>
      <c r="F4" s="15">
        <f t="shared" ref="F4" si="0">+D4*50%</f>
        <v>3425000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6850000</v>
      </c>
      <c r="E6" s="7">
        <f>SUM(E4:E5)</f>
        <v>3425000</v>
      </c>
      <c r="F6" s="7">
        <f>SUM(F4:F5)</f>
        <v>3425000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49"/>
      <c r="B7" s="149"/>
      <c r="C7" s="149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1263414</v>
      </c>
      <c r="E9" s="17">
        <f>+D9*50%</f>
        <v>631707</v>
      </c>
      <c r="F9" s="17">
        <f>+D9*50%</f>
        <v>631707</v>
      </c>
      <c r="G9" s="239"/>
      <c r="H9" s="239"/>
      <c r="I9" s="239"/>
    </row>
    <row r="10" spans="1:25" s="151" customFormat="1" ht="19.5" customHeight="1" x14ac:dyDescent="0.3">
      <c r="A10" s="204" t="s">
        <v>78</v>
      </c>
      <c r="B10" s="187"/>
      <c r="C10" s="188"/>
      <c r="D10" s="120">
        <v>2108771</v>
      </c>
      <c r="E10" s="17">
        <f t="shared" ref="E10:E11" si="1">+D10*50%</f>
        <v>1054385.5</v>
      </c>
      <c r="F10" s="17">
        <f t="shared" ref="F10:F11" si="2">+D10*50%</f>
        <v>1054385.5</v>
      </c>
      <c r="G10" s="238"/>
      <c r="H10" s="238"/>
      <c r="I10" s="238"/>
    </row>
    <row r="11" spans="1:25" s="151" customFormat="1" ht="19.5" customHeight="1" x14ac:dyDescent="0.3">
      <c r="A11" s="204" t="s">
        <v>79</v>
      </c>
      <c r="B11" s="187"/>
      <c r="C11" s="188"/>
      <c r="D11" s="120">
        <v>2494425.2400000002</v>
      </c>
      <c r="E11" s="17">
        <f t="shared" si="1"/>
        <v>1247212.6200000001</v>
      </c>
      <c r="F11" s="17">
        <f t="shared" si="2"/>
        <v>1247212.6200000001</v>
      </c>
      <c r="G11" s="238"/>
      <c r="H11" s="238"/>
      <c r="I11" s="238"/>
    </row>
    <row r="12" spans="1:25" ht="19.5" customHeight="1" x14ac:dyDescent="0.3">
      <c r="A12" s="204" t="s">
        <v>80</v>
      </c>
      <c r="B12" s="187"/>
      <c r="C12" s="188"/>
      <c r="D12" s="120">
        <v>67400</v>
      </c>
      <c r="E12" s="17">
        <f t="shared" ref="E12:E13" si="3">+D12*50%</f>
        <v>33700</v>
      </c>
      <c r="F12" s="17">
        <f t="shared" ref="F12:F13" si="4">+D12*50%</f>
        <v>33700</v>
      </c>
      <c r="G12" s="238"/>
      <c r="H12" s="238"/>
      <c r="I12" s="238"/>
    </row>
    <row r="13" spans="1:25" ht="18" customHeight="1" x14ac:dyDescent="0.3">
      <c r="A13" s="218" t="s">
        <v>12</v>
      </c>
      <c r="B13" s="164"/>
      <c r="C13" s="165"/>
      <c r="D13" s="120">
        <v>0</v>
      </c>
      <c r="E13" s="17">
        <f t="shared" si="3"/>
        <v>0</v>
      </c>
      <c r="F13" s="17">
        <f t="shared" si="4"/>
        <v>0</v>
      </c>
      <c r="G13" s="239"/>
      <c r="H13" s="239"/>
      <c r="I13" s="239"/>
    </row>
    <row r="14" spans="1:25" x14ac:dyDescent="0.3">
      <c r="A14" s="219" t="s">
        <v>7</v>
      </c>
      <c r="B14" s="187"/>
      <c r="C14" s="188"/>
      <c r="D14" s="7">
        <f>SUM(D9:D13)</f>
        <v>5934010.2400000002</v>
      </c>
      <c r="E14" s="7">
        <f>SUM(E9:E13)</f>
        <v>2967005.12</v>
      </c>
      <c r="F14" s="7">
        <f t="shared" ref="F14" si="5">SUM(F9:F13)</f>
        <v>2967005.12</v>
      </c>
      <c r="G14" s="220"/>
      <c r="H14" s="221"/>
      <c r="I14" s="22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6.75" customHeight="1" thickBot="1" x14ac:dyDescent="0.35">
      <c r="A15" s="222"/>
      <c r="B15" s="223"/>
      <c r="C15" s="223"/>
      <c r="D15" s="149"/>
      <c r="H15" s="6"/>
    </row>
    <row r="16" spans="1:25" ht="30.75" customHeight="1" thickBot="1" x14ac:dyDescent="0.35">
      <c r="A16" s="224" t="s">
        <v>17</v>
      </c>
      <c r="B16" s="173"/>
      <c r="C16" s="173"/>
      <c r="D16" s="22" t="s">
        <v>3</v>
      </c>
      <c r="E16" s="5" t="s">
        <v>4</v>
      </c>
      <c r="F16" s="4" t="s">
        <v>19</v>
      </c>
      <c r="G16" s="225" t="s">
        <v>5</v>
      </c>
      <c r="H16" s="226"/>
      <c r="I16" s="227"/>
    </row>
    <row r="17" spans="1:25" x14ac:dyDescent="0.3">
      <c r="A17" s="218" t="s">
        <v>36</v>
      </c>
      <c r="B17" s="164"/>
      <c r="C17" s="165"/>
      <c r="D17" s="121">
        <v>97577.48</v>
      </c>
      <c r="E17" s="30">
        <f>+D17*50%</f>
        <v>48788.74</v>
      </c>
      <c r="F17" s="30">
        <f>+D17*50%</f>
        <v>48788.74</v>
      </c>
      <c r="G17" s="228" t="s">
        <v>67</v>
      </c>
      <c r="H17" s="228"/>
      <c r="I17" s="228"/>
    </row>
    <row r="18" spans="1:25" ht="17.399999999999999" customHeight="1" x14ac:dyDescent="0.3">
      <c r="A18" s="218" t="s">
        <v>35</v>
      </c>
      <c r="B18" s="164"/>
      <c r="C18" s="165"/>
      <c r="D18" s="29">
        <v>0</v>
      </c>
      <c r="E18" s="30">
        <f t="shared" ref="E18:E19" si="6">+D18*50%</f>
        <v>0</v>
      </c>
      <c r="F18" s="30">
        <f t="shared" ref="F18:F19" si="7">+D18*50%</f>
        <v>0</v>
      </c>
      <c r="G18" s="205" t="s">
        <v>38</v>
      </c>
      <c r="H18" s="205"/>
      <c r="I18" s="205"/>
    </row>
    <row r="19" spans="1:25" ht="16.8" customHeight="1" x14ac:dyDescent="0.3">
      <c r="A19" s="218" t="s">
        <v>37</v>
      </c>
      <c r="B19" s="164"/>
      <c r="C19" s="165"/>
      <c r="D19" s="29">
        <v>0</v>
      </c>
      <c r="E19" s="30">
        <f t="shared" si="6"/>
        <v>0</v>
      </c>
      <c r="F19" s="30">
        <f t="shared" si="7"/>
        <v>0</v>
      </c>
      <c r="G19" s="205" t="s">
        <v>39</v>
      </c>
      <c r="H19" s="205"/>
      <c r="I19" s="205"/>
    </row>
    <row r="20" spans="1:25" x14ac:dyDescent="0.3">
      <c r="A20" s="219" t="s">
        <v>7</v>
      </c>
      <c r="B20" s="187"/>
      <c r="C20" s="188"/>
      <c r="D20" s="19">
        <f>SUM(D17:D19)</f>
        <v>97577.48</v>
      </c>
      <c r="E20" s="19">
        <f t="shared" ref="E20:F20" si="8">SUM(E17:E19)</f>
        <v>48788.74</v>
      </c>
      <c r="F20" s="19">
        <f t="shared" si="8"/>
        <v>48788.74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6.75" customHeight="1" x14ac:dyDescent="0.3">
      <c r="A21" s="12"/>
      <c r="B21" s="12"/>
      <c r="C21" s="12"/>
      <c r="D21" s="13"/>
      <c r="E21" s="13"/>
      <c r="F21" s="13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x14ac:dyDescent="0.3">
      <c r="A22" s="203" t="s">
        <v>8</v>
      </c>
      <c r="B22" s="187"/>
      <c r="C22" s="26" t="str">
        <f>+H2</f>
        <v>OCTUBRE</v>
      </c>
      <c r="D22" s="26" t="s">
        <v>9</v>
      </c>
    </row>
    <row r="23" spans="1:25" ht="15.75" customHeight="1" x14ac:dyDescent="0.3">
      <c r="A23" s="204" t="s">
        <v>10</v>
      </c>
      <c r="B23" s="187"/>
      <c r="C23" s="20">
        <f>+E20+E14+E6</f>
        <v>6440793.8600000003</v>
      </c>
      <c r="D23" s="25">
        <v>0.5</v>
      </c>
      <c r="E23" s="6"/>
      <c r="F23" s="14"/>
    </row>
    <row r="24" spans="1:25" ht="15.75" customHeight="1" x14ac:dyDescent="0.3">
      <c r="A24" s="204" t="s">
        <v>21</v>
      </c>
      <c r="B24" s="187"/>
      <c r="C24" s="20">
        <f>+F20+F14+F6</f>
        <v>6440793.8600000003</v>
      </c>
      <c r="D24" s="25">
        <v>0.5</v>
      </c>
      <c r="E24" s="6"/>
    </row>
    <row r="25" spans="1:25" ht="15.75" customHeight="1" thickBot="1" x14ac:dyDescent="0.35">
      <c r="A25" s="211" t="s">
        <v>11</v>
      </c>
      <c r="B25" s="187"/>
      <c r="C25" s="27">
        <f>SUM(C23:C24)</f>
        <v>12881587.720000001</v>
      </c>
      <c r="D25" s="28">
        <f>SUM(D23:D24)</f>
        <v>1</v>
      </c>
      <c r="E25" s="6"/>
    </row>
    <row r="26" spans="1:25" ht="15.75" customHeight="1" x14ac:dyDescent="0.3">
      <c r="C26" s="6"/>
      <c r="D26" s="6"/>
    </row>
    <row r="27" spans="1:25" ht="19.5" customHeight="1" x14ac:dyDescent="0.3">
      <c r="A27" s="203" t="s">
        <v>54</v>
      </c>
      <c r="B27" s="187"/>
      <c r="C27" s="26" t="s">
        <v>51</v>
      </c>
      <c r="D27" s="26" t="s">
        <v>9</v>
      </c>
      <c r="E27" s="26" t="s">
        <v>77</v>
      </c>
      <c r="F27" s="26" t="s">
        <v>9</v>
      </c>
      <c r="G27" s="26" t="s">
        <v>52</v>
      </c>
      <c r="H27" s="26" t="s">
        <v>9</v>
      </c>
      <c r="I27" s="26" t="s">
        <v>53</v>
      </c>
    </row>
    <row r="28" spans="1:25" ht="19.5" customHeight="1" x14ac:dyDescent="0.3">
      <c r="A28" s="204" t="s">
        <v>10</v>
      </c>
      <c r="B28" s="187"/>
      <c r="C28" s="60">
        <f>+D4</f>
        <v>6850000</v>
      </c>
      <c r="D28" s="25">
        <v>0</v>
      </c>
      <c r="E28" s="60">
        <f>+D9</f>
        <v>1263414</v>
      </c>
      <c r="F28" s="25">
        <v>1</v>
      </c>
      <c r="G28" s="60">
        <f>+D20</f>
        <v>97577.48</v>
      </c>
      <c r="H28" s="25">
        <v>1</v>
      </c>
      <c r="I28" s="64">
        <f>+C28+E28+G28</f>
        <v>8210991.4800000004</v>
      </c>
    </row>
    <row r="29" spans="1:25" ht="19.5" customHeight="1" x14ac:dyDescent="0.3">
      <c r="A29" s="204" t="s">
        <v>21</v>
      </c>
      <c r="B29" s="187"/>
      <c r="C29" s="60">
        <v>0</v>
      </c>
      <c r="D29" s="25">
        <v>1</v>
      </c>
      <c r="E29" s="60">
        <f>+D10+D11+D12</f>
        <v>4670596.24</v>
      </c>
      <c r="F29" s="25">
        <v>1</v>
      </c>
      <c r="G29" s="60">
        <v>0</v>
      </c>
      <c r="H29" s="25">
        <v>0</v>
      </c>
      <c r="I29" s="64">
        <f>+C29+E29+G29</f>
        <v>4670596.24</v>
      </c>
    </row>
    <row r="30" spans="1:25" ht="19.5" customHeight="1" x14ac:dyDescent="0.3">
      <c r="C30" s="6"/>
      <c r="H30" s="6"/>
    </row>
    <row r="31" spans="1:25" ht="19.5" customHeight="1" x14ac:dyDescent="0.3">
      <c r="H31" s="6"/>
    </row>
    <row r="32" spans="1:25" ht="19.5" customHeight="1" x14ac:dyDescent="0.3">
      <c r="H32" s="6"/>
    </row>
    <row r="33" spans="7:8" ht="19.5" customHeight="1" x14ac:dyDescent="0.3">
      <c r="H33" s="6"/>
    </row>
    <row r="34" spans="7:8" ht="19.5" customHeight="1" x14ac:dyDescent="0.3">
      <c r="G34" s="6"/>
      <c r="H34" s="6"/>
    </row>
    <row r="35" spans="7:8" ht="19.5" customHeight="1" x14ac:dyDescent="0.3">
      <c r="G35" s="6"/>
      <c r="H35" s="6"/>
    </row>
    <row r="36" spans="7:8" ht="19.5" customHeight="1" x14ac:dyDescent="0.3">
      <c r="H36" s="6"/>
    </row>
    <row r="37" spans="7:8" ht="24.75" customHeight="1" x14ac:dyDescent="0.3">
      <c r="G37" s="6"/>
    </row>
    <row r="38" spans="7:8" ht="24.75" customHeight="1" x14ac:dyDescent="0.3">
      <c r="G38" s="6"/>
    </row>
    <row r="39" spans="7:8" ht="19.5" customHeight="1" x14ac:dyDescent="0.3">
      <c r="G39" s="6"/>
    </row>
    <row r="40" spans="7:8" ht="18" customHeight="1" x14ac:dyDescent="0.3"/>
    <row r="41" spans="7:8" ht="19.5" customHeight="1" x14ac:dyDescent="0.3">
      <c r="G41" s="6"/>
    </row>
    <row r="42" spans="7:8" ht="18" customHeight="1" x14ac:dyDescent="0.3"/>
    <row r="43" spans="7:8" ht="18" customHeight="1" x14ac:dyDescent="0.3"/>
    <row r="44" spans="7:8" ht="18" customHeight="1" x14ac:dyDescent="0.3"/>
    <row r="45" spans="7:8" ht="18" customHeight="1" x14ac:dyDescent="0.3"/>
    <row r="46" spans="7:8" ht="18" customHeight="1" x14ac:dyDescent="0.3">
      <c r="H46" s="6"/>
    </row>
    <row r="47" spans="7:8" ht="18" customHeight="1" x14ac:dyDescent="0.3"/>
    <row r="48" spans="7:8" ht="18" customHeight="1" x14ac:dyDescent="0.3">
      <c r="G48" s="6"/>
    </row>
    <row r="49" ht="18" customHeight="1" x14ac:dyDescent="0.3"/>
    <row r="50" ht="18" customHeight="1" x14ac:dyDescent="0.3"/>
    <row r="51" ht="18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40">
    <mergeCell ref="A18:C18"/>
    <mergeCell ref="G18:I18"/>
    <mergeCell ref="A12:C12"/>
    <mergeCell ref="G12:I12"/>
    <mergeCell ref="A13:C13"/>
    <mergeCell ref="G13:I13"/>
    <mergeCell ref="A14:C14"/>
    <mergeCell ref="G14:I14"/>
    <mergeCell ref="A15:C15"/>
    <mergeCell ref="A16:C16"/>
    <mergeCell ref="G16:I16"/>
    <mergeCell ref="A27:B27"/>
    <mergeCell ref="A28:B28"/>
    <mergeCell ref="A29:B29"/>
    <mergeCell ref="A19:C19"/>
    <mergeCell ref="G19:I19"/>
    <mergeCell ref="A20:C20"/>
    <mergeCell ref="A22:B22"/>
    <mergeCell ref="A23:B23"/>
    <mergeCell ref="A24:B24"/>
    <mergeCell ref="A25:B25"/>
    <mergeCell ref="A17:C17"/>
    <mergeCell ref="G17:I17"/>
    <mergeCell ref="A6:C6"/>
    <mergeCell ref="G6:I6"/>
    <mergeCell ref="A8:C8"/>
    <mergeCell ref="G8:I8"/>
    <mergeCell ref="A9:C9"/>
    <mergeCell ref="G9:I9"/>
    <mergeCell ref="A10:C10"/>
    <mergeCell ref="A11:C11"/>
    <mergeCell ref="G10:I10"/>
    <mergeCell ref="G11:I11"/>
    <mergeCell ref="A5:C5"/>
    <mergeCell ref="G5:I5"/>
    <mergeCell ref="A1:G2"/>
    <mergeCell ref="A3:C3"/>
    <mergeCell ref="G3:I3"/>
    <mergeCell ref="A4:C4"/>
    <mergeCell ref="G4:I4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Y999"/>
  <sheetViews>
    <sheetView workbookViewId="0">
      <selection activeCell="D15" sqref="D15"/>
    </sheetView>
  </sheetViews>
  <sheetFormatPr baseColWidth="10" defaultColWidth="14.44140625" defaultRowHeight="14.4" x14ac:dyDescent="0.3"/>
  <cols>
    <col min="1" max="1" width="21.6640625" style="150" customWidth="1"/>
    <col min="2" max="3" width="15.6640625" style="150" customWidth="1"/>
    <col min="4" max="9" width="15.77734375" style="150" customWidth="1"/>
    <col min="10" max="10" width="33.77734375" style="150" bestFit="1" customWidth="1"/>
    <col min="11" max="25" width="10" style="150" customWidth="1"/>
    <col min="26" max="16384" width="14.44140625" style="150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65</v>
      </c>
      <c r="I2" s="2">
        <v>2025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7500000</v>
      </c>
      <c r="E4" s="18">
        <f>D4*50%</f>
        <v>3750000</v>
      </c>
      <c r="F4" s="15">
        <f t="shared" ref="F4" si="0">+D4*50%</f>
        <v>3750000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7500000</v>
      </c>
      <c r="E6" s="7">
        <f>SUM(E4:E5)</f>
        <v>3750000</v>
      </c>
      <c r="F6" s="7">
        <f>SUM(F4:F5)</f>
        <v>3750000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49"/>
      <c r="B7" s="149"/>
      <c r="C7" s="149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1371551</v>
      </c>
      <c r="E9" s="17">
        <f>+D9*50%</f>
        <v>685775.5</v>
      </c>
      <c r="F9" s="17">
        <f>+D9*50%</f>
        <v>685775.5</v>
      </c>
      <c r="G9" s="239"/>
      <c r="H9" s="239"/>
      <c r="I9" s="23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238"/>
      <c r="H10" s="238"/>
      <c r="I10" s="238"/>
    </row>
    <row r="11" spans="1:25" ht="18" customHeight="1" x14ac:dyDescent="0.3">
      <c r="A11" s="218" t="s">
        <v>12</v>
      </c>
      <c r="B11" s="164"/>
      <c r="C11" s="165"/>
      <c r="D11" s="120">
        <v>0</v>
      </c>
      <c r="E11" s="17">
        <f t="shared" si="1"/>
        <v>0</v>
      </c>
      <c r="F11" s="17">
        <f t="shared" si="2"/>
        <v>0</v>
      </c>
      <c r="G11" s="239"/>
      <c r="H11" s="239"/>
      <c r="I11" s="239"/>
    </row>
    <row r="12" spans="1:25" x14ac:dyDescent="0.3">
      <c r="A12" s="219" t="s">
        <v>7</v>
      </c>
      <c r="B12" s="187"/>
      <c r="C12" s="188"/>
      <c r="D12" s="7">
        <f>SUM(D9:D11)</f>
        <v>1371551</v>
      </c>
      <c r="E12" s="7">
        <f>SUM(E9:E11)</f>
        <v>685775.5</v>
      </c>
      <c r="F12" s="7">
        <f t="shared" ref="F12" si="3">SUM(F9:F11)</f>
        <v>685775.5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49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97577.48</v>
      </c>
      <c r="E15" s="30">
        <f>+D15*50%</f>
        <v>48788.74</v>
      </c>
      <c r="F15" s="30">
        <f>+D15*50%</f>
        <v>48788.74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4">+D16*50%</f>
        <v>0</v>
      </c>
      <c r="F16" s="30">
        <f t="shared" ref="F16:F17" si="5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SUM(D15:D17)</f>
        <v>97577.48</v>
      </c>
      <c r="E18" s="19">
        <f t="shared" ref="E18:F18" si="6">SUM(E15:E17)</f>
        <v>48788.74</v>
      </c>
      <c r="F18" s="19">
        <f t="shared" si="6"/>
        <v>48788.74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NOVIEMBRE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4484564.24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4484564.24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8969128.4800000004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1371551</v>
      </c>
      <c r="F26" s="25">
        <v>1</v>
      </c>
      <c r="G26" s="60">
        <f>+D18</f>
        <v>97577.48</v>
      </c>
      <c r="H26" s="25">
        <v>1</v>
      </c>
      <c r="I26" s="64">
        <f>+C26+E26+G26</f>
        <v>1469128.48</v>
      </c>
    </row>
    <row r="27" spans="1:25" ht="19.5" customHeight="1" x14ac:dyDescent="0.3">
      <c r="A27" s="204" t="s">
        <v>21</v>
      </c>
      <c r="B27" s="187"/>
      <c r="C27" s="60">
        <f>+D4</f>
        <v>7500000</v>
      </c>
      <c r="D27" s="25">
        <v>1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7500000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23:B23"/>
    <mergeCell ref="A25:B25"/>
    <mergeCell ref="A26:B26"/>
    <mergeCell ref="A27:B27"/>
    <mergeCell ref="A17:C17"/>
    <mergeCell ref="G17:I17"/>
    <mergeCell ref="A18:C18"/>
    <mergeCell ref="A20:B20"/>
    <mergeCell ref="A21:B21"/>
    <mergeCell ref="A22:B22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A6:C6"/>
    <mergeCell ref="G6:I6"/>
    <mergeCell ref="A8:C8"/>
    <mergeCell ref="G8:I8"/>
    <mergeCell ref="A9:C9"/>
    <mergeCell ref="G9:I9"/>
    <mergeCell ref="A5:C5"/>
    <mergeCell ref="G5:I5"/>
    <mergeCell ref="A1:G2"/>
    <mergeCell ref="A3:C3"/>
    <mergeCell ref="G3:I3"/>
    <mergeCell ref="A4:C4"/>
    <mergeCell ref="G4:I4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Y999"/>
  <sheetViews>
    <sheetView workbookViewId="0">
      <selection activeCell="D9" sqref="D9"/>
    </sheetView>
  </sheetViews>
  <sheetFormatPr baseColWidth="10" defaultColWidth="14.44140625" defaultRowHeight="14.4" x14ac:dyDescent="0.3"/>
  <cols>
    <col min="1" max="1" width="21.6640625" style="150" customWidth="1"/>
    <col min="2" max="3" width="15.6640625" style="150" customWidth="1"/>
    <col min="4" max="9" width="15.77734375" style="150" customWidth="1"/>
    <col min="10" max="10" width="33.77734375" style="150" bestFit="1" customWidth="1"/>
    <col min="11" max="25" width="10" style="150" customWidth="1"/>
    <col min="26" max="16384" width="14.44140625" style="150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14</v>
      </c>
      <c r="I2" s="2">
        <v>2025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6660000</v>
      </c>
      <c r="E4" s="18">
        <f>D4*50%</f>
        <v>3330000</v>
      </c>
      <c r="F4" s="15">
        <f t="shared" ref="F4" si="0">+D4*50%</f>
        <v>3330000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6660000</v>
      </c>
      <c r="E6" s="7">
        <f>SUM(E4:E5)</f>
        <v>3330000</v>
      </c>
      <c r="F6" s="7">
        <f>SUM(F4:F5)</f>
        <v>3330000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49"/>
      <c r="B7" s="149"/>
      <c r="C7" s="149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1369467</v>
      </c>
      <c r="E9" s="17">
        <f>+D9*50%</f>
        <v>684733.5</v>
      </c>
      <c r="F9" s="17">
        <f>+D9*50%</f>
        <v>684733.5</v>
      </c>
      <c r="G9" s="239"/>
      <c r="H9" s="239"/>
      <c r="I9" s="23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238"/>
      <c r="H10" s="238"/>
      <c r="I10" s="238"/>
    </row>
    <row r="11" spans="1:25" ht="18" customHeight="1" x14ac:dyDescent="0.3">
      <c r="A11" s="218" t="s">
        <v>12</v>
      </c>
      <c r="B11" s="164"/>
      <c r="C11" s="165"/>
      <c r="D11" s="120">
        <v>0</v>
      </c>
      <c r="E11" s="17">
        <f t="shared" si="1"/>
        <v>0</v>
      </c>
      <c r="F11" s="17">
        <f t="shared" si="2"/>
        <v>0</v>
      </c>
      <c r="G11" s="239"/>
      <c r="H11" s="239"/>
      <c r="I11" s="239"/>
    </row>
    <row r="12" spans="1:25" x14ac:dyDescent="0.3">
      <c r="A12" s="219" t="s">
        <v>7</v>
      </c>
      <c r="B12" s="187"/>
      <c r="C12" s="188"/>
      <c r="D12" s="7">
        <f>SUM(D9:D11)</f>
        <v>1369467</v>
      </c>
      <c r="E12" s="7">
        <f>SUM(E9:E11)</f>
        <v>684733.5</v>
      </c>
      <c r="F12" s="7">
        <f t="shared" ref="F12" si="3">SUM(F9:F11)</f>
        <v>684733.5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49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97577.48</v>
      </c>
      <c r="E15" s="30">
        <f>+D15*50%</f>
        <v>48788.74</v>
      </c>
      <c r="F15" s="30">
        <f>+D15*50%</f>
        <v>48788.74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4">+D16*50%</f>
        <v>0</v>
      </c>
      <c r="F16" s="30">
        <f t="shared" ref="F16:F17" si="5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SUM(D15:D17)</f>
        <v>97577.48</v>
      </c>
      <c r="E18" s="19">
        <f t="shared" ref="E18:F18" si="6">SUM(E15:E17)</f>
        <v>48788.74</v>
      </c>
      <c r="F18" s="19">
        <f t="shared" si="6"/>
        <v>48788.74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DICIEMBRE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4063522.24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4063522.24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8127044.4800000004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1369467</v>
      </c>
      <c r="F26" s="25">
        <v>1</v>
      </c>
      <c r="G26" s="60">
        <f>+D18</f>
        <v>97577.48</v>
      </c>
      <c r="H26" s="25">
        <v>1</v>
      </c>
      <c r="I26" s="64">
        <f>+C26+E26+G26</f>
        <v>1467044.48</v>
      </c>
    </row>
    <row r="27" spans="1:25" ht="19.5" customHeight="1" x14ac:dyDescent="0.3">
      <c r="A27" s="204" t="s">
        <v>21</v>
      </c>
      <c r="B27" s="187"/>
      <c r="C27" s="60">
        <f>+D4</f>
        <v>6660000</v>
      </c>
      <c r="D27" s="25">
        <v>1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6660000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23:B23"/>
    <mergeCell ref="A25:B25"/>
    <mergeCell ref="A26:B26"/>
    <mergeCell ref="A27:B27"/>
    <mergeCell ref="A17:C17"/>
    <mergeCell ref="G17:I17"/>
    <mergeCell ref="A18:C18"/>
    <mergeCell ref="A20:B20"/>
    <mergeCell ref="A21:B21"/>
    <mergeCell ref="A22:B22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A6:C6"/>
    <mergeCell ref="G6:I6"/>
    <mergeCell ref="A8:C8"/>
    <mergeCell ref="G8:I8"/>
    <mergeCell ref="A9:C9"/>
    <mergeCell ref="G9:I9"/>
    <mergeCell ref="A5:C5"/>
    <mergeCell ref="G5:I5"/>
    <mergeCell ref="A1:G2"/>
    <mergeCell ref="A3:C3"/>
    <mergeCell ref="G3:I3"/>
    <mergeCell ref="A4:C4"/>
    <mergeCell ref="G4:I4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2490"/>
    <pageSetUpPr fitToPage="1"/>
  </sheetPr>
  <dimension ref="A1:Y999"/>
  <sheetViews>
    <sheetView topLeftCell="A7" workbookViewId="0">
      <selection activeCell="D9" sqref="D9"/>
    </sheetView>
  </sheetViews>
  <sheetFormatPr baseColWidth="10" defaultColWidth="14.44140625" defaultRowHeight="14.4" x14ac:dyDescent="0.3"/>
  <cols>
    <col min="1" max="1" width="21.6640625" style="153" customWidth="1"/>
    <col min="2" max="3" width="15.6640625" style="153" customWidth="1"/>
    <col min="4" max="9" width="15.77734375" style="153" customWidth="1"/>
    <col min="10" max="10" width="33.77734375" style="153" bestFit="1" customWidth="1"/>
    <col min="11" max="25" width="10" style="153" customWidth="1"/>
    <col min="26" max="16384" width="14.44140625" style="153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2</v>
      </c>
      <c r="I2" s="2">
        <v>2026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6600000</v>
      </c>
      <c r="E4" s="18">
        <f>D4*50%</f>
        <v>3300000</v>
      </c>
      <c r="F4" s="15">
        <f t="shared" ref="F4" si="0">+D4*50%</f>
        <v>3300000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6600000</v>
      </c>
      <c r="E6" s="7">
        <f>SUM(E4:E5)</f>
        <v>3300000</v>
      </c>
      <c r="F6" s="7">
        <f>SUM(F4:F5)</f>
        <v>3300000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52"/>
      <c r="B7" s="152"/>
      <c r="C7" s="152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1472858</v>
      </c>
      <c r="E9" s="17">
        <f>+D9*50%</f>
        <v>736429</v>
      </c>
      <c r="F9" s="17">
        <f>+D9*50%</f>
        <v>736429</v>
      </c>
      <c r="G9" s="239"/>
      <c r="H9" s="239"/>
      <c r="I9" s="23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238"/>
      <c r="H10" s="238"/>
      <c r="I10" s="238"/>
    </row>
    <row r="11" spans="1:25" ht="18" customHeight="1" x14ac:dyDescent="0.3">
      <c r="A11" s="218" t="s">
        <v>12</v>
      </c>
      <c r="B11" s="164"/>
      <c r="C11" s="165"/>
      <c r="D11" s="120">
        <v>0</v>
      </c>
      <c r="E11" s="17">
        <f t="shared" si="1"/>
        <v>0</v>
      </c>
      <c r="F11" s="17">
        <f t="shared" si="2"/>
        <v>0</v>
      </c>
      <c r="G11" s="239"/>
      <c r="H11" s="239"/>
      <c r="I11" s="239"/>
    </row>
    <row r="12" spans="1:25" x14ac:dyDescent="0.3">
      <c r="A12" s="219" t="s">
        <v>7</v>
      </c>
      <c r="B12" s="187"/>
      <c r="C12" s="188"/>
      <c r="D12" s="7">
        <f>SUM(D9:D11)</f>
        <v>1472858</v>
      </c>
      <c r="E12" s="7">
        <f>SUM(E9:E11)</f>
        <v>736429</v>
      </c>
      <c r="F12" s="7">
        <f t="shared" ref="F12" si="3">SUM(F9:F11)</f>
        <v>736429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52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97577.48</v>
      </c>
      <c r="E15" s="30">
        <f>+D15*50%</f>
        <v>48788.74</v>
      </c>
      <c r="F15" s="30">
        <f>+D15*50%</f>
        <v>48788.74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4">+D16*50%</f>
        <v>0</v>
      </c>
      <c r="F16" s="30">
        <f t="shared" ref="F16:F17" si="5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SUM(D15:D17)</f>
        <v>97577.48</v>
      </c>
      <c r="E18" s="19">
        <f t="shared" ref="E18:F18" si="6">SUM(E15:E17)</f>
        <v>48788.74</v>
      </c>
      <c r="F18" s="19">
        <f t="shared" si="6"/>
        <v>48788.74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ENERO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4085217.74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4085217.74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8170435.4800000004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1472858</v>
      </c>
      <c r="F26" s="25">
        <v>1</v>
      </c>
      <c r="G26" s="60">
        <f>+D18</f>
        <v>97577.48</v>
      </c>
      <c r="H26" s="25">
        <v>1</v>
      </c>
      <c r="I26" s="64">
        <f>+C26+E26+G26</f>
        <v>1570435.48</v>
      </c>
    </row>
    <row r="27" spans="1:25" ht="19.5" customHeight="1" x14ac:dyDescent="0.3">
      <c r="A27" s="204" t="s">
        <v>21</v>
      </c>
      <c r="B27" s="187"/>
      <c r="C27" s="60">
        <f>+D4</f>
        <v>6600000</v>
      </c>
      <c r="D27" s="25">
        <v>1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6600000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5:C5"/>
    <mergeCell ref="G5:I5"/>
    <mergeCell ref="A1:G2"/>
    <mergeCell ref="A3:C3"/>
    <mergeCell ref="G3:I3"/>
    <mergeCell ref="A4:C4"/>
    <mergeCell ref="G4:I4"/>
    <mergeCell ref="A6:C6"/>
    <mergeCell ref="G6:I6"/>
    <mergeCell ref="A8:C8"/>
    <mergeCell ref="G8:I8"/>
    <mergeCell ref="A9:C9"/>
    <mergeCell ref="G9:I9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G17:I17"/>
    <mergeCell ref="A18:C18"/>
    <mergeCell ref="A20:B20"/>
    <mergeCell ref="A21:B21"/>
    <mergeCell ref="A22:B22"/>
    <mergeCell ref="A23:B23"/>
    <mergeCell ref="A25:B25"/>
    <mergeCell ref="A26:B26"/>
    <mergeCell ref="A27:B27"/>
    <mergeCell ref="A17:C17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2490"/>
    <pageSetUpPr fitToPage="1"/>
  </sheetPr>
  <dimension ref="A1:Y999"/>
  <sheetViews>
    <sheetView workbookViewId="0">
      <selection activeCell="D9" sqref="D9"/>
    </sheetView>
  </sheetViews>
  <sheetFormatPr baseColWidth="10" defaultColWidth="14.44140625" defaultRowHeight="14.4" x14ac:dyDescent="0.3"/>
  <cols>
    <col min="1" max="1" width="21.6640625" style="153" customWidth="1"/>
    <col min="2" max="3" width="15.6640625" style="153" customWidth="1"/>
    <col min="4" max="9" width="15.77734375" style="153" customWidth="1"/>
    <col min="10" max="10" width="33.77734375" style="153" bestFit="1" customWidth="1"/>
    <col min="11" max="25" width="10" style="153" customWidth="1"/>
    <col min="26" max="16384" width="14.44140625" style="153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42</v>
      </c>
      <c r="I2" s="2">
        <v>2026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6525000</v>
      </c>
      <c r="E4" s="18">
        <f>D4*50%</f>
        <v>3262500</v>
      </c>
      <c r="F4" s="15">
        <f t="shared" ref="F4" si="0">+D4*50%</f>
        <v>3262500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6525000</v>
      </c>
      <c r="E6" s="7">
        <f>SUM(E4:E5)</f>
        <v>3262500</v>
      </c>
      <c r="F6" s="7">
        <f>SUM(F4:F5)</f>
        <v>3262500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52"/>
      <c r="B7" s="152"/>
      <c r="C7" s="152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1525926</v>
      </c>
      <c r="E9" s="17">
        <f>+D9*50%</f>
        <v>762963</v>
      </c>
      <c r="F9" s="17">
        <f>+D9*50%</f>
        <v>762963</v>
      </c>
      <c r="G9" s="239"/>
      <c r="H9" s="239"/>
      <c r="I9" s="23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238"/>
      <c r="H10" s="238"/>
      <c r="I10" s="238"/>
    </row>
    <row r="11" spans="1:25" ht="18" customHeight="1" x14ac:dyDescent="0.3">
      <c r="A11" s="218" t="s">
        <v>12</v>
      </c>
      <c r="B11" s="164"/>
      <c r="C11" s="165"/>
      <c r="D11" s="120">
        <v>0</v>
      </c>
      <c r="E11" s="17">
        <f t="shared" si="1"/>
        <v>0</v>
      </c>
      <c r="F11" s="17">
        <f t="shared" si="2"/>
        <v>0</v>
      </c>
      <c r="G11" s="239"/>
      <c r="H11" s="239"/>
      <c r="I11" s="239"/>
    </row>
    <row r="12" spans="1:25" x14ac:dyDescent="0.3">
      <c r="A12" s="219" t="s">
        <v>7</v>
      </c>
      <c r="B12" s="187"/>
      <c r="C12" s="188"/>
      <c r="D12" s="7">
        <f>SUM(D9:D11)</f>
        <v>1525926</v>
      </c>
      <c r="E12" s="7">
        <f>SUM(E9:E11)</f>
        <v>762963</v>
      </c>
      <c r="F12" s="7">
        <f t="shared" ref="F12" si="3">SUM(F9:F11)</f>
        <v>762963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52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97577.48</v>
      </c>
      <c r="E15" s="30">
        <f>+D15*50%</f>
        <v>48788.74</v>
      </c>
      <c r="F15" s="30">
        <f>+D15*50%</f>
        <v>48788.74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4">+D16*50%</f>
        <v>0</v>
      </c>
      <c r="F16" s="30">
        <f t="shared" ref="F16:F17" si="5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SUM(D15:D17)</f>
        <v>97577.48</v>
      </c>
      <c r="E18" s="19">
        <f t="shared" ref="E18:F18" si="6">SUM(E15:E17)</f>
        <v>48788.74</v>
      </c>
      <c r="F18" s="19">
        <f t="shared" si="6"/>
        <v>48788.74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FEBRERO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4074251.74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4074251.74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8148503.4800000004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1525926</v>
      </c>
      <c r="F26" s="25">
        <v>1</v>
      </c>
      <c r="G26" s="60">
        <f>+D18</f>
        <v>97577.48</v>
      </c>
      <c r="H26" s="25">
        <v>1</v>
      </c>
      <c r="I26" s="64">
        <f>+C26+E26+G26</f>
        <v>1623503.48</v>
      </c>
    </row>
    <row r="27" spans="1:25" ht="19.5" customHeight="1" x14ac:dyDescent="0.3">
      <c r="A27" s="204" t="s">
        <v>21</v>
      </c>
      <c r="B27" s="187"/>
      <c r="C27" s="60">
        <f>+D4</f>
        <v>6525000</v>
      </c>
      <c r="D27" s="25">
        <v>1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6525000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5:C5"/>
    <mergeCell ref="G5:I5"/>
    <mergeCell ref="A1:G2"/>
    <mergeCell ref="A3:C3"/>
    <mergeCell ref="G3:I3"/>
    <mergeCell ref="A4:C4"/>
    <mergeCell ref="G4:I4"/>
    <mergeCell ref="A6:C6"/>
    <mergeCell ref="G6:I6"/>
    <mergeCell ref="A8:C8"/>
    <mergeCell ref="G8:I8"/>
    <mergeCell ref="A9:C9"/>
    <mergeCell ref="G9:I9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G17:I17"/>
    <mergeCell ref="A18:C18"/>
    <mergeCell ref="A20:B20"/>
    <mergeCell ref="A21:B21"/>
    <mergeCell ref="A22:B22"/>
    <mergeCell ref="A23:B23"/>
    <mergeCell ref="A25:B25"/>
    <mergeCell ref="A26:B26"/>
    <mergeCell ref="A27:B27"/>
    <mergeCell ref="A17:C17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2490"/>
    <pageSetUpPr fitToPage="1"/>
  </sheetPr>
  <dimension ref="A1:Y999"/>
  <sheetViews>
    <sheetView topLeftCell="A7" workbookViewId="0">
      <selection activeCell="D9" sqref="D9"/>
    </sheetView>
  </sheetViews>
  <sheetFormatPr baseColWidth="10" defaultColWidth="14.44140625" defaultRowHeight="14.4" x14ac:dyDescent="0.3"/>
  <cols>
    <col min="1" max="1" width="21.6640625" style="153" customWidth="1"/>
    <col min="2" max="3" width="15.6640625" style="153" customWidth="1"/>
    <col min="4" max="9" width="15.77734375" style="153" customWidth="1"/>
    <col min="10" max="10" width="33.77734375" style="153" bestFit="1" customWidth="1"/>
    <col min="11" max="25" width="10" style="153" customWidth="1"/>
    <col min="26" max="16384" width="14.44140625" style="153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57</v>
      </c>
      <c r="I2" s="2">
        <v>2026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6390000</v>
      </c>
      <c r="E4" s="18">
        <f>D4*50%</f>
        <v>3195000</v>
      </c>
      <c r="F4" s="15">
        <f t="shared" ref="F4" si="0">+D4*50%</f>
        <v>3195000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6390000</v>
      </c>
      <c r="E6" s="7">
        <f>SUM(E4:E5)</f>
        <v>3195000</v>
      </c>
      <c r="F6" s="7">
        <f>SUM(F4:F5)</f>
        <v>3195000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52"/>
      <c r="B7" s="152"/>
      <c r="C7" s="152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1471736</v>
      </c>
      <c r="E9" s="17">
        <f>+D9*50%</f>
        <v>735868</v>
      </c>
      <c r="F9" s="17">
        <f>+D9*50%</f>
        <v>735868</v>
      </c>
      <c r="G9" s="239"/>
      <c r="H9" s="239"/>
      <c r="I9" s="239"/>
    </row>
    <row r="10" spans="1:25" ht="19.5" customHeight="1" x14ac:dyDescent="0.3">
      <c r="A10" s="204" t="s">
        <v>20</v>
      </c>
      <c r="B10" s="187"/>
      <c r="C10" s="188"/>
      <c r="D10" s="120">
        <v>0</v>
      </c>
      <c r="E10" s="17">
        <f t="shared" ref="E10:E11" si="1">+D10*50%</f>
        <v>0</v>
      </c>
      <c r="F10" s="17">
        <f t="shared" ref="F10:F11" si="2">+D10*50%</f>
        <v>0</v>
      </c>
      <c r="G10" s="238"/>
      <c r="H10" s="238"/>
      <c r="I10" s="238"/>
    </row>
    <row r="11" spans="1:25" ht="18" customHeight="1" x14ac:dyDescent="0.3">
      <c r="A11" s="218" t="s">
        <v>12</v>
      </c>
      <c r="B11" s="164"/>
      <c r="C11" s="165"/>
      <c r="D11" s="120">
        <v>0</v>
      </c>
      <c r="E11" s="17">
        <f t="shared" si="1"/>
        <v>0</v>
      </c>
      <c r="F11" s="17">
        <f t="shared" si="2"/>
        <v>0</v>
      </c>
      <c r="G11" s="239"/>
      <c r="H11" s="239"/>
      <c r="I11" s="239"/>
    </row>
    <row r="12" spans="1:25" x14ac:dyDescent="0.3">
      <c r="A12" s="219" t="s">
        <v>7</v>
      </c>
      <c r="B12" s="187"/>
      <c r="C12" s="188"/>
      <c r="D12" s="7">
        <f>SUM(D9:D11)</f>
        <v>1471736</v>
      </c>
      <c r="E12" s="7">
        <f>SUM(E9:E11)</f>
        <v>735868</v>
      </c>
      <c r="F12" s="7">
        <f t="shared" ref="F12" si="3">SUM(F9:F11)</f>
        <v>735868</v>
      </c>
      <c r="G12" s="220"/>
      <c r="H12" s="221"/>
      <c r="I12" s="2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.75" customHeight="1" thickBot="1" x14ac:dyDescent="0.35">
      <c r="A13" s="222"/>
      <c r="B13" s="223"/>
      <c r="C13" s="223"/>
      <c r="D13" s="152"/>
      <c r="H13" s="6"/>
    </row>
    <row r="14" spans="1:25" ht="30.75" customHeight="1" thickBot="1" x14ac:dyDescent="0.35">
      <c r="A14" s="224" t="s">
        <v>17</v>
      </c>
      <c r="B14" s="173"/>
      <c r="C14" s="173"/>
      <c r="D14" s="22" t="s">
        <v>3</v>
      </c>
      <c r="E14" s="5" t="s">
        <v>4</v>
      </c>
      <c r="F14" s="4" t="s">
        <v>19</v>
      </c>
      <c r="G14" s="225" t="s">
        <v>5</v>
      </c>
      <c r="H14" s="226"/>
      <c r="I14" s="227"/>
    </row>
    <row r="15" spans="1:25" x14ac:dyDescent="0.3">
      <c r="A15" s="218" t="s">
        <v>36</v>
      </c>
      <c r="B15" s="164"/>
      <c r="C15" s="165"/>
      <c r="D15" s="121">
        <v>97577.48</v>
      </c>
      <c r="E15" s="30">
        <f>+D15*50%</f>
        <v>48788.74</v>
      </c>
      <c r="F15" s="30">
        <f>+D15*50%</f>
        <v>48788.74</v>
      </c>
      <c r="G15" s="228" t="s">
        <v>67</v>
      </c>
      <c r="H15" s="228"/>
      <c r="I15" s="228"/>
    </row>
    <row r="16" spans="1:25" ht="17.399999999999999" customHeight="1" x14ac:dyDescent="0.3">
      <c r="A16" s="218" t="s">
        <v>35</v>
      </c>
      <c r="B16" s="164"/>
      <c r="C16" s="165"/>
      <c r="D16" s="29">
        <v>0</v>
      </c>
      <c r="E16" s="30">
        <f t="shared" ref="E16:E17" si="4">+D16*50%</f>
        <v>0</v>
      </c>
      <c r="F16" s="30">
        <f t="shared" ref="F16:F17" si="5">+D16*50%</f>
        <v>0</v>
      </c>
      <c r="G16" s="205" t="s">
        <v>38</v>
      </c>
      <c r="H16" s="205"/>
      <c r="I16" s="205"/>
    </row>
    <row r="17" spans="1:25" ht="16.8" customHeight="1" x14ac:dyDescent="0.3">
      <c r="A17" s="218" t="s">
        <v>37</v>
      </c>
      <c r="B17" s="164"/>
      <c r="C17" s="165"/>
      <c r="D17" s="29">
        <v>0</v>
      </c>
      <c r="E17" s="30">
        <f t="shared" si="4"/>
        <v>0</v>
      </c>
      <c r="F17" s="30">
        <f t="shared" si="5"/>
        <v>0</v>
      </c>
      <c r="G17" s="205" t="s">
        <v>39</v>
      </c>
      <c r="H17" s="205"/>
      <c r="I17" s="205"/>
    </row>
    <row r="18" spans="1:25" x14ac:dyDescent="0.3">
      <c r="A18" s="219" t="s">
        <v>7</v>
      </c>
      <c r="B18" s="187"/>
      <c r="C18" s="188"/>
      <c r="D18" s="19">
        <f>SUM(D15:D17)</f>
        <v>97577.48</v>
      </c>
      <c r="E18" s="19">
        <f t="shared" ref="E18:F18" si="6">SUM(E15:E17)</f>
        <v>48788.74</v>
      </c>
      <c r="F18" s="19">
        <f t="shared" si="6"/>
        <v>48788.74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.75" customHeight="1" x14ac:dyDescent="0.3">
      <c r="A19" s="12"/>
      <c r="B19" s="12"/>
      <c r="C19" s="12"/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203" t="s">
        <v>8</v>
      </c>
      <c r="B20" s="187"/>
      <c r="C20" s="26" t="str">
        <f>+H2</f>
        <v>MARZO</v>
      </c>
      <c r="D20" s="26" t="s">
        <v>9</v>
      </c>
    </row>
    <row r="21" spans="1:25" ht="15.75" customHeight="1" x14ac:dyDescent="0.3">
      <c r="A21" s="204" t="s">
        <v>10</v>
      </c>
      <c r="B21" s="187"/>
      <c r="C21" s="20">
        <f>+E18+E12+E6</f>
        <v>3979656.74</v>
      </c>
      <c r="D21" s="25">
        <v>0.5</v>
      </c>
      <c r="E21" s="6"/>
      <c r="F21" s="14"/>
    </row>
    <row r="22" spans="1:25" ht="15.75" customHeight="1" x14ac:dyDescent="0.3">
      <c r="A22" s="204" t="s">
        <v>21</v>
      </c>
      <c r="B22" s="187"/>
      <c r="C22" s="20">
        <f>+F18+F12+F6</f>
        <v>3979656.74</v>
      </c>
      <c r="D22" s="25">
        <v>0.5</v>
      </c>
      <c r="E22" s="6"/>
    </row>
    <row r="23" spans="1:25" ht="15.75" customHeight="1" thickBot="1" x14ac:dyDescent="0.35">
      <c r="A23" s="211" t="s">
        <v>11</v>
      </c>
      <c r="B23" s="187"/>
      <c r="C23" s="27">
        <f>SUM(C21:C22)</f>
        <v>7959313.4800000004</v>
      </c>
      <c r="D23" s="28">
        <f>SUM(D21:D22)</f>
        <v>1</v>
      </c>
      <c r="E23" s="6"/>
    </row>
    <row r="24" spans="1:25" ht="15.75" customHeight="1" x14ac:dyDescent="0.3">
      <c r="C24" s="6"/>
      <c r="D24" s="6"/>
    </row>
    <row r="25" spans="1:25" ht="19.5" customHeight="1" x14ac:dyDescent="0.3">
      <c r="A25" s="203" t="s">
        <v>54</v>
      </c>
      <c r="B25" s="187"/>
      <c r="C25" s="26" t="s">
        <v>51</v>
      </c>
      <c r="D25" s="26" t="s">
        <v>9</v>
      </c>
      <c r="E25" s="26" t="s">
        <v>77</v>
      </c>
      <c r="F25" s="26" t="s">
        <v>9</v>
      </c>
      <c r="G25" s="26" t="s">
        <v>52</v>
      </c>
      <c r="H25" s="26" t="s">
        <v>9</v>
      </c>
      <c r="I25" s="26" t="s">
        <v>53</v>
      </c>
    </row>
    <row r="26" spans="1:25" ht="19.5" customHeight="1" x14ac:dyDescent="0.3">
      <c r="A26" s="204" t="s">
        <v>10</v>
      </c>
      <c r="B26" s="187"/>
      <c r="C26" s="60">
        <v>0</v>
      </c>
      <c r="D26" s="25">
        <v>0</v>
      </c>
      <c r="E26" s="60">
        <f>+D12</f>
        <v>1471736</v>
      </c>
      <c r="F26" s="25">
        <v>1</v>
      </c>
      <c r="G26" s="60">
        <f>+D18</f>
        <v>97577.48</v>
      </c>
      <c r="H26" s="25">
        <v>1</v>
      </c>
      <c r="I26" s="64">
        <f>+C26+E26+G26</f>
        <v>1569313.48</v>
      </c>
    </row>
    <row r="27" spans="1:25" ht="19.5" customHeight="1" x14ac:dyDescent="0.3">
      <c r="A27" s="204" t="s">
        <v>21</v>
      </c>
      <c r="B27" s="187"/>
      <c r="C27" s="60">
        <f>+D4</f>
        <v>6390000</v>
      </c>
      <c r="D27" s="25">
        <v>1</v>
      </c>
      <c r="E27" s="60">
        <v>0</v>
      </c>
      <c r="F27" s="25">
        <v>0</v>
      </c>
      <c r="G27" s="60">
        <v>0</v>
      </c>
      <c r="H27" s="25">
        <v>0</v>
      </c>
      <c r="I27" s="64">
        <f>+C27+E27+G27</f>
        <v>6390000</v>
      </c>
    </row>
    <row r="28" spans="1:25" ht="19.5" customHeight="1" x14ac:dyDescent="0.3">
      <c r="C28" s="6"/>
      <c r="H28" s="6"/>
    </row>
    <row r="29" spans="1:25" ht="19.5" customHeight="1" x14ac:dyDescent="0.3">
      <c r="H29" s="6"/>
    </row>
    <row r="30" spans="1:25" ht="19.5" customHeight="1" x14ac:dyDescent="0.3">
      <c r="H30" s="6"/>
    </row>
    <row r="31" spans="1:25" ht="19.5" customHeight="1" x14ac:dyDescent="0.3">
      <c r="H31" s="6"/>
    </row>
    <row r="32" spans="1:25" ht="19.5" customHeight="1" x14ac:dyDescent="0.3">
      <c r="G32" s="6"/>
      <c r="H32" s="6"/>
    </row>
    <row r="33" spans="7:8" ht="19.5" customHeight="1" x14ac:dyDescent="0.3">
      <c r="G33" s="6"/>
      <c r="H33" s="6"/>
    </row>
    <row r="34" spans="7:8" ht="19.5" customHeight="1" x14ac:dyDescent="0.3">
      <c r="H34" s="6"/>
    </row>
    <row r="35" spans="7:8" ht="24.75" customHeight="1" x14ac:dyDescent="0.3">
      <c r="G35" s="6"/>
    </row>
    <row r="36" spans="7:8" ht="24.75" customHeight="1" x14ac:dyDescent="0.3">
      <c r="G36" s="6"/>
    </row>
    <row r="37" spans="7:8" ht="19.5" customHeight="1" x14ac:dyDescent="0.3">
      <c r="G37" s="6"/>
    </row>
    <row r="38" spans="7:8" ht="18" customHeight="1" x14ac:dyDescent="0.3"/>
    <row r="39" spans="7:8" ht="19.5" customHeight="1" x14ac:dyDescent="0.3">
      <c r="G39" s="6"/>
    </row>
    <row r="40" spans="7:8" ht="18" customHeight="1" x14ac:dyDescent="0.3"/>
    <row r="41" spans="7:8" ht="18" customHeight="1" x14ac:dyDescent="0.3"/>
    <row r="42" spans="7:8" ht="18" customHeight="1" x14ac:dyDescent="0.3"/>
    <row r="43" spans="7:8" ht="18" customHeight="1" x14ac:dyDescent="0.3"/>
    <row r="44" spans="7:8" ht="18" customHeight="1" x14ac:dyDescent="0.3">
      <c r="H44" s="6"/>
    </row>
    <row r="45" spans="7:8" ht="18" customHeight="1" x14ac:dyDescent="0.3"/>
    <row r="46" spans="7:8" ht="18" customHeight="1" x14ac:dyDescent="0.3">
      <c r="G46" s="6"/>
    </row>
    <row r="47" spans="7:8" ht="18" customHeight="1" x14ac:dyDescent="0.3"/>
    <row r="48" spans="7:8" ht="18" customHeight="1" x14ac:dyDescent="0.3"/>
    <row r="49" ht="18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6">
    <mergeCell ref="A5:C5"/>
    <mergeCell ref="G5:I5"/>
    <mergeCell ref="A1:G2"/>
    <mergeCell ref="A3:C3"/>
    <mergeCell ref="G3:I3"/>
    <mergeCell ref="A4:C4"/>
    <mergeCell ref="G4:I4"/>
    <mergeCell ref="A6:C6"/>
    <mergeCell ref="G6:I6"/>
    <mergeCell ref="A8:C8"/>
    <mergeCell ref="G8:I8"/>
    <mergeCell ref="A9:C9"/>
    <mergeCell ref="G9:I9"/>
    <mergeCell ref="A16:C16"/>
    <mergeCell ref="G16:I16"/>
    <mergeCell ref="A10:C10"/>
    <mergeCell ref="G10:I10"/>
    <mergeCell ref="A11:C11"/>
    <mergeCell ref="G11:I11"/>
    <mergeCell ref="A12:C12"/>
    <mergeCell ref="G12:I12"/>
    <mergeCell ref="A13:C13"/>
    <mergeCell ref="A14:C14"/>
    <mergeCell ref="G14:I14"/>
    <mergeCell ref="A15:C15"/>
    <mergeCell ref="G15:I15"/>
    <mergeCell ref="G17:I17"/>
    <mergeCell ref="A18:C18"/>
    <mergeCell ref="A20:B20"/>
    <mergeCell ref="A21:B21"/>
    <mergeCell ref="A22:B22"/>
    <mergeCell ref="A23:B23"/>
    <mergeCell ref="A25:B25"/>
    <mergeCell ref="A26:B26"/>
    <mergeCell ref="A27:B27"/>
    <mergeCell ref="A17:C17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2490"/>
    <pageSetUpPr fitToPage="1"/>
  </sheetPr>
  <dimension ref="A1:Y1001"/>
  <sheetViews>
    <sheetView topLeftCell="A7" workbookViewId="0">
      <selection activeCell="E29" sqref="E29"/>
    </sheetView>
  </sheetViews>
  <sheetFormatPr baseColWidth="10" defaultColWidth="14.44140625" defaultRowHeight="14.4" x14ac:dyDescent="0.3"/>
  <cols>
    <col min="1" max="1" width="21.6640625" style="153" customWidth="1"/>
    <col min="2" max="3" width="15.6640625" style="153" customWidth="1"/>
    <col min="4" max="9" width="15.77734375" style="153" customWidth="1"/>
    <col min="10" max="10" width="33.77734375" style="153" bestFit="1" customWidth="1"/>
    <col min="11" max="25" width="10" style="153" customWidth="1"/>
    <col min="26" max="16384" width="14.44140625" style="153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58</v>
      </c>
      <c r="I2" s="2">
        <v>2026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6345000</v>
      </c>
      <c r="E4" s="18">
        <f>D4*50%</f>
        <v>3172500</v>
      </c>
      <c r="F4" s="15">
        <f t="shared" ref="F4" si="0">+D4*50%</f>
        <v>3172500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6345000</v>
      </c>
      <c r="E6" s="7">
        <f>SUM(E4:E5)</f>
        <v>3172500</v>
      </c>
      <c r="F6" s="7">
        <f>SUM(F4:F5)</f>
        <v>3172500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52"/>
      <c r="B7" s="152"/>
      <c r="C7" s="152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1472088</v>
      </c>
      <c r="E9" s="17">
        <f>+D9*50%</f>
        <v>736044</v>
      </c>
      <c r="F9" s="17">
        <f>+D9*50%</f>
        <v>736044</v>
      </c>
      <c r="G9" s="239"/>
      <c r="H9" s="239"/>
      <c r="I9" s="239"/>
    </row>
    <row r="10" spans="1:25" ht="19.5" customHeight="1" x14ac:dyDescent="0.3">
      <c r="A10" s="204" t="s">
        <v>78</v>
      </c>
      <c r="B10" s="187"/>
      <c r="C10" s="188"/>
      <c r="D10" s="120">
        <v>1181215.3400000001</v>
      </c>
      <c r="E10" s="17">
        <f t="shared" ref="E10:E12" si="1">+D10*50%</f>
        <v>590607.67000000004</v>
      </c>
      <c r="F10" s="17">
        <f t="shared" ref="F10:F12" si="2">+D10*50%</f>
        <v>590607.67000000004</v>
      </c>
      <c r="G10" s="238"/>
      <c r="H10" s="238"/>
      <c r="I10" s="238"/>
    </row>
    <row r="11" spans="1:25" ht="19.5" customHeight="1" x14ac:dyDescent="0.3">
      <c r="A11" s="204" t="s">
        <v>79</v>
      </c>
      <c r="B11" s="187"/>
      <c r="C11" s="188"/>
      <c r="D11" s="120">
        <v>762005.31</v>
      </c>
      <c r="E11" s="17">
        <f t="shared" si="1"/>
        <v>381002.65500000003</v>
      </c>
      <c r="F11" s="17">
        <f t="shared" si="2"/>
        <v>381002.65500000003</v>
      </c>
      <c r="G11" s="238"/>
      <c r="H11" s="238"/>
      <c r="I11" s="238"/>
    </row>
    <row r="12" spans="1:25" ht="19.5" customHeight="1" x14ac:dyDescent="0.3">
      <c r="A12" s="204" t="s">
        <v>80</v>
      </c>
      <c r="B12" s="187"/>
      <c r="C12" s="188"/>
      <c r="D12" s="120">
        <v>20513</v>
      </c>
      <c r="E12" s="17">
        <f t="shared" si="1"/>
        <v>10256.5</v>
      </c>
      <c r="F12" s="17">
        <f t="shared" si="2"/>
        <v>10256.5</v>
      </c>
      <c r="G12" s="238"/>
      <c r="H12" s="238"/>
      <c r="I12" s="238"/>
    </row>
    <row r="13" spans="1:25" ht="18" customHeight="1" x14ac:dyDescent="0.3">
      <c r="A13" s="218" t="s">
        <v>12</v>
      </c>
      <c r="B13" s="164"/>
      <c r="C13" s="165"/>
      <c r="D13" s="120">
        <v>14723</v>
      </c>
      <c r="E13" s="17">
        <f t="shared" ref="E13" si="3">+D13*50%</f>
        <v>7361.5</v>
      </c>
      <c r="F13" s="17">
        <f t="shared" ref="F13" si="4">+D13*50%</f>
        <v>7361.5</v>
      </c>
      <c r="G13" s="239"/>
      <c r="H13" s="239"/>
      <c r="I13" s="239"/>
    </row>
    <row r="14" spans="1:25" x14ac:dyDescent="0.3">
      <c r="A14" s="219" t="s">
        <v>7</v>
      </c>
      <c r="B14" s="187"/>
      <c r="C14" s="188"/>
      <c r="D14" s="7">
        <f>SUM(D9:D13)</f>
        <v>3450544.65</v>
      </c>
      <c r="E14" s="7">
        <f>SUM(E9:E13)</f>
        <v>1725272.325</v>
      </c>
      <c r="F14" s="7">
        <f t="shared" ref="F14" si="5">SUM(F9:F13)</f>
        <v>1725272.325</v>
      </c>
      <c r="G14" s="220"/>
      <c r="H14" s="221"/>
      <c r="I14" s="22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6.75" customHeight="1" thickBot="1" x14ac:dyDescent="0.35">
      <c r="A15" s="222"/>
      <c r="B15" s="223"/>
      <c r="C15" s="223"/>
      <c r="D15" s="152"/>
      <c r="H15" s="6"/>
    </row>
    <row r="16" spans="1:25" ht="30.75" customHeight="1" thickBot="1" x14ac:dyDescent="0.35">
      <c r="A16" s="224" t="s">
        <v>17</v>
      </c>
      <c r="B16" s="173"/>
      <c r="C16" s="173"/>
      <c r="D16" s="22" t="s">
        <v>3</v>
      </c>
      <c r="E16" s="5" t="s">
        <v>4</v>
      </c>
      <c r="F16" s="4" t="s">
        <v>19</v>
      </c>
      <c r="G16" s="225" t="s">
        <v>5</v>
      </c>
      <c r="H16" s="226"/>
      <c r="I16" s="227"/>
    </row>
    <row r="17" spans="1:25" x14ac:dyDescent="0.3">
      <c r="A17" s="218" t="s">
        <v>36</v>
      </c>
      <c r="B17" s="164"/>
      <c r="C17" s="165"/>
      <c r="D17" s="121">
        <v>97577.48</v>
      </c>
      <c r="E17" s="30">
        <f>+D17*50%</f>
        <v>48788.74</v>
      </c>
      <c r="F17" s="30">
        <f>+D17*50%</f>
        <v>48788.74</v>
      </c>
      <c r="G17" s="228" t="s">
        <v>67</v>
      </c>
      <c r="H17" s="228"/>
      <c r="I17" s="228"/>
    </row>
    <row r="18" spans="1:25" ht="17.399999999999999" customHeight="1" x14ac:dyDescent="0.3">
      <c r="A18" s="218" t="s">
        <v>35</v>
      </c>
      <c r="B18" s="164"/>
      <c r="C18" s="165"/>
      <c r="D18" s="29">
        <v>0</v>
      </c>
      <c r="E18" s="30">
        <f t="shared" ref="E18:E19" si="6">+D18*50%</f>
        <v>0</v>
      </c>
      <c r="F18" s="30">
        <f t="shared" ref="F18:F19" si="7">+D18*50%</f>
        <v>0</v>
      </c>
      <c r="G18" s="205" t="s">
        <v>38</v>
      </c>
      <c r="H18" s="205"/>
      <c r="I18" s="205"/>
    </row>
    <row r="19" spans="1:25" ht="16.8" customHeight="1" x14ac:dyDescent="0.3">
      <c r="A19" s="218" t="s">
        <v>37</v>
      </c>
      <c r="B19" s="164"/>
      <c r="C19" s="165"/>
      <c r="D19" s="29">
        <v>0</v>
      </c>
      <c r="E19" s="30">
        <f t="shared" si="6"/>
        <v>0</v>
      </c>
      <c r="F19" s="30">
        <f t="shared" si="7"/>
        <v>0</v>
      </c>
      <c r="G19" s="205" t="s">
        <v>39</v>
      </c>
      <c r="H19" s="205"/>
      <c r="I19" s="205"/>
    </row>
    <row r="20" spans="1:25" x14ac:dyDescent="0.3">
      <c r="A20" s="219" t="s">
        <v>7</v>
      </c>
      <c r="B20" s="187"/>
      <c r="C20" s="188"/>
      <c r="D20" s="19">
        <f>SUM(D17:D19)</f>
        <v>97577.48</v>
      </c>
      <c r="E20" s="19">
        <f t="shared" ref="E20:F20" si="8">SUM(E17:E19)</f>
        <v>48788.74</v>
      </c>
      <c r="F20" s="19">
        <f t="shared" si="8"/>
        <v>48788.74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6.75" customHeight="1" x14ac:dyDescent="0.3">
      <c r="A21" s="12"/>
      <c r="B21" s="12"/>
      <c r="C21" s="12"/>
      <c r="D21" s="13"/>
      <c r="E21" s="13"/>
      <c r="F21" s="13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x14ac:dyDescent="0.3">
      <c r="A22" s="203" t="s">
        <v>8</v>
      </c>
      <c r="B22" s="187"/>
      <c r="C22" s="26" t="str">
        <f>+H2</f>
        <v>ABRIL</v>
      </c>
      <c r="D22" s="26" t="s">
        <v>9</v>
      </c>
    </row>
    <row r="23" spans="1:25" ht="15.75" customHeight="1" x14ac:dyDescent="0.3">
      <c r="A23" s="204" t="s">
        <v>10</v>
      </c>
      <c r="B23" s="187"/>
      <c r="C23" s="20">
        <f>+E20+E14+E6</f>
        <v>4946561.0649999995</v>
      </c>
      <c r="D23" s="25">
        <v>0.5</v>
      </c>
      <c r="E23" s="6"/>
      <c r="F23" s="14"/>
    </row>
    <row r="24" spans="1:25" ht="15.75" customHeight="1" x14ac:dyDescent="0.3">
      <c r="A24" s="204" t="s">
        <v>21</v>
      </c>
      <c r="B24" s="187"/>
      <c r="C24" s="20">
        <f>+F20+F14+F6</f>
        <v>4946561.0649999995</v>
      </c>
      <c r="D24" s="25">
        <v>0.5</v>
      </c>
      <c r="E24" s="6"/>
    </row>
    <row r="25" spans="1:25" ht="15.75" customHeight="1" thickBot="1" x14ac:dyDescent="0.35">
      <c r="A25" s="211" t="s">
        <v>11</v>
      </c>
      <c r="B25" s="187"/>
      <c r="C25" s="27">
        <f>SUM(C23:C24)</f>
        <v>9893122.129999999</v>
      </c>
      <c r="D25" s="28">
        <f>SUM(D23:D24)</f>
        <v>1</v>
      </c>
      <c r="E25" s="6"/>
    </row>
    <row r="26" spans="1:25" ht="15.75" customHeight="1" x14ac:dyDescent="0.3">
      <c r="C26" s="6"/>
      <c r="D26" s="6"/>
    </row>
    <row r="27" spans="1:25" ht="19.5" customHeight="1" x14ac:dyDescent="0.3">
      <c r="A27" s="203" t="s">
        <v>54</v>
      </c>
      <c r="B27" s="187"/>
      <c r="C27" s="26" t="s">
        <v>51</v>
      </c>
      <c r="D27" s="26" t="s">
        <v>9</v>
      </c>
      <c r="E27" s="26" t="s">
        <v>77</v>
      </c>
      <c r="F27" s="26" t="s">
        <v>9</v>
      </c>
      <c r="G27" s="26" t="s">
        <v>52</v>
      </c>
      <c r="H27" s="26" t="s">
        <v>9</v>
      </c>
      <c r="I27" s="26" t="s">
        <v>53</v>
      </c>
    </row>
    <row r="28" spans="1:25" ht="19.5" customHeight="1" x14ac:dyDescent="0.3">
      <c r="A28" s="204" t="s">
        <v>10</v>
      </c>
      <c r="B28" s="187"/>
      <c r="C28" s="60">
        <f>+D4</f>
        <v>6345000</v>
      </c>
      <c r="D28" s="25">
        <v>1</v>
      </c>
      <c r="E28" s="60">
        <f>+D14</f>
        <v>3450544.65</v>
      </c>
      <c r="F28" s="25">
        <v>1</v>
      </c>
      <c r="G28" s="60">
        <f>+D20</f>
        <v>97577.48</v>
      </c>
      <c r="H28" s="25">
        <v>1</v>
      </c>
      <c r="I28" s="64">
        <f>+C28+E28+G28</f>
        <v>9893122.1300000008</v>
      </c>
    </row>
    <row r="29" spans="1:25" ht="19.5" customHeight="1" x14ac:dyDescent="0.3">
      <c r="A29" s="204" t="s">
        <v>21</v>
      </c>
      <c r="B29" s="187"/>
      <c r="C29" s="60">
        <v>0</v>
      </c>
      <c r="D29" s="25">
        <v>0</v>
      </c>
      <c r="E29" s="60">
        <v>0</v>
      </c>
      <c r="F29" s="25">
        <v>0</v>
      </c>
      <c r="G29" s="60">
        <v>0</v>
      </c>
      <c r="H29" s="25">
        <v>0</v>
      </c>
      <c r="I29" s="64">
        <f>+C29+E29+G29</f>
        <v>0</v>
      </c>
    </row>
    <row r="30" spans="1:25" ht="19.5" customHeight="1" x14ac:dyDescent="0.3">
      <c r="C30" s="6"/>
      <c r="H30" s="6"/>
    </row>
    <row r="31" spans="1:25" ht="19.5" customHeight="1" x14ac:dyDescent="0.3">
      <c r="H31" s="6"/>
    </row>
    <row r="32" spans="1:25" ht="19.5" customHeight="1" x14ac:dyDescent="0.3">
      <c r="H32" s="6"/>
    </row>
    <row r="33" spans="7:8" ht="19.5" customHeight="1" x14ac:dyDescent="0.3">
      <c r="H33" s="6"/>
    </row>
    <row r="34" spans="7:8" ht="19.5" customHeight="1" x14ac:dyDescent="0.3">
      <c r="G34" s="6"/>
      <c r="H34" s="6"/>
    </row>
    <row r="35" spans="7:8" ht="19.5" customHeight="1" x14ac:dyDescent="0.3">
      <c r="G35" s="6"/>
      <c r="H35" s="6"/>
    </row>
    <row r="36" spans="7:8" ht="19.5" customHeight="1" x14ac:dyDescent="0.3">
      <c r="H36" s="6"/>
    </row>
    <row r="37" spans="7:8" ht="24.75" customHeight="1" x14ac:dyDescent="0.3">
      <c r="G37" s="6"/>
    </row>
    <row r="38" spans="7:8" ht="24.75" customHeight="1" x14ac:dyDescent="0.3">
      <c r="G38" s="6"/>
    </row>
    <row r="39" spans="7:8" ht="19.5" customHeight="1" x14ac:dyDescent="0.3">
      <c r="G39" s="6"/>
    </row>
    <row r="40" spans="7:8" ht="18" customHeight="1" x14ac:dyDescent="0.3"/>
    <row r="41" spans="7:8" ht="19.5" customHeight="1" x14ac:dyDescent="0.3">
      <c r="G41" s="6"/>
    </row>
    <row r="42" spans="7:8" ht="18" customHeight="1" x14ac:dyDescent="0.3"/>
    <row r="43" spans="7:8" ht="18" customHeight="1" x14ac:dyDescent="0.3"/>
    <row r="44" spans="7:8" ht="18" customHeight="1" x14ac:dyDescent="0.3"/>
    <row r="45" spans="7:8" ht="18" customHeight="1" x14ac:dyDescent="0.3"/>
    <row r="46" spans="7:8" ht="18" customHeight="1" x14ac:dyDescent="0.3">
      <c r="H46" s="6"/>
    </row>
    <row r="47" spans="7:8" ht="18" customHeight="1" x14ac:dyDescent="0.3"/>
    <row r="48" spans="7:8" ht="18" customHeight="1" x14ac:dyDescent="0.3">
      <c r="G48" s="6"/>
    </row>
    <row r="49" ht="18" customHeight="1" x14ac:dyDescent="0.3"/>
    <row r="50" ht="18" customHeight="1" x14ac:dyDescent="0.3"/>
    <row r="51" ht="18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40">
    <mergeCell ref="A5:C5"/>
    <mergeCell ref="G5:I5"/>
    <mergeCell ref="A1:G2"/>
    <mergeCell ref="A3:C3"/>
    <mergeCell ref="G3:I3"/>
    <mergeCell ref="A4:C4"/>
    <mergeCell ref="G4:I4"/>
    <mergeCell ref="G14:I14"/>
    <mergeCell ref="A6:C6"/>
    <mergeCell ref="G6:I6"/>
    <mergeCell ref="A8:C8"/>
    <mergeCell ref="G8:I8"/>
    <mergeCell ref="A9:C9"/>
    <mergeCell ref="G9:I9"/>
    <mergeCell ref="G10:I10"/>
    <mergeCell ref="A11:C11"/>
    <mergeCell ref="G11:I11"/>
    <mergeCell ref="A19:C19"/>
    <mergeCell ref="G19:I19"/>
    <mergeCell ref="A15:C15"/>
    <mergeCell ref="A16:C16"/>
    <mergeCell ref="G16:I16"/>
    <mergeCell ref="A17:C17"/>
    <mergeCell ref="G17:I17"/>
    <mergeCell ref="A18:C18"/>
    <mergeCell ref="G18:I18"/>
    <mergeCell ref="A12:C12"/>
    <mergeCell ref="G12:I12"/>
    <mergeCell ref="A13:C13"/>
    <mergeCell ref="G13:I13"/>
    <mergeCell ref="A25:B25"/>
    <mergeCell ref="A27:B27"/>
    <mergeCell ref="A28:B28"/>
    <mergeCell ref="A29:B29"/>
    <mergeCell ref="A10:C10"/>
    <mergeCell ref="A20:C20"/>
    <mergeCell ref="A22:B22"/>
    <mergeCell ref="A23:B23"/>
    <mergeCell ref="A24:B24"/>
    <mergeCell ref="A14:C14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2490"/>
    <pageSetUpPr fitToPage="1"/>
  </sheetPr>
  <dimension ref="A1:Y1001"/>
  <sheetViews>
    <sheetView topLeftCell="A13" workbookViewId="0">
      <selection activeCell="E29" sqref="E29"/>
    </sheetView>
  </sheetViews>
  <sheetFormatPr baseColWidth="10" defaultColWidth="14.44140625" defaultRowHeight="14.4" x14ac:dyDescent="0.3"/>
  <cols>
    <col min="1" max="1" width="21.6640625" style="156" customWidth="1"/>
    <col min="2" max="3" width="15.6640625" style="156" customWidth="1"/>
    <col min="4" max="9" width="15.77734375" style="156" customWidth="1"/>
    <col min="10" max="10" width="33.77734375" style="156" bestFit="1" customWidth="1"/>
    <col min="11" max="25" width="10" style="156" customWidth="1"/>
    <col min="26" max="16384" width="14.44140625" style="156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59</v>
      </c>
      <c r="I2" s="2">
        <v>2026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6345000</v>
      </c>
      <c r="E4" s="18">
        <f>D4*50%</f>
        <v>3172500</v>
      </c>
      <c r="F4" s="15">
        <f t="shared" ref="F4" si="0">+D4*50%</f>
        <v>3172500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6345000</v>
      </c>
      <c r="E6" s="7">
        <f>SUM(E4:E5)</f>
        <v>3172500</v>
      </c>
      <c r="F6" s="7">
        <f>SUM(F4:F5)</f>
        <v>3172500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55"/>
      <c r="B7" s="155"/>
      <c r="C7" s="155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1472088</v>
      </c>
      <c r="E9" s="17">
        <f>+D9*50%</f>
        <v>736044</v>
      </c>
      <c r="F9" s="17">
        <f>+D9*50%</f>
        <v>736044</v>
      </c>
      <c r="G9" s="239"/>
      <c r="H9" s="239"/>
      <c r="I9" s="239"/>
    </row>
    <row r="10" spans="1:25" ht="19.5" customHeight="1" x14ac:dyDescent="0.3">
      <c r="A10" s="204" t="s">
        <v>78</v>
      </c>
      <c r="B10" s="187"/>
      <c r="C10" s="188"/>
      <c r="D10" s="120">
        <v>0</v>
      </c>
      <c r="E10" s="17">
        <f t="shared" ref="E10:E13" si="1">+D10*50%</f>
        <v>0</v>
      </c>
      <c r="F10" s="17">
        <f t="shared" ref="F10:F13" si="2">+D10*50%</f>
        <v>0</v>
      </c>
      <c r="G10" s="238"/>
      <c r="H10" s="238"/>
      <c r="I10" s="238"/>
    </row>
    <row r="11" spans="1:25" ht="19.5" customHeight="1" x14ac:dyDescent="0.3">
      <c r="A11" s="204" t="s">
        <v>79</v>
      </c>
      <c r="B11" s="187"/>
      <c r="C11" s="188"/>
      <c r="D11" s="120">
        <v>0</v>
      </c>
      <c r="E11" s="17">
        <f t="shared" si="1"/>
        <v>0</v>
      </c>
      <c r="F11" s="17">
        <f t="shared" si="2"/>
        <v>0</v>
      </c>
      <c r="G11" s="238"/>
      <c r="H11" s="238"/>
      <c r="I11" s="238"/>
    </row>
    <row r="12" spans="1:25" ht="19.5" customHeight="1" x14ac:dyDescent="0.3">
      <c r="A12" s="204" t="s">
        <v>80</v>
      </c>
      <c r="B12" s="187"/>
      <c r="C12" s="188"/>
      <c r="D12" s="120">
        <v>0</v>
      </c>
      <c r="E12" s="17">
        <f t="shared" si="1"/>
        <v>0</v>
      </c>
      <c r="F12" s="17">
        <f t="shared" si="2"/>
        <v>0</v>
      </c>
      <c r="G12" s="238"/>
      <c r="H12" s="238"/>
      <c r="I12" s="238"/>
    </row>
    <row r="13" spans="1:25" ht="18" customHeight="1" x14ac:dyDescent="0.3">
      <c r="A13" s="218" t="s">
        <v>12</v>
      </c>
      <c r="B13" s="164"/>
      <c r="C13" s="165"/>
      <c r="D13" s="120">
        <v>0</v>
      </c>
      <c r="E13" s="17">
        <f t="shared" si="1"/>
        <v>0</v>
      </c>
      <c r="F13" s="17">
        <f t="shared" si="2"/>
        <v>0</v>
      </c>
      <c r="G13" s="239"/>
      <c r="H13" s="239"/>
      <c r="I13" s="239"/>
    </row>
    <row r="14" spans="1:25" x14ac:dyDescent="0.3">
      <c r="A14" s="219" t="s">
        <v>7</v>
      </c>
      <c r="B14" s="187"/>
      <c r="C14" s="188"/>
      <c r="D14" s="7">
        <f>SUM(D9:D13)</f>
        <v>1472088</v>
      </c>
      <c r="E14" s="7">
        <f>SUM(E9:E13)</f>
        <v>736044</v>
      </c>
      <c r="F14" s="7">
        <f t="shared" ref="F14" si="3">SUM(F9:F13)</f>
        <v>736044</v>
      </c>
      <c r="G14" s="220"/>
      <c r="H14" s="221"/>
      <c r="I14" s="22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6.75" customHeight="1" thickBot="1" x14ac:dyDescent="0.35">
      <c r="A15" s="222"/>
      <c r="B15" s="223"/>
      <c r="C15" s="223"/>
      <c r="D15" s="155"/>
      <c r="H15" s="6"/>
    </row>
    <row r="16" spans="1:25" ht="30.75" customHeight="1" thickBot="1" x14ac:dyDescent="0.35">
      <c r="A16" s="224" t="s">
        <v>17</v>
      </c>
      <c r="B16" s="173"/>
      <c r="C16" s="173"/>
      <c r="D16" s="22" t="s">
        <v>3</v>
      </c>
      <c r="E16" s="5" t="s">
        <v>4</v>
      </c>
      <c r="F16" s="4" t="s">
        <v>19</v>
      </c>
      <c r="G16" s="225" t="s">
        <v>5</v>
      </c>
      <c r="H16" s="226"/>
      <c r="I16" s="227"/>
    </row>
    <row r="17" spans="1:25" x14ac:dyDescent="0.3">
      <c r="A17" s="218" t="s">
        <v>36</v>
      </c>
      <c r="B17" s="164"/>
      <c r="C17" s="165"/>
      <c r="D17" s="121">
        <v>97577.48</v>
      </c>
      <c r="E17" s="30">
        <f>+D17*50%</f>
        <v>48788.74</v>
      </c>
      <c r="F17" s="30">
        <f>+D17*50%</f>
        <v>48788.74</v>
      </c>
      <c r="G17" s="228" t="s">
        <v>67</v>
      </c>
      <c r="H17" s="228"/>
      <c r="I17" s="228"/>
    </row>
    <row r="18" spans="1:25" ht="17.399999999999999" customHeight="1" x14ac:dyDescent="0.3">
      <c r="A18" s="218" t="s">
        <v>35</v>
      </c>
      <c r="B18" s="164"/>
      <c r="C18" s="165"/>
      <c r="D18" s="29">
        <v>0</v>
      </c>
      <c r="E18" s="30">
        <f t="shared" ref="E18:E19" si="4">+D18*50%</f>
        <v>0</v>
      </c>
      <c r="F18" s="30">
        <f t="shared" ref="F18:F19" si="5">+D18*50%</f>
        <v>0</v>
      </c>
      <c r="G18" s="205" t="s">
        <v>38</v>
      </c>
      <c r="H18" s="205"/>
      <c r="I18" s="205"/>
    </row>
    <row r="19" spans="1:25" ht="16.8" customHeight="1" x14ac:dyDescent="0.3">
      <c r="A19" s="218" t="s">
        <v>37</v>
      </c>
      <c r="B19" s="164"/>
      <c r="C19" s="165"/>
      <c r="D19" s="29">
        <v>0</v>
      </c>
      <c r="E19" s="30">
        <f t="shared" si="4"/>
        <v>0</v>
      </c>
      <c r="F19" s="30">
        <f t="shared" si="5"/>
        <v>0</v>
      </c>
      <c r="G19" s="205" t="s">
        <v>39</v>
      </c>
      <c r="H19" s="205"/>
      <c r="I19" s="205"/>
    </row>
    <row r="20" spans="1:25" x14ac:dyDescent="0.3">
      <c r="A20" s="219" t="s">
        <v>7</v>
      </c>
      <c r="B20" s="187"/>
      <c r="C20" s="188"/>
      <c r="D20" s="19">
        <f>SUM(D17:D19)</f>
        <v>97577.48</v>
      </c>
      <c r="E20" s="19">
        <f t="shared" ref="E20:F20" si="6">SUM(E17:E19)</f>
        <v>48788.74</v>
      </c>
      <c r="F20" s="19">
        <f t="shared" si="6"/>
        <v>48788.74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6.75" customHeight="1" x14ac:dyDescent="0.3">
      <c r="A21" s="12"/>
      <c r="B21" s="12"/>
      <c r="C21" s="12"/>
      <c r="D21" s="13"/>
      <c r="E21" s="13"/>
      <c r="F21" s="13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x14ac:dyDescent="0.3">
      <c r="A22" s="203" t="s">
        <v>8</v>
      </c>
      <c r="B22" s="187"/>
      <c r="C22" s="26" t="str">
        <f>+H2</f>
        <v>MAYO</v>
      </c>
      <c r="D22" s="26" t="s">
        <v>9</v>
      </c>
    </row>
    <row r="23" spans="1:25" ht="15.75" customHeight="1" x14ac:dyDescent="0.3">
      <c r="A23" s="204" t="s">
        <v>10</v>
      </c>
      <c r="B23" s="187"/>
      <c r="C23" s="20">
        <f>+E20+E14+E6</f>
        <v>3957332.74</v>
      </c>
      <c r="D23" s="25">
        <v>0.5</v>
      </c>
      <c r="E23" s="6"/>
      <c r="F23" s="14"/>
    </row>
    <row r="24" spans="1:25" ht="15.75" customHeight="1" x14ac:dyDescent="0.3">
      <c r="A24" s="204" t="s">
        <v>21</v>
      </c>
      <c r="B24" s="187"/>
      <c r="C24" s="20">
        <f>+F20+F14+F6</f>
        <v>3957332.74</v>
      </c>
      <c r="D24" s="25">
        <v>0.5</v>
      </c>
      <c r="E24" s="6"/>
    </row>
    <row r="25" spans="1:25" ht="15.75" customHeight="1" thickBot="1" x14ac:dyDescent="0.35">
      <c r="A25" s="211" t="s">
        <v>11</v>
      </c>
      <c r="B25" s="187"/>
      <c r="C25" s="27">
        <f>SUM(C23:C24)</f>
        <v>7914665.4800000004</v>
      </c>
      <c r="D25" s="28">
        <f>SUM(D23:D24)</f>
        <v>1</v>
      </c>
      <c r="E25" s="6"/>
    </row>
    <row r="26" spans="1:25" ht="15.75" customHeight="1" x14ac:dyDescent="0.3">
      <c r="C26" s="6"/>
      <c r="D26" s="6"/>
    </row>
    <row r="27" spans="1:25" ht="19.5" customHeight="1" x14ac:dyDescent="0.3">
      <c r="A27" s="203" t="s">
        <v>54</v>
      </c>
      <c r="B27" s="187"/>
      <c r="C27" s="26" t="s">
        <v>51</v>
      </c>
      <c r="D27" s="26" t="s">
        <v>9</v>
      </c>
      <c r="E27" s="26" t="s">
        <v>77</v>
      </c>
      <c r="F27" s="26" t="s">
        <v>9</v>
      </c>
      <c r="G27" s="26" t="s">
        <v>52</v>
      </c>
      <c r="H27" s="26" t="s">
        <v>9</v>
      </c>
      <c r="I27" s="26" t="s">
        <v>53</v>
      </c>
    </row>
    <row r="28" spans="1:25" ht="19.5" customHeight="1" x14ac:dyDescent="0.3">
      <c r="A28" s="204" t="s">
        <v>10</v>
      </c>
      <c r="B28" s="187"/>
      <c r="C28" s="60">
        <f>+D4</f>
        <v>6345000</v>
      </c>
      <c r="D28" s="25">
        <v>1</v>
      </c>
      <c r="E28" s="60">
        <f>+D14</f>
        <v>1472088</v>
      </c>
      <c r="F28" s="25">
        <v>1</v>
      </c>
      <c r="G28" s="60">
        <f>+D20</f>
        <v>97577.48</v>
      </c>
      <c r="H28" s="25">
        <v>1</v>
      </c>
      <c r="I28" s="64">
        <f>+C28+E28+G28</f>
        <v>7914665.4800000004</v>
      </c>
    </row>
    <row r="29" spans="1:25" ht="19.5" customHeight="1" x14ac:dyDescent="0.3">
      <c r="A29" s="204" t="s">
        <v>21</v>
      </c>
      <c r="B29" s="187"/>
      <c r="C29" s="60">
        <v>0</v>
      </c>
      <c r="D29" s="25">
        <v>0</v>
      </c>
      <c r="E29" s="60">
        <v>0</v>
      </c>
      <c r="F29" s="25">
        <v>0</v>
      </c>
      <c r="G29" s="60">
        <v>0</v>
      </c>
      <c r="H29" s="25">
        <v>0</v>
      </c>
      <c r="I29" s="64">
        <f>+C29+E29+G29</f>
        <v>0</v>
      </c>
    </row>
    <row r="30" spans="1:25" ht="19.5" customHeight="1" x14ac:dyDescent="0.3">
      <c r="C30" s="6"/>
      <c r="H30" s="6"/>
    </row>
    <row r="31" spans="1:25" ht="19.5" customHeight="1" x14ac:dyDescent="0.3">
      <c r="H31" s="6"/>
    </row>
    <row r="32" spans="1:25" ht="19.5" customHeight="1" x14ac:dyDescent="0.3">
      <c r="H32" s="6"/>
    </row>
    <row r="33" spans="7:8" ht="19.5" customHeight="1" x14ac:dyDescent="0.3">
      <c r="H33" s="6"/>
    </row>
    <row r="34" spans="7:8" ht="19.5" customHeight="1" x14ac:dyDescent="0.3">
      <c r="G34" s="6"/>
      <c r="H34" s="6"/>
    </row>
    <row r="35" spans="7:8" ht="19.5" customHeight="1" x14ac:dyDescent="0.3">
      <c r="G35" s="6"/>
      <c r="H35" s="6"/>
    </row>
    <row r="36" spans="7:8" ht="19.5" customHeight="1" x14ac:dyDescent="0.3">
      <c r="H36" s="6"/>
    </row>
    <row r="37" spans="7:8" ht="24.75" customHeight="1" x14ac:dyDescent="0.3">
      <c r="G37" s="6"/>
    </row>
    <row r="38" spans="7:8" ht="24.75" customHeight="1" x14ac:dyDescent="0.3">
      <c r="G38" s="6"/>
    </row>
    <row r="39" spans="7:8" ht="19.5" customHeight="1" x14ac:dyDescent="0.3">
      <c r="G39" s="6"/>
    </row>
    <row r="40" spans="7:8" ht="18" customHeight="1" x14ac:dyDescent="0.3"/>
    <row r="41" spans="7:8" ht="19.5" customHeight="1" x14ac:dyDescent="0.3">
      <c r="G41" s="6"/>
    </row>
    <row r="42" spans="7:8" ht="18" customHeight="1" x14ac:dyDescent="0.3"/>
    <row r="43" spans="7:8" ht="18" customHeight="1" x14ac:dyDescent="0.3"/>
    <row r="44" spans="7:8" ht="18" customHeight="1" x14ac:dyDescent="0.3"/>
    <row r="45" spans="7:8" ht="18" customHeight="1" x14ac:dyDescent="0.3"/>
    <row r="46" spans="7:8" ht="18" customHeight="1" x14ac:dyDescent="0.3">
      <c r="H46" s="6"/>
    </row>
    <row r="47" spans="7:8" ht="18" customHeight="1" x14ac:dyDescent="0.3"/>
    <row r="48" spans="7:8" ht="18" customHeight="1" x14ac:dyDescent="0.3">
      <c r="G48" s="6"/>
    </row>
    <row r="49" ht="18" customHeight="1" x14ac:dyDescent="0.3"/>
    <row r="50" ht="18" customHeight="1" x14ac:dyDescent="0.3"/>
    <row r="51" ht="18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40">
    <mergeCell ref="A28:B28"/>
    <mergeCell ref="A29:B29"/>
    <mergeCell ref="A20:C20"/>
    <mergeCell ref="A22:B22"/>
    <mergeCell ref="A23:B23"/>
    <mergeCell ref="A24:B24"/>
    <mergeCell ref="A25:B25"/>
    <mergeCell ref="A27:B27"/>
    <mergeCell ref="A17:C17"/>
    <mergeCell ref="G17:I17"/>
    <mergeCell ref="A18:C18"/>
    <mergeCell ref="G18:I18"/>
    <mergeCell ref="A19:C19"/>
    <mergeCell ref="G19:I19"/>
    <mergeCell ref="A13:C13"/>
    <mergeCell ref="G13:I13"/>
    <mergeCell ref="A14:C14"/>
    <mergeCell ref="G14:I14"/>
    <mergeCell ref="A15:C15"/>
    <mergeCell ref="A16:C16"/>
    <mergeCell ref="G16:I16"/>
    <mergeCell ref="A10:C10"/>
    <mergeCell ref="G10:I10"/>
    <mergeCell ref="A11:C11"/>
    <mergeCell ref="G11:I11"/>
    <mergeCell ref="A12:C12"/>
    <mergeCell ref="G12:I12"/>
    <mergeCell ref="A6:C6"/>
    <mergeCell ref="G6:I6"/>
    <mergeCell ref="A8:C8"/>
    <mergeCell ref="G8:I8"/>
    <mergeCell ref="A9:C9"/>
    <mergeCell ref="G9:I9"/>
    <mergeCell ref="A1:G2"/>
    <mergeCell ref="A3:C3"/>
    <mergeCell ref="G3:I3"/>
    <mergeCell ref="A4:C4"/>
    <mergeCell ref="G4:I4"/>
    <mergeCell ref="A5:C5"/>
    <mergeCell ref="G5:I5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2490"/>
    <pageSetUpPr fitToPage="1"/>
  </sheetPr>
  <dimension ref="A1:Y1002"/>
  <sheetViews>
    <sheetView topLeftCell="A7" workbookViewId="0">
      <selection activeCell="E30" sqref="E30"/>
    </sheetView>
  </sheetViews>
  <sheetFormatPr baseColWidth="10" defaultColWidth="14.44140625" defaultRowHeight="14.4" x14ac:dyDescent="0.3"/>
  <cols>
    <col min="1" max="1" width="21.6640625" style="156" customWidth="1"/>
    <col min="2" max="3" width="15.6640625" style="156" customWidth="1"/>
    <col min="4" max="9" width="15.77734375" style="156" customWidth="1"/>
    <col min="10" max="10" width="33.77734375" style="156" bestFit="1" customWidth="1"/>
    <col min="11" max="25" width="10" style="156" customWidth="1"/>
    <col min="26" max="16384" width="14.44140625" style="156"/>
  </cols>
  <sheetData>
    <row r="1" spans="1:25" ht="15" customHeight="1" x14ac:dyDescent="0.3">
      <c r="A1" s="166" t="s">
        <v>13</v>
      </c>
      <c r="B1" s="167"/>
      <c r="C1" s="167"/>
      <c r="D1" s="167"/>
      <c r="E1" s="167"/>
      <c r="F1" s="167"/>
      <c r="G1" s="197"/>
      <c r="H1" s="101" t="s">
        <v>0</v>
      </c>
      <c r="I1" s="1" t="s">
        <v>1</v>
      </c>
    </row>
    <row r="2" spans="1:25" ht="15.75" customHeight="1" thickBot="1" x14ac:dyDescent="0.35">
      <c r="A2" s="198"/>
      <c r="B2" s="199"/>
      <c r="C2" s="199"/>
      <c r="D2" s="199"/>
      <c r="E2" s="199"/>
      <c r="F2" s="199"/>
      <c r="G2" s="200"/>
      <c r="H2" s="102" t="s">
        <v>60</v>
      </c>
      <c r="I2" s="2">
        <v>2026</v>
      </c>
    </row>
    <row r="3" spans="1:25" ht="30" customHeight="1" thickBot="1" x14ac:dyDescent="0.35">
      <c r="A3" s="232" t="s">
        <v>15</v>
      </c>
      <c r="B3" s="233"/>
      <c r="C3" s="233"/>
      <c r="D3" s="103" t="s">
        <v>3</v>
      </c>
      <c r="E3" s="104" t="s">
        <v>4</v>
      </c>
      <c r="F3" s="107" t="s">
        <v>19</v>
      </c>
      <c r="G3" s="234" t="s">
        <v>5</v>
      </c>
      <c r="H3" s="226"/>
      <c r="I3" s="227"/>
    </row>
    <row r="4" spans="1:25" ht="19.5" customHeight="1" x14ac:dyDescent="0.3">
      <c r="A4" s="230" t="s">
        <v>6</v>
      </c>
      <c r="B4" s="175"/>
      <c r="C4" s="175"/>
      <c r="D4" s="21">
        <v>6592500</v>
      </c>
      <c r="E4" s="18">
        <f>D4*50%</f>
        <v>3296250</v>
      </c>
      <c r="F4" s="15">
        <f t="shared" ref="F4" si="0">+D4*50%</f>
        <v>3296250</v>
      </c>
      <c r="G4" s="195"/>
      <c r="H4" s="195"/>
      <c r="I4" s="195"/>
    </row>
    <row r="5" spans="1:25" ht="19.5" customHeight="1" x14ac:dyDescent="0.3">
      <c r="A5" s="230"/>
      <c r="B5" s="175"/>
      <c r="C5" s="175"/>
      <c r="D5" s="20"/>
      <c r="E5" s="18"/>
      <c r="F5" s="15"/>
      <c r="G5" s="195"/>
      <c r="H5" s="195"/>
      <c r="I5" s="195"/>
    </row>
    <row r="6" spans="1:25" x14ac:dyDescent="0.3">
      <c r="A6" s="219" t="s">
        <v>7</v>
      </c>
      <c r="B6" s="187"/>
      <c r="C6" s="188"/>
      <c r="D6" s="19">
        <f>SUM(D4:D5)</f>
        <v>6592500</v>
      </c>
      <c r="E6" s="7">
        <f>SUM(E4:E5)</f>
        <v>3296250</v>
      </c>
      <c r="F6" s="7">
        <f>SUM(F4:F5)</f>
        <v>3296250</v>
      </c>
      <c r="G6" s="220"/>
      <c r="H6" s="221"/>
      <c r="I6" s="2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.75" customHeight="1" thickBot="1" x14ac:dyDescent="0.35">
      <c r="A7" s="155"/>
      <c r="B7" s="155"/>
      <c r="C7" s="155"/>
      <c r="D7" s="9"/>
      <c r="E7" s="6"/>
      <c r="F7" s="6"/>
      <c r="G7" s="10"/>
      <c r="H7" s="6"/>
      <c r="I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.75" customHeight="1" thickBot="1" x14ac:dyDescent="0.35">
      <c r="A8" s="224" t="s">
        <v>16</v>
      </c>
      <c r="B8" s="173"/>
      <c r="C8" s="181"/>
      <c r="D8" s="3" t="s">
        <v>3</v>
      </c>
      <c r="E8" s="5" t="s">
        <v>4</v>
      </c>
      <c r="F8" s="4" t="s">
        <v>19</v>
      </c>
      <c r="G8" s="225" t="s">
        <v>5</v>
      </c>
      <c r="H8" s="226"/>
      <c r="I8" s="227"/>
    </row>
    <row r="9" spans="1:25" ht="19.5" customHeight="1" x14ac:dyDescent="0.3">
      <c r="A9" s="204" t="s">
        <v>18</v>
      </c>
      <c r="B9" s="187"/>
      <c r="C9" s="188"/>
      <c r="D9" s="120">
        <v>0</v>
      </c>
      <c r="E9" s="17">
        <f>+D9*50%</f>
        <v>0</v>
      </c>
      <c r="F9" s="17">
        <f>+D9*50%</f>
        <v>0</v>
      </c>
      <c r="G9" s="239"/>
      <c r="H9" s="239"/>
      <c r="I9" s="239"/>
    </row>
    <row r="10" spans="1:25" ht="19.5" customHeight="1" x14ac:dyDescent="0.3">
      <c r="A10" s="204" t="s">
        <v>78</v>
      </c>
      <c r="B10" s="187"/>
      <c r="C10" s="188"/>
      <c r="D10" s="120">
        <v>84676.27</v>
      </c>
      <c r="E10" s="17">
        <f t="shared" ref="E10:E13" si="1">+D10*50%</f>
        <v>42338.135000000002</v>
      </c>
      <c r="F10" s="17">
        <f t="shared" ref="F10:F13" si="2">+D10*50%</f>
        <v>42338.135000000002</v>
      </c>
      <c r="G10" s="238"/>
      <c r="H10" s="238"/>
      <c r="I10" s="238"/>
    </row>
    <row r="11" spans="1:25" ht="19.5" customHeight="1" x14ac:dyDescent="0.3">
      <c r="A11" s="204" t="s">
        <v>79</v>
      </c>
      <c r="B11" s="187"/>
      <c r="C11" s="188"/>
      <c r="D11" s="120">
        <v>237180.17</v>
      </c>
      <c r="E11" s="17">
        <f t="shared" si="1"/>
        <v>118590.08500000001</v>
      </c>
      <c r="F11" s="17">
        <f t="shared" si="2"/>
        <v>118590.08500000001</v>
      </c>
      <c r="G11" s="238"/>
      <c r="H11" s="238"/>
      <c r="I11" s="238"/>
    </row>
    <row r="12" spans="1:25" ht="19.5" customHeight="1" x14ac:dyDescent="0.3">
      <c r="A12" s="204" t="s">
        <v>80</v>
      </c>
      <c r="B12" s="187"/>
      <c r="C12" s="188"/>
      <c r="D12" s="120">
        <v>3650</v>
      </c>
      <c r="E12" s="17">
        <f t="shared" si="1"/>
        <v>1825</v>
      </c>
      <c r="F12" s="17">
        <f t="shared" si="2"/>
        <v>1825</v>
      </c>
      <c r="G12" s="238"/>
      <c r="H12" s="238"/>
      <c r="I12" s="238"/>
    </row>
    <row r="13" spans="1:25" ht="18" customHeight="1" x14ac:dyDescent="0.3">
      <c r="A13" s="218" t="s">
        <v>12</v>
      </c>
      <c r="B13" s="164"/>
      <c r="C13" s="165"/>
      <c r="D13" s="120"/>
      <c r="E13" s="17">
        <f t="shared" si="1"/>
        <v>0</v>
      </c>
      <c r="F13" s="17">
        <f t="shared" si="2"/>
        <v>0</v>
      </c>
      <c r="G13" s="239"/>
      <c r="H13" s="239"/>
      <c r="I13" s="239"/>
    </row>
    <row r="14" spans="1:25" x14ac:dyDescent="0.3">
      <c r="A14" s="219" t="s">
        <v>7</v>
      </c>
      <c r="B14" s="187"/>
      <c r="C14" s="188"/>
      <c r="D14" s="7">
        <f>SUM(D9:D13)</f>
        <v>325506.44</v>
      </c>
      <c r="E14" s="7">
        <f>SUM(E9:E13)</f>
        <v>162753.22</v>
      </c>
      <c r="F14" s="7">
        <f t="shared" ref="F14" si="3">SUM(F9:F13)</f>
        <v>162753.22</v>
      </c>
      <c r="G14" s="220"/>
      <c r="H14" s="221"/>
      <c r="I14" s="22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6.75" customHeight="1" thickBot="1" x14ac:dyDescent="0.35">
      <c r="A15" s="222"/>
      <c r="B15" s="223"/>
      <c r="C15" s="223"/>
      <c r="D15" s="155"/>
      <c r="H15" s="6"/>
    </row>
    <row r="16" spans="1:25" ht="30.75" customHeight="1" thickBot="1" x14ac:dyDescent="0.35">
      <c r="A16" s="224" t="s">
        <v>17</v>
      </c>
      <c r="B16" s="173"/>
      <c r="C16" s="173"/>
      <c r="D16" s="22" t="s">
        <v>3</v>
      </c>
      <c r="E16" s="5" t="s">
        <v>4</v>
      </c>
      <c r="F16" s="4" t="s">
        <v>19</v>
      </c>
      <c r="G16" s="225" t="s">
        <v>5</v>
      </c>
      <c r="H16" s="226"/>
      <c r="I16" s="227"/>
    </row>
    <row r="17" spans="1:25" x14ac:dyDescent="0.3">
      <c r="A17" s="218" t="s">
        <v>36</v>
      </c>
      <c r="B17" s="164"/>
      <c r="C17" s="165"/>
      <c r="D17" s="121">
        <v>97577.48</v>
      </c>
      <c r="E17" s="30">
        <f>+D17*50%</f>
        <v>48788.74</v>
      </c>
      <c r="F17" s="30">
        <f>+D17*50%</f>
        <v>48788.74</v>
      </c>
      <c r="G17" s="228" t="s">
        <v>67</v>
      </c>
      <c r="H17" s="228"/>
      <c r="I17" s="228"/>
    </row>
    <row r="18" spans="1:25" ht="17.399999999999999" customHeight="1" x14ac:dyDescent="0.3">
      <c r="A18" s="218" t="s">
        <v>35</v>
      </c>
      <c r="B18" s="164"/>
      <c r="C18" s="165"/>
      <c r="D18" s="29">
        <v>0</v>
      </c>
      <c r="E18" s="30">
        <f t="shared" ref="E18:E19" si="4">+D18*50%</f>
        <v>0</v>
      </c>
      <c r="F18" s="30">
        <f t="shared" ref="F18:F19" si="5">+D18*50%</f>
        <v>0</v>
      </c>
      <c r="G18" s="205" t="s">
        <v>38</v>
      </c>
      <c r="H18" s="205"/>
      <c r="I18" s="205"/>
    </row>
    <row r="19" spans="1:25" ht="16.8" customHeight="1" x14ac:dyDescent="0.3">
      <c r="A19" s="218" t="s">
        <v>37</v>
      </c>
      <c r="B19" s="164"/>
      <c r="C19" s="165"/>
      <c r="D19" s="29">
        <v>0</v>
      </c>
      <c r="E19" s="30">
        <f t="shared" si="4"/>
        <v>0</v>
      </c>
      <c r="F19" s="30">
        <f t="shared" si="5"/>
        <v>0</v>
      </c>
      <c r="G19" s="205" t="s">
        <v>39</v>
      </c>
      <c r="H19" s="205"/>
      <c r="I19" s="205"/>
    </row>
    <row r="20" spans="1:25" ht="16.8" customHeight="1" x14ac:dyDescent="0.3">
      <c r="A20" s="218" t="s">
        <v>81</v>
      </c>
      <c r="B20" s="164"/>
      <c r="C20" s="165"/>
      <c r="D20" s="29">
        <v>1957500</v>
      </c>
      <c r="E20" s="30">
        <f t="shared" ref="E20" si="6">+D20*50%</f>
        <v>978750</v>
      </c>
      <c r="F20" s="30">
        <f t="shared" ref="F20" si="7">+D20*50%</f>
        <v>978750</v>
      </c>
      <c r="G20" s="205"/>
      <c r="H20" s="205"/>
      <c r="I20" s="205"/>
    </row>
    <row r="21" spans="1:25" x14ac:dyDescent="0.3">
      <c r="A21" s="219" t="s">
        <v>7</v>
      </c>
      <c r="B21" s="187"/>
      <c r="C21" s="188"/>
      <c r="D21" s="19">
        <f>SUM(D17:D20)</f>
        <v>2055077.48</v>
      </c>
      <c r="E21" s="19">
        <f t="shared" ref="E21:F21" si="8">SUM(E17:E20)</f>
        <v>1027538.74</v>
      </c>
      <c r="F21" s="19">
        <f t="shared" si="8"/>
        <v>1027538.74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ht="6.75" customHeight="1" x14ac:dyDescent="0.3">
      <c r="A22" s="12"/>
      <c r="B22" s="12"/>
      <c r="C22" s="12"/>
      <c r="D22" s="13"/>
      <c r="E22" s="13"/>
      <c r="F22" s="13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x14ac:dyDescent="0.3">
      <c r="A23" s="203" t="s">
        <v>8</v>
      </c>
      <c r="B23" s="187"/>
      <c r="C23" s="26" t="str">
        <f>+H2</f>
        <v>JUNIO</v>
      </c>
      <c r="D23" s="26" t="s">
        <v>9</v>
      </c>
    </row>
    <row r="24" spans="1:25" ht="15.75" customHeight="1" x14ac:dyDescent="0.3">
      <c r="A24" s="204" t="s">
        <v>10</v>
      </c>
      <c r="B24" s="187"/>
      <c r="C24" s="20">
        <f>+E21+E14+E6</f>
        <v>4486541.96</v>
      </c>
      <c r="D24" s="25">
        <v>0.5</v>
      </c>
      <c r="E24" s="6"/>
      <c r="F24" s="14"/>
    </row>
    <row r="25" spans="1:25" ht="15.75" customHeight="1" x14ac:dyDescent="0.3">
      <c r="A25" s="204" t="s">
        <v>21</v>
      </c>
      <c r="B25" s="187"/>
      <c r="C25" s="20">
        <f>+F21+F14+F6</f>
        <v>4486541.96</v>
      </c>
      <c r="D25" s="25">
        <v>0.5</v>
      </c>
      <c r="E25" s="6"/>
    </row>
    <row r="26" spans="1:25" ht="15.75" customHeight="1" thickBot="1" x14ac:dyDescent="0.35">
      <c r="A26" s="211" t="s">
        <v>11</v>
      </c>
      <c r="B26" s="187"/>
      <c r="C26" s="27">
        <f>SUM(C24:C25)</f>
        <v>8973083.9199999999</v>
      </c>
      <c r="D26" s="28">
        <f>SUM(D24:D25)</f>
        <v>1</v>
      </c>
      <c r="E26" s="6"/>
    </row>
    <row r="27" spans="1:25" ht="15.75" customHeight="1" x14ac:dyDescent="0.3">
      <c r="C27" s="6"/>
      <c r="D27" s="6"/>
    </row>
    <row r="28" spans="1:25" ht="19.5" customHeight="1" x14ac:dyDescent="0.3">
      <c r="A28" s="203" t="s">
        <v>54</v>
      </c>
      <c r="B28" s="187"/>
      <c r="C28" s="26" t="s">
        <v>51</v>
      </c>
      <c r="D28" s="26" t="s">
        <v>9</v>
      </c>
      <c r="E28" s="26" t="s">
        <v>77</v>
      </c>
      <c r="F28" s="26" t="s">
        <v>9</v>
      </c>
      <c r="G28" s="26" t="s">
        <v>52</v>
      </c>
      <c r="H28" s="26" t="s">
        <v>9</v>
      </c>
      <c r="I28" s="26" t="s">
        <v>53</v>
      </c>
    </row>
    <row r="29" spans="1:25" ht="19.5" customHeight="1" x14ac:dyDescent="0.3">
      <c r="A29" s="204" t="s">
        <v>10</v>
      </c>
      <c r="B29" s="187"/>
      <c r="C29" s="60">
        <f>+D4</f>
        <v>6592500</v>
      </c>
      <c r="D29" s="25">
        <v>1</v>
      </c>
      <c r="E29" s="60">
        <f>+D14</f>
        <v>325506.44</v>
      </c>
      <c r="F29" s="25">
        <v>1</v>
      </c>
      <c r="G29" s="60">
        <f>+D21</f>
        <v>2055077.48</v>
      </c>
      <c r="H29" s="25">
        <v>1</v>
      </c>
      <c r="I29" s="64">
        <f>+C29+E29+G29</f>
        <v>8973083.9199999999</v>
      </c>
    </row>
    <row r="30" spans="1:25" ht="19.5" customHeight="1" x14ac:dyDescent="0.3">
      <c r="A30" s="204" t="s">
        <v>21</v>
      </c>
      <c r="B30" s="187"/>
      <c r="C30" s="60">
        <v>0</v>
      </c>
      <c r="D30" s="25">
        <v>0</v>
      </c>
      <c r="E30" s="60">
        <v>0</v>
      </c>
      <c r="F30" s="25">
        <v>0</v>
      </c>
      <c r="G30" s="60">
        <v>0</v>
      </c>
      <c r="H30" s="25">
        <v>0</v>
      </c>
      <c r="I30" s="64">
        <f>+C30+E30+G30</f>
        <v>0</v>
      </c>
    </row>
    <row r="31" spans="1:25" ht="19.5" customHeight="1" x14ac:dyDescent="0.3">
      <c r="C31" s="6"/>
      <c r="H31" s="6"/>
    </row>
    <row r="32" spans="1:25" ht="19.5" customHeight="1" x14ac:dyDescent="0.3">
      <c r="H32" s="6"/>
    </row>
    <row r="33" spans="7:8" ht="19.5" customHeight="1" x14ac:dyDescent="0.3">
      <c r="H33" s="6"/>
    </row>
    <row r="34" spans="7:8" ht="19.5" customHeight="1" x14ac:dyDescent="0.3">
      <c r="H34" s="6"/>
    </row>
    <row r="35" spans="7:8" ht="19.5" customHeight="1" x14ac:dyDescent="0.3">
      <c r="G35" s="6"/>
      <c r="H35" s="6"/>
    </row>
    <row r="36" spans="7:8" ht="19.5" customHeight="1" x14ac:dyDescent="0.3">
      <c r="G36" s="6"/>
      <c r="H36" s="6"/>
    </row>
    <row r="37" spans="7:8" ht="19.5" customHeight="1" x14ac:dyDescent="0.3">
      <c r="H37" s="6"/>
    </row>
    <row r="38" spans="7:8" ht="24.75" customHeight="1" x14ac:dyDescent="0.3">
      <c r="G38" s="6"/>
    </row>
    <row r="39" spans="7:8" ht="24.75" customHeight="1" x14ac:dyDescent="0.3">
      <c r="G39" s="6"/>
    </row>
    <row r="40" spans="7:8" ht="19.5" customHeight="1" x14ac:dyDescent="0.3">
      <c r="G40" s="6"/>
    </row>
    <row r="41" spans="7:8" ht="18" customHeight="1" x14ac:dyDescent="0.3"/>
    <row r="42" spans="7:8" ht="19.5" customHeight="1" x14ac:dyDescent="0.3">
      <c r="G42" s="6"/>
    </row>
    <row r="43" spans="7:8" ht="18" customHeight="1" x14ac:dyDescent="0.3"/>
    <row r="44" spans="7:8" ht="18" customHeight="1" x14ac:dyDescent="0.3"/>
    <row r="45" spans="7:8" ht="18" customHeight="1" x14ac:dyDescent="0.3"/>
    <row r="46" spans="7:8" ht="18" customHeight="1" x14ac:dyDescent="0.3"/>
    <row r="47" spans="7:8" ht="18" customHeight="1" x14ac:dyDescent="0.3">
      <c r="H47" s="6"/>
    </row>
    <row r="48" spans="7:8" ht="18" customHeight="1" x14ac:dyDescent="0.3"/>
    <row r="49" spans="7:7" ht="18" customHeight="1" x14ac:dyDescent="0.3">
      <c r="G49" s="6"/>
    </row>
    <row r="50" spans="7:7" ht="18" customHeight="1" x14ac:dyDescent="0.3"/>
    <row r="51" spans="7:7" ht="18" customHeight="1" x14ac:dyDescent="0.3"/>
    <row r="52" spans="7:7" ht="18" customHeight="1" x14ac:dyDescent="0.3"/>
    <row r="53" spans="7:7" ht="15.75" customHeight="1" x14ac:dyDescent="0.3"/>
    <row r="54" spans="7:7" ht="15.75" customHeight="1" x14ac:dyDescent="0.3"/>
    <row r="55" spans="7:7" ht="15.75" customHeight="1" x14ac:dyDescent="0.3"/>
    <row r="56" spans="7:7" ht="15.75" customHeight="1" x14ac:dyDescent="0.3"/>
    <row r="57" spans="7:7" ht="15.75" customHeight="1" x14ac:dyDescent="0.3"/>
    <row r="58" spans="7:7" ht="15.75" customHeight="1" x14ac:dyDescent="0.3"/>
    <row r="59" spans="7:7" ht="15.75" customHeight="1" x14ac:dyDescent="0.3"/>
    <row r="60" spans="7:7" ht="15.75" customHeight="1" x14ac:dyDescent="0.3"/>
    <row r="61" spans="7:7" ht="15.75" customHeight="1" x14ac:dyDescent="0.3"/>
    <row r="62" spans="7:7" ht="15.75" customHeight="1" x14ac:dyDescent="0.3"/>
    <row r="63" spans="7:7" ht="15.75" customHeight="1" x14ac:dyDescent="0.3"/>
    <row r="64" spans="7:7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42">
    <mergeCell ref="A29:B29"/>
    <mergeCell ref="A30:B30"/>
    <mergeCell ref="A20:C20"/>
    <mergeCell ref="G20:I20"/>
    <mergeCell ref="A21:C21"/>
    <mergeCell ref="A23:B23"/>
    <mergeCell ref="A24:B24"/>
    <mergeCell ref="A25:B25"/>
    <mergeCell ref="A26:B26"/>
    <mergeCell ref="A28:B28"/>
    <mergeCell ref="A17:C17"/>
    <mergeCell ref="G17:I17"/>
    <mergeCell ref="A18:C18"/>
    <mergeCell ref="G18:I18"/>
    <mergeCell ref="A19:C19"/>
    <mergeCell ref="G19:I19"/>
    <mergeCell ref="A13:C13"/>
    <mergeCell ref="G13:I13"/>
    <mergeCell ref="A14:C14"/>
    <mergeCell ref="G14:I14"/>
    <mergeCell ref="A15:C15"/>
    <mergeCell ref="A16:C16"/>
    <mergeCell ref="G16:I16"/>
    <mergeCell ref="A10:C10"/>
    <mergeCell ref="G10:I10"/>
    <mergeCell ref="A11:C11"/>
    <mergeCell ref="G11:I11"/>
    <mergeCell ref="A12:C12"/>
    <mergeCell ref="G12:I12"/>
    <mergeCell ref="A6:C6"/>
    <mergeCell ref="G6:I6"/>
    <mergeCell ref="A8:C8"/>
    <mergeCell ref="G8:I8"/>
    <mergeCell ref="A9:C9"/>
    <mergeCell ref="G9:I9"/>
    <mergeCell ref="A1:G2"/>
    <mergeCell ref="A3:C3"/>
    <mergeCell ref="G3:I3"/>
    <mergeCell ref="A4:C4"/>
    <mergeCell ref="G4:I4"/>
    <mergeCell ref="A5:C5"/>
    <mergeCell ref="G5:I5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58"/>
  <sheetViews>
    <sheetView tabSelected="1" topLeftCell="A34" zoomScale="120" zoomScaleNormal="120" workbookViewId="0">
      <selection activeCell="D49" sqref="D49"/>
    </sheetView>
  </sheetViews>
  <sheetFormatPr baseColWidth="10" defaultRowHeight="14.4" x14ac:dyDescent="0.3"/>
  <cols>
    <col min="1" max="1" width="11.5546875" style="33"/>
    <col min="2" max="4" width="20.77734375" customWidth="1"/>
  </cols>
  <sheetData>
    <row r="4" spans="1:4" ht="18.600000000000001" customHeight="1" x14ac:dyDescent="0.3">
      <c r="A4" s="243" t="s">
        <v>76</v>
      </c>
      <c r="B4" s="244"/>
      <c r="C4" s="244"/>
      <c r="D4" s="245"/>
    </row>
    <row r="5" spans="1:4" x14ac:dyDescent="0.3">
      <c r="A5" s="129" t="s">
        <v>1</v>
      </c>
      <c r="B5" s="129" t="s">
        <v>56</v>
      </c>
      <c r="C5" s="129" t="s">
        <v>10</v>
      </c>
      <c r="D5" s="129" t="s">
        <v>21</v>
      </c>
    </row>
    <row r="6" spans="1:4" s="33" customFormat="1" x14ac:dyDescent="0.3">
      <c r="A6" s="130">
        <v>2022</v>
      </c>
      <c r="B6" s="81" t="s">
        <v>14</v>
      </c>
      <c r="C6" s="82">
        <f>+'DICIEMBRE 2022'!I27</f>
        <v>639163</v>
      </c>
      <c r="D6" s="82">
        <f>+'DICIEMBRE 2022'!I28</f>
        <v>0</v>
      </c>
    </row>
    <row r="7" spans="1:4" x14ac:dyDescent="0.3">
      <c r="A7" s="240">
        <v>2023</v>
      </c>
      <c r="B7" s="83" t="s">
        <v>2</v>
      </c>
      <c r="C7" s="82">
        <f>+'ENERO 2023'!I26</f>
        <v>655793</v>
      </c>
      <c r="D7" s="82">
        <v>0</v>
      </c>
    </row>
    <row r="8" spans="1:4" x14ac:dyDescent="0.3">
      <c r="A8" s="240"/>
      <c r="B8" s="83" t="s">
        <v>42</v>
      </c>
      <c r="C8" s="82">
        <f>+'FEBRERO 2023'!K26</f>
        <v>1636263</v>
      </c>
      <c r="D8" s="82">
        <f>+'FEBRERO 2023'!K27</f>
        <v>0</v>
      </c>
    </row>
    <row r="9" spans="1:4" x14ac:dyDescent="0.3">
      <c r="A9" s="240"/>
      <c r="B9" s="84" t="s">
        <v>57</v>
      </c>
      <c r="C9" s="85">
        <f>+'MARZO 2023'!K26</f>
        <v>103741</v>
      </c>
      <c r="D9" s="86">
        <f>+'MARZO 2023'!K27</f>
        <v>1544074</v>
      </c>
    </row>
    <row r="10" spans="1:4" x14ac:dyDescent="0.3">
      <c r="A10" s="240"/>
      <c r="B10" s="84" t="s">
        <v>58</v>
      </c>
      <c r="C10" s="85">
        <f>+'ABRIL 2023'!I26</f>
        <v>136230.1</v>
      </c>
      <c r="D10" s="85">
        <f>+'ABRIL 2023'!I27</f>
        <v>565000</v>
      </c>
    </row>
    <row r="11" spans="1:4" x14ac:dyDescent="0.3">
      <c r="A11" s="240"/>
      <c r="B11" s="84" t="s">
        <v>59</v>
      </c>
      <c r="C11" s="85">
        <f>+'MAYO 2023'!I26</f>
        <v>140828.95000000001</v>
      </c>
      <c r="D11" s="85">
        <f>+'MAYO 2023'!I27</f>
        <v>565000</v>
      </c>
    </row>
    <row r="12" spans="1:4" x14ac:dyDescent="0.3">
      <c r="A12" s="240"/>
      <c r="B12" s="87" t="s">
        <v>60</v>
      </c>
      <c r="C12" s="88">
        <f>+'JUNIO 2023'!I26</f>
        <v>926408.71</v>
      </c>
      <c r="D12" s="88">
        <f>+'JUNIO 2023'!I27</f>
        <v>0</v>
      </c>
    </row>
    <row r="13" spans="1:4" x14ac:dyDescent="0.3">
      <c r="A13" s="240"/>
      <c r="B13" s="87" t="s">
        <v>61</v>
      </c>
      <c r="C13" s="88">
        <f>+'JULIO 2023 '!I26</f>
        <v>947624.82</v>
      </c>
      <c r="D13" s="88">
        <f>+'JULIO 2023 '!I27</f>
        <v>0</v>
      </c>
    </row>
    <row r="14" spans="1:4" x14ac:dyDescent="0.3">
      <c r="A14" s="240"/>
      <c r="B14" s="87" t="s">
        <v>62</v>
      </c>
      <c r="C14" s="88">
        <f>+'AGOSTO 2023'!I26</f>
        <v>967153.57</v>
      </c>
      <c r="D14" s="88">
        <f>+'AGOSTO 2023'!I27</f>
        <v>0</v>
      </c>
    </row>
    <row r="15" spans="1:4" x14ac:dyDescent="0.3">
      <c r="A15" s="240"/>
      <c r="B15" s="125" t="s">
        <v>63</v>
      </c>
      <c r="C15" s="126">
        <f>+'SEPTIEMBRE 2023 '!I26</f>
        <v>226956.04</v>
      </c>
      <c r="D15" s="126">
        <f>+'SEPTIEMBRE 2023 '!I27</f>
        <v>759750</v>
      </c>
    </row>
    <row r="16" spans="1:4" x14ac:dyDescent="0.3">
      <c r="A16" s="240"/>
      <c r="B16" s="125" t="s">
        <v>64</v>
      </c>
      <c r="C16" s="126">
        <f>+'OCTUBRE 2023'!I26</f>
        <v>250479.76</v>
      </c>
      <c r="D16" s="126">
        <f>+'OCTUBRE 2023'!I27</f>
        <v>759750</v>
      </c>
    </row>
    <row r="17" spans="1:7" x14ac:dyDescent="0.3">
      <c r="A17" s="240"/>
      <c r="B17" s="125" t="s">
        <v>65</v>
      </c>
      <c r="C17" s="126">
        <f>+'NOVIEMBRE 2023'!I26</f>
        <v>280455.67</v>
      </c>
      <c r="D17" s="126">
        <f>+'NOVIEMBRE 2023'!I27</f>
        <v>759750</v>
      </c>
      <c r="G17" s="111"/>
    </row>
    <row r="18" spans="1:7" x14ac:dyDescent="0.3">
      <c r="A18" s="240"/>
      <c r="B18" s="127" t="s">
        <v>14</v>
      </c>
      <c r="C18" s="128">
        <f>+'DICIEMBRE 2023'!I26</f>
        <v>344756.9</v>
      </c>
      <c r="D18" s="128">
        <f>+'DICIEMBRE 2023'!I27</f>
        <v>1030000</v>
      </c>
      <c r="G18" s="112"/>
    </row>
    <row r="19" spans="1:7" s="122" customFormat="1" x14ac:dyDescent="0.3">
      <c r="A19" s="246">
        <v>2024</v>
      </c>
      <c r="B19" s="127" t="s">
        <v>2</v>
      </c>
      <c r="C19" s="128">
        <f>+'ENERO 2024'!I26</f>
        <v>401320.57</v>
      </c>
      <c r="D19" s="128">
        <f>+'ENERO 2024'!I27</f>
        <v>1030000</v>
      </c>
      <c r="G19" s="112"/>
    </row>
    <row r="20" spans="1:7" s="122" customFormat="1" x14ac:dyDescent="0.3">
      <c r="A20" s="247"/>
      <c r="B20" s="127" t="s">
        <v>42</v>
      </c>
      <c r="C20" s="128">
        <f>+'FEBRERO 2024'!I26</f>
        <v>484993.32</v>
      </c>
      <c r="D20" s="128">
        <f>+'FEBRERO 2024'!I27</f>
        <v>1030000</v>
      </c>
      <c r="G20" s="112"/>
    </row>
    <row r="21" spans="1:7" s="136" customFormat="1" x14ac:dyDescent="0.3">
      <c r="A21" s="247"/>
      <c r="B21" s="139" t="s">
        <v>57</v>
      </c>
      <c r="C21" s="128">
        <f>+'MARZO 2024'!I26</f>
        <v>580573.18000000005</v>
      </c>
      <c r="D21" s="128">
        <f>+'MARZO 2024'!I27</f>
        <v>1030000</v>
      </c>
      <c r="G21" s="112"/>
    </row>
    <row r="22" spans="1:7" s="136" customFormat="1" x14ac:dyDescent="0.3">
      <c r="A22" s="247"/>
      <c r="B22" s="139" t="s">
        <v>58</v>
      </c>
      <c r="C22" s="128">
        <f>+'ABRIL 2024'!I26</f>
        <v>2115655.2999999998</v>
      </c>
      <c r="D22" s="128">
        <f>+'ABRIL 2024'!I27</f>
        <v>0</v>
      </c>
      <c r="G22" s="112"/>
    </row>
    <row r="23" spans="1:7" s="136" customFormat="1" x14ac:dyDescent="0.3">
      <c r="A23" s="247"/>
      <c r="B23" s="139" t="s">
        <v>59</v>
      </c>
      <c r="C23" s="128">
        <f>+'MAYO 2024'!I26</f>
        <v>2578158.2799999998</v>
      </c>
      <c r="D23" s="128">
        <f>+'MAYO 2024'!I27</f>
        <v>0</v>
      </c>
      <c r="G23" s="112"/>
    </row>
    <row r="24" spans="1:7" s="136" customFormat="1" x14ac:dyDescent="0.3">
      <c r="A24" s="247"/>
      <c r="B24" s="139" t="s">
        <v>60</v>
      </c>
      <c r="C24" s="128">
        <f>+'JUNIO 2024'!I26</f>
        <v>835776</v>
      </c>
      <c r="D24" s="128">
        <f>+'JUNIO 2024'!I27</f>
        <v>2062125</v>
      </c>
      <c r="G24" s="112"/>
    </row>
    <row r="25" spans="1:7" s="136" customFormat="1" x14ac:dyDescent="0.3">
      <c r="A25" s="247"/>
      <c r="B25" s="139" t="s">
        <v>61</v>
      </c>
      <c r="C25" s="128">
        <f>+'JULIO 2024'!I26</f>
        <v>850382.08</v>
      </c>
      <c r="D25" s="128">
        <f>+'JULIO 2024'!I27</f>
        <v>2247600</v>
      </c>
      <c r="G25" s="112"/>
    </row>
    <row r="26" spans="1:7" s="136" customFormat="1" x14ac:dyDescent="0.3">
      <c r="A26" s="247"/>
      <c r="B26" s="139" t="s">
        <v>62</v>
      </c>
      <c r="C26" s="128">
        <f>+'AGOSTO 2024'!I26</f>
        <v>3344576.83</v>
      </c>
      <c r="D26" s="128">
        <f>+'AGOSTO 2024'!I27</f>
        <v>0</v>
      </c>
      <c r="G26" s="112"/>
    </row>
    <row r="27" spans="1:7" s="136" customFormat="1" x14ac:dyDescent="0.3">
      <c r="A27" s="247"/>
      <c r="B27" s="139" t="s">
        <v>63</v>
      </c>
      <c r="C27" s="128">
        <f>+'SEPTIEMBRE 2024'!I26</f>
        <v>3315621.37</v>
      </c>
      <c r="D27" s="128">
        <f>+'SEPTIEMBRE 2024'!I27</f>
        <v>0</v>
      </c>
      <c r="G27" s="112"/>
    </row>
    <row r="28" spans="1:7" s="138" customFormat="1" x14ac:dyDescent="0.3">
      <c r="A28" s="247"/>
      <c r="B28" s="142" t="s">
        <v>64</v>
      </c>
      <c r="C28" s="128">
        <f>+'OCTUBRE 2024'!I26</f>
        <v>871471.16</v>
      </c>
      <c r="D28" s="128">
        <f>+'OCTUBRE 2024'!I27</f>
        <v>2675700</v>
      </c>
      <c r="G28" s="112"/>
    </row>
    <row r="29" spans="1:7" s="138" customFormat="1" x14ac:dyDescent="0.3">
      <c r="A29" s="247"/>
      <c r="B29" s="142" t="s">
        <v>65</v>
      </c>
      <c r="C29" s="128">
        <f>+'NOVIEMBRE 2024'!I26</f>
        <v>985434.69</v>
      </c>
      <c r="D29" s="128">
        <f>+'NOVIEMBRE 2024'!I27</f>
        <v>2887050</v>
      </c>
      <c r="G29" s="112"/>
    </row>
    <row r="30" spans="1:7" s="138" customFormat="1" x14ac:dyDescent="0.3">
      <c r="A30" s="248"/>
      <c r="B30" s="142" t="s">
        <v>14</v>
      </c>
      <c r="C30" s="128">
        <f>+'DICIEMBRE 2024'!I26</f>
        <v>952973.64</v>
      </c>
      <c r="D30" s="128">
        <f>+'DICIEMBRE 2024'!I27</f>
        <v>3096000</v>
      </c>
      <c r="G30" s="112"/>
    </row>
    <row r="31" spans="1:7" s="141" customFormat="1" x14ac:dyDescent="0.3">
      <c r="A31" s="246">
        <v>2025</v>
      </c>
      <c r="B31" s="146" t="s">
        <v>2</v>
      </c>
      <c r="C31" s="145">
        <f>+'ENERO 2025'!I26</f>
        <v>951011.55</v>
      </c>
      <c r="D31" s="145">
        <f>+'ENERO 2025'!I27</f>
        <v>3096000</v>
      </c>
      <c r="G31" s="112"/>
    </row>
    <row r="32" spans="1:7" s="147" customFormat="1" x14ac:dyDescent="0.3">
      <c r="A32" s="247"/>
      <c r="B32" s="148" t="s">
        <v>42</v>
      </c>
      <c r="C32" s="145">
        <f>+'FEBRERO 2025'!I26</f>
        <v>1015192.88</v>
      </c>
      <c r="D32" s="145">
        <f>+'FEBRERO 2025'!I27</f>
        <v>3981200</v>
      </c>
      <c r="G32" s="112"/>
    </row>
    <row r="33" spans="1:7" s="147" customFormat="1" x14ac:dyDescent="0.3">
      <c r="A33" s="247"/>
      <c r="B33" s="148" t="s">
        <v>57</v>
      </c>
      <c r="C33" s="145">
        <f>+'MARZO 2025'!I26</f>
        <v>5423913.5</v>
      </c>
      <c r="D33" s="145">
        <f>+'MARZO 2025'!I27</f>
        <v>0</v>
      </c>
      <c r="G33" s="112"/>
    </row>
    <row r="34" spans="1:7" s="147" customFormat="1" x14ac:dyDescent="0.3">
      <c r="A34" s="247"/>
      <c r="B34" s="148" t="s">
        <v>58</v>
      </c>
      <c r="C34" s="145">
        <f>+'ABRIL 2025'!I26</f>
        <v>5857494.0599999996</v>
      </c>
      <c r="D34" s="145">
        <f>+'ABRIL 2025'!I27</f>
        <v>0</v>
      </c>
      <c r="G34" s="112"/>
    </row>
    <row r="35" spans="1:7" s="147" customFormat="1" x14ac:dyDescent="0.3">
      <c r="A35" s="247"/>
      <c r="B35" s="148" t="s">
        <v>59</v>
      </c>
      <c r="C35" s="145">
        <f>+'MAYO 2025'!I26</f>
        <v>1207057.48</v>
      </c>
      <c r="D35" s="145">
        <f>+'MAYO 2025'!I27</f>
        <v>5593000</v>
      </c>
      <c r="G35" s="112"/>
    </row>
    <row r="36" spans="1:7" s="151" customFormat="1" x14ac:dyDescent="0.3">
      <c r="A36" s="247"/>
      <c r="B36" s="154" t="s">
        <v>60</v>
      </c>
      <c r="C36" s="145">
        <f>+'JUNIO 2025'!I26</f>
        <v>1234583.48</v>
      </c>
      <c r="D36" s="145">
        <f>+'JUNIO 2025'!I27</f>
        <v>6275000</v>
      </c>
      <c r="G36" s="112"/>
    </row>
    <row r="37" spans="1:7" s="151" customFormat="1" x14ac:dyDescent="0.3">
      <c r="A37" s="247"/>
      <c r="B37" s="154" t="s">
        <v>61</v>
      </c>
      <c r="C37" s="145">
        <f>+'JULIO 2025'!I26</f>
        <v>1248577.48</v>
      </c>
      <c r="D37" s="145">
        <f>+'JULIO 2025'!I27</f>
        <v>6275000</v>
      </c>
      <c r="G37" s="112"/>
    </row>
    <row r="38" spans="1:7" s="151" customFormat="1" x14ac:dyDescent="0.3">
      <c r="A38" s="247"/>
      <c r="B38" s="154" t="s">
        <v>62</v>
      </c>
      <c r="C38" s="145">
        <f>+'AGOSTO 2025'!I26</f>
        <v>7981810.4800000004</v>
      </c>
      <c r="D38" s="145">
        <f>+'AGOSTO 2025'!I27</f>
        <v>0</v>
      </c>
      <c r="G38" s="112"/>
    </row>
    <row r="39" spans="1:7" s="151" customFormat="1" x14ac:dyDescent="0.3">
      <c r="A39" s="247"/>
      <c r="B39" s="154" t="s">
        <v>63</v>
      </c>
      <c r="C39" s="145">
        <f>+'SEPTIEMBRE 2025'!I26</f>
        <v>8491509.4800000004</v>
      </c>
      <c r="D39" s="145">
        <f>+'SEPTIEMBRE 2025'!I27</f>
        <v>0</v>
      </c>
      <c r="G39" s="112"/>
    </row>
    <row r="40" spans="1:7" s="151" customFormat="1" x14ac:dyDescent="0.3">
      <c r="A40" s="247"/>
      <c r="B40" s="154" t="s">
        <v>64</v>
      </c>
      <c r="C40" s="145">
        <f>+'OCTUBRE 2025'!I28</f>
        <v>8210991.4800000004</v>
      </c>
      <c r="D40" s="145">
        <f>+'OCTUBRE 2025'!I29</f>
        <v>4670596.24</v>
      </c>
      <c r="G40" s="112"/>
    </row>
    <row r="41" spans="1:7" s="153" customFormat="1" x14ac:dyDescent="0.3">
      <c r="A41" s="247"/>
      <c r="B41" s="157" t="s">
        <v>65</v>
      </c>
      <c r="C41" s="145">
        <f>+'NOVIEMBRE 2025'!I26</f>
        <v>1469128.48</v>
      </c>
      <c r="D41" s="145">
        <f>+'NOVIEMBRE 2025'!I27</f>
        <v>7500000</v>
      </c>
      <c r="G41" s="112"/>
    </row>
    <row r="42" spans="1:7" s="153" customFormat="1" x14ac:dyDescent="0.3">
      <c r="A42" s="248"/>
      <c r="B42" s="157" t="s">
        <v>14</v>
      </c>
      <c r="C42" s="145">
        <f>+'DICIEMBRE 2025'!I26</f>
        <v>1467044.48</v>
      </c>
      <c r="D42" s="145">
        <f>+'DICIEMBRE 2025'!I27</f>
        <v>6660000</v>
      </c>
      <c r="G42" s="112"/>
    </row>
    <row r="43" spans="1:7" s="153" customFormat="1" x14ac:dyDescent="0.3">
      <c r="A43" s="246">
        <v>2026</v>
      </c>
      <c r="B43" s="158" t="s">
        <v>2</v>
      </c>
      <c r="C43" s="159">
        <f>+'ENERO 2026'!I26</f>
        <v>1570435.48</v>
      </c>
      <c r="D43" s="159">
        <f>+'ENERO 2026'!I27</f>
        <v>6600000</v>
      </c>
      <c r="G43" s="112"/>
    </row>
    <row r="44" spans="1:7" s="153" customFormat="1" x14ac:dyDescent="0.3">
      <c r="A44" s="247"/>
      <c r="B44" s="160" t="s">
        <v>42</v>
      </c>
      <c r="C44" s="159">
        <f>+'FEBRERO 2026'!I26</f>
        <v>1623503.48</v>
      </c>
      <c r="D44" s="159">
        <f>+'FEBRERO 2026'!I27</f>
        <v>6525000</v>
      </c>
      <c r="G44" s="112"/>
    </row>
    <row r="45" spans="1:7" s="153" customFormat="1" x14ac:dyDescent="0.3">
      <c r="A45" s="247"/>
      <c r="B45" s="160" t="s">
        <v>57</v>
      </c>
      <c r="C45" s="159">
        <f>+'MARZO 2026'!I26</f>
        <v>1569313.48</v>
      </c>
      <c r="D45" s="159">
        <f>+'MARZO 2026'!I27</f>
        <v>6390000</v>
      </c>
      <c r="G45" s="112"/>
    </row>
    <row r="46" spans="1:7" s="153" customFormat="1" x14ac:dyDescent="0.3">
      <c r="A46" s="247"/>
      <c r="B46" s="160" t="s">
        <v>58</v>
      </c>
      <c r="C46" s="159">
        <f>+'ABRIL 2026'!I28</f>
        <v>9893122.1300000008</v>
      </c>
      <c r="D46" s="159">
        <f>+'ABRIL 2026'!I29</f>
        <v>0</v>
      </c>
      <c r="G46" s="112"/>
    </row>
    <row r="47" spans="1:7" s="153" customFormat="1" x14ac:dyDescent="0.3">
      <c r="A47" s="247"/>
      <c r="B47" s="160" t="s">
        <v>59</v>
      </c>
      <c r="C47" s="159">
        <f>+'MAYO 2026'!I28</f>
        <v>7914665.4800000004</v>
      </c>
      <c r="D47" s="159">
        <f>+'MAYO 2026'!I29</f>
        <v>0</v>
      </c>
      <c r="G47" s="112"/>
    </row>
    <row r="48" spans="1:7" s="153" customFormat="1" x14ac:dyDescent="0.3">
      <c r="A48" s="247"/>
      <c r="B48" s="161" t="s">
        <v>60</v>
      </c>
      <c r="C48" s="159">
        <f>+'JUNIO 2026'!I29</f>
        <v>8973083.9199999999</v>
      </c>
      <c r="D48" s="159">
        <f>+'JUNIO 2026'!I30</f>
        <v>0</v>
      </c>
      <c r="G48" s="112"/>
    </row>
    <row r="49" spans="1:7" s="153" customFormat="1" x14ac:dyDescent="0.3">
      <c r="A49" s="247"/>
      <c r="B49" s="161" t="s">
        <v>61</v>
      </c>
      <c r="C49" s="159"/>
      <c r="D49" s="159"/>
      <c r="G49" s="112"/>
    </row>
    <row r="50" spans="1:7" s="153" customFormat="1" x14ac:dyDescent="0.3">
      <c r="A50" s="247"/>
      <c r="B50" s="161" t="s">
        <v>62</v>
      </c>
      <c r="C50" s="159"/>
      <c r="D50" s="159"/>
      <c r="G50" s="112"/>
    </row>
    <row r="51" spans="1:7" s="153" customFormat="1" x14ac:dyDescent="0.3">
      <c r="A51" s="247"/>
      <c r="B51" s="161" t="s">
        <v>63</v>
      </c>
      <c r="C51" s="159"/>
      <c r="D51" s="159"/>
      <c r="G51" s="112"/>
    </row>
    <row r="52" spans="1:7" s="153" customFormat="1" x14ac:dyDescent="0.3">
      <c r="A52" s="247"/>
      <c r="B52" s="161" t="s">
        <v>64</v>
      </c>
      <c r="C52" s="159"/>
      <c r="D52" s="159"/>
      <c r="G52" s="112"/>
    </row>
    <row r="53" spans="1:7" s="153" customFormat="1" x14ac:dyDescent="0.3">
      <c r="A53" s="247"/>
      <c r="B53" s="162" t="s">
        <v>65</v>
      </c>
      <c r="C53" s="159"/>
      <c r="D53" s="159"/>
      <c r="G53" s="112"/>
    </row>
    <row r="54" spans="1:7" s="153" customFormat="1" x14ac:dyDescent="0.3">
      <c r="A54" s="248"/>
      <c r="B54" s="162" t="s">
        <v>14</v>
      </c>
      <c r="C54" s="159"/>
      <c r="D54" s="159"/>
      <c r="G54" s="112"/>
    </row>
    <row r="55" spans="1:7" s="77" customFormat="1" x14ac:dyDescent="0.3">
      <c r="A55" s="131" t="s">
        <v>68</v>
      </c>
      <c r="B55" s="132" t="s">
        <v>69</v>
      </c>
      <c r="C55" s="74">
        <f>+'INFORME GENERAL'!D19</f>
        <v>472300</v>
      </c>
      <c r="D55" s="74">
        <v>0</v>
      </c>
      <c r="G55" s="112"/>
    </row>
    <row r="56" spans="1:7" s="77" customFormat="1" x14ac:dyDescent="0.3">
      <c r="A56" s="131" t="s">
        <v>68</v>
      </c>
      <c r="B56" s="132" t="s">
        <v>70</v>
      </c>
      <c r="C56" s="74">
        <f>+'INFORME GENERAL'!D20</f>
        <v>521620</v>
      </c>
      <c r="D56" s="74">
        <v>0</v>
      </c>
    </row>
    <row r="57" spans="1:7" x14ac:dyDescent="0.3">
      <c r="A57" s="241" t="s">
        <v>11</v>
      </c>
      <c r="B57" s="242"/>
      <c r="C57" s="75">
        <f>SUM(C6:C56)</f>
        <v>101669149.74000002</v>
      </c>
      <c r="D57" s="75">
        <f>SUM(D6:D56)</f>
        <v>85607595.24000001</v>
      </c>
    </row>
    <row r="58" spans="1:7" x14ac:dyDescent="0.3">
      <c r="D58" s="108">
        <f>+D57-C57</f>
        <v>-16061554.500000015</v>
      </c>
    </row>
  </sheetData>
  <mergeCells count="6">
    <mergeCell ref="A7:A18"/>
    <mergeCell ref="A57:B57"/>
    <mergeCell ref="A4:D4"/>
    <mergeCell ref="A19:A30"/>
    <mergeCell ref="A31:A42"/>
    <mergeCell ref="A43:A54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INFORME GENERAL</vt:lpstr>
      <vt:lpstr>DICIEMBRE 2022</vt:lpstr>
      <vt:lpstr>ENERO 2023</vt:lpstr>
      <vt:lpstr>FEBRERO 2023</vt:lpstr>
      <vt:lpstr>MARZO 2023</vt:lpstr>
      <vt:lpstr>ABRIL 2023</vt:lpstr>
      <vt:lpstr>MAYO 2023</vt:lpstr>
      <vt:lpstr>JUNIO 2023</vt:lpstr>
      <vt:lpstr>JULIO 2023 </vt:lpstr>
      <vt:lpstr>AGOSTO 2023</vt:lpstr>
      <vt:lpstr>SEPTIEMBRE 2023 </vt:lpstr>
      <vt:lpstr>OCTUBRE 2023</vt:lpstr>
      <vt:lpstr>NOVIEMBRE 2023</vt:lpstr>
      <vt:lpstr>DICIEMBRE 2023</vt:lpstr>
      <vt:lpstr>ENERO 2024</vt:lpstr>
      <vt:lpstr>FEBRERO 2024</vt:lpstr>
      <vt:lpstr>MARZO 2024</vt:lpstr>
      <vt:lpstr>ABRIL 2024</vt:lpstr>
      <vt:lpstr>MAYO 2024</vt:lpstr>
      <vt:lpstr>JUNIO 2024</vt:lpstr>
      <vt:lpstr>JULIO 2024</vt:lpstr>
      <vt:lpstr>AGOSTO 2024</vt:lpstr>
      <vt:lpstr>SEPTIEMBRE 2024</vt:lpstr>
      <vt:lpstr>OCTUBRE 2024</vt:lpstr>
      <vt:lpstr>NOVIEMBRE 2024</vt:lpstr>
      <vt:lpstr>DICIEMBRE 2024</vt:lpstr>
      <vt:lpstr>ENERO 2025</vt:lpstr>
      <vt:lpstr>FEBRERO 2025</vt:lpstr>
      <vt:lpstr>MARZO 2025</vt:lpstr>
      <vt:lpstr>ABRIL 2025</vt:lpstr>
      <vt:lpstr>MAYO 2025</vt:lpstr>
      <vt:lpstr>JUNIO 2025</vt:lpstr>
      <vt:lpstr>JULIO 2025</vt:lpstr>
      <vt:lpstr>AGOSTO 2025</vt:lpstr>
      <vt:lpstr>SEPTIEMBRE 2025</vt:lpstr>
      <vt:lpstr>OCTUBRE 2025</vt:lpstr>
      <vt:lpstr>NOVIEMBRE 2025</vt:lpstr>
      <vt:lpstr>DICIEMBRE 2025</vt:lpstr>
      <vt:lpstr>ENERO 2026</vt:lpstr>
      <vt:lpstr>FEBRERO 2026</vt:lpstr>
      <vt:lpstr>MARZO 2026</vt:lpstr>
      <vt:lpstr>ABRIL 2026</vt:lpstr>
      <vt:lpstr>MAYO 2026</vt:lpstr>
      <vt:lpstr>JUNIO 2026</vt:lpstr>
      <vt:lpstr>CONCILIACION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Enjoy producciones</dc:creator>
  <cp:lastModifiedBy>LENOVO</cp:lastModifiedBy>
  <cp:lastPrinted>2025-05-06T13:50:21Z</cp:lastPrinted>
  <dcterms:created xsi:type="dcterms:W3CDTF">2022-01-05T16:23:44Z</dcterms:created>
  <dcterms:modified xsi:type="dcterms:W3CDTF">2026-06-17T20:11:40Z</dcterms:modified>
</cp:coreProperties>
</file>