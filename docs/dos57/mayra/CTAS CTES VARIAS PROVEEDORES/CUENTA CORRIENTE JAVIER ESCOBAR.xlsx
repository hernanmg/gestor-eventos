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DOS57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22" i="1"/>
  <c r="F20" i="1"/>
  <c r="E16" i="1"/>
  <c r="F16" i="1" s="1"/>
  <c r="E17" i="1"/>
  <c r="F17" i="1" s="1"/>
  <c r="E18" i="1"/>
  <c r="F18" i="1" s="1"/>
  <c r="E19" i="1"/>
  <c r="F19" i="1" s="1"/>
  <c r="E15" i="1"/>
  <c r="F15" i="1" s="1"/>
  <c r="B19" i="1"/>
  <c r="D20" i="1" l="1"/>
  <c r="E20" i="1"/>
  <c r="E5" i="1" l="1"/>
  <c r="E6" i="1"/>
  <c r="F6" i="1" s="1"/>
  <c r="E7" i="1"/>
  <c r="F7" i="1" s="1"/>
  <c r="E8" i="1"/>
  <c r="E4" i="1"/>
  <c r="F4" i="1" s="1"/>
  <c r="D9" i="1"/>
  <c r="F8" i="1"/>
  <c r="E9" i="1" l="1"/>
  <c r="F5" i="1"/>
  <c r="F9" i="1" s="1"/>
</calcChain>
</file>

<file path=xl/sharedStrings.xml><?xml version="1.0" encoding="utf-8"?>
<sst xmlns="http://schemas.openxmlformats.org/spreadsheetml/2006/main" count="51" uniqueCount="33">
  <si>
    <t>FECHA</t>
  </si>
  <si>
    <t>VEHICULO</t>
  </si>
  <si>
    <t>DETALLE</t>
  </si>
  <si>
    <t>IMPORTE</t>
  </si>
  <si>
    <t>IVA</t>
  </si>
  <si>
    <t>NETO</t>
  </si>
  <si>
    <t>SEMI</t>
  </si>
  <si>
    <t>SANTIAGO</t>
  </si>
  <si>
    <t>FACTURA</t>
  </si>
  <si>
    <t>SANTIAGO - CORDOBA</t>
  </si>
  <si>
    <t>CHASIS</t>
  </si>
  <si>
    <t>KEMPES - PLAZA SAN MARTIN</t>
  </si>
  <si>
    <t>KEMPES - POLO</t>
  </si>
  <si>
    <t>PLAZA SAN MARTIN - POLO</t>
  </si>
  <si>
    <t>TOTALES</t>
  </si>
  <si>
    <t>ESTADO</t>
  </si>
  <si>
    <t>00001-00000070</t>
  </si>
  <si>
    <t>PAGADO</t>
  </si>
  <si>
    <t xml:space="preserve">25/08/2023 Transferencia </t>
  </si>
  <si>
    <t>CUENTA CORRIENTE - JAVIER ESCOBAR - AGOSTO 2023</t>
  </si>
  <si>
    <t>ACOPLADO</t>
  </si>
  <si>
    <t>LA RIOJA</t>
  </si>
  <si>
    <t>TUCUMAN X 2</t>
  </si>
  <si>
    <t xml:space="preserve">TUCUMAN  </t>
  </si>
  <si>
    <t>EMBALSE</t>
  </si>
  <si>
    <t xml:space="preserve">PAGADO EN TRANSFERENCIA </t>
  </si>
  <si>
    <t>SALDO</t>
  </si>
  <si>
    <t>00001-00000076</t>
  </si>
  <si>
    <t>POLO-FORJA</t>
  </si>
  <si>
    <t>S/F</t>
  </si>
  <si>
    <t>PAGADO 13/10</t>
  </si>
  <si>
    <t>SALDO A PAGAR</t>
  </si>
  <si>
    <t>CUENTA CORRIENTE - JAVIER ESCOBAR - SEPTIEMBRE/OCTUBRE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</si>
</sst>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right"/>
    </xf>
    <xf numFmtId="14" fontId="2" fillId="0" borderId="7" xfId="0" applyNumberFormat="1" applyFont="1" applyBorder="1" applyAlignment="1">
      <alignment horizontal="right"/>
    </xf>
    <xf numFmtId="14" fontId="2" fillId="0" borderId="8" xfId="0" applyNumberFormat="1" applyFont="1" applyBorder="1" applyAlignment="1">
      <alignment horizontal="righ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right"/>
    </xf>
    <xf numFmtId="14" fontId="0" fillId="0" borderId="7" xfId="0" applyNumberFormat="1" applyBorder="1" applyAlignment="1">
      <alignment horizontal="right"/>
    </xf>
    <xf numFmtId="14" fontId="0" fillId="0" borderId="8" xfId="0" applyNumberFormat="1" applyBorder="1" applyAlignment="1">
      <alignment horizontal="right"/>
    </xf>
    <xf numFmtId="44" fontId="4" fillId="0" borderId="2" xfId="1" applyFont="1" applyBorder="1" applyAlignment="1">
      <alignment horizontal="center"/>
    </xf>
    <xf numFmtId="44" fontId="2" fillId="0" borderId="1" xfId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topLeftCell="A10" zoomScale="90" zoomScaleNormal="90" workbookViewId="0">
      <selection activeCell="A12" sqref="A12:H24"/>
    </sheetView>
  </sheetViews>
  <sheetFormatPr baseColWidth="10" defaultRowHeight="14.4" x14ac:dyDescent="0.3"/>
  <cols>
    <col min="1" max="2" width="25.77734375" style="1" customWidth="1"/>
    <col min="3" max="3" width="27.21875" style="1" customWidth="1"/>
    <col min="4" max="6" width="25.77734375" style="1" customWidth="1"/>
    <col min="7" max="8" width="25.77734375" customWidth="1"/>
  </cols>
  <sheetData>
    <row r="1" spans="1:8" ht="23.4" customHeight="1" x14ac:dyDescent="0.3">
      <c r="A1" s="16" t="s">
        <v>19</v>
      </c>
      <c r="B1" s="17"/>
      <c r="C1" s="17"/>
      <c r="D1" s="17"/>
      <c r="E1" s="17"/>
      <c r="F1" s="17"/>
      <c r="G1" s="17"/>
      <c r="H1" s="17"/>
    </row>
    <row r="2" spans="1:8" ht="15" thickBot="1" x14ac:dyDescent="0.35">
      <c r="A2" s="16"/>
      <c r="B2" s="17"/>
      <c r="C2" s="17"/>
      <c r="D2" s="17"/>
      <c r="E2" s="17"/>
      <c r="F2" s="17"/>
      <c r="G2" s="17"/>
      <c r="H2" s="17"/>
    </row>
    <row r="3" spans="1:8" ht="15" thickBot="1" x14ac:dyDescent="0.3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8</v>
      </c>
      <c r="H3" s="12" t="s">
        <v>15</v>
      </c>
    </row>
    <row r="4" spans="1:8" ht="25.05" customHeight="1" x14ac:dyDescent="0.3">
      <c r="A4" s="7">
        <v>45124</v>
      </c>
      <c r="B4" s="8" t="s">
        <v>6</v>
      </c>
      <c r="C4" s="8" t="s">
        <v>7</v>
      </c>
      <c r="D4" s="9">
        <v>256620</v>
      </c>
      <c r="E4" s="9">
        <f>+D4*1.21-D4</f>
        <v>53890.200000000012</v>
      </c>
      <c r="F4" s="9">
        <f>+D4+E4</f>
        <v>310510.2</v>
      </c>
      <c r="G4" s="21" t="s">
        <v>16</v>
      </c>
      <c r="H4" s="21" t="s">
        <v>17</v>
      </c>
    </row>
    <row r="5" spans="1:8" ht="25.05" customHeight="1" x14ac:dyDescent="0.3">
      <c r="A5" s="4">
        <v>45132</v>
      </c>
      <c r="B5" s="5" t="s">
        <v>6</v>
      </c>
      <c r="C5" s="5" t="s">
        <v>12</v>
      </c>
      <c r="D5" s="6">
        <v>30000</v>
      </c>
      <c r="E5" s="9">
        <f t="shared" ref="E5:E8" si="0">+D5*1.21-D5</f>
        <v>6300</v>
      </c>
      <c r="F5" s="6">
        <f t="shared" ref="F5:F8" si="1">+D5+E5</f>
        <v>36300</v>
      </c>
      <c r="G5" s="22"/>
      <c r="H5" s="22"/>
    </row>
    <row r="6" spans="1:8" ht="25.05" customHeight="1" x14ac:dyDescent="0.3">
      <c r="A6" s="4">
        <v>45134</v>
      </c>
      <c r="B6" s="5" t="s">
        <v>6</v>
      </c>
      <c r="C6" s="5" t="s">
        <v>9</v>
      </c>
      <c r="D6" s="6">
        <v>256620</v>
      </c>
      <c r="E6" s="9">
        <f t="shared" si="0"/>
        <v>53890.200000000012</v>
      </c>
      <c r="F6" s="6">
        <f t="shared" si="1"/>
        <v>310510.2</v>
      </c>
      <c r="G6" s="22"/>
      <c r="H6" s="22"/>
    </row>
    <row r="7" spans="1:8" ht="25.05" customHeight="1" x14ac:dyDescent="0.3">
      <c r="A7" s="4">
        <v>45146</v>
      </c>
      <c r="B7" s="5" t="s">
        <v>10</v>
      </c>
      <c r="C7" s="5" t="s">
        <v>11</v>
      </c>
      <c r="D7" s="6">
        <v>27300</v>
      </c>
      <c r="E7" s="9">
        <f t="shared" si="0"/>
        <v>5733</v>
      </c>
      <c r="F7" s="6">
        <f t="shared" si="1"/>
        <v>33033</v>
      </c>
      <c r="G7" s="22"/>
      <c r="H7" s="22"/>
    </row>
    <row r="8" spans="1:8" ht="25.05" customHeight="1" x14ac:dyDescent="0.3">
      <c r="A8" s="4">
        <v>45146</v>
      </c>
      <c r="B8" s="5" t="s">
        <v>10</v>
      </c>
      <c r="C8" s="5" t="s">
        <v>13</v>
      </c>
      <c r="D8" s="6">
        <v>27300</v>
      </c>
      <c r="E8" s="9">
        <f t="shared" si="0"/>
        <v>5733</v>
      </c>
      <c r="F8" s="6">
        <f t="shared" si="1"/>
        <v>33033</v>
      </c>
      <c r="G8" s="23"/>
      <c r="H8" s="23"/>
    </row>
    <row r="9" spans="1:8" ht="25.05" customHeight="1" x14ac:dyDescent="0.3">
      <c r="A9" s="18" t="s">
        <v>14</v>
      </c>
      <c r="B9" s="19"/>
      <c r="C9" s="20"/>
      <c r="D9" s="13">
        <f>SUM(D4:D8)</f>
        <v>597840</v>
      </c>
      <c r="E9" s="13">
        <f t="shared" ref="E9:F9" si="2">SUM(E4:E8)</f>
        <v>125546.40000000002</v>
      </c>
      <c r="F9" s="14">
        <f t="shared" si="2"/>
        <v>723386.4</v>
      </c>
      <c r="G9" s="24" t="s">
        <v>18</v>
      </c>
      <c r="H9" s="25"/>
    </row>
    <row r="10" spans="1:8" ht="25.05" customHeight="1" x14ac:dyDescent="0.3">
      <c r="A10" s="2"/>
      <c r="D10" s="3"/>
      <c r="E10" s="3"/>
      <c r="F10" s="3"/>
    </row>
    <row r="11" spans="1:8" ht="25.05" customHeight="1" x14ac:dyDescent="0.3">
      <c r="A11" s="2"/>
    </row>
    <row r="12" spans="1:8" ht="25.05" customHeight="1" x14ac:dyDescent="0.3">
      <c r="A12" s="16" t="s">
        <v>32</v>
      </c>
      <c r="B12" s="17"/>
      <c r="C12" s="17"/>
      <c r="D12" s="17"/>
      <c r="E12" s="17"/>
      <c r="F12" s="17"/>
      <c r="G12" s="17"/>
      <c r="H12" s="17"/>
    </row>
    <row r="13" spans="1:8" ht="25.05" customHeight="1" thickBot="1" x14ac:dyDescent="0.35">
      <c r="A13" s="16"/>
      <c r="B13" s="17"/>
      <c r="C13" s="17"/>
      <c r="D13" s="17"/>
      <c r="E13" s="17"/>
      <c r="F13" s="17"/>
      <c r="G13" s="17"/>
      <c r="H13" s="17"/>
    </row>
    <row r="14" spans="1:8" ht="25.05" customHeight="1" thickBot="1" x14ac:dyDescent="0.35">
      <c r="A14" s="10" t="s">
        <v>0</v>
      </c>
      <c r="B14" s="11" t="s">
        <v>1</v>
      </c>
      <c r="C14" s="11" t="s">
        <v>2</v>
      </c>
      <c r="D14" s="11" t="s">
        <v>3</v>
      </c>
      <c r="E14" s="11" t="s">
        <v>4</v>
      </c>
      <c r="F14" s="11" t="s">
        <v>5</v>
      </c>
      <c r="G14" s="15" t="s">
        <v>8</v>
      </c>
      <c r="H14" s="15" t="s">
        <v>15</v>
      </c>
    </row>
    <row r="15" spans="1:8" ht="25.05" customHeight="1" x14ac:dyDescent="0.3">
      <c r="A15" s="7">
        <v>45177</v>
      </c>
      <c r="B15" s="8" t="s">
        <v>6</v>
      </c>
      <c r="C15" s="8" t="s">
        <v>21</v>
      </c>
      <c r="D15" s="9">
        <v>350600</v>
      </c>
      <c r="E15" s="9">
        <f>+D15*21%</f>
        <v>73626</v>
      </c>
      <c r="F15" s="9">
        <f>+D15+E15</f>
        <v>424226</v>
      </c>
      <c r="G15" s="5"/>
      <c r="H15" s="5"/>
    </row>
    <row r="16" spans="1:8" ht="25.05" customHeight="1" x14ac:dyDescent="0.3">
      <c r="A16" s="7">
        <v>45176</v>
      </c>
      <c r="B16" s="8" t="s">
        <v>6</v>
      </c>
      <c r="C16" s="8" t="s">
        <v>22</v>
      </c>
      <c r="D16" s="9">
        <v>917080</v>
      </c>
      <c r="E16" s="9">
        <f t="shared" ref="E16:E23" si="3">+D16*21%</f>
        <v>192586.8</v>
      </c>
      <c r="F16" s="9">
        <f t="shared" ref="F16:F21" si="4">+D16+E16</f>
        <v>1109666.8</v>
      </c>
      <c r="G16" s="5"/>
      <c r="H16" s="5"/>
    </row>
    <row r="17" spans="1:8" ht="25.05" customHeight="1" x14ac:dyDescent="0.3">
      <c r="A17" s="7">
        <v>45176</v>
      </c>
      <c r="B17" s="8" t="s">
        <v>6</v>
      </c>
      <c r="C17" s="8" t="s">
        <v>23</v>
      </c>
      <c r="D17" s="9">
        <v>552790</v>
      </c>
      <c r="E17" s="9">
        <f t="shared" si="3"/>
        <v>116085.9</v>
      </c>
      <c r="F17" s="9">
        <f t="shared" si="4"/>
        <v>668875.9</v>
      </c>
      <c r="G17" s="5"/>
      <c r="H17" s="5"/>
    </row>
    <row r="18" spans="1:8" ht="25.05" customHeight="1" x14ac:dyDescent="0.3">
      <c r="A18" s="7">
        <v>45187</v>
      </c>
      <c r="B18" s="8" t="s">
        <v>20</v>
      </c>
      <c r="C18" s="8" t="s">
        <v>24</v>
      </c>
      <c r="D18" s="9">
        <v>90450</v>
      </c>
      <c r="E18" s="9">
        <f t="shared" si="3"/>
        <v>18994.5</v>
      </c>
      <c r="F18" s="9">
        <f t="shared" si="4"/>
        <v>109444.5</v>
      </c>
      <c r="G18" s="5"/>
      <c r="H18" s="5"/>
    </row>
    <row r="19" spans="1:8" ht="25.05" customHeight="1" x14ac:dyDescent="0.3">
      <c r="A19" s="7">
        <v>45188</v>
      </c>
      <c r="B19" s="8" t="str">
        <f>+B18</f>
        <v>ACOPLADO</v>
      </c>
      <c r="C19" s="8" t="s">
        <v>24</v>
      </c>
      <c r="D19" s="9">
        <v>90450</v>
      </c>
      <c r="E19" s="9">
        <f t="shared" si="3"/>
        <v>18994.5</v>
      </c>
      <c r="F19" s="9">
        <f t="shared" si="4"/>
        <v>109444.5</v>
      </c>
      <c r="G19" s="5"/>
      <c r="H19" s="5"/>
    </row>
    <row r="20" spans="1:8" ht="25.05" customHeight="1" x14ac:dyDescent="0.3">
      <c r="A20" s="18" t="s">
        <v>14</v>
      </c>
      <c r="B20" s="19"/>
      <c r="C20" s="20"/>
      <c r="D20" s="14">
        <f>SUM(D15:D19)</f>
        <v>2001370</v>
      </c>
      <c r="E20" s="14">
        <f>SUM(E15:E19)</f>
        <v>420287.69999999995</v>
      </c>
      <c r="F20" s="14">
        <f>SUM(F15:F19)</f>
        <v>2421657.7000000002</v>
      </c>
      <c r="G20" s="5"/>
      <c r="H20" s="5"/>
    </row>
    <row r="21" spans="1:8" ht="25.05" customHeight="1" x14ac:dyDescent="0.3">
      <c r="A21" s="26" t="s">
        <v>25</v>
      </c>
      <c r="B21" s="27"/>
      <c r="C21" s="28"/>
      <c r="D21" s="29">
        <v>-1000000</v>
      </c>
      <c r="E21" s="9"/>
      <c r="F21" s="9"/>
      <c r="G21" s="5" t="s">
        <v>27</v>
      </c>
      <c r="H21" s="5" t="s">
        <v>17</v>
      </c>
    </row>
    <row r="22" spans="1:8" ht="25.05" customHeight="1" x14ac:dyDescent="0.3">
      <c r="A22" s="26" t="s">
        <v>26</v>
      </c>
      <c r="B22" s="27"/>
      <c r="C22" s="28"/>
      <c r="D22" s="9">
        <f>SUM(D20:D21)</f>
        <v>1001370</v>
      </c>
      <c r="E22" s="9"/>
      <c r="F22" s="9"/>
      <c r="G22" s="5"/>
      <c r="H22" s="5"/>
    </row>
    <row r="23" spans="1:8" ht="25.05" customHeight="1" x14ac:dyDescent="0.3">
      <c r="A23" s="7">
        <v>45187</v>
      </c>
      <c r="B23" s="8" t="s">
        <v>6</v>
      </c>
      <c r="C23" s="8" t="s">
        <v>28</v>
      </c>
      <c r="D23" s="9">
        <v>40000</v>
      </c>
      <c r="E23" s="9"/>
      <c r="F23" s="9"/>
      <c r="G23" s="5"/>
      <c r="H23" s="5"/>
    </row>
    <row r="24" spans="1:8" ht="25.05" customHeight="1" x14ac:dyDescent="0.3">
      <c r="A24" s="18" t="s">
        <v>31</v>
      </c>
      <c r="B24" s="19"/>
      <c r="C24" s="20"/>
      <c r="D24" s="14">
        <f>+D22+D23</f>
        <v>1041370</v>
      </c>
      <c r="E24" s="30"/>
      <c r="F24" s="30"/>
      <c r="G24" s="5" t="s">
        <v>29</v>
      </c>
      <c r="H24" s="5" t="s">
        <v>30</v>
      </c>
    </row>
    <row r="25" spans="1:8" ht="25.05" customHeight="1" x14ac:dyDescent="0.3"/>
    <row r="26" spans="1:8" ht="25.05" customHeight="1" x14ac:dyDescent="0.3"/>
    <row r="27" spans="1:8" ht="25.05" customHeight="1" x14ac:dyDescent="0.3"/>
    <row r="28" spans="1:8" ht="25.05" customHeight="1" x14ac:dyDescent="0.3"/>
    <row r="29" spans="1:8" ht="25.05" customHeight="1" x14ac:dyDescent="0.3"/>
    <row r="30" spans="1:8" ht="25.05" customHeight="1" x14ac:dyDescent="0.3"/>
    <row r="31" spans="1:8" ht="25.05" customHeight="1" x14ac:dyDescent="0.3"/>
    <row r="32" spans="1:8" ht="25.05" customHeight="1" x14ac:dyDescent="0.3"/>
    <row r="33" ht="25.05" customHeight="1" x14ac:dyDescent="0.3"/>
    <row r="34" ht="25.05" customHeight="1" x14ac:dyDescent="0.3"/>
    <row r="35" ht="25.05" customHeight="1" x14ac:dyDescent="0.3"/>
    <row r="36" ht="25.05" customHeight="1" x14ac:dyDescent="0.3"/>
    <row r="37" ht="25.05" customHeight="1" x14ac:dyDescent="0.3"/>
    <row r="38" ht="25.05" customHeight="1" x14ac:dyDescent="0.3"/>
    <row r="39" ht="25.05" customHeight="1" x14ac:dyDescent="0.3"/>
    <row r="40" ht="25.05" customHeight="1" x14ac:dyDescent="0.3"/>
    <row r="41" ht="25.05" customHeight="1" x14ac:dyDescent="0.3"/>
    <row r="42" ht="25.05" customHeight="1" x14ac:dyDescent="0.3"/>
    <row r="43" ht="25.05" customHeight="1" x14ac:dyDescent="0.3"/>
    <row r="44" ht="25.05" customHeight="1" x14ac:dyDescent="0.3"/>
    <row r="45" ht="25.05" customHeight="1" x14ac:dyDescent="0.3"/>
    <row r="46" ht="25.05" customHeight="1" x14ac:dyDescent="0.3"/>
    <row r="47" ht="25.05" customHeight="1" x14ac:dyDescent="0.3"/>
    <row r="48" ht="25.05" customHeight="1" x14ac:dyDescent="0.3"/>
    <row r="49" ht="25.05" customHeight="1" x14ac:dyDescent="0.3"/>
    <row r="50" ht="25.05" customHeight="1" x14ac:dyDescent="0.3"/>
    <row r="51" ht="25.05" customHeight="1" x14ac:dyDescent="0.3"/>
    <row r="52" ht="25.05" customHeight="1" x14ac:dyDescent="0.3"/>
    <row r="53" ht="25.05" customHeight="1" x14ac:dyDescent="0.3"/>
    <row r="54" ht="25.05" customHeight="1" x14ac:dyDescent="0.3"/>
    <row r="55" ht="25.05" customHeight="1" x14ac:dyDescent="0.3"/>
    <row r="56" ht="25.05" customHeight="1" x14ac:dyDescent="0.3"/>
    <row r="57" ht="25.05" customHeight="1" x14ac:dyDescent="0.3"/>
    <row r="58" ht="25.05" customHeight="1" x14ac:dyDescent="0.3"/>
    <row r="59" ht="25.05" customHeight="1" x14ac:dyDescent="0.3"/>
    <row r="60" ht="25.05" customHeight="1" x14ac:dyDescent="0.3"/>
    <row r="61" ht="25.05" customHeight="1" x14ac:dyDescent="0.3"/>
    <row r="62" ht="25.05" customHeight="1" x14ac:dyDescent="0.3"/>
    <row r="63" ht="25.05" customHeight="1" x14ac:dyDescent="0.3"/>
    <row r="64" ht="25.05" customHeight="1" x14ac:dyDescent="0.3"/>
    <row r="65" ht="25.05" customHeight="1" x14ac:dyDescent="0.3"/>
    <row r="66" ht="25.05" customHeight="1" x14ac:dyDescent="0.3"/>
    <row r="67" ht="25.05" customHeight="1" x14ac:dyDescent="0.3"/>
    <row r="68" ht="25.05" customHeight="1" x14ac:dyDescent="0.3"/>
    <row r="69" ht="25.05" customHeight="1" x14ac:dyDescent="0.3"/>
    <row r="70" ht="25.05" customHeight="1" x14ac:dyDescent="0.3"/>
    <row r="71" ht="25.05" customHeight="1" x14ac:dyDescent="0.3"/>
    <row r="72" ht="25.05" customHeight="1" x14ac:dyDescent="0.3"/>
    <row r="73" ht="25.05" customHeight="1" x14ac:dyDescent="0.3"/>
    <row r="74" ht="25.05" customHeight="1" x14ac:dyDescent="0.3"/>
    <row r="75" ht="25.05" customHeight="1" x14ac:dyDescent="0.3"/>
    <row r="76" ht="25.05" customHeight="1" x14ac:dyDescent="0.3"/>
    <row r="77" ht="25.05" customHeight="1" x14ac:dyDescent="0.3"/>
    <row r="78" ht="25.05" customHeight="1" x14ac:dyDescent="0.3"/>
    <row r="79" ht="25.05" customHeight="1" x14ac:dyDescent="0.3"/>
    <row r="80" ht="25.05" customHeight="1" x14ac:dyDescent="0.3"/>
    <row r="81" ht="25.05" customHeight="1" x14ac:dyDescent="0.3"/>
    <row r="82" ht="25.05" customHeight="1" x14ac:dyDescent="0.3"/>
    <row r="83" ht="25.05" customHeight="1" x14ac:dyDescent="0.3"/>
    <row r="84" ht="25.05" customHeight="1" x14ac:dyDescent="0.3"/>
    <row r="85" ht="25.05" customHeight="1" x14ac:dyDescent="0.3"/>
    <row r="86" ht="25.05" customHeight="1" x14ac:dyDescent="0.3"/>
    <row r="87" ht="25.05" customHeight="1" x14ac:dyDescent="0.3"/>
    <row r="88" ht="25.05" customHeight="1" x14ac:dyDescent="0.3"/>
    <row r="89" ht="25.05" customHeight="1" x14ac:dyDescent="0.3"/>
    <row r="90" ht="25.05" customHeight="1" x14ac:dyDescent="0.3"/>
    <row r="91" ht="25.05" customHeight="1" x14ac:dyDescent="0.3"/>
    <row r="92" ht="25.05" customHeight="1" x14ac:dyDescent="0.3"/>
    <row r="93" ht="25.05" customHeight="1" x14ac:dyDescent="0.3"/>
    <row r="94" ht="25.05" customHeight="1" x14ac:dyDescent="0.3"/>
    <row r="95" ht="25.05" customHeight="1" x14ac:dyDescent="0.3"/>
    <row r="96" ht="25.05" customHeight="1" x14ac:dyDescent="0.3"/>
    <row r="97" ht="25.05" customHeight="1" x14ac:dyDescent="0.3"/>
    <row r="98" ht="25.05" customHeight="1" x14ac:dyDescent="0.3"/>
    <row r="99" ht="25.05" customHeight="1" x14ac:dyDescent="0.3"/>
    <row r="100" ht="25.05" customHeight="1" x14ac:dyDescent="0.3"/>
    <row r="101" ht="25.05" customHeight="1" x14ac:dyDescent="0.3"/>
    <row r="102" ht="25.05" customHeight="1" x14ac:dyDescent="0.3"/>
    <row r="103" ht="25.05" customHeight="1" x14ac:dyDescent="0.3"/>
    <row r="104" ht="25.05" customHeight="1" x14ac:dyDescent="0.3"/>
    <row r="105" ht="25.05" customHeight="1" x14ac:dyDescent="0.3"/>
    <row r="106" ht="25.05" customHeight="1" x14ac:dyDescent="0.3"/>
    <row r="107" ht="25.05" customHeight="1" x14ac:dyDescent="0.3"/>
    <row r="108" ht="25.05" customHeight="1" x14ac:dyDescent="0.3"/>
    <row r="109" ht="25.05" customHeight="1" x14ac:dyDescent="0.3"/>
    <row r="110" ht="25.05" customHeight="1" x14ac:dyDescent="0.3"/>
    <row r="111" ht="25.05" customHeight="1" x14ac:dyDescent="0.3"/>
  </sheetData>
  <mergeCells count="10">
    <mergeCell ref="A21:C21"/>
    <mergeCell ref="A22:C22"/>
    <mergeCell ref="A24:C24"/>
    <mergeCell ref="A12:H13"/>
    <mergeCell ref="A20:C20"/>
    <mergeCell ref="A9:C9"/>
    <mergeCell ref="A1:H2"/>
    <mergeCell ref="G4:G8"/>
    <mergeCell ref="H4:H8"/>
    <mergeCell ref="G9:H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2023-08-17T17:18:13Z</cp:lastPrinted>
  <dcterms:created xsi:type="dcterms:W3CDTF">2023-08-17T14:57:47Z</dcterms:created>
  <dcterms:modified xsi:type="dcterms:W3CDTF">2023-10-13T18:21:20Z</dcterms:modified>
</cp:coreProperties>
</file>