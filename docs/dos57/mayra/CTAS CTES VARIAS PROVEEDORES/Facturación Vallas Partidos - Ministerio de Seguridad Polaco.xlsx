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CUENTAS CLIENTES Y PROVEEDORES\"/>
    </mc:Choice>
  </mc:AlternateContent>
  <bookViews>
    <workbookView xWindow="0" yWindow="0" windowWidth="23040" windowHeight="9072"/>
  </bookViews>
  <sheets>
    <sheet name="VALLAS MIN. SEGURIDAD" sheetId="1" r:id="rId1"/>
  </sheets>
  <definedNames>
    <definedName name="_xlnm._FilterDatabase" localSheetId="0" hidden="1">'VALLAS MIN. SEGURIDAD'!$A$2:$F$10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E7" i="1" l="1"/>
  <c r="E8" i="1"/>
  <c r="E10" i="1" s="1"/>
  <c r="E9" i="1"/>
  <c r="E5" i="1" l="1"/>
  <c r="E6" i="1"/>
  <c r="E4" i="1"/>
  <c r="E3" i="1" l="1"/>
</calcChain>
</file>

<file path=xl/sharedStrings.xml><?xml version="1.0" encoding="utf-8"?>
<sst xmlns="http://schemas.openxmlformats.org/spreadsheetml/2006/main" count="21" uniqueCount="16">
  <si>
    <t>ÍTEM</t>
  </si>
  <si>
    <t>FECHA</t>
  </si>
  <si>
    <t>OBSERVACIONES</t>
  </si>
  <si>
    <t>FACTURA</t>
  </si>
  <si>
    <t>IMPORTE FACTURADO</t>
  </si>
  <si>
    <t>FACTURACIÓN Y PAGOS VALLAS PARTIDOS - MINISTERIO DE SEGURIDAD - POLACO</t>
  </si>
  <si>
    <t>POLACO</t>
  </si>
  <si>
    <t>TOTAL</t>
  </si>
  <si>
    <t>Fac.710 - Servicios varios</t>
  </si>
  <si>
    <t>PAGADO</t>
  </si>
  <si>
    <t>Fact.705 - Servicios varios</t>
  </si>
  <si>
    <t>Fac.713 - Servicios varios</t>
  </si>
  <si>
    <t>Fac.717 - Servicios varios</t>
  </si>
  <si>
    <t>Fact.725 - Servicios varios</t>
  </si>
  <si>
    <t>Fact.732 - Servicios varios</t>
  </si>
  <si>
    <t>Fact.734 - Servicios 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</si>
</sst>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Border="1"/>
    <xf numFmtId="0" fontId="0" fillId="0" borderId="2" xfId="0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44" fontId="0" fillId="0" borderId="3" xfId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8" fontId="0" fillId="0" borderId="4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/>
    </xf>
    <xf numFmtId="14" fontId="0" fillId="0" borderId="5" xfId="0" applyNumberFormat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44" fontId="0" fillId="0" borderId="6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tabSelected="1" zoomScale="90" zoomScaleNormal="90" workbookViewId="0">
      <selection activeCell="E9" sqref="E9"/>
    </sheetView>
  </sheetViews>
  <sheetFormatPr baseColWidth="10" defaultRowHeight="14.4" x14ac:dyDescent="0.3"/>
  <cols>
    <col min="1" max="1" width="11.5546875" style="14"/>
    <col min="2" max="2" width="15.77734375" style="15" customWidth="1"/>
    <col min="3" max="3" width="40.109375" style="14" bestFit="1" customWidth="1"/>
    <col min="4" max="4" width="21" style="4" bestFit="1" customWidth="1"/>
    <col min="5" max="5" width="25.6640625" style="4" bestFit="1" customWidth="1"/>
    <col min="6" max="6" width="57.6640625" style="14" customWidth="1"/>
    <col min="7" max="16384" width="11.5546875" style="4"/>
  </cols>
  <sheetData>
    <row r="1" spans="1:6" customFormat="1" ht="30" customHeight="1" thickBot="1" x14ac:dyDescent="0.35">
      <c r="A1" s="18" t="s">
        <v>5</v>
      </c>
      <c r="B1" s="18"/>
      <c r="C1" s="18"/>
      <c r="D1" s="18"/>
      <c r="E1" s="18"/>
      <c r="F1" s="18"/>
    </row>
    <row r="2" spans="1:6" s="3" customFormat="1" ht="27" customHeight="1" thickBot="1" x14ac:dyDescent="0.35">
      <c r="A2" s="1" t="s">
        <v>0</v>
      </c>
      <c r="B2" s="2" t="s">
        <v>1</v>
      </c>
      <c r="C2" s="1" t="s">
        <v>3</v>
      </c>
      <c r="D2" s="1" t="s">
        <v>4</v>
      </c>
      <c r="E2" s="1" t="s">
        <v>6</v>
      </c>
      <c r="F2" s="1" t="s">
        <v>2</v>
      </c>
    </row>
    <row r="3" spans="1:6" ht="25.05" customHeight="1" x14ac:dyDescent="0.3">
      <c r="A3" s="5">
        <v>1</v>
      </c>
      <c r="B3" s="6">
        <v>45513</v>
      </c>
      <c r="C3" s="7" t="s">
        <v>10</v>
      </c>
      <c r="D3" s="8">
        <v>2082644.62</v>
      </c>
      <c r="E3" s="17">
        <f>+D3*38%</f>
        <v>791404.9556000001</v>
      </c>
      <c r="F3" s="9" t="s">
        <v>9</v>
      </c>
    </row>
    <row r="4" spans="1:6" ht="25.05" customHeight="1" x14ac:dyDescent="0.3">
      <c r="A4" s="5">
        <v>2</v>
      </c>
      <c r="B4" s="6">
        <v>45558</v>
      </c>
      <c r="C4" s="7" t="s">
        <v>8</v>
      </c>
      <c r="D4" s="8">
        <v>4130578.51</v>
      </c>
      <c r="E4" s="17">
        <f>+D4*40%</f>
        <v>1652231.4040000001</v>
      </c>
      <c r="F4" s="9" t="s">
        <v>9</v>
      </c>
    </row>
    <row r="5" spans="1:6" ht="25.05" customHeight="1" x14ac:dyDescent="0.3">
      <c r="A5" s="5">
        <v>3</v>
      </c>
      <c r="B5" s="6">
        <v>45568</v>
      </c>
      <c r="C5" s="7" t="s">
        <v>11</v>
      </c>
      <c r="D5" s="8">
        <v>3700000</v>
      </c>
      <c r="E5" s="17">
        <f t="shared" ref="E5:E9" si="0">+D5*40%</f>
        <v>1480000</v>
      </c>
      <c r="F5" s="10" t="s">
        <v>9</v>
      </c>
    </row>
    <row r="6" spans="1:6" ht="25.05" customHeight="1" x14ac:dyDescent="0.3">
      <c r="A6" s="5">
        <v>4</v>
      </c>
      <c r="B6" s="6">
        <v>45588</v>
      </c>
      <c r="C6" s="7" t="s">
        <v>12</v>
      </c>
      <c r="D6" s="8">
        <v>1528925.62</v>
      </c>
      <c r="E6" s="17">
        <f t="shared" si="0"/>
        <v>611570.24800000002</v>
      </c>
      <c r="F6" s="9" t="s">
        <v>9</v>
      </c>
    </row>
    <row r="7" spans="1:6" ht="25.05" customHeight="1" x14ac:dyDescent="0.3">
      <c r="A7" s="5">
        <v>5</v>
      </c>
      <c r="B7" s="6">
        <v>45617</v>
      </c>
      <c r="C7" s="7" t="s">
        <v>13</v>
      </c>
      <c r="D7" s="8">
        <v>4739669.42</v>
      </c>
      <c r="E7" s="17">
        <f t="shared" si="0"/>
        <v>1895867.7680000002</v>
      </c>
      <c r="F7" s="9" t="s">
        <v>9</v>
      </c>
    </row>
    <row r="8" spans="1:6" ht="25.05" customHeight="1" x14ac:dyDescent="0.3">
      <c r="A8" s="5">
        <v>6</v>
      </c>
      <c r="B8" s="6">
        <v>45679</v>
      </c>
      <c r="C8" s="7" t="s">
        <v>14</v>
      </c>
      <c r="D8" s="8">
        <v>3363636.36</v>
      </c>
      <c r="E8" s="17">
        <f t="shared" si="0"/>
        <v>1345454.544</v>
      </c>
      <c r="F8" s="9" t="s">
        <v>9</v>
      </c>
    </row>
    <row r="9" spans="1:6" ht="25.05" customHeight="1" thickBot="1" x14ac:dyDescent="0.35">
      <c r="A9" s="5">
        <v>7</v>
      </c>
      <c r="B9" s="6">
        <v>45698</v>
      </c>
      <c r="C9" s="7" t="s">
        <v>15</v>
      </c>
      <c r="D9" s="8">
        <v>5014876.03</v>
      </c>
      <c r="E9" s="17">
        <f t="shared" si="0"/>
        <v>2005950.4120000002</v>
      </c>
      <c r="F9" s="9"/>
    </row>
    <row r="10" spans="1:6" ht="30" customHeight="1" thickBot="1" x14ac:dyDescent="0.35">
      <c r="A10" s="11"/>
      <c r="B10" s="12"/>
      <c r="C10" s="13" t="s">
        <v>7</v>
      </c>
      <c r="D10" s="13">
        <f>SUM(D3:D9)</f>
        <v>24560330.560000002</v>
      </c>
      <c r="E10" s="13">
        <f>SUM(E3:E8)</f>
        <v>7776528.9195999997</v>
      </c>
      <c r="F10" s="11"/>
    </row>
    <row r="11" spans="1:6" ht="19.95" customHeight="1" x14ac:dyDescent="0.3">
      <c r="D11" s="16"/>
      <c r="E11" s="16"/>
    </row>
    <row r="12" spans="1:6" ht="19.95" customHeight="1" x14ac:dyDescent="0.3">
      <c r="D12" s="16"/>
      <c r="E12" s="16"/>
    </row>
    <row r="13" spans="1:6" ht="19.95" customHeight="1" x14ac:dyDescent="0.3">
      <c r="D13" s="16"/>
      <c r="E13" s="16"/>
    </row>
    <row r="14" spans="1:6" ht="19.95" customHeight="1" x14ac:dyDescent="0.3">
      <c r="D14" s="16"/>
      <c r="E14" s="16"/>
    </row>
    <row r="15" spans="1:6" ht="19.95" customHeight="1" x14ac:dyDescent="0.3">
      <c r="D15" s="16"/>
      <c r="E15" s="16"/>
    </row>
    <row r="16" spans="1:6" ht="19.95" customHeight="1" x14ac:dyDescent="0.3">
      <c r="D16" s="16"/>
      <c r="E16" s="16"/>
    </row>
    <row r="17" spans="2:8" ht="19.95" customHeight="1" x14ac:dyDescent="0.3">
      <c r="D17" s="16"/>
      <c r="E17" s="16"/>
    </row>
    <row r="18" spans="2:8" s="14" customFormat="1" x14ac:dyDescent="0.3">
      <c r="B18" s="15"/>
      <c r="D18" s="16"/>
      <c r="E18" s="16"/>
      <c r="G18" s="4"/>
      <c r="H18" s="4"/>
    </row>
  </sheetData>
  <mergeCells count="1">
    <mergeCell ref="A1:F1"/>
  </mergeCells>
  <pageMargins left="0.7" right="0.7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VALLAS MIN. SEGURIDAD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2024-11-08T13:00:44Z</cp:lastPrinted>
  <dcterms:created xsi:type="dcterms:W3CDTF">2024-09-02T20:46:35Z</dcterms:created>
  <dcterms:modified xsi:type="dcterms:W3CDTF">2025-02-26T20:36:38Z</dcterms:modified>
</cp:coreProperties>
</file>