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DOS57\CUENTAS CLIENTES Y PROVEEDORE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/>
  <c r="B3" i="1"/>
  <c r="E14" i="1"/>
  <c r="E2" i="1" s="1"/>
  <c r="D2" i="1"/>
  <c r="K2" i="1"/>
  <c r="L2" i="1" s="1"/>
  <c r="M2" i="1" s="1"/>
  <c r="N2" i="1" s="1"/>
  <c r="B2" i="1" l="1"/>
</calcChain>
</file>

<file path=xl/sharedStrings.xml><?xml version="1.0" encoding="utf-8"?>
<sst xmlns="http://schemas.openxmlformats.org/spreadsheetml/2006/main" count="24" uniqueCount="24">
  <si>
    <t xml:space="preserve">dolares oficial </t>
  </si>
  <si>
    <t>confeccion por m2</t>
  </si>
  <si>
    <t>lona cobertura negra por mt lineal</t>
  </si>
  <si>
    <t>deuda 01-09-23 257</t>
  </si>
  <si>
    <t>sept</t>
  </si>
  <si>
    <t>oct</t>
  </si>
  <si>
    <t>nov</t>
  </si>
  <si>
    <t>dic</t>
  </si>
  <si>
    <t>ene</t>
  </si>
  <si>
    <t xml:space="preserve">costo confeccion /m2 de lona </t>
  </si>
  <si>
    <t>unidades</t>
  </si>
  <si>
    <t xml:space="preserve">soga de caucho </t>
  </si>
  <si>
    <t xml:space="preserve">equivalentes </t>
  </si>
  <si>
    <t xml:space="preserve">capota </t>
  </si>
  <si>
    <t xml:space="preserve">ojales </t>
  </si>
  <si>
    <t>mt lineal de 1,5mts de ancho  de lona negra cobertura precio sep 23</t>
  </si>
  <si>
    <t xml:space="preserve">en pesos </t>
  </si>
  <si>
    <t xml:space="preserve">abrojo cintas negras etc </t>
  </si>
  <si>
    <t xml:space="preserve">le deberiamos sumar a la confeccion usd 1,5 a cada m2 aprox , pero cada caso puede variar de acuerdo a lo que se este confeccionando </t>
  </si>
  <si>
    <t xml:space="preserve">en sintesis de saldo , hay que hacer variables de confeccion + lona o m2 de mesh mas confeccion  el lineal no se puede hacer directo con m2 de confeccion y de lona , si no hay que ver insumos de acuerdo a lo que se arme </t>
  </si>
  <si>
    <t xml:space="preserve">todo mas iva </t>
  </si>
  <si>
    <t xml:space="preserve">combo lona X M2  mas confeccion con insumos promedio </t>
  </si>
  <si>
    <t xml:space="preserve">PEDIDO ACTUAL </t>
  </si>
  <si>
    <t xml:space="preserve">SALDO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</si>
</sst>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\ * #,##0.00_-;\-&quot;$&quot;\ * #,##0.00_-;_-&quot;$&quot;\ * &quot;-&quot;??_-;_-@_-"/>
    <numFmt numFmtId="164" formatCode="_-[$USD]\ * #,##0.00_-;\-[$USD]\ * #,##0.00_-;_-[$USD]\ * &quot;-&quot;??_-;_-@_-"/>
    <numFmt numFmtId="165" formatCode="_-[$USD]\ * #,##0_-;\-[$USD]\ * #,##0_-;_-[$USD]\ * &quot;-&quot;??_-;_-@_-"/>
    <numFmt numFmtId="166" formatCode="#,##0.00_ ;\-#,##0.00\ "/>
    <numFmt numFmtId="167" formatCode="#,##0_ ;\-#,##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/>
    <xf numFmtId="44" fontId="0" fillId="0" borderId="1" xfId="0" applyNumberFormat="1" applyBorder="1"/>
    <xf numFmtId="17" fontId="0" fillId="2" borderId="3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1" fontId="0" fillId="0" borderId="1" xfId="0" applyNumberFormat="1" applyBorder="1"/>
    <xf numFmtId="164" fontId="0" fillId="0" borderId="0" xfId="0" applyNumberFormat="1" applyBorder="1" applyAlignment="1">
      <alignment horizontal="center"/>
    </xf>
    <xf numFmtId="164" fontId="0" fillId="0" borderId="1" xfId="1" applyNumberFormat="1" applyFont="1" applyBorder="1"/>
    <xf numFmtId="0" fontId="0" fillId="0" borderId="1" xfId="0" applyBorder="1" applyAlignment="1">
      <alignment horizontal="left" wrapText="1"/>
    </xf>
    <xf numFmtId="166" fontId="0" fillId="0" borderId="0" xfId="1" applyNumberFormat="1" applyFont="1"/>
    <xf numFmtId="0" fontId="3" fillId="0" borderId="1" xfId="0" applyFont="1" applyBorder="1" applyAlignment="1">
      <alignment wrapText="1"/>
    </xf>
    <xf numFmtId="167" fontId="3" fillId="0" borderId="1" xfId="0" applyNumberFormat="1" applyFont="1" applyBorder="1"/>
    <xf numFmtId="1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619125</xdr:colOff>
      <xdr:row>4</xdr:row>
      <xdr:rowOff>114300</xdr:rowOff>
    </xdr:from>
    <xdr:to>
      <xdr:col>17</xdr:col>
      <xdr:colOff>490487</xdr:colOff>
      <xdr:row>23</xdr:row>
      <xdr:rowOff>27631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1350" y="1638300"/>
          <a:ext cx="8253362" cy="516160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16</xdr:row>
      <xdr:rowOff>76199</xdr:rowOff>
    </xdr:from>
    <xdr:to>
      <xdr:col>8</xdr:col>
      <xdr:colOff>178154</xdr:colOff>
      <xdr:row>43</xdr:row>
      <xdr:rowOff>122886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1" y="5038724"/>
          <a:ext cx="8055328" cy="5190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workbookViewId="0">
      <selection activeCell="B4" sqref="B4"/>
    </sheetView>
  </sheetViews>
  <sheetFormatPr baseColWidth="10" defaultRowHeight="14.4" x14ac:dyDescent="0.3"/>
  <cols>
    <col min="1" max="1" width="23.88671875" customWidth="1"/>
    <col min="2" max="2" width="14.5546875" customWidth="1"/>
    <col min="3" max="3" width="19.6640625" bestFit="1" customWidth="1"/>
    <col min="4" max="4" width="14.5546875" style="1" bestFit="1" customWidth="1"/>
    <col min="5" max="5" width="11.44140625" style="1"/>
  </cols>
  <sheetData>
    <row r="1" spans="1:17" ht="57.6" x14ac:dyDescent="0.3">
      <c r="A1" s="12" t="s">
        <v>12</v>
      </c>
      <c r="B1" s="12" t="s">
        <v>10</v>
      </c>
      <c r="C1" s="9" t="s">
        <v>3</v>
      </c>
      <c r="D1" s="9" t="s">
        <v>0</v>
      </c>
      <c r="E1" s="9" t="s">
        <v>2</v>
      </c>
      <c r="F1" s="8" t="s">
        <v>1</v>
      </c>
      <c r="I1" s="7" t="s">
        <v>9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</row>
    <row r="2" spans="1:17" ht="43.2" x14ac:dyDescent="0.3">
      <c r="A2" s="13" t="s">
        <v>15</v>
      </c>
      <c r="B2" s="18">
        <f>+D2/E2</f>
        <v>2428.6622583926755</v>
      </c>
      <c r="C2" s="4">
        <v>9549500</v>
      </c>
      <c r="D2" s="6">
        <f>+C2/357</f>
        <v>26749.299719887957</v>
      </c>
      <c r="E2" s="5">
        <f>+E14</f>
        <v>11.014005602240896</v>
      </c>
      <c r="F2" s="20">
        <v>4.2016806722689077</v>
      </c>
      <c r="I2" s="2" t="s">
        <v>16</v>
      </c>
      <c r="J2" s="11">
        <v>1500</v>
      </c>
      <c r="K2" s="4">
        <f>+J2*1.1</f>
        <v>1650.0000000000002</v>
      </c>
      <c r="L2" s="4">
        <f>+K2*1.15</f>
        <v>1897.5000000000002</v>
      </c>
      <c r="M2" s="4">
        <f>+L2*1.25</f>
        <v>2371.8750000000005</v>
      </c>
      <c r="N2" s="27">
        <f>+M2*1.2</f>
        <v>2846.2500000000005</v>
      </c>
      <c r="Q2" s="22"/>
    </row>
    <row r="3" spans="1:17" ht="43.2" x14ac:dyDescent="0.3">
      <c r="A3" s="23" t="s">
        <v>21</v>
      </c>
      <c r="B3" s="24">
        <f>+D2*1.5/(E2+F2+1.5)</f>
        <v>2400.3770423125261</v>
      </c>
      <c r="C3" s="2"/>
      <c r="D3" s="3"/>
      <c r="E3" s="3"/>
      <c r="F3" s="2"/>
    </row>
    <row r="4" spans="1:17" x14ac:dyDescent="0.3">
      <c r="A4" s="26" t="s">
        <v>22</v>
      </c>
      <c r="B4" s="25">
        <f>+(10*2.57*7.71)+(10*2.57*2)+(20*2.57*14)+(2*0.73*14)+(2*1.09*14)+(4*1.09*14)+(6*2.57*4)+(4*2.57*14)</f>
        <v>1286.7470000000001</v>
      </c>
      <c r="C4" s="2"/>
      <c r="D4" s="3"/>
      <c r="E4" s="3"/>
      <c r="F4" s="2"/>
    </row>
    <row r="5" spans="1:17" x14ac:dyDescent="0.3">
      <c r="A5" s="2" t="s">
        <v>23</v>
      </c>
      <c r="B5" s="18">
        <f>+B3-B4</f>
        <v>1113.630042312526</v>
      </c>
      <c r="C5" s="2"/>
      <c r="D5" s="3"/>
      <c r="E5" s="3"/>
      <c r="F5" s="2"/>
    </row>
    <row r="6" spans="1:17" ht="32.25" customHeight="1" x14ac:dyDescent="0.3">
      <c r="A6" s="2" t="s">
        <v>11</v>
      </c>
      <c r="B6" s="31" t="s">
        <v>18</v>
      </c>
      <c r="C6" s="2"/>
      <c r="D6" s="3"/>
      <c r="E6" s="3"/>
      <c r="F6" s="2"/>
    </row>
    <row r="7" spans="1:17" ht="30.75" customHeight="1" x14ac:dyDescent="0.3">
      <c r="A7" s="2" t="s">
        <v>13</v>
      </c>
      <c r="B7" s="32"/>
      <c r="C7" s="2"/>
      <c r="D7" s="3"/>
      <c r="E7" s="3"/>
      <c r="F7" s="2"/>
    </row>
    <row r="8" spans="1:17" ht="42.75" customHeight="1" x14ac:dyDescent="0.3">
      <c r="A8" s="2" t="s">
        <v>14</v>
      </c>
      <c r="B8" s="32"/>
      <c r="C8" s="2"/>
      <c r="D8" s="3"/>
      <c r="E8" s="3"/>
      <c r="F8" s="2"/>
    </row>
    <row r="9" spans="1:17" ht="57" customHeight="1" x14ac:dyDescent="0.3">
      <c r="A9" s="21" t="s">
        <v>17</v>
      </c>
      <c r="B9" s="33"/>
      <c r="C9" s="2"/>
      <c r="D9" s="3"/>
      <c r="E9" s="3"/>
      <c r="F9" s="2"/>
    </row>
    <row r="10" spans="1:17" ht="40.5" customHeight="1" x14ac:dyDescent="0.3">
      <c r="A10" s="28" t="s">
        <v>19</v>
      </c>
      <c r="B10" s="29"/>
      <c r="C10" s="29"/>
      <c r="D10" s="29"/>
      <c r="E10" s="29"/>
      <c r="F10" s="30"/>
    </row>
    <row r="11" spans="1:17" x14ac:dyDescent="0.3">
      <c r="A11" s="34" t="s">
        <v>20</v>
      </c>
      <c r="B11" s="35"/>
      <c r="C11" s="35"/>
      <c r="D11" s="35"/>
      <c r="E11" s="35"/>
      <c r="F11" s="36"/>
    </row>
    <row r="12" spans="1:17" x14ac:dyDescent="0.3">
      <c r="B12" s="14"/>
      <c r="C12" s="14"/>
      <c r="D12" s="15"/>
      <c r="E12" s="15"/>
    </row>
    <row r="13" spans="1:17" x14ac:dyDescent="0.3">
      <c r="B13" s="14"/>
      <c r="C13" s="14"/>
      <c r="D13" s="15"/>
      <c r="E13" s="15"/>
    </row>
    <row r="14" spans="1:17" x14ac:dyDescent="0.3">
      <c r="A14" s="14"/>
      <c r="B14" s="14"/>
      <c r="C14" s="16"/>
      <c r="D14" s="15"/>
      <c r="E14" s="19">
        <f>3932/357</f>
        <v>11.014005602240896</v>
      </c>
      <c r="F14" s="14"/>
    </row>
    <row r="15" spans="1:17" x14ac:dyDescent="0.3">
      <c r="A15" s="14"/>
      <c r="B15" s="14"/>
      <c r="C15" s="16"/>
      <c r="D15" s="15"/>
      <c r="E15" s="15"/>
      <c r="F15" s="14"/>
    </row>
    <row r="16" spans="1:17" x14ac:dyDescent="0.3">
      <c r="A16" s="14"/>
      <c r="B16" s="14"/>
      <c r="C16" s="16"/>
      <c r="D16" s="15"/>
      <c r="E16" s="15"/>
      <c r="F16" s="14"/>
    </row>
    <row r="17" spans="1:6" x14ac:dyDescent="0.3">
      <c r="A17" s="14"/>
      <c r="B17" s="14"/>
      <c r="C17" s="16"/>
      <c r="D17" s="15"/>
      <c r="E17" s="15"/>
      <c r="F17" s="14"/>
    </row>
    <row r="18" spans="1:6" x14ac:dyDescent="0.3">
      <c r="A18" s="14"/>
      <c r="B18" s="14"/>
      <c r="C18" s="16"/>
      <c r="D18" s="15"/>
      <c r="E18" s="15"/>
      <c r="F18" s="14"/>
    </row>
    <row r="19" spans="1:6" x14ac:dyDescent="0.3">
      <c r="A19" s="14"/>
      <c r="B19" s="14"/>
      <c r="C19" s="14"/>
      <c r="D19" s="15"/>
      <c r="E19" s="15"/>
      <c r="F19" s="14"/>
    </row>
    <row r="20" spans="1:6" x14ac:dyDescent="0.3">
      <c r="A20" s="14"/>
      <c r="B20" s="14"/>
      <c r="C20" s="14"/>
      <c r="D20" s="15"/>
      <c r="E20" s="15"/>
      <c r="F20" s="14"/>
    </row>
    <row r="21" spans="1:6" x14ac:dyDescent="0.3">
      <c r="A21" s="14"/>
      <c r="B21" s="14"/>
      <c r="C21" s="14"/>
      <c r="D21" s="15"/>
      <c r="E21" s="15"/>
      <c r="F21" s="14"/>
    </row>
    <row r="22" spans="1:6" x14ac:dyDescent="0.3">
      <c r="A22" s="14"/>
      <c r="B22" s="14"/>
      <c r="C22" s="14"/>
      <c r="D22" s="15"/>
      <c r="E22" s="15"/>
      <c r="F22" s="14"/>
    </row>
    <row r="23" spans="1:6" x14ac:dyDescent="0.3">
      <c r="A23" s="14"/>
      <c r="B23" s="14"/>
      <c r="C23" s="14"/>
      <c r="D23" s="15"/>
      <c r="E23" s="15"/>
      <c r="F23" s="14"/>
    </row>
    <row r="24" spans="1:6" x14ac:dyDescent="0.3">
      <c r="A24" s="14"/>
      <c r="B24" s="14"/>
      <c r="C24" s="14"/>
      <c r="D24" s="15"/>
      <c r="E24" s="15"/>
      <c r="F24" s="14"/>
    </row>
    <row r="25" spans="1:6" x14ac:dyDescent="0.3">
      <c r="A25" s="14"/>
      <c r="B25" s="14"/>
      <c r="C25" s="14"/>
      <c r="D25" s="15"/>
      <c r="E25" s="15"/>
      <c r="F25" s="14"/>
    </row>
    <row r="26" spans="1:6" x14ac:dyDescent="0.3">
      <c r="A26" s="14"/>
      <c r="B26" s="14"/>
      <c r="C26" s="14"/>
      <c r="D26" s="15"/>
      <c r="E26" s="15"/>
      <c r="F26" s="14"/>
    </row>
    <row r="27" spans="1:6" x14ac:dyDescent="0.3">
      <c r="A27" s="14"/>
      <c r="B27" s="14"/>
      <c r="C27" s="14"/>
      <c r="D27" s="15"/>
      <c r="E27" s="15"/>
      <c r="F27" s="14"/>
    </row>
    <row r="28" spans="1:6" x14ac:dyDescent="0.3">
      <c r="A28" s="14"/>
      <c r="B28" s="14"/>
      <c r="C28" s="14"/>
      <c r="D28" s="15"/>
      <c r="E28" s="15"/>
      <c r="F28" s="14"/>
    </row>
    <row r="29" spans="1:6" x14ac:dyDescent="0.3">
      <c r="A29" s="14"/>
      <c r="B29" s="14"/>
      <c r="C29" s="14"/>
      <c r="D29" s="15"/>
      <c r="E29" s="15"/>
      <c r="F29" s="14"/>
    </row>
    <row r="30" spans="1:6" x14ac:dyDescent="0.3">
      <c r="A30" s="14"/>
      <c r="B30" s="14"/>
      <c r="C30" s="14"/>
      <c r="D30" s="17"/>
      <c r="E30" s="15"/>
      <c r="F30" s="14"/>
    </row>
    <row r="31" spans="1:6" x14ac:dyDescent="0.3">
      <c r="A31" s="14"/>
      <c r="B31" s="14"/>
      <c r="C31" s="14"/>
      <c r="D31" s="15"/>
      <c r="E31" s="15"/>
      <c r="F31" s="14"/>
    </row>
    <row r="32" spans="1:6" x14ac:dyDescent="0.3">
      <c r="A32" s="14"/>
      <c r="B32" s="14"/>
      <c r="C32" s="14"/>
      <c r="D32" s="15"/>
      <c r="E32" s="15"/>
      <c r="F32" s="14"/>
    </row>
    <row r="33" spans="1:6" x14ac:dyDescent="0.3">
      <c r="A33" s="14"/>
      <c r="B33" s="14"/>
      <c r="C33" s="14"/>
      <c r="D33" s="15"/>
      <c r="E33" s="15"/>
      <c r="F33" s="14"/>
    </row>
  </sheetData>
  <mergeCells count="3">
    <mergeCell ref="A10:F10"/>
    <mergeCell ref="B6:B9"/>
    <mergeCell ref="A11:F11"/>
  </mergeCells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Varela</dc:creator>
  <cp:lastModifiedBy>LENOVO</cp:lastModifiedBy>
  <dcterms:created xsi:type="dcterms:W3CDTF">2024-02-08T16:49:39Z</dcterms:created>
  <dcterms:modified xsi:type="dcterms:W3CDTF">2024-02-15T13:39:55Z</dcterms:modified>
</cp:coreProperties>
</file>