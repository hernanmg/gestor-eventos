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tebook HP\Desktop\JORNALEROS DOS57-2026\"/>
    </mc:Choice>
  </mc:AlternateContent>
  <bookViews>
    <workbookView xWindow="-120" yWindow="-120" windowWidth="20736" windowHeight="11040"/>
  </bookViews>
  <sheets>
    <sheet name="TOTALES" sheetId="14" r:id="rId1"/>
    <sheet name="BENJAMIN" sheetId="33" r:id="rId2"/>
    <sheet name="LISANDRO" sheetId="54" r:id="rId3"/>
    <sheet name="PATRICIO O." sheetId="56" r:id="rId4"/>
    <sheet name="DAVID" sheetId="71" r:id="rId5"/>
    <sheet name="LEONEL RODRIGUEZ" sheetId="52" r:id="rId6"/>
    <sheet name="MAXI-ACUÑA" sheetId="80" r:id="rId7"/>
    <sheet name="JAIR" sheetId="79" r:id="rId8"/>
    <sheet name="MAURO MASSIMINO" sheetId="81" r:id="rId9"/>
    <sheet name="URIEL" sheetId="82" r:id="rId10"/>
    <sheet name="DANIEL CBA-FAUSTERA" sheetId="83" r:id="rId11"/>
    <sheet name="MARCOS-FAUSTERA" sheetId="75" r:id="rId12"/>
    <sheet name="FORMATO" sheetId="84" r:id="rId13"/>
    <sheet name="CHAVEZ-CARREÑO-PEREZ" sheetId="23" state="hidden" r:id="rId14"/>
    <sheet name="JONATHAN" sheetId="16" state="hidden" r:id="rId15"/>
    <sheet name="LEANDRO,1" sheetId="5" state="hidden" r:id="rId16"/>
    <sheet name="JAZ" sheetId="17" state="hidden" r:id="rId1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75" l="1"/>
  <c r="G17" i="83"/>
  <c r="G16" i="83"/>
  <c r="G17" i="82"/>
  <c r="G16" i="82"/>
  <c r="G13" i="82"/>
  <c r="G12" i="82"/>
  <c r="G8" i="80"/>
  <c r="C10" i="80"/>
  <c r="G17" i="80"/>
  <c r="G16" i="80"/>
  <c r="C49" i="84"/>
  <c r="G27" i="33"/>
  <c r="G8" i="33"/>
  <c r="C10" i="33"/>
  <c r="C29" i="33"/>
  <c r="G35" i="33"/>
  <c r="G36" i="33"/>
  <c r="G32" i="33"/>
  <c r="G31" i="33"/>
  <c r="G64" i="54"/>
  <c r="C66" i="54"/>
  <c r="G45" i="54"/>
  <c r="C47" i="54"/>
  <c r="A50" i="71"/>
  <c r="A10" i="71"/>
  <c r="G13" i="71"/>
  <c r="G16" i="71"/>
  <c r="G18" i="71"/>
  <c r="G12" i="71"/>
  <c r="C10" i="52"/>
  <c r="G18" i="52"/>
  <c r="G16" i="52"/>
  <c r="G13" i="52"/>
  <c r="C29" i="52"/>
  <c r="G32" i="52"/>
  <c r="G35" i="52"/>
  <c r="G36" i="52"/>
  <c r="G31" i="52"/>
  <c r="C48" i="52"/>
  <c r="G51" i="52"/>
  <c r="G54" i="52"/>
  <c r="G55" i="52"/>
  <c r="G56" i="52"/>
  <c r="G50" i="52"/>
  <c r="G52" i="84"/>
  <c r="G53" i="84"/>
  <c r="G58" i="84" s="1"/>
  <c r="C47" i="84" s="1"/>
  <c r="G54" i="84"/>
  <c r="G55" i="84"/>
  <c r="G56" i="84"/>
  <c r="G57" i="84"/>
  <c r="G51" i="84"/>
  <c r="H58" i="84"/>
  <c r="F57" i="84"/>
  <c r="F56" i="84"/>
  <c r="F55" i="84"/>
  <c r="F54" i="84"/>
  <c r="F53" i="84"/>
  <c r="F52" i="84"/>
  <c r="F51" i="84"/>
  <c r="F58" i="84" s="1"/>
  <c r="A47" i="84" s="1"/>
  <c r="H39" i="84"/>
  <c r="G39" i="84"/>
  <c r="C28" i="84" s="1"/>
  <c r="G28" i="84" s="1"/>
  <c r="G30" i="84" s="1"/>
  <c r="F38" i="84"/>
  <c r="F37" i="84"/>
  <c r="F36" i="84"/>
  <c r="F35" i="84"/>
  <c r="F34" i="84"/>
  <c r="F33" i="84"/>
  <c r="F32" i="84"/>
  <c r="F39" i="84" s="1"/>
  <c r="A28" i="84" s="1"/>
  <c r="H19" i="84"/>
  <c r="F18" i="84"/>
  <c r="F17" i="84"/>
  <c r="G16" i="84"/>
  <c r="F16" i="84"/>
  <c r="F15" i="84"/>
  <c r="F14" i="84"/>
  <c r="G14" i="84" s="1"/>
  <c r="F13" i="84"/>
  <c r="G13" i="84" s="1"/>
  <c r="F12" i="84"/>
  <c r="G12" i="84" s="1"/>
  <c r="G47" i="84" l="1"/>
  <c r="G49" i="84"/>
  <c r="G19" i="84"/>
  <c r="C8" i="84" s="1"/>
  <c r="G8" i="84" s="1"/>
  <c r="G10" i="84" s="1"/>
  <c r="F19" i="84"/>
  <c r="A8" i="84" s="1"/>
  <c r="B79" i="14"/>
  <c r="B72" i="14"/>
  <c r="H76" i="56"/>
  <c r="F75" i="56"/>
  <c r="G75" i="56" s="1"/>
  <c r="F74" i="56"/>
  <c r="G74" i="56" s="1"/>
  <c r="F73" i="56"/>
  <c r="G73" i="56" s="1"/>
  <c r="F72" i="56"/>
  <c r="G72" i="56" s="1"/>
  <c r="F71" i="56"/>
  <c r="G71" i="56" s="1"/>
  <c r="F70" i="56"/>
  <c r="G70" i="56" s="1"/>
  <c r="F69" i="56"/>
  <c r="G69" i="56" s="1"/>
  <c r="H75" i="54"/>
  <c r="G66" i="54" s="1"/>
  <c r="F74" i="54"/>
  <c r="G74" i="54" s="1"/>
  <c r="F73" i="54"/>
  <c r="G73" i="54" s="1"/>
  <c r="F72" i="54"/>
  <c r="G72" i="54" s="1"/>
  <c r="F71" i="54"/>
  <c r="G71" i="54" s="1"/>
  <c r="F70" i="54"/>
  <c r="G70" i="54" s="1"/>
  <c r="F69" i="54"/>
  <c r="G69" i="54" s="1"/>
  <c r="F68" i="54"/>
  <c r="G68" i="54" s="1"/>
  <c r="H76" i="33"/>
  <c r="F75" i="33"/>
  <c r="G75" i="33" s="1"/>
  <c r="F74" i="33"/>
  <c r="G74" i="33" s="1"/>
  <c r="F73" i="33"/>
  <c r="G73" i="33" s="1"/>
  <c r="F72" i="33"/>
  <c r="G72" i="33" s="1"/>
  <c r="F71" i="33"/>
  <c r="G71" i="33" s="1"/>
  <c r="F70" i="33"/>
  <c r="F69" i="33"/>
  <c r="G69" i="33" s="1"/>
  <c r="B81" i="14" l="1"/>
  <c r="G76" i="56"/>
  <c r="C65" i="56" s="1"/>
  <c r="G65" i="56" s="1"/>
  <c r="G67" i="56" s="1"/>
  <c r="F76" i="56"/>
  <c r="A65" i="56" s="1"/>
  <c r="F75" i="54"/>
  <c r="A64" i="54" s="1"/>
  <c r="G75" i="54"/>
  <c r="G76" i="33"/>
  <c r="C65" i="33" s="1"/>
  <c r="G65" i="33" s="1"/>
  <c r="G67" i="33" s="1"/>
  <c r="F76" i="33"/>
  <c r="A65" i="33" s="1"/>
  <c r="B56" i="14"/>
  <c r="B58" i="14" l="1"/>
  <c r="B51" i="14"/>
  <c r="H19" i="83"/>
  <c r="G19" i="83"/>
  <c r="C10" i="83" s="1"/>
  <c r="F18" i="83"/>
  <c r="F17" i="83"/>
  <c r="F16" i="83"/>
  <c r="F15" i="83"/>
  <c r="F14" i="83"/>
  <c r="F13" i="83"/>
  <c r="F12" i="83"/>
  <c r="H57" i="52"/>
  <c r="G57" i="52"/>
  <c r="G46" i="52" s="1"/>
  <c r="G48" i="52" s="1"/>
  <c r="F56" i="52"/>
  <c r="F55" i="52"/>
  <c r="F54" i="52"/>
  <c r="F53" i="52"/>
  <c r="F52" i="52"/>
  <c r="F51" i="52"/>
  <c r="F50" i="52"/>
  <c r="G56" i="71"/>
  <c r="G57" i="71"/>
  <c r="G58" i="71"/>
  <c r="H59" i="71"/>
  <c r="F58" i="71"/>
  <c r="F57" i="71"/>
  <c r="F56" i="71"/>
  <c r="F55" i="71"/>
  <c r="F54" i="71"/>
  <c r="G54" i="71" s="1"/>
  <c r="F53" i="71"/>
  <c r="G53" i="71" s="1"/>
  <c r="F52" i="71"/>
  <c r="G52" i="71" s="1"/>
  <c r="G46" i="71"/>
  <c r="H57" i="56"/>
  <c r="F56" i="56"/>
  <c r="G56" i="56" s="1"/>
  <c r="F55" i="56"/>
  <c r="G55" i="56" s="1"/>
  <c r="F54" i="56"/>
  <c r="G54" i="56" s="1"/>
  <c r="F53" i="56"/>
  <c r="G53" i="56" s="1"/>
  <c r="F52" i="56"/>
  <c r="F51" i="56"/>
  <c r="G51" i="56" s="1"/>
  <c r="F50" i="56"/>
  <c r="H56" i="54"/>
  <c r="F55" i="54"/>
  <c r="G55" i="54" s="1"/>
  <c r="F54" i="54"/>
  <c r="G54" i="54" s="1"/>
  <c r="F53" i="54"/>
  <c r="G53" i="54" s="1"/>
  <c r="F52" i="54"/>
  <c r="F51" i="54"/>
  <c r="F50" i="54"/>
  <c r="F49" i="54"/>
  <c r="G8" i="83" l="1"/>
  <c r="G10" i="83" s="1"/>
  <c r="G56" i="54"/>
  <c r="F19" i="83"/>
  <c r="A8" i="83" s="1"/>
  <c r="F57" i="52"/>
  <c r="A46" i="52" s="1"/>
  <c r="F57" i="56"/>
  <c r="A46" i="56" s="1"/>
  <c r="G59" i="71"/>
  <c r="G48" i="71" s="1"/>
  <c r="G50" i="71" s="1"/>
  <c r="F59" i="71"/>
  <c r="A48" i="71" s="1"/>
  <c r="G50" i="56"/>
  <c r="G57" i="56" s="1"/>
  <c r="C46" i="56" s="1"/>
  <c r="G47" i="54"/>
  <c r="F56" i="54"/>
  <c r="A45" i="54" s="1"/>
  <c r="H57" i="33"/>
  <c r="F56" i="33"/>
  <c r="G56" i="33" s="1"/>
  <c r="F55" i="33"/>
  <c r="G55" i="33" s="1"/>
  <c r="F54" i="33"/>
  <c r="G54" i="33" s="1"/>
  <c r="F53" i="33"/>
  <c r="G53" i="33" s="1"/>
  <c r="F52" i="33"/>
  <c r="F51" i="33"/>
  <c r="F50" i="33"/>
  <c r="G50" i="33" s="1"/>
  <c r="G46" i="56" l="1"/>
  <c r="G48" i="56" s="1"/>
  <c r="G57" i="33"/>
  <c r="C46" i="33" s="1"/>
  <c r="G46" i="33" s="1"/>
  <c r="G48" i="33" s="1"/>
  <c r="F57" i="33"/>
  <c r="A46" i="33" s="1"/>
  <c r="B60" i="14" l="1"/>
  <c r="H38" i="52"/>
  <c r="G38" i="52"/>
  <c r="G27" i="52" s="1"/>
  <c r="F37" i="52"/>
  <c r="F36" i="52"/>
  <c r="F35" i="52"/>
  <c r="F34" i="52"/>
  <c r="F33" i="52"/>
  <c r="F32" i="52"/>
  <c r="F31" i="52"/>
  <c r="G29" i="52" l="1"/>
  <c r="F38" i="52"/>
  <c r="A27" i="52" s="1"/>
  <c r="G33" i="71"/>
  <c r="H39" i="71"/>
  <c r="F38" i="71"/>
  <c r="F37" i="71"/>
  <c r="F36" i="71"/>
  <c r="F35" i="71"/>
  <c r="G35" i="71" s="1"/>
  <c r="G39" i="71" s="1"/>
  <c r="C28" i="71" s="1"/>
  <c r="G28" i="71" s="1"/>
  <c r="F34" i="71"/>
  <c r="G34" i="71" s="1"/>
  <c r="F33" i="71"/>
  <c r="F32" i="71"/>
  <c r="G32" i="71" s="1"/>
  <c r="C30" i="71"/>
  <c r="G26" i="71"/>
  <c r="H38" i="56"/>
  <c r="F37" i="56"/>
  <c r="F36" i="56"/>
  <c r="G36" i="56" s="1"/>
  <c r="F35" i="56"/>
  <c r="G35" i="56" s="1"/>
  <c r="F34" i="56"/>
  <c r="G34" i="56" s="1"/>
  <c r="F33" i="56"/>
  <c r="G33" i="56" s="1"/>
  <c r="F32" i="56"/>
  <c r="G32" i="56" s="1"/>
  <c r="F31" i="56"/>
  <c r="G31" i="56" s="1"/>
  <c r="H37" i="54"/>
  <c r="G37" i="54"/>
  <c r="C26" i="54" s="1"/>
  <c r="G26" i="54" s="1"/>
  <c r="G28" i="54" s="1"/>
  <c r="F36" i="54"/>
  <c r="F35" i="54"/>
  <c r="F34" i="54"/>
  <c r="F33" i="54"/>
  <c r="F32" i="54"/>
  <c r="F31" i="54"/>
  <c r="F30" i="54"/>
  <c r="B37" i="14"/>
  <c r="B31" i="14"/>
  <c r="H38" i="33"/>
  <c r="F37" i="33"/>
  <c r="F36" i="33"/>
  <c r="F35" i="33"/>
  <c r="F34" i="33"/>
  <c r="F33" i="33"/>
  <c r="F32" i="33"/>
  <c r="F31" i="33"/>
  <c r="G30" i="71" l="1"/>
  <c r="F39" i="71"/>
  <c r="A28" i="71" s="1"/>
  <c r="B39" i="14"/>
  <c r="G38" i="56"/>
  <c r="C27" i="56" s="1"/>
  <c r="G27" i="56" s="1"/>
  <c r="G29" i="56" s="1"/>
  <c r="F38" i="56"/>
  <c r="A27" i="56" s="1"/>
  <c r="F37" i="54"/>
  <c r="A26" i="54" s="1"/>
  <c r="G29" i="33"/>
  <c r="F38" i="33"/>
  <c r="A27" i="33" s="1"/>
  <c r="G38" i="33"/>
  <c r="H19" i="81" l="1"/>
  <c r="F18" i="81"/>
  <c r="F17" i="81"/>
  <c r="G17" i="81" s="1"/>
  <c r="F16" i="81"/>
  <c r="G16" i="81" s="1"/>
  <c r="G19" i="81" s="1"/>
  <c r="F15" i="81"/>
  <c r="F14" i="81"/>
  <c r="F13" i="81"/>
  <c r="F12" i="81"/>
  <c r="H19" i="80"/>
  <c r="F18" i="80"/>
  <c r="F17" i="80"/>
  <c r="F16" i="80"/>
  <c r="F15" i="80"/>
  <c r="F14" i="80"/>
  <c r="F13" i="80"/>
  <c r="F12" i="80"/>
  <c r="C10" i="81" l="1"/>
  <c r="G19" i="80"/>
  <c r="F19" i="81"/>
  <c r="A8" i="81" s="1"/>
  <c r="F19" i="80"/>
  <c r="A8" i="80" s="1"/>
  <c r="G8" i="81" l="1"/>
  <c r="G10" i="81" s="1"/>
  <c r="G10" i="80"/>
  <c r="H19" i="75"/>
  <c r="G19" i="75"/>
  <c r="F18" i="75"/>
  <c r="F17" i="75"/>
  <c r="F16" i="75"/>
  <c r="F15" i="75"/>
  <c r="F14" i="75"/>
  <c r="F13" i="75"/>
  <c r="F12" i="75"/>
  <c r="C8" i="75"/>
  <c r="G8" i="75" s="1"/>
  <c r="G10" i="75" l="1"/>
  <c r="F19" i="75"/>
  <c r="A8" i="75" s="1"/>
  <c r="H18" i="54"/>
  <c r="F17" i="54"/>
  <c r="F16" i="54"/>
  <c r="F15" i="54"/>
  <c r="F14" i="54"/>
  <c r="F13" i="54"/>
  <c r="F12" i="54"/>
  <c r="F11" i="54"/>
  <c r="F18" i="54" l="1"/>
  <c r="A7" i="54" s="1"/>
  <c r="G18" i="54"/>
  <c r="C7" i="54" s="1"/>
  <c r="G7" i="54" s="1"/>
  <c r="G9" i="54" s="1"/>
  <c r="H19" i="82"/>
  <c r="F18" i="82"/>
  <c r="F17" i="82"/>
  <c r="F16" i="82"/>
  <c r="F15" i="82"/>
  <c r="F14" i="82"/>
  <c r="F13" i="82"/>
  <c r="F12" i="82"/>
  <c r="G19" i="82" s="1"/>
  <c r="F19" i="79"/>
  <c r="F18" i="79"/>
  <c r="F17" i="79"/>
  <c r="G17" i="79" s="1"/>
  <c r="F16" i="79"/>
  <c r="F15" i="79"/>
  <c r="G15" i="79" s="1"/>
  <c r="F14" i="79"/>
  <c r="G14" i="79" s="1"/>
  <c r="G20" i="79" s="1"/>
  <c r="F13" i="79"/>
  <c r="H20" i="79"/>
  <c r="C10" i="82" l="1"/>
  <c r="C11" i="79"/>
  <c r="F19" i="82"/>
  <c r="A8" i="82" s="1"/>
  <c r="F20" i="79"/>
  <c r="A9" i="79" s="1"/>
  <c r="F12" i="33"/>
  <c r="F13" i="33"/>
  <c r="F14" i="33"/>
  <c r="F15" i="33"/>
  <c r="F16" i="33"/>
  <c r="G16" i="33" s="1"/>
  <c r="F17" i="33"/>
  <c r="F18" i="33"/>
  <c r="G18" i="33" s="1"/>
  <c r="H19" i="33"/>
  <c r="G8" i="82" l="1"/>
  <c r="G10" i="82" s="1"/>
  <c r="G9" i="79"/>
  <c r="G11" i="79" s="1"/>
  <c r="G19" i="33"/>
  <c r="G10" i="33"/>
  <c r="F19" i="33"/>
  <c r="A8" i="33" s="1"/>
  <c r="H19" i="52" l="1"/>
  <c r="F18" i="52"/>
  <c r="F17" i="52"/>
  <c r="F16" i="52"/>
  <c r="F15" i="52"/>
  <c r="F14" i="52"/>
  <c r="F13" i="52"/>
  <c r="F12" i="52"/>
  <c r="F19" i="52" l="1"/>
  <c r="A8" i="52" s="1"/>
  <c r="G19" i="52"/>
  <c r="G8" i="52" s="1"/>
  <c r="G10" i="52" s="1"/>
  <c r="C18" i="14"/>
  <c r="B18" i="14"/>
  <c r="C12" i="14"/>
  <c r="B12" i="14"/>
  <c r="C20" i="14" l="1"/>
  <c r="B20" i="14"/>
  <c r="H19" i="71" l="1"/>
  <c r="F18" i="71"/>
  <c r="F17" i="71"/>
  <c r="F16" i="71"/>
  <c r="F15" i="71"/>
  <c r="F14" i="71"/>
  <c r="F13" i="71"/>
  <c r="F12" i="71"/>
  <c r="C10" i="71"/>
  <c r="G6" i="71"/>
  <c r="H19" i="56"/>
  <c r="F18" i="56"/>
  <c r="F17" i="56"/>
  <c r="F16" i="56"/>
  <c r="G16" i="56" s="1"/>
  <c r="F15" i="56"/>
  <c r="F14" i="56"/>
  <c r="F13" i="56"/>
  <c r="F12" i="56"/>
  <c r="F19" i="71" l="1"/>
  <c r="A8" i="71" s="1"/>
  <c r="G19" i="71"/>
  <c r="F19" i="56"/>
  <c r="A8" i="56" s="1"/>
  <c r="G19" i="56"/>
  <c r="C8" i="56" s="1"/>
  <c r="G8" i="56" s="1"/>
  <c r="G10" i="56" s="1"/>
  <c r="G8" i="71" l="1"/>
  <c r="G10" i="71" s="1"/>
  <c r="H59" i="23"/>
  <c r="G59" i="23"/>
  <c r="F58" i="23"/>
  <c r="F57" i="23"/>
  <c r="F56" i="23"/>
  <c r="F55" i="23"/>
  <c r="F54" i="23"/>
  <c r="F53" i="23"/>
  <c r="F52" i="23"/>
  <c r="E48" i="23"/>
  <c r="C48" i="23"/>
  <c r="G48" i="23" s="1"/>
  <c r="G45" i="23"/>
  <c r="H39" i="23"/>
  <c r="G39" i="23"/>
  <c r="F38" i="23"/>
  <c r="F37" i="23"/>
  <c r="F36" i="23"/>
  <c r="F35" i="23"/>
  <c r="F34" i="23"/>
  <c r="F33" i="23"/>
  <c r="F32" i="23"/>
  <c r="E28" i="23"/>
  <c r="C28" i="23"/>
  <c r="G28" i="23" s="1"/>
  <c r="G25" i="23"/>
  <c r="H20" i="23"/>
  <c r="G20" i="23"/>
  <c r="F19" i="23"/>
  <c r="F18" i="23"/>
  <c r="F17" i="23"/>
  <c r="F16" i="23"/>
  <c r="F15" i="23"/>
  <c r="F14" i="23"/>
  <c r="F13" i="23"/>
  <c r="E9" i="23"/>
  <c r="C9" i="23"/>
  <c r="G9" i="23" s="1"/>
  <c r="G6" i="23"/>
  <c r="G30" i="23" l="1"/>
  <c r="G50" i="23"/>
  <c r="F59" i="23"/>
  <c r="A48" i="23" s="1"/>
  <c r="F39" i="23"/>
  <c r="A28" i="23" s="1"/>
  <c r="G11" i="23"/>
  <c r="F20" i="23"/>
  <c r="A9" i="23" s="1"/>
  <c r="H46" i="5" l="1"/>
  <c r="G20" i="5"/>
  <c r="H20" i="5"/>
  <c r="G25" i="5"/>
  <c r="E28" i="5"/>
  <c r="F30" i="17"/>
  <c r="F31" i="17"/>
  <c r="F32" i="17"/>
  <c r="F33" i="17"/>
  <c r="F34" i="17"/>
  <c r="F35" i="17"/>
  <c r="H94" i="17"/>
  <c r="F93" i="17"/>
  <c r="F92" i="17"/>
  <c r="F91" i="17"/>
  <c r="F90" i="17"/>
  <c r="F89" i="17"/>
  <c r="F88" i="17"/>
  <c r="F87" i="17"/>
  <c r="E85" i="17"/>
  <c r="E83" i="17"/>
  <c r="G80" i="17"/>
  <c r="H74" i="17"/>
  <c r="F73" i="17"/>
  <c r="F72" i="17"/>
  <c r="F71" i="17"/>
  <c r="F70" i="17"/>
  <c r="F69" i="17"/>
  <c r="F68" i="17"/>
  <c r="F67" i="17"/>
  <c r="E65" i="17"/>
  <c r="E63" i="17"/>
  <c r="G60" i="17"/>
  <c r="H55" i="17"/>
  <c r="F54" i="17"/>
  <c r="F53" i="17"/>
  <c r="F52" i="17"/>
  <c r="F51" i="17"/>
  <c r="F50" i="17"/>
  <c r="F49" i="17"/>
  <c r="F48" i="17"/>
  <c r="E46" i="17"/>
  <c r="E44" i="17"/>
  <c r="G41" i="17"/>
  <c r="H36" i="17"/>
  <c r="F29" i="17"/>
  <c r="E27" i="17"/>
  <c r="E25" i="17"/>
  <c r="G22" i="17"/>
  <c r="H18" i="17"/>
  <c r="G18" i="17"/>
  <c r="C9" i="17" s="1"/>
  <c r="F17" i="17"/>
  <c r="F16" i="17"/>
  <c r="F15" i="17"/>
  <c r="F14" i="17"/>
  <c r="F13" i="17"/>
  <c r="E11" i="17"/>
  <c r="E9" i="17"/>
  <c r="G6" i="17"/>
  <c r="H40" i="16"/>
  <c r="F39" i="16"/>
  <c r="G40" i="16" s="1"/>
  <c r="C29" i="16" s="1"/>
  <c r="F38" i="16"/>
  <c r="F37" i="16"/>
  <c r="F36" i="16"/>
  <c r="F35" i="16"/>
  <c r="F34" i="16"/>
  <c r="F33" i="16"/>
  <c r="E29" i="16"/>
  <c r="G26" i="16"/>
  <c r="H20" i="16"/>
  <c r="F19" i="16"/>
  <c r="G20" i="16" s="1"/>
  <c r="C9" i="16" s="1"/>
  <c r="G9" i="16" s="1"/>
  <c r="F18" i="16"/>
  <c r="F17" i="16"/>
  <c r="F16" i="16"/>
  <c r="F15" i="16"/>
  <c r="F14" i="16"/>
  <c r="F13" i="16"/>
  <c r="E9" i="16"/>
  <c r="G6" i="16"/>
  <c r="G29" i="16" l="1"/>
  <c r="F18" i="17"/>
  <c r="A9" i="17" s="1"/>
  <c r="F94" i="17"/>
  <c r="A83" i="17" s="1"/>
  <c r="G36" i="17"/>
  <c r="C25" i="17" s="1"/>
  <c r="G25" i="17" s="1"/>
  <c r="G27" i="17" s="1"/>
  <c r="F36" i="17"/>
  <c r="A25" i="17" s="1"/>
  <c r="F74" i="17"/>
  <c r="A63" i="17" s="1"/>
  <c r="F55" i="17"/>
  <c r="A44" i="17" s="1"/>
  <c r="G55" i="17"/>
  <c r="C44" i="17" s="1"/>
  <c r="G44" i="17" s="1"/>
  <c r="G46" i="17" s="1"/>
  <c r="G74" i="17"/>
  <c r="C63" i="17" s="1"/>
  <c r="G63" i="17" s="1"/>
  <c r="G65" i="17" s="1"/>
  <c r="G9" i="17"/>
  <c r="G11" i="17" s="1"/>
  <c r="G94" i="17"/>
  <c r="C83" i="17" s="1"/>
  <c r="G83" i="17" s="1"/>
  <c r="G85" i="17" s="1"/>
  <c r="G31" i="16"/>
  <c r="F40" i="16"/>
  <c r="A29" i="16" s="1"/>
  <c r="G11" i="16"/>
  <c r="F20" i="16"/>
  <c r="A9" i="16" s="1"/>
  <c r="F45" i="5"/>
  <c r="G45" i="5" s="1"/>
  <c r="F44" i="5"/>
  <c r="G44" i="5" s="1"/>
  <c r="F43" i="5"/>
  <c r="F42" i="5"/>
  <c r="F41" i="5"/>
  <c r="F40" i="5"/>
  <c r="G40" i="5" s="1"/>
  <c r="F39" i="5"/>
  <c r="G39" i="5" l="1"/>
  <c r="F38" i="5" l="1"/>
  <c r="G38" i="5" s="1"/>
  <c r="F37" i="5"/>
  <c r="G37" i="5" s="1"/>
  <c r="F36" i="5"/>
  <c r="F35" i="5"/>
  <c r="F34" i="5"/>
  <c r="G34" i="5" s="1"/>
  <c r="F33" i="5"/>
  <c r="G33" i="5" s="1"/>
  <c r="F32" i="5"/>
  <c r="F46" i="5" s="1"/>
  <c r="A28" i="5" s="1"/>
  <c r="G32" i="5" l="1"/>
  <c r="G46" i="5" s="1"/>
  <c r="C28" i="5" s="1"/>
  <c r="G28" i="5" s="1"/>
  <c r="G30" i="5" s="1"/>
  <c r="G6" i="5"/>
  <c r="E9" i="5"/>
  <c r="F19" i="5" l="1"/>
  <c r="F18" i="5"/>
  <c r="F17" i="5"/>
  <c r="F16" i="5"/>
  <c r="F15" i="5"/>
  <c r="F14" i="5"/>
  <c r="C9" i="5" l="1"/>
  <c r="F13" i="5"/>
  <c r="F20" i="5" s="1"/>
  <c r="G9" i="5" l="1"/>
  <c r="G11" i="5" s="1"/>
  <c r="A9" i="5"/>
</calcChain>
</file>

<file path=xl/sharedStrings.xml><?xml version="1.0" encoding="utf-8"?>
<sst xmlns="http://schemas.openxmlformats.org/spreadsheetml/2006/main" count="1489" uniqueCount="101">
  <si>
    <t>Nombre:</t>
  </si>
  <si>
    <t>JORNADA</t>
  </si>
  <si>
    <t>12HS</t>
  </si>
  <si>
    <t>Dni:</t>
  </si>
  <si>
    <t>6 HS</t>
  </si>
  <si>
    <t>HRS TRABAJADAS</t>
  </si>
  <si>
    <t xml:space="preserve"> HRS EXTRAS TRABAJADAS</t>
  </si>
  <si>
    <t xml:space="preserve"> VALOR HRS EXTRAS </t>
  </si>
  <si>
    <t>IMPORTE HRS EXTRAS TRABAJADAS</t>
  </si>
  <si>
    <t xml:space="preserve">1° SEM. TOTAL A COBRAR </t>
  </si>
  <si>
    <t>Convocatoria</t>
  </si>
  <si>
    <t>Dia</t>
  </si>
  <si>
    <t>Fecha</t>
  </si>
  <si>
    <t>Inicio de Actividades</t>
  </si>
  <si>
    <t>Fin de Actividades</t>
  </si>
  <si>
    <t>Hrs
trabajadas</t>
  </si>
  <si>
    <t>Hrs
Extras</t>
  </si>
  <si>
    <t>$ Jornal</t>
  </si>
  <si>
    <t>SABADO</t>
  </si>
  <si>
    <t>DOMINGO</t>
  </si>
  <si>
    <t>LUNES</t>
  </si>
  <si>
    <t>MARTES</t>
  </si>
  <si>
    <t>MIERCOLES</t>
  </si>
  <si>
    <t>Subtotal</t>
  </si>
  <si>
    <t>JUEVES</t>
  </si>
  <si>
    <t>VIERNES</t>
  </si>
  <si>
    <t>VALES/PRESTAMOS/MULTAS</t>
  </si>
  <si>
    <t>RECIBI CONFORME</t>
  </si>
  <si>
    <t>DNI</t>
  </si>
  <si>
    <t>LEANDRO NAVARRO</t>
  </si>
  <si>
    <t>VIGENCIA: JUNIO A SEPTIEMBRE 2023</t>
  </si>
  <si>
    <t xml:space="preserve">2° SEM. TOTAL A COBRAR </t>
  </si>
  <si>
    <t>NOMBRE</t>
  </si>
  <si>
    <t>IMPORTE</t>
  </si>
  <si>
    <t xml:space="preserve">3° SEM. TOTAL A COBRAR </t>
  </si>
  <si>
    <t>SUELDOS FAUSTOS-JULIO- 2023</t>
  </si>
  <si>
    <t>VIGENCIA: JULIO A OCTUBRE 2023</t>
  </si>
  <si>
    <t>JONATHAN</t>
  </si>
  <si>
    <t xml:space="preserve">4° SEM. TOTAL A COBRAR </t>
  </si>
  <si>
    <t xml:space="preserve">5° SEM. TOTAL A COBRAR </t>
  </si>
  <si>
    <t>JAZMIN VALDIVIA</t>
  </si>
  <si>
    <t>JONATHAN CHECA</t>
  </si>
  <si>
    <t>ALAN CHAVEZ</t>
  </si>
  <si>
    <t>LUCAS CARREÑO</t>
  </si>
  <si>
    <t>ISRAEL PEREZ</t>
  </si>
  <si>
    <t>TOTAL</t>
  </si>
  <si>
    <t>10 HS</t>
  </si>
  <si>
    <t>LEONEL RODRIGUEZ</t>
  </si>
  <si>
    <t>SUELDOS JORNALERO DO57</t>
  </si>
  <si>
    <t>BENJAMIN GASCO</t>
  </si>
  <si>
    <t>LISANDRO ROMERO</t>
  </si>
  <si>
    <t>BENJAMIN</t>
  </si>
  <si>
    <t>LISANDRO</t>
  </si>
  <si>
    <t>LIBRE</t>
  </si>
  <si>
    <t>PATRICIO ORTOLANIS</t>
  </si>
  <si>
    <t>SÁBADO</t>
  </si>
  <si>
    <t>MIÉRCOLES</t>
  </si>
  <si>
    <t xml:space="preserve"> TOTAL A COBRAR </t>
  </si>
  <si>
    <t>PATRICIO</t>
  </si>
  <si>
    <t xml:space="preserve">TOTAL A COBRAR </t>
  </si>
  <si>
    <t>POLO</t>
  </si>
  <si>
    <t>DAVID PUCHETA</t>
  </si>
  <si>
    <t>VIAJE DIARIO</t>
  </si>
  <si>
    <t>CANTIDAD VIAJES</t>
  </si>
  <si>
    <t>FALTA</t>
  </si>
  <si>
    <t>MARCOS VALDES</t>
  </si>
  <si>
    <t>MAURO ROBLEDO</t>
  </si>
  <si>
    <t>JAIR ECHENIQUE</t>
  </si>
  <si>
    <t>MAXIMILIANO ACUÑA</t>
  </si>
  <si>
    <t>VIAJES DIARIO-MOTO</t>
  </si>
  <si>
    <t>CABALEN</t>
  </si>
  <si>
    <t>MAURO MASSIMINO</t>
  </si>
  <si>
    <t>URIEL ALBARRACIN</t>
  </si>
  <si>
    <t>SUBTOTAL</t>
  </si>
  <si>
    <t>RESCOLDO</t>
  </si>
  <si>
    <t>Rescoldo</t>
  </si>
  <si>
    <t>KEMPES</t>
  </si>
  <si>
    <t>JULIO</t>
  </si>
  <si>
    <t>LIBRES</t>
  </si>
  <si>
    <t>2° SEM.JULIO  2026-JORNALEROS -(Sem.02 AL 08-07)</t>
  </si>
  <si>
    <t>Nombre</t>
  </si>
  <si>
    <t>ENJOY</t>
  </si>
  <si>
    <t>SEGURO MOTO-JULIO.2026</t>
  </si>
  <si>
    <t>3° SEM.JULIO  2026-JORNALEROS -(Sem.09 AL 15-07)</t>
  </si>
  <si>
    <t>BENJA GASCO</t>
  </si>
  <si>
    <t>SANTIAGO.E</t>
  </si>
  <si>
    <t>4° SEM.JULIO  2026-JORNALEROS -(Sem.16 AL 22-07)</t>
  </si>
  <si>
    <t>FORJA</t>
  </si>
  <si>
    <t>CHATEU PARK</t>
  </si>
  <si>
    <t>DANIEL CORDOBA</t>
  </si>
  <si>
    <t>OBSERVACIONES</t>
  </si>
  <si>
    <t>5-JORNAL</t>
  </si>
  <si>
    <t>2-JORNAL</t>
  </si>
  <si>
    <t>3-JORNAL</t>
  </si>
  <si>
    <t>4-JORNAL</t>
  </si>
  <si>
    <t>6-JORNAL+ VIAJES</t>
  </si>
  <si>
    <t>MULTAS-</t>
  </si>
  <si>
    <t>MULTAS- 16/07 LLEGADA TARDE-DESC.1 HS</t>
  </si>
  <si>
    <t>5° SEM.JULIO  2026-JORNALEROS -(Sem.23 AL 29-07)</t>
  </si>
  <si>
    <t>4 JORNADAS EN TOTAL</t>
  </si>
  <si>
    <t>DIF.HS JORNAL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</si>
</sst>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\ #,##0;[Red]\-&quot;$&quot;\ #,##0"/>
    <numFmt numFmtId="44" formatCode="_-&quot;$&quot;\ * #,##0.00_-;\-&quot;$&quot;\ * #,##0.00_-;_-&quot;$&quot;\ 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</font>
    <font>
      <b/>
      <sz val="1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</font>
    <font>
      <b/>
      <sz val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0"/>
      <color rgb="FFFF0000"/>
      <name val="Calibri"/>
      <family val="2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92D05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rgb="FF92D05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0" tint="-4.9989318521683403E-2"/>
        <bgColor rgb="FF92D050"/>
      </patternFill>
    </fill>
    <fill>
      <patternFill patternType="solid">
        <fgColor theme="3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7" fillId="12" borderId="0" applyNumberFormat="0" applyBorder="0" applyAlignment="0" applyProtection="0"/>
  </cellStyleXfs>
  <cellXfs count="4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8" fillId="7" borderId="34" xfId="0" applyFont="1" applyFill="1" applyBorder="1" applyAlignment="1">
      <alignment horizontal="center" vertical="center" wrapText="1"/>
    </xf>
    <xf numFmtId="0" fontId="8" fillId="7" borderId="35" xfId="0" applyFont="1" applyFill="1" applyBorder="1" applyAlignment="1">
      <alignment horizontal="center" vertical="center" wrapText="1"/>
    </xf>
    <xf numFmtId="0" fontId="8" fillId="7" borderId="3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" fontId="9" fillId="8" borderId="37" xfId="0" applyNumberFormat="1" applyFont="1" applyFill="1" applyBorder="1" applyAlignment="1">
      <alignment horizontal="center"/>
    </xf>
    <xf numFmtId="14" fontId="6" fillId="8" borderId="38" xfId="0" applyNumberFormat="1" applyFont="1" applyFill="1" applyBorder="1" applyAlignment="1">
      <alignment horizontal="center"/>
    </xf>
    <xf numFmtId="18" fontId="9" fillId="0" borderId="40" xfId="0" applyNumberFormat="1" applyFont="1" applyBorder="1" applyAlignment="1">
      <alignment horizontal="center"/>
    </xf>
    <xf numFmtId="18" fontId="9" fillId="0" borderId="38" xfId="0" applyNumberFormat="1" applyFont="1" applyBorder="1" applyAlignment="1">
      <alignment horizontal="center"/>
    </xf>
    <xf numFmtId="2" fontId="9" fillId="0" borderId="42" xfId="0" applyNumberFormat="1" applyFont="1" applyBorder="1" applyAlignment="1">
      <alignment horizontal="center"/>
    </xf>
    <xf numFmtId="44" fontId="9" fillId="0" borderId="43" xfId="1" applyFont="1" applyFill="1" applyBorder="1" applyAlignment="1">
      <alignment horizontal="center"/>
    </xf>
    <xf numFmtId="14" fontId="6" fillId="0" borderId="38" xfId="0" applyNumberFormat="1" applyFont="1" applyBorder="1" applyAlignment="1">
      <alignment horizontal="center"/>
    </xf>
    <xf numFmtId="0" fontId="7" fillId="0" borderId="0" xfId="0" applyFont="1"/>
    <xf numFmtId="18" fontId="9" fillId="8" borderId="40" xfId="0" applyNumberFormat="1" applyFont="1" applyFill="1" applyBorder="1" applyAlignment="1">
      <alignment horizontal="center"/>
    </xf>
    <xf numFmtId="18" fontId="9" fillId="8" borderId="39" xfId="0" applyNumberFormat="1" applyFont="1" applyFill="1" applyBorder="1" applyAlignment="1">
      <alignment horizontal="center"/>
    </xf>
    <xf numFmtId="18" fontId="9" fillId="8" borderId="38" xfId="0" applyNumberFormat="1" applyFont="1" applyFill="1" applyBorder="1" applyAlignment="1">
      <alignment horizontal="center"/>
    </xf>
    <xf numFmtId="2" fontId="9" fillId="8" borderId="42" xfId="0" applyNumberFormat="1" applyFont="1" applyFill="1" applyBorder="1" applyAlignment="1">
      <alignment horizontal="center"/>
    </xf>
    <xf numFmtId="44" fontId="9" fillId="8" borderId="43" xfId="1" applyFont="1" applyFill="1" applyBorder="1" applyAlignment="1">
      <alignment horizontal="center"/>
    </xf>
    <xf numFmtId="18" fontId="9" fillId="3" borderId="37" xfId="0" applyNumberFormat="1" applyFont="1" applyFill="1" applyBorder="1" applyAlignment="1">
      <alignment horizontal="center"/>
    </xf>
    <xf numFmtId="14" fontId="6" fillId="3" borderId="38" xfId="0" applyNumberFormat="1" applyFont="1" applyFill="1" applyBorder="1" applyAlignment="1">
      <alignment horizontal="center"/>
    </xf>
    <xf numFmtId="18" fontId="9" fillId="3" borderId="40" xfId="0" applyNumberFormat="1" applyFont="1" applyFill="1" applyBorder="1" applyAlignment="1">
      <alignment horizontal="center"/>
    </xf>
    <xf numFmtId="18" fontId="9" fillId="3" borderId="38" xfId="0" applyNumberFormat="1" applyFont="1" applyFill="1" applyBorder="1" applyAlignment="1">
      <alignment horizontal="center"/>
    </xf>
    <xf numFmtId="44" fontId="9" fillId="3" borderId="43" xfId="1" applyFont="1" applyFill="1" applyBorder="1" applyAlignment="1">
      <alignment horizontal="center"/>
    </xf>
    <xf numFmtId="2" fontId="9" fillId="3" borderId="41" xfId="0" applyNumberFormat="1" applyFont="1" applyFill="1" applyBorder="1" applyAlignment="1">
      <alignment horizontal="center"/>
    </xf>
    <xf numFmtId="14" fontId="6" fillId="3" borderId="39" xfId="0" applyNumberFormat="1" applyFont="1" applyFill="1" applyBorder="1" applyAlignment="1">
      <alignment horizontal="center"/>
    </xf>
    <xf numFmtId="18" fontId="9" fillId="3" borderId="39" xfId="0" applyNumberFormat="1" applyFont="1" applyFill="1" applyBorder="1" applyAlignment="1">
      <alignment horizontal="center"/>
    </xf>
    <xf numFmtId="2" fontId="9" fillId="3" borderId="42" xfId="0" applyNumberFormat="1" applyFont="1" applyFill="1" applyBorder="1" applyAlignment="1">
      <alignment horizontal="center"/>
    </xf>
    <xf numFmtId="0" fontId="8" fillId="9" borderId="37" xfId="0" applyFont="1" applyFill="1" applyBorder="1"/>
    <xf numFmtId="2" fontId="10" fillId="4" borderId="39" xfId="0" applyNumberFormat="1" applyFont="1" applyFill="1" applyBorder="1" applyAlignment="1">
      <alignment horizontal="center"/>
    </xf>
    <xf numFmtId="44" fontId="10" fillId="9" borderId="43" xfId="1" applyFont="1" applyFill="1" applyBorder="1" applyAlignment="1">
      <alignment horizontal="right"/>
    </xf>
    <xf numFmtId="44" fontId="2" fillId="0" borderId="0" xfId="1" applyFont="1"/>
    <xf numFmtId="0" fontId="8" fillId="9" borderId="35" xfId="0" applyFont="1" applyFill="1" applyBorder="1" applyAlignment="1">
      <alignment horizontal="center" vertical="center" wrapText="1"/>
    </xf>
    <xf numFmtId="44" fontId="12" fillId="9" borderId="52" xfId="1" applyFont="1" applyFill="1" applyBorder="1" applyAlignment="1">
      <alignment horizontal="right"/>
    </xf>
    <xf numFmtId="0" fontId="2" fillId="0" borderId="0" xfId="1" applyNumberFormat="1" applyFont="1"/>
    <xf numFmtId="0" fontId="0" fillId="10" borderId="6" xfId="0" applyFill="1" applyBorder="1"/>
    <xf numFmtId="0" fontId="0" fillId="10" borderId="7" xfId="0" applyFill="1" applyBorder="1"/>
    <xf numFmtId="0" fontId="0" fillId="10" borderId="8" xfId="0" applyFill="1" applyBorder="1"/>
    <xf numFmtId="14" fontId="6" fillId="8" borderId="47" xfId="0" applyNumberFormat="1" applyFont="1" applyFill="1" applyBorder="1" applyAlignment="1">
      <alignment horizontal="center"/>
    </xf>
    <xf numFmtId="0" fontId="4" fillId="11" borderId="16" xfId="0" applyFont="1" applyFill="1" applyBorder="1" applyAlignment="1">
      <alignment horizontal="center" vertical="center"/>
    </xf>
    <xf numFmtId="44" fontId="4" fillId="11" borderId="17" xfId="1" applyFont="1" applyFill="1" applyBorder="1" applyAlignment="1">
      <alignment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4" fillId="11" borderId="33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44" fontId="9" fillId="8" borderId="39" xfId="1" applyFont="1" applyFill="1" applyBorder="1" applyAlignment="1">
      <alignment horizontal="center"/>
    </xf>
    <xf numFmtId="44" fontId="9" fillId="3" borderId="39" xfId="1" applyFont="1" applyFill="1" applyBorder="1" applyAlignment="1">
      <alignment horizontal="center"/>
    </xf>
    <xf numFmtId="44" fontId="9" fillId="0" borderId="39" xfId="1" applyFont="1" applyFill="1" applyBorder="1" applyAlignment="1">
      <alignment horizontal="center"/>
    </xf>
    <xf numFmtId="44" fontId="10" fillId="9" borderId="39" xfId="1" applyFont="1" applyFill="1" applyBorder="1" applyAlignment="1">
      <alignment horizontal="right"/>
    </xf>
    <xf numFmtId="44" fontId="12" fillId="9" borderId="54" xfId="1" applyFont="1" applyFill="1" applyBorder="1" applyAlignment="1">
      <alignment horizontal="right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2" fontId="9" fillId="8" borderId="41" xfId="0" applyNumberFormat="1" applyFont="1" applyFill="1" applyBorder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14" fontId="6" fillId="3" borderId="47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6" fillId="8" borderId="39" xfId="0" applyNumberFormat="1" applyFont="1" applyFill="1" applyBorder="1" applyAlignment="1">
      <alignment horizontal="center"/>
    </xf>
    <xf numFmtId="18" fontId="14" fillId="8" borderId="38" xfId="0" applyNumberFormat="1" applyFont="1" applyFill="1" applyBorder="1" applyAlignment="1">
      <alignment horizontal="center"/>
    </xf>
    <xf numFmtId="44" fontId="14" fillId="8" borderId="43" xfId="1" applyFont="1" applyFill="1" applyBorder="1" applyAlignment="1">
      <alignment horizontal="center"/>
    </xf>
    <xf numFmtId="14" fontId="13" fillId="8" borderId="0" xfId="0" applyNumberFormat="1" applyFont="1" applyFill="1" applyAlignment="1">
      <alignment horizontal="center"/>
    </xf>
    <xf numFmtId="14" fontId="13" fillId="3" borderId="38" xfId="0" applyNumberFormat="1" applyFont="1" applyFill="1" applyBorder="1" applyAlignment="1">
      <alignment horizontal="center"/>
    </xf>
    <xf numFmtId="2" fontId="14" fillId="8" borderId="42" xfId="0" applyNumberFormat="1" applyFont="1" applyFill="1" applyBorder="1" applyAlignment="1">
      <alignment horizontal="center"/>
    </xf>
    <xf numFmtId="2" fontId="14" fillId="3" borderId="56" xfId="0" applyNumberFormat="1" applyFont="1" applyFill="1" applyBorder="1" applyAlignment="1">
      <alignment horizontal="center"/>
    </xf>
    <xf numFmtId="0" fontId="21" fillId="7" borderId="34" xfId="0" applyFont="1" applyFill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7" borderId="35" xfId="0" applyFont="1" applyFill="1" applyBorder="1" applyAlignment="1">
      <alignment horizontal="center" vertical="center" wrapText="1"/>
    </xf>
    <xf numFmtId="0" fontId="21" fillId="7" borderId="36" xfId="0" applyFont="1" applyFill="1" applyBorder="1" applyAlignment="1">
      <alignment horizontal="center" vertical="center" wrapText="1"/>
    </xf>
    <xf numFmtId="18" fontId="14" fillId="8" borderId="37" xfId="0" applyNumberFormat="1" applyFont="1" applyFill="1" applyBorder="1" applyAlignment="1">
      <alignment horizontal="center"/>
    </xf>
    <xf numFmtId="0" fontId="21" fillId="9" borderId="39" xfId="0" applyFont="1" applyFill="1" applyBorder="1" applyAlignment="1">
      <alignment horizontal="center"/>
    </xf>
    <xf numFmtId="2" fontId="19" fillId="4" borderId="38" xfId="0" applyNumberFormat="1" applyFont="1" applyFill="1" applyBorder="1" applyAlignment="1">
      <alignment horizontal="center"/>
    </xf>
    <xf numFmtId="44" fontId="19" fillId="9" borderId="43" xfId="1" applyFont="1" applyFill="1" applyBorder="1" applyAlignment="1">
      <alignment horizontal="right"/>
    </xf>
    <xf numFmtId="44" fontId="19" fillId="9" borderId="52" xfId="1" applyFont="1" applyFill="1" applyBorder="1" applyAlignment="1">
      <alignment horizontal="right"/>
    </xf>
    <xf numFmtId="18" fontId="14" fillId="13" borderId="37" xfId="0" applyNumberFormat="1" applyFont="1" applyFill="1" applyBorder="1" applyAlignment="1">
      <alignment horizontal="center"/>
    </xf>
    <xf numFmtId="18" fontId="14" fillId="13" borderId="38" xfId="0" applyNumberFormat="1" applyFont="1" applyFill="1" applyBorder="1" applyAlignment="1">
      <alignment horizontal="center"/>
    </xf>
    <xf numFmtId="2" fontId="14" fillId="13" borderId="42" xfId="0" applyNumberFormat="1" applyFont="1" applyFill="1" applyBorder="1" applyAlignment="1">
      <alignment horizontal="center"/>
    </xf>
    <xf numFmtId="44" fontId="14" fillId="13" borderId="43" xfId="1" applyFont="1" applyFill="1" applyBorder="1" applyAlignment="1">
      <alignment horizontal="center"/>
    </xf>
    <xf numFmtId="44" fontId="19" fillId="15" borderId="52" xfId="1" applyFont="1" applyFill="1" applyBorder="1" applyAlignment="1">
      <alignment horizontal="right"/>
    </xf>
    <xf numFmtId="14" fontId="13" fillId="8" borderId="0" xfId="0" applyNumberFormat="1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4" fontId="20" fillId="8" borderId="38" xfId="0" applyNumberFormat="1" applyFont="1" applyFill="1" applyBorder="1" applyAlignment="1">
      <alignment horizontal="center"/>
    </xf>
    <xf numFmtId="0" fontId="21" fillId="7" borderId="58" xfId="0" applyFont="1" applyFill="1" applyBorder="1" applyAlignment="1">
      <alignment horizontal="center" vertical="center" wrapText="1"/>
    </xf>
    <xf numFmtId="0" fontId="21" fillId="7" borderId="59" xfId="0" applyFont="1" applyFill="1" applyBorder="1" applyAlignment="1">
      <alignment horizontal="center" vertical="center" wrapText="1"/>
    </xf>
    <xf numFmtId="14" fontId="20" fillId="13" borderId="38" xfId="0" applyNumberFormat="1" applyFont="1" applyFill="1" applyBorder="1" applyAlignment="1">
      <alignment horizontal="center"/>
    </xf>
    <xf numFmtId="0" fontId="23" fillId="8" borderId="0" xfId="0" applyFont="1" applyFill="1"/>
    <xf numFmtId="0" fontId="24" fillId="8" borderId="0" xfId="0" applyFont="1" applyFill="1"/>
    <xf numFmtId="2" fontId="14" fillId="3" borderId="61" xfId="0" applyNumberFormat="1" applyFont="1" applyFill="1" applyBorder="1" applyAlignment="1">
      <alignment horizontal="center"/>
    </xf>
    <xf numFmtId="2" fontId="14" fillId="3" borderId="38" xfId="0" applyNumberFormat="1" applyFont="1" applyFill="1" applyBorder="1" applyAlignment="1">
      <alignment horizontal="center"/>
    </xf>
    <xf numFmtId="2" fontId="9" fillId="3" borderId="38" xfId="0" applyNumberFormat="1" applyFont="1" applyFill="1" applyBorder="1" applyAlignment="1">
      <alignment horizontal="center"/>
    </xf>
    <xf numFmtId="2" fontId="14" fillId="3" borderId="62" xfId="0" applyNumberFormat="1" applyFont="1" applyFill="1" applyBorder="1" applyAlignment="1">
      <alignment horizontal="center"/>
    </xf>
    <xf numFmtId="44" fontId="12" fillId="15" borderId="52" xfId="1" applyFont="1" applyFill="1" applyBorder="1" applyAlignment="1">
      <alignment horizontal="right"/>
    </xf>
    <xf numFmtId="44" fontId="25" fillId="16" borderId="38" xfId="1" applyFont="1" applyFill="1" applyBorder="1" applyAlignment="1">
      <alignment horizontal="center" vertical="center"/>
    </xf>
    <xf numFmtId="44" fontId="25" fillId="16" borderId="21" xfId="1" applyFont="1" applyFill="1" applyBorder="1" applyAlignment="1">
      <alignment vertical="center"/>
    </xf>
    <xf numFmtId="44" fontId="25" fillId="16" borderId="38" xfId="1" applyFont="1" applyFill="1" applyBorder="1" applyAlignment="1">
      <alignment vertical="center"/>
    </xf>
    <xf numFmtId="44" fontId="25" fillId="16" borderId="0" xfId="1" applyFont="1" applyFill="1" applyBorder="1" applyAlignment="1">
      <alignment vertical="center"/>
    </xf>
    <xf numFmtId="44" fontId="25" fillId="16" borderId="39" xfId="1" applyFont="1" applyFill="1" applyBorder="1" applyAlignment="1">
      <alignment horizontal="center" vertical="center"/>
    </xf>
    <xf numFmtId="44" fontId="4" fillId="8" borderId="38" xfId="1" applyFont="1" applyFill="1" applyBorder="1" applyAlignment="1">
      <alignment horizontal="center" vertical="center"/>
    </xf>
    <xf numFmtId="0" fontId="27" fillId="8" borderId="38" xfId="0" applyFont="1" applyFill="1" applyBorder="1" applyAlignment="1">
      <alignment horizontal="center"/>
    </xf>
    <xf numFmtId="0" fontId="25" fillId="8" borderId="38" xfId="0" applyFont="1" applyFill="1" applyBorder="1" applyAlignment="1">
      <alignment horizontal="center"/>
    </xf>
    <xf numFmtId="44" fontId="25" fillId="8" borderId="38" xfId="1" applyFont="1" applyFill="1" applyBorder="1" applyAlignment="1">
      <alignment horizontal="center" vertical="center"/>
    </xf>
    <xf numFmtId="18" fontId="28" fillId="8" borderId="37" xfId="0" applyNumberFormat="1" applyFont="1" applyFill="1" applyBorder="1" applyAlignment="1">
      <alignment horizontal="center"/>
    </xf>
    <xf numFmtId="44" fontId="0" fillId="0" borderId="0" xfId="0" applyNumberFormat="1"/>
    <xf numFmtId="0" fontId="4" fillId="8" borderId="38" xfId="0" applyFont="1" applyFill="1" applyBorder="1" applyAlignment="1">
      <alignment horizontal="center"/>
    </xf>
    <xf numFmtId="18" fontId="28" fillId="13" borderId="37" xfId="0" applyNumberFormat="1" applyFont="1" applyFill="1" applyBorder="1" applyAlignment="1">
      <alignment horizontal="center"/>
    </xf>
    <xf numFmtId="14" fontId="13" fillId="8" borderId="38" xfId="0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 vertical="center"/>
    </xf>
    <xf numFmtId="44" fontId="18" fillId="8" borderId="38" xfId="0" applyNumberFormat="1" applyFont="1" applyFill="1" applyBorder="1" applyAlignment="1">
      <alignment horizontal="center" vertical="center"/>
    </xf>
    <xf numFmtId="44" fontId="4" fillId="2" borderId="38" xfId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25" fillId="17" borderId="21" xfId="2" applyFont="1" applyFill="1" applyBorder="1" applyAlignment="1">
      <alignment horizontal="center" vertical="center"/>
    </xf>
    <xf numFmtId="44" fontId="25" fillId="18" borderId="38" xfId="1" applyFont="1" applyFill="1" applyBorder="1" applyAlignment="1">
      <alignment horizontal="center" vertical="center"/>
    </xf>
    <xf numFmtId="44" fontId="28" fillId="13" borderId="43" xfId="1" applyFont="1" applyFill="1" applyBorder="1" applyAlignment="1">
      <alignment horizontal="center"/>
    </xf>
    <xf numFmtId="44" fontId="18" fillId="8" borderId="38" xfId="0" applyNumberFormat="1" applyFont="1" applyFill="1" applyBorder="1"/>
    <xf numFmtId="14" fontId="13" fillId="13" borderId="38" xfId="0" applyNumberFormat="1" applyFont="1" applyFill="1" applyBorder="1" applyAlignment="1">
      <alignment horizontal="center"/>
    </xf>
    <xf numFmtId="44" fontId="4" fillId="0" borderId="38" xfId="0" applyNumberFormat="1" applyFont="1" applyBorder="1" applyAlignment="1">
      <alignment horizontal="center" vertical="center"/>
    </xf>
    <xf numFmtId="44" fontId="20" fillId="8" borderId="0" xfId="0" applyNumberFormat="1" applyFont="1" applyFill="1" applyAlignment="1">
      <alignment horizontal="center"/>
    </xf>
    <xf numFmtId="18" fontId="14" fillId="8" borderId="38" xfId="0" applyNumberFormat="1" applyFont="1" applyFill="1" applyBorder="1" applyAlignment="1">
      <alignment horizontal="center" vertical="center"/>
    </xf>
    <xf numFmtId="18" fontId="28" fillId="13" borderId="38" xfId="0" applyNumberFormat="1" applyFont="1" applyFill="1" applyBorder="1" applyAlignment="1">
      <alignment horizontal="center"/>
    </xf>
    <xf numFmtId="18" fontId="14" fillId="13" borderId="38" xfId="0" applyNumberFormat="1" applyFont="1" applyFill="1" applyBorder="1" applyAlignment="1">
      <alignment horizontal="center" vertical="center"/>
    </xf>
    <xf numFmtId="44" fontId="18" fillId="0" borderId="38" xfId="0" applyNumberFormat="1" applyFont="1" applyBorder="1" applyAlignment="1">
      <alignment horizontal="center" vertical="center"/>
    </xf>
    <xf numFmtId="14" fontId="30" fillId="13" borderId="38" xfId="0" applyNumberFormat="1" applyFont="1" applyFill="1" applyBorder="1" applyAlignment="1">
      <alignment horizontal="center"/>
    </xf>
    <xf numFmtId="44" fontId="18" fillId="8" borderId="38" xfId="1" applyFont="1" applyFill="1" applyBorder="1"/>
    <xf numFmtId="44" fontId="18" fillId="2" borderId="38" xfId="0" applyNumberFormat="1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/>
    </xf>
    <xf numFmtId="0" fontId="21" fillId="7" borderId="67" xfId="0" applyFont="1" applyFill="1" applyBorder="1" applyAlignment="1">
      <alignment horizontal="center" vertical="center" wrapText="1"/>
    </xf>
    <xf numFmtId="44" fontId="19" fillId="19" borderId="38" xfId="1" applyFont="1" applyFill="1" applyBorder="1" applyAlignment="1">
      <alignment horizontal="center" vertical="center"/>
    </xf>
    <xf numFmtId="0" fontId="19" fillId="15" borderId="52" xfId="1" applyNumberFormat="1" applyFont="1" applyFill="1" applyBorder="1" applyAlignment="1">
      <alignment horizontal="center" vertical="center"/>
    </xf>
    <xf numFmtId="44" fontId="25" fillId="16" borderId="39" xfId="1" applyFont="1" applyFill="1" applyBorder="1" applyAlignment="1">
      <alignment vertical="center"/>
    </xf>
    <xf numFmtId="0" fontId="25" fillId="17" borderId="68" xfId="2" applyFont="1" applyFill="1" applyBorder="1" applyAlignment="1">
      <alignment horizontal="center" vertical="center"/>
    </xf>
    <xf numFmtId="2" fontId="28" fillId="3" borderId="56" xfId="0" applyNumberFormat="1" applyFont="1" applyFill="1" applyBorder="1" applyAlignment="1">
      <alignment horizontal="center"/>
    </xf>
    <xf numFmtId="18" fontId="28" fillId="8" borderId="38" xfId="0" applyNumberFormat="1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44" fontId="20" fillId="8" borderId="0" xfId="0" applyNumberFormat="1" applyFont="1" applyFill="1" applyAlignment="1">
      <alignment horizontal="center"/>
    </xf>
    <xf numFmtId="14" fontId="13" fillId="3" borderId="39" xfId="0" applyNumberFormat="1" applyFont="1" applyFill="1" applyBorder="1" applyAlignment="1">
      <alignment horizontal="center"/>
    </xf>
    <xf numFmtId="0" fontId="21" fillId="20" borderId="38" xfId="0" applyFont="1" applyFill="1" applyBorder="1" applyAlignment="1">
      <alignment horizontal="center" vertical="center" wrapText="1"/>
    </xf>
    <xf numFmtId="0" fontId="21" fillId="7" borderId="38" xfId="0" applyFont="1" applyFill="1" applyBorder="1" applyAlignment="1">
      <alignment horizontal="center" vertical="center" wrapText="1"/>
    </xf>
    <xf numFmtId="18" fontId="14" fillId="8" borderId="39" xfId="0" applyNumberFormat="1" applyFont="1" applyFill="1" applyBorder="1" applyAlignment="1">
      <alignment horizontal="center"/>
    </xf>
    <xf numFmtId="14" fontId="20" fillId="8" borderId="39" xfId="0" applyNumberFormat="1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44" fontId="4" fillId="5" borderId="38" xfId="1" applyFont="1" applyFill="1" applyBorder="1" applyAlignment="1">
      <alignment horizontal="center" vertical="center"/>
    </xf>
    <xf numFmtId="44" fontId="18" fillId="5" borderId="38" xfId="1" applyFont="1" applyFill="1" applyBorder="1"/>
    <xf numFmtId="44" fontId="20" fillId="8" borderId="0" xfId="0" applyNumberFormat="1" applyFont="1" applyFill="1" applyAlignment="1">
      <alignment horizontal="center"/>
    </xf>
    <xf numFmtId="14" fontId="16" fillId="8" borderId="38" xfId="0" applyNumberFormat="1" applyFont="1" applyFill="1" applyBorder="1" applyAlignment="1">
      <alignment horizontal="center"/>
    </xf>
    <xf numFmtId="14" fontId="16" fillId="13" borderId="38" xfId="0" applyNumberFormat="1" applyFont="1" applyFill="1" applyBorder="1" applyAlignment="1">
      <alignment horizontal="center"/>
    </xf>
    <xf numFmtId="14" fontId="20" fillId="13" borderId="39" xfId="0" applyNumberFormat="1" applyFont="1" applyFill="1" applyBorder="1" applyAlignment="1">
      <alignment horizontal="center"/>
    </xf>
    <xf numFmtId="18" fontId="14" fillId="21" borderId="38" xfId="0" applyNumberFormat="1" applyFont="1" applyFill="1" applyBorder="1" applyAlignment="1">
      <alignment horizontal="center" vertical="center"/>
    </xf>
    <xf numFmtId="14" fontId="20" fillId="21" borderId="38" xfId="0" applyNumberFormat="1" applyFont="1" applyFill="1" applyBorder="1" applyAlignment="1">
      <alignment horizontal="center"/>
    </xf>
    <xf numFmtId="18" fontId="14" fillId="21" borderId="38" xfId="0" applyNumberFormat="1" applyFont="1" applyFill="1" applyBorder="1" applyAlignment="1">
      <alignment horizontal="center"/>
    </xf>
    <xf numFmtId="2" fontId="14" fillId="21" borderId="42" xfId="0" applyNumberFormat="1" applyFont="1" applyFill="1" applyBorder="1" applyAlignment="1">
      <alignment horizontal="center"/>
    </xf>
    <xf numFmtId="44" fontId="14" fillId="21" borderId="43" xfId="1" applyFont="1" applyFill="1" applyBorder="1" applyAlignment="1">
      <alignment horizontal="center"/>
    </xf>
    <xf numFmtId="2" fontId="12" fillId="4" borderId="38" xfId="0" applyNumberFormat="1" applyFont="1" applyFill="1" applyBorder="1" applyAlignment="1">
      <alignment horizontal="center"/>
    </xf>
    <xf numFmtId="44" fontId="18" fillId="8" borderId="38" xfId="0" applyNumberFormat="1" applyFont="1" applyFill="1" applyBorder="1" applyAlignment="1">
      <alignment vertical="center"/>
    </xf>
    <xf numFmtId="44" fontId="18" fillId="8" borderId="38" xfId="1" applyFont="1" applyFill="1" applyBorder="1" applyAlignment="1">
      <alignment horizontal="center" vertical="center"/>
    </xf>
    <xf numFmtId="0" fontId="4" fillId="0" borderId="38" xfId="0" applyFont="1" applyBorder="1" applyAlignment="1">
      <alignment horizontal="center"/>
    </xf>
    <xf numFmtId="0" fontId="20" fillId="8" borderId="50" xfId="0" applyFont="1" applyFill="1" applyBorder="1" applyAlignment="1">
      <alignment vertical="center"/>
    </xf>
    <xf numFmtId="44" fontId="20" fillId="8" borderId="45" xfId="0" applyNumberFormat="1" applyFont="1" applyFill="1" applyBorder="1" applyAlignment="1">
      <alignment vertical="center"/>
    </xf>
    <xf numFmtId="18" fontId="14" fillId="6" borderId="38" xfId="0" applyNumberFormat="1" applyFont="1" applyFill="1" applyBorder="1" applyAlignment="1">
      <alignment horizontal="center"/>
    </xf>
    <xf numFmtId="18" fontId="14" fillId="5" borderId="38" xfId="0" applyNumberFormat="1" applyFont="1" applyFill="1" applyBorder="1" applyAlignment="1">
      <alignment horizontal="center"/>
    </xf>
    <xf numFmtId="14" fontId="16" fillId="13" borderId="39" xfId="0" applyNumberFormat="1" applyFont="1" applyFill="1" applyBorder="1" applyAlignment="1">
      <alignment horizontal="center"/>
    </xf>
    <xf numFmtId="18" fontId="14" fillId="13" borderId="39" xfId="0" applyNumberFormat="1" applyFont="1" applyFill="1" applyBorder="1" applyAlignment="1">
      <alignment horizontal="center"/>
    </xf>
    <xf numFmtId="18" fontId="28" fillId="5" borderId="37" xfId="0" applyNumberFormat="1" applyFont="1" applyFill="1" applyBorder="1" applyAlignment="1">
      <alignment horizontal="center"/>
    </xf>
    <xf numFmtId="14" fontId="16" fillId="5" borderId="38" xfId="0" applyNumberFormat="1" applyFont="1" applyFill="1" applyBorder="1" applyAlignment="1">
      <alignment horizontal="center"/>
    </xf>
    <xf numFmtId="14" fontId="30" fillId="5" borderId="38" xfId="0" applyNumberFormat="1" applyFont="1" applyFill="1" applyBorder="1" applyAlignment="1">
      <alignment horizontal="center"/>
    </xf>
    <xf numFmtId="0" fontId="21" fillId="9" borderId="26" xfId="0" applyFont="1" applyFill="1" applyBorder="1" applyAlignment="1">
      <alignment horizontal="center"/>
    </xf>
    <xf numFmtId="0" fontId="21" fillId="9" borderId="20" xfId="0" applyFont="1" applyFill="1" applyBorder="1" applyAlignment="1">
      <alignment horizontal="center"/>
    </xf>
    <xf numFmtId="0" fontId="21" fillId="9" borderId="21" xfId="0" applyFont="1" applyFill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4" fillId="0" borderId="66" xfId="0" applyFont="1" applyBorder="1" applyAlignment="1">
      <alignment horizontal="center"/>
    </xf>
    <xf numFmtId="0" fontId="24" fillId="0" borderId="50" xfId="0" applyFont="1" applyBorder="1" applyAlignment="1">
      <alignment horizontal="center"/>
    </xf>
    <xf numFmtId="0" fontId="24" fillId="0" borderId="4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45" xfId="0" applyFont="1" applyBorder="1" applyAlignment="1">
      <alignment horizontal="center"/>
    </xf>
    <xf numFmtId="0" fontId="24" fillId="0" borderId="40" xfId="0" applyFont="1" applyBorder="1" applyAlignment="1">
      <alignment horizontal="center"/>
    </xf>
    <xf numFmtId="0" fontId="29" fillId="16" borderId="19" xfId="0" applyFont="1" applyFill="1" applyBorder="1" applyAlignment="1">
      <alignment horizontal="center"/>
    </xf>
    <xf numFmtId="0" fontId="29" fillId="16" borderId="21" xfId="0" applyFont="1" applyFill="1" applyBorder="1" applyAlignment="1">
      <alignment horizontal="center"/>
    </xf>
    <xf numFmtId="0" fontId="29" fillId="16" borderId="26" xfId="0" applyFont="1" applyFill="1" applyBorder="1" applyAlignment="1">
      <alignment horizontal="center"/>
    </xf>
    <xf numFmtId="0" fontId="29" fillId="16" borderId="23" xfId="0" applyFont="1" applyFill="1" applyBorder="1" applyAlignment="1">
      <alignment horizontal="center"/>
    </xf>
    <xf numFmtId="0" fontId="29" fillId="16" borderId="65" xfId="0" applyFont="1" applyFill="1" applyBorder="1" applyAlignment="1">
      <alignment horizontal="center"/>
    </xf>
    <xf numFmtId="0" fontId="29" fillId="16" borderId="31" xfId="0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/>
    </xf>
    <xf numFmtId="0" fontId="20" fillId="6" borderId="21" xfId="0" applyFont="1" applyFill="1" applyBorder="1" applyAlignment="1">
      <alignment horizontal="center"/>
    </xf>
    <xf numFmtId="1" fontId="20" fillId="8" borderId="53" xfId="0" applyNumberFormat="1" applyFont="1" applyFill="1" applyBorder="1" applyAlignment="1">
      <alignment horizontal="center"/>
    </xf>
    <xf numFmtId="1" fontId="20" fillId="8" borderId="46" xfId="0" applyNumberFormat="1" applyFont="1" applyFill="1" applyBorder="1" applyAlignment="1">
      <alignment horizontal="center"/>
    </xf>
    <xf numFmtId="2" fontId="20" fillId="8" borderId="66" xfId="1" applyNumberFormat="1" applyFont="1" applyFill="1" applyBorder="1" applyAlignment="1">
      <alignment horizontal="center"/>
    </xf>
    <xf numFmtId="2" fontId="20" fillId="8" borderId="46" xfId="1" applyNumberFormat="1" applyFont="1" applyFill="1" applyBorder="1" applyAlignment="1">
      <alignment horizontal="center"/>
    </xf>
    <xf numFmtId="6" fontId="21" fillId="8" borderId="66" xfId="0" applyNumberFormat="1" applyFont="1" applyFill="1" applyBorder="1" applyAlignment="1">
      <alignment horizontal="center"/>
    </xf>
    <xf numFmtId="6" fontId="21" fillId="8" borderId="33" xfId="0" applyNumberFormat="1" applyFont="1" applyFill="1" applyBorder="1" applyAlignment="1">
      <alignment horizontal="center"/>
    </xf>
    <xf numFmtId="44" fontId="22" fillId="6" borderId="26" xfId="0" applyNumberFormat="1" applyFont="1" applyFill="1" applyBorder="1" applyAlignment="1">
      <alignment horizontal="center"/>
    </xf>
    <xf numFmtId="44" fontId="22" fillId="6" borderId="21" xfId="0" applyNumberFormat="1" applyFont="1" applyFill="1" applyBorder="1" applyAlignment="1">
      <alignment horizontal="center"/>
    </xf>
    <xf numFmtId="2" fontId="20" fillId="8" borderId="19" xfId="0" applyNumberFormat="1" applyFont="1" applyFill="1" applyBorder="1" applyAlignment="1">
      <alignment horizontal="center"/>
    </xf>
    <xf numFmtId="2" fontId="20" fillId="8" borderId="21" xfId="0" applyNumberFormat="1" applyFont="1" applyFill="1" applyBorder="1" applyAlignment="1">
      <alignment horizontal="center"/>
    </xf>
    <xf numFmtId="2" fontId="16" fillId="8" borderId="26" xfId="0" applyNumberFormat="1" applyFont="1" applyFill="1" applyBorder="1" applyAlignment="1">
      <alignment horizontal="center"/>
    </xf>
    <xf numFmtId="2" fontId="16" fillId="8" borderId="21" xfId="0" applyNumberFormat="1" applyFont="1" applyFill="1" applyBorder="1" applyAlignment="1">
      <alignment horizontal="center"/>
    </xf>
    <xf numFmtId="6" fontId="11" fillId="8" borderId="27" xfId="0" applyNumberFormat="1" applyFont="1" applyFill="1" applyBorder="1" applyAlignment="1">
      <alignment horizontal="center"/>
    </xf>
    <xf numFmtId="6" fontId="11" fillId="8" borderId="69" xfId="0" applyNumberFormat="1" applyFont="1" applyFill="1" applyBorder="1" applyAlignment="1">
      <alignment horizontal="center"/>
    </xf>
    <xf numFmtId="44" fontId="16" fillId="8" borderId="26" xfId="1" applyFont="1" applyFill="1" applyBorder="1" applyAlignment="1">
      <alignment horizontal="center"/>
    </xf>
    <xf numFmtId="44" fontId="16" fillId="8" borderId="21" xfId="1" applyFont="1" applyFill="1" applyBorder="1" applyAlignment="1">
      <alignment horizontal="center"/>
    </xf>
    <xf numFmtId="0" fontId="25" fillId="16" borderId="22" xfId="0" applyFont="1" applyFill="1" applyBorder="1" applyAlignment="1">
      <alignment horizontal="center" vertical="center"/>
    </xf>
    <xf numFmtId="0" fontId="25" fillId="16" borderId="14" xfId="0" applyFont="1" applyFill="1" applyBorder="1" applyAlignment="1">
      <alignment horizontal="center" vertical="center"/>
    </xf>
    <xf numFmtId="0" fontId="25" fillId="16" borderId="12" xfId="0" applyFont="1" applyFill="1" applyBorder="1" applyAlignment="1">
      <alignment horizontal="center" vertical="center"/>
    </xf>
    <xf numFmtId="0" fontId="25" fillId="16" borderId="13" xfId="0" applyFont="1" applyFill="1" applyBorder="1" applyAlignment="1">
      <alignment horizontal="center" vertical="center"/>
    </xf>
    <xf numFmtId="0" fontId="25" fillId="16" borderId="15" xfId="0" applyFont="1" applyFill="1" applyBorder="1" applyAlignment="1">
      <alignment horizontal="center" vertical="center"/>
    </xf>
    <xf numFmtId="0" fontId="25" fillId="18" borderId="54" xfId="0" applyFont="1" applyFill="1" applyBorder="1" applyAlignment="1">
      <alignment horizontal="center" vertical="center"/>
    </xf>
    <xf numFmtId="0" fontId="25" fillId="18" borderId="39" xfId="0" applyFont="1" applyFill="1" applyBorder="1" applyAlignment="1">
      <alignment horizontal="center" vertical="center"/>
    </xf>
    <xf numFmtId="0" fontId="25" fillId="16" borderId="26" xfId="0" applyFont="1" applyFill="1" applyBorder="1" applyAlignment="1">
      <alignment horizontal="center" vertical="center"/>
    </xf>
    <xf numFmtId="0" fontId="25" fillId="16" borderId="20" xfId="0" applyFont="1" applyFill="1" applyBorder="1" applyAlignment="1">
      <alignment horizontal="center" vertical="center"/>
    </xf>
    <xf numFmtId="3" fontId="25" fillId="16" borderId="20" xfId="0" applyNumberFormat="1" applyFont="1" applyFill="1" applyBorder="1" applyAlignment="1">
      <alignment horizontal="center" vertical="center"/>
    </xf>
    <xf numFmtId="3" fontId="25" fillId="16" borderId="21" xfId="0" applyNumberFormat="1" applyFont="1" applyFill="1" applyBorder="1" applyAlignment="1">
      <alignment horizontal="center" vertical="center"/>
    </xf>
    <xf numFmtId="0" fontId="20" fillId="8" borderId="50" xfId="0" applyFont="1" applyFill="1" applyBorder="1" applyAlignment="1">
      <alignment horizontal="center" vertical="center"/>
    </xf>
    <xf numFmtId="44" fontId="20" fillId="8" borderId="45" xfId="0" applyNumberFormat="1" applyFont="1" applyFill="1" applyBorder="1" applyAlignment="1">
      <alignment horizontal="center" vertical="center"/>
    </xf>
    <xf numFmtId="0" fontId="25" fillId="16" borderId="9" xfId="2" applyFont="1" applyFill="1" applyBorder="1" applyAlignment="1">
      <alignment horizontal="center" vertical="center"/>
    </xf>
    <xf numFmtId="0" fontId="25" fillId="16" borderId="10" xfId="2" applyFont="1" applyFill="1" applyBorder="1" applyAlignment="1">
      <alignment horizontal="center" vertical="center"/>
    </xf>
    <xf numFmtId="17" fontId="25" fillId="17" borderId="26" xfId="2" applyNumberFormat="1" applyFont="1" applyFill="1" applyBorder="1" applyAlignment="1">
      <alignment horizontal="center" vertical="center"/>
    </xf>
    <xf numFmtId="17" fontId="25" fillId="17" borderId="20" xfId="2" applyNumberFormat="1" applyFont="1" applyFill="1" applyBorder="1" applyAlignment="1">
      <alignment horizontal="center" vertical="center"/>
    </xf>
    <xf numFmtId="2" fontId="20" fillId="8" borderId="26" xfId="0" applyNumberFormat="1" applyFont="1" applyFill="1" applyBorder="1" applyAlignment="1">
      <alignment horizontal="center"/>
    </xf>
    <xf numFmtId="6" fontId="21" fillId="8" borderId="46" xfId="0" applyNumberFormat="1" applyFont="1" applyFill="1" applyBorder="1" applyAlignment="1">
      <alignment horizontal="center"/>
    </xf>
    <xf numFmtId="44" fontId="22" fillId="6" borderId="66" xfId="0" applyNumberFormat="1" applyFont="1" applyFill="1" applyBorder="1" applyAlignment="1">
      <alignment horizontal="center"/>
    </xf>
    <xf numFmtId="44" fontId="22" fillId="6" borderId="46" xfId="0" applyNumberFormat="1" applyFont="1" applyFill="1" applyBorder="1" applyAlignment="1">
      <alignment horizontal="center"/>
    </xf>
    <xf numFmtId="0" fontId="20" fillId="8" borderId="50" xfId="0" applyFont="1" applyFill="1" applyBorder="1" applyAlignment="1">
      <alignment horizontal="center"/>
    </xf>
    <xf numFmtId="0" fontId="20" fillId="8" borderId="46" xfId="0" applyFont="1" applyFill="1" applyBorder="1" applyAlignment="1">
      <alignment horizontal="center"/>
    </xf>
    <xf numFmtId="0" fontId="20" fillId="8" borderId="45" xfId="0" applyFont="1" applyFill="1" applyBorder="1" applyAlignment="1">
      <alignment horizontal="center"/>
    </xf>
    <xf numFmtId="0" fontId="20" fillId="8" borderId="40" xfId="0" applyFont="1" applyFill="1" applyBorder="1" applyAlignment="1">
      <alignment horizontal="center"/>
    </xf>
    <xf numFmtId="0" fontId="21" fillId="15" borderId="26" xfId="0" applyFont="1" applyFill="1" applyBorder="1" applyAlignment="1">
      <alignment horizontal="center"/>
    </xf>
    <xf numFmtId="0" fontId="21" fillId="15" borderId="20" xfId="0" applyFont="1" applyFill="1" applyBorder="1" applyAlignment="1">
      <alignment horizontal="center"/>
    </xf>
    <xf numFmtId="0" fontId="21" fillId="15" borderId="21" xfId="0" applyFont="1" applyFill="1" applyBorder="1" applyAlignment="1">
      <alignment horizontal="center"/>
    </xf>
    <xf numFmtId="2" fontId="20" fillId="14" borderId="19" xfId="0" applyNumberFormat="1" applyFont="1" applyFill="1" applyBorder="1" applyAlignment="1">
      <alignment horizontal="center"/>
    </xf>
    <xf numFmtId="2" fontId="20" fillId="14" borderId="21" xfId="0" applyNumberFormat="1" applyFont="1" applyFill="1" applyBorder="1" applyAlignment="1">
      <alignment horizontal="center"/>
    </xf>
    <xf numFmtId="2" fontId="16" fillId="13" borderId="26" xfId="0" applyNumberFormat="1" applyFont="1" applyFill="1" applyBorder="1" applyAlignment="1">
      <alignment horizontal="center"/>
    </xf>
    <xf numFmtId="2" fontId="16" fillId="13" borderId="21" xfId="0" applyNumberFormat="1" applyFont="1" applyFill="1" applyBorder="1" applyAlignment="1">
      <alignment horizontal="center"/>
    </xf>
    <xf numFmtId="6" fontId="11" fillId="13" borderId="27" xfId="0" applyNumberFormat="1" applyFont="1" applyFill="1" applyBorder="1" applyAlignment="1">
      <alignment horizontal="center"/>
    </xf>
    <xf numFmtId="6" fontId="11" fillId="13" borderId="28" xfId="0" applyNumberFormat="1" applyFont="1" applyFill="1" applyBorder="1" applyAlignment="1">
      <alignment horizontal="center"/>
    </xf>
    <xf numFmtId="44" fontId="16" fillId="8" borderId="29" xfId="1" applyFont="1" applyFill="1" applyBorder="1" applyAlignment="1">
      <alignment horizontal="center"/>
    </xf>
    <xf numFmtId="44" fontId="16" fillId="8" borderId="23" xfId="1" applyFont="1" applyFill="1" applyBorder="1" applyAlignment="1">
      <alignment horizontal="center"/>
    </xf>
    <xf numFmtId="0" fontId="20" fillId="16" borderId="19" xfId="0" applyFont="1" applyFill="1" applyBorder="1" applyAlignment="1">
      <alignment horizontal="center"/>
    </xf>
    <xf numFmtId="0" fontId="20" fillId="16" borderId="21" xfId="0" applyFont="1" applyFill="1" applyBorder="1" applyAlignment="1">
      <alignment horizontal="center"/>
    </xf>
    <xf numFmtId="0" fontId="20" fillId="16" borderId="26" xfId="0" applyFont="1" applyFill="1" applyBorder="1" applyAlignment="1">
      <alignment horizontal="center"/>
    </xf>
    <xf numFmtId="0" fontId="20" fillId="16" borderId="23" xfId="0" applyFont="1" applyFill="1" applyBorder="1" applyAlignment="1">
      <alignment horizontal="center"/>
    </xf>
    <xf numFmtId="0" fontId="20" fillId="16" borderId="65" xfId="0" applyFont="1" applyFill="1" applyBorder="1" applyAlignment="1">
      <alignment horizontal="center"/>
    </xf>
    <xf numFmtId="0" fontId="20" fillId="16" borderId="31" xfId="0" applyFont="1" applyFill="1" applyBorder="1" applyAlignment="1">
      <alignment horizontal="center"/>
    </xf>
    <xf numFmtId="0" fontId="20" fillId="6" borderId="23" xfId="0" applyFont="1" applyFill="1" applyBorder="1" applyAlignment="1">
      <alignment horizontal="center"/>
    </xf>
    <xf numFmtId="1" fontId="20" fillId="8" borderId="32" xfId="0" applyNumberFormat="1" applyFont="1" applyFill="1" applyBorder="1" applyAlignment="1">
      <alignment horizontal="center"/>
    </xf>
    <xf numFmtId="1" fontId="20" fillId="8" borderId="33" xfId="0" applyNumberFormat="1" applyFont="1" applyFill="1" applyBorder="1" applyAlignment="1">
      <alignment horizontal="center"/>
    </xf>
    <xf numFmtId="2" fontId="20" fillId="8" borderId="16" xfId="1" applyNumberFormat="1" applyFont="1" applyFill="1" applyBorder="1" applyAlignment="1">
      <alignment horizontal="center"/>
    </xf>
    <xf numFmtId="2" fontId="20" fillId="8" borderId="33" xfId="1" applyNumberFormat="1" applyFont="1" applyFill="1" applyBorder="1" applyAlignment="1">
      <alignment horizontal="center"/>
    </xf>
    <xf numFmtId="6" fontId="11" fillId="8" borderId="16" xfId="0" applyNumberFormat="1" applyFont="1" applyFill="1" applyBorder="1" applyAlignment="1">
      <alignment horizontal="center"/>
    </xf>
    <xf numFmtId="6" fontId="11" fillId="8" borderId="64" xfId="0" applyNumberFormat="1" applyFont="1" applyFill="1" applyBorder="1" applyAlignment="1">
      <alignment horizontal="center"/>
    </xf>
    <xf numFmtId="44" fontId="22" fillId="6" borderId="63" xfId="0" applyNumberFormat="1" applyFont="1" applyFill="1" applyBorder="1" applyAlignment="1">
      <alignment horizontal="center"/>
    </xf>
    <xf numFmtId="44" fontId="22" fillId="6" borderId="18" xfId="0" applyNumberFormat="1" applyFont="1" applyFill="1" applyBorder="1" applyAlignment="1">
      <alignment horizontal="center"/>
    </xf>
    <xf numFmtId="2" fontId="20" fillId="13" borderId="26" xfId="0" applyNumberFormat="1" applyFont="1" applyFill="1" applyBorder="1" applyAlignment="1">
      <alignment horizontal="center"/>
    </xf>
    <xf numFmtId="2" fontId="20" fillId="13" borderId="21" xfId="0" applyNumberFormat="1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0" fillId="8" borderId="0" xfId="0" applyFont="1" applyFill="1" applyAlignment="1">
      <alignment horizontal="center"/>
    </xf>
    <xf numFmtId="44" fontId="20" fillId="8" borderId="0" xfId="0" applyNumberFormat="1" applyFont="1" applyFill="1" applyAlignment="1">
      <alignment horizontal="center"/>
    </xf>
    <xf numFmtId="0" fontId="21" fillId="15" borderId="38" xfId="0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20" fillId="3" borderId="19" xfId="0" applyFont="1" applyFill="1" applyBorder="1" applyAlignment="1">
      <alignment horizontal="center"/>
    </xf>
    <xf numFmtId="0" fontId="20" fillId="3" borderId="21" xfId="0" applyFont="1" applyFill="1" applyBorder="1" applyAlignment="1">
      <alignment horizontal="center"/>
    </xf>
    <xf numFmtId="0" fontId="20" fillId="3" borderId="26" xfId="0" applyFont="1" applyFill="1" applyBorder="1" applyAlignment="1">
      <alignment horizontal="center"/>
    </xf>
    <xf numFmtId="6" fontId="21" fillId="8" borderId="27" xfId="0" applyNumberFormat="1" applyFont="1" applyFill="1" applyBorder="1" applyAlignment="1">
      <alignment horizontal="center"/>
    </xf>
    <xf numFmtId="6" fontId="21" fillId="8" borderId="28" xfId="0" applyNumberFormat="1" applyFont="1" applyFill="1" applyBorder="1" applyAlignment="1">
      <alignment horizontal="center"/>
    </xf>
    <xf numFmtId="44" fontId="22" fillId="0" borderId="16" xfId="0" applyNumberFormat="1" applyFont="1" applyBorder="1" applyAlignment="1">
      <alignment horizontal="center"/>
    </xf>
    <xf numFmtId="44" fontId="22" fillId="0" borderId="18" xfId="0" applyNumberFormat="1" applyFont="1" applyBorder="1" applyAlignment="1">
      <alignment horizontal="center"/>
    </xf>
    <xf numFmtId="0" fontId="20" fillId="3" borderId="23" xfId="0" applyFont="1" applyFill="1" applyBorder="1" applyAlignment="1">
      <alignment horizontal="center"/>
    </xf>
    <xf numFmtId="0" fontId="20" fillId="3" borderId="38" xfId="0" applyFont="1" applyFill="1" applyBorder="1" applyAlignment="1">
      <alignment horizontal="center"/>
    </xf>
    <xf numFmtId="6" fontId="11" fillId="8" borderId="28" xfId="0" applyNumberFormat="1" applyFont="1" applyFill="1" applyBorder="1" applyAlignment="1">
      <alignment horizontal="center"/>
    </xf>
    <xf numFmtId="0" fontId="25" fillId="16" borderId="38" xfId="0" applyFont="1" applyFill="1" applyBorder="1" applyAlignment="1">
      <alignment horizontal="center" vertical="center"/>
    </xf>
    <xf numFmtId="0" fontId="25" fillId="16" borderId="19" xfId="0" applyFont="1" applyFill="1" applyBorder="1" applyAlignment="1">
      <alignment horizontal="center" vertical="center"/>
    </xf>
    <xf numFmtId="0" fontId="11" fillId="15" borderId="38" xfId="0" applyFont="1" applyFill="1" applyBorder="1" applyAlignment="1">
      <alignment horizontal="center"/>
    </xf>
    <xf numFmtId="17" fontId="25" fillId="17" borderId="9" xfId="2" applyNumberFormat="1" applyFont="1" applyFill="1" applyBorder="1" applyAlignment="1">
      <alignment horizontal="center" vertical="center"/>
    </xf>
    <xf numFmtId="17" fontId="25" fillId="17" borderId="11" xfId="2" applyNumberFormat="1" applyFont="1" applyFill="1" applyBorder="1" applyAlignment="1">
      <alignment horizontal="center" vertical="center"/>
    </xf>
    <xf numFmtId="0" fontId="25" fillId="16" borderId="39" xfId="0" applyFont="1" applyFill="1" applyBorder="1" applyAlignment="1">
      <alignment horizontal="center" vertical="center"/>
    </xf>
    <xf numFmtId="0" fontId="20" fillId="3" borderId="24" xfId="0" applyFont="1" applyFill="1" applyBorder="1" applyAlignment="1">
      <alignment horizontal="center"/>
    </xf>
    <xf numFmtId="0" fontId="20" fillId="3" borderId="25" xfId="0" applyFont="1" applyFill="1" applyBorder="1" applyAlignment="1">
      <alignment horizontal="center"/>
    </xf>
    <xf numFmtId="44" fontId="22" fillId="6" borderId="16" xfId="0" applyNumberFormat="1" applyFont="1" applyFill="1" applyBorder="1" applyAlignment="1">
      <alignment horizontal="center"/>
    </xf>
    <xf numFmtId="0" fontId="11" fillId="19" borderId="26" xfId="0" applyFont="1" applyFill="1" applyBorder="1" applyAlignment="1">
      <alignment horizontal="center" vertical="center"/>
    </xf>
    <xf numFmtId="0" fontId="11" fillId="19" borderId="20" xfId="0" applyFont="1" applyFill="1" applyBorder="1" applyAlignment="1">
      <alignment horizontal="center" vertical="center"/>
    </xf>
    <xf numFmtId="0" fontId="11" fillId="19" borderId="21" xfId="0" applyFont="1" applyFill="1" applyBorder="1" applyAlignment="1">
      <alignment horizontal="center" vertical="center"/>
    </xf>
    <xf numFmtId="0" fontId="11" fillId="15" borderId="26" xfId="0" applyFont="1" applyFill="1" applyBorder="1" applyAlignment="1">
      <alignment horizontal="center" vertical="center"/>
    </xf>
    <xf numFmtId="0" fontId="11" fillId="15" borderId="20" xfId="0" applyFont="1" applyFill="1" applyBorder="1" applyAlignment="1">
      <alignment horizontal="center" vertical="center"/>
    </xf>
    <xf numFmtId="0" fontId="11" fillId="15" borderId="21" xfId="0" applyFont="1" applyFill="1" applyBorder="1" applyAlignment="1">
      <alignment horizontal="center" vertical="center"/>
    </xf>
    <xf numFmtId="0" fontId="23" fillId="0" borderId="38" xfId="0" applyFont="1" applyBorder="1" applyAlignment="1">
      <alignment horizontal="center"/>
    </xf>
    <xf numFmtId="0" fontId="24" fillId="0" borderId="38" xfId="0" applyFont="1" applyBorder="1" applyAlignment="1">
      <alignment horizontal="center"/>
    </xf>
    <xf numFmtId="0" fontId="20" fillId="8" borderId="33" xfId="1" applyNumberFormat="1" applyFont="1" applyFill="1" applyBorder="1" applyAlignment="1">
      <alignment horizontal="center"/>
    </xf>
    <xf numFmtId="6" fontId="11" fillId="8" borderId="60" xfId="0" applyNumberFormat="1" applyFont="1" applyFill="1" applyBorder="1" applyAlignment="1">
      <alignment horizontal="center"/>
    </xf>
    <xf numFmtId="0" fontId="25" fillId="16" borderId="57" xfId="0" applyFont="1" applyFill="1" applyBorder="1" applyAlignment="1">
      <alignment horizontal="center" vertical="center"/>
    </xf>
    <xf numFmtId="0" fontId="23" fillId="0" borderId="50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44" fontId="20" fillId="8" borderId="45" xfId="0" applyNumberFormat="1" applyFont="1" applyFill="1" applyBorder="1" applyAlignment="1">
      <alignment horizontal="center"/>
    </xf>
    <xf numFmtId="0" fontId="20" fillId="3" borderId="65" xfId="0" applyFont="1" applyFill="1" applyBorder="1" applyAlignment="1">
      <alignment horizontal="center"/>
    </xf>
    <xf numFmtId="0" fontId="20" fillId="3" borderId="31" xfId="0" applyFont="1" applyFill="1" applyBorder="1" applyAlignment="1">
      <alignment horizontal="center"/>
    </xf>
    <xf numFmtId="44" fontId="22" fillId="0" borderId="63" xfId="0" applyNumberFormat="1" applyFont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44" fontId="5" fillId="8" borderId="4" xfId="0" applyNumberFormat="1" applyFont="1" applyFill="1" applyBorder="1" applyAlignment="1">
      <alignment horizontal="center"/>
    </xf>
    <xf numFmtId="44" fontId="5" fillId="8" borderId="0" xfId="0" applyNumberFormat="1" applyFont="1" applyFill="1" applyAlignment="1">
      <alignment horizontal="center"/>
    </xf>
    <xf numFmtId="0" fontId="11" fillId="9" borderId="49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44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46" xfId="0" applyFont="1" applyBorder="1" applyAlignment="1">
      <alignment horizontal="center"/>
    </xf>
    <xf numFmtId="0" fontId="7" fillId="0" borderId="51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5" fillId="5" borderId="3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1" fontId="5" fillId="8" borderId="32" xfId="0" applyNumberFormat="1" applyFont="1" applyFill="1" applyBorder="1" applyAlignment="1">
      <alignment horizontal="center"/>
    </xf>
    <xf numFmtId="1" fontId="5" fillId="8" borderId="33" xfId="0" applyNumberFormat="1" applyFont="1" applyFill="1" applyBorder="1" applyAlignment="1">
      <alignment horizontal="center"/>
    </xf>
    <xf numFmtId="44" fontId="6" fillId="0" borderId="16" xfId="1" applyFont="1" applyBorder="1" applyAlignment="1">
      <alignment horizontal="center"/>
    </xf>
    <xf numFmtId="44" fontId="6" fillId="0" borderId="33" xfId="1" applyFont="1" applyBorder="1" applyAlignment="1">
      <alignment horizontal="center"/>
    </xf>
    <xf numFmtId="44" fontId="6" fillId="0" borderId="16" xfId="0" applyNumberFormat="1" applyFont="1" applyBorder="1" applyAlignment="1">
      <alignment horizontal="center"/>
    </xf>
    <xf numFmtId="44" fontId="6" fillId="0" borderId="33" xfId="0" applyNumberFormat="1" applyFont="1" applyBorder="1" applyAlignment="1">
      <alignment horizontal="center"/>
    </xf>
    <xf numFmtId="44" fontId="15" fillId="0" borderId="16" xfId="0" applyNumberFormat="1" applyFont="1" applyBorder="1" applyAlignment="1">
      <alignment horizontal="center"/>
    </xf>
    <xf numFmtId="44" fontId="15" fillId="0" borderId="18" xfId="0" applyNumberFormat="1" applyFont="1" applyBorder="1" applyAlignment="1">
      <alignment horizontal="center"/>
    </xf>
    <xf numFmtId="0" fontId="5" fillId="5" borderId="23" xfId="0" applyFont="1" applyFill="1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/>
    </xf>
    <xf numFmtId="2" fontId="6" fillId="0" borderId="19" xfId="0" applyNumberFormat="1" applyFont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2" fontId="6" fillId="0" borderId="26" xfId="0" applyNumberFormat="1" applyFont="1" applyBorder="1" applyAlignment="1">
      <alignment horizontal="center"/>
    </xf>
    <xf numFmtId="6" fontId="8" fillId="0" borderId="27" xfId="0" applyNumberFormat="1" applyFont="1" applyBorder="1" applyAlignment="1">
      <alignment horizontal="center"/>
    </xf>
    <xf numFmtId="6" fontId="8" fillId="0" borderId="28" xfId="0" applyNumberFormat="1" applyFont="1" applyBorder="1" applyAlignment="1">
      <alignment horizontal="center"/>
    </xf>
    <xf numFmtId="44" fontId="6" fillId="0" borderId="29" xfId="1" applyFont="1" applyBorder="1" applyAlignment="1">
      <alignment horizontal="center"/>
    </xf>
    <xf numFmtId="44" fontId="6" fillId="0" borderId="23" xfId="1" applyFont="1" applyBorder="1" applyAlignment="1">
      <alignment horizont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 vertical="center"/>
    </xf>
    <xf numFmtId="3" fontId="2" fillId="2" borderId="21" xfId="0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/>
    </xf>
    <xf numFmtId="0" fontId="11" fillId="9" borderId="20" xfId="0" applyFont="1" applyFill="1" applyBorder="1" applyAlignment="1">
      <alignment horizontal="center"/>
    </xf>
    <xf numFmtId="0" fontId="11" fillId="9" borderId="21" xfId="0" applyFont="1" applyFill="1" applyBorder="1" applyAlignment="1">
      <alignment horizontal="center"/>
    </xf>
    <xf numFmtId="44" fontId="5" fillId="8" borderId="51" xfId="0" applyNumberFormat="1" applyFont="1" applyFill="1" applyBorder="1" applyAlignment="1">
      <alignment horizontal="center"/>
    </xf>
    <xf numFmtId="44" fontId="5" fillId="8" borderId="45" xfId="0" applyNumberFormat="1" applyFont="1" applyFill="1" applyBorder="1" applyAlignment="1">
      <alignment horizontal="center"/>
    </xf>
    <xf numFmtId="0" fontId="5" fillId="8" borderId="53" xfId="0" applyFont="1" applyFill="1" applyBorder="1" applyAlignment="1">
      <alignment horizontal="center"/>
    </xf>
    <xf numFmtId="0" fontId="5" fillId="8" borderId="50" xfId="0" applyFont="1" applyFill="1" applyBorder="1" applyAlignment="1">
      <alignment horizontal="center"/>
    </xf>
    <xf numFmtId="44" fontId="3" fillId="0" borderId="16" xfId="0" applyNumberFormat="1" applyFont="1" applyBorder="1" applyAlignment="1">
      <alignment horizontal="center"/>
    </xf>
    <xf numFmtId="44" fontId="3" fillId="0" borderId="18" xfId="0" applyNumberFormat="1" applyFont="1" applyBorder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/>
    </xf>
    <xf numFmtId="44" fontId="6" fillId="0" borderId="21" xfId="1" applyFont="1" applyBorder="1" applyAlignment="1">
      <alignment horizontal="center"/>
    </xf>
    <xf numFmtId="0" fontId="5" fillId="6" borderId="21" xfId="0" applyFont="1" applyFill="1" applyBorder="1" applyAlignment="1">
      <alignment horizontal="center"/>
    </xf>
    <xf numFmtId="1" fontId="5" fillId="8" borderId="16" xfId="0" applyNumberFormat="1" applyFont="1" applyFill="1" applyBorder="1" applyAlignment="1">
      <alignment horizontal="center"/>
    </xf>
    <xf numFmtId="44" fontId="3" fillId="0" borderId="33" xfId="0" applyNumberFormat="1" applyFont="1" applyBorder="1" applyAlignment="1">
      <alignment horizontal="center"/>
    </xf>
    <xf numFmtId="0" fontId="5" fillId="8" borderId="49" xfId="0" applyFont="1" applyFill="1" applyBorder="1" applyAlignment="1">
      <alignment horizontal="center"/>
    </xf>
    <xf numFmtId="44" fontId="5" fillId="8" borderId="49" xfId="0" applyNumberFormat="1" applyFont="1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" fontId="6" fillId="8" borderId="32" xfId="0" applyNumberFormat="1" applyFont="1" applyFill="1" applyBorder="1" applyAlignment="1">
      <alignment horizontal="center"/>
    </xf>
    <xf numFmtId="1" fontId="6" fillId="8" borderId="33" xfId="0" applyNumberFormat="1" applyFont="1" applyFill="1" applyBorder="1" applyAlignment="1">
      <alignment horizontal="center"/>
    </xf>
    <xf numFmtId="44" fontId="5" fillId="0" borderId="16" xfId="0" applyNumberFormat="1" applyFont="1" applyBorder="1" applyAlignment="1">
      <alignment horizontal="center"/>
    </xf>
    <xf numFmtId="44" fontId="5" fillId="0" borderId="18" xfId="0" applyNumberFormat="1" applyFont="1" applyBorder="1" applyAlignment="1">
      <alignment horizontal="center"/>
    </xf>
    <xf numFmtId="44" fontId="16" fillId="0" borderId="16" xfId="0" applyNumberFormat="1" applyFont="1" applyBorder="1" applyAlignment="1">
      <alignment horizontal="center"/>
    </xf>
    <xf numFmtId="44" fontId="16" fillId="0" borderId="18" xfId="0" applyNumberFormat="1" applyFont="1" applyBorder="1" applyAlignment="1">
      <alignment horizontal="center"/>
    </xf>
    <xf numFmtId="2" fontId="16" fillId="8" borderId="16" xfId="1" applyNumberFormat="1" applyFont="1" applyFill="1" applyBorder="1" applyAlignment="1">
      <alignment horizontal="center"/>
    </xf>
    <xf numFmtId="0" fontId="16" fillId="8" borderId="33" xfId="1" applyNumberFormat="1" applyFont="1" applyFill="1" applyBorder="1" applyAlignment="1">
      <alignment horizontal="center"/>
    </xf>
    <xf numFmtId="2" fontId="16" fillId="8" borderId="33" xfId="1" applyNumberFormat="1" applyFont="1" applyFill="1" applyBorder="1" applyAlignment="1">
      <alignment horizontal="center"/>
    </xf>
    <xf numFmtId="0" fontId="29" fillId="18" borderId="19" xfId="0" applyFont="1" applyFill="1" applyBorder="1" applyAlignment="1">
      <alignment horizontal="center"/>
    </xf>
    <xf numFmtId="0" fontId="29" fillId="18" borderId="23" xfId="0" applyFont="1" applyFill="1" applyBorder="1" applyAlignment="1">
      <alignment horizontal="center"/>
    </xf>
    <xf numFmtId="0" fontId="29" fillId="18" borderId="21" xfId="0" applyFont="1" applyFill="1" applyBorder="1" applyAlignment="1">
      <alignment horizontal="center"/>
    </xf>
    <xf numFmtId="0" fontId="29" fillId="18" borderId="38" xfId="0" applyFont="1" applyFill="1" applyBorder="1" applyAlignment="1">
      <alignment horizontal="center"/>
    </xf>
    <xf numFmtId="44" fontId="20" fillId="8" borderId="29" xfId="1" applyFont="1" applyFill="1" applyBorder="1" applyAlignment="1">
      <alignment horizontal="center"/>
    </xf>
    <xf numFmtId="44" fontId="20" fillId="8" borderId="23" xfId="1" applyFont="1" applyFill="1" applyBorder="1" applyAlignment="1">
      <alignment horizontal="center"/>
    </xf>
    <xf numFmtId="0" fontId="29" fillId="18" borderId="24" xfId="0" applyFont="1" applyFill="1" applyBorder="1" applyAlignment="1">
      <alignment horizontal="center"/>
    </xf>
    <xf numFmtId="0" fontId="29" fillId="18" borderId="25" xfId="0" applyFont="1" applyFill="1" applyBorder="1" applyAlignment="1">
      <alignment horizontal="center"/>
    </xf>
    <xf numFmtId="0" fontId="29" fillId="18" borderId="26" xfId="0" applyFont="1" applyFill="1" applyBorder="1" applyAlignment="1">
      <alignment horizontal="center"/>
    </xf>
    <xf numFmtId="14" fontId="30" fillId="3" borderId="38" xfId="0" applyNumberFormat="1" applyFont="1" applyFill="1" applyBorder="1" applyAlignment="1">
      <alignment horizontal="center"/>
    </xf>
    <xf numFmtId="0" fontId="26" fillId="18" borderId="24" xfId="0" applyFont="1" applyFill="1" applyBorder="1" applyAlignment="1">
      <alignment horizontal="center"/>
    </xf>
    <xf numFmtId="0" fontId="26" fillId="18" borderId="45" xfId="0" applyFont="1" applyFill="1" applyBorder="1" applyAlignment="1">
      <alignment horizontal="center"/>
    </xf>
    <xf numFmtId="0" fontId="25" fillId="18" borderId="38" xfId="0" applyFont="1" applyFill="1" applyBorder="1" applyAlignment="1">
      <alignment horizontal="center" vertical="center"/>
    </xf>
    <xf numFmtId="0" fontId="25" fillId="18" borderId="38" xfId="0" applyFont="1" applyFill="1" applyBorder="1" applyAlignment="1">
      <alignment horizontal="center" vertical="center" wrapText="1"/>
    </xf>
    <xf numFmtId="0" fontId="25" fillId="18" borderId="38" xfId="0" applyFont="1" applyFill="1" applyBorder="1" applyAlignment="1">
      <alignment horizontal="right"/>
    </xf>
    <xf numFmtId="44" fontId="25" fillId="18" borderId="38" xfId="1" applyFont="1" applyFill="1" applyBorder="1" applyAlignment="1">
      <alignment horizontal="right"/>
    </xf>
    <xf numFmtId="44" fontId="25" fillId="18" borderId="38" xfId="0" applyNumberFormat="1" applyFont="1" applyFill="1" applyBorder="1" applyAlignment="1">
      <alignment horizontal="center" vertical="center"/>
    </xf>
    <xf numFmtId="44" fontId="25" fillId="18" borderId="38" xfId="0" applyNumberFormat="1" applyFont="1" applyFill="1" applyBorder="1"/>
  </cellXfs>
  <cellStyles count="3">
    <cellStyle name="Moneda" xfId="1" builtinId="4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0</xdr:row>
      <xdr:rowOff>0</xdr:rowOff>
    </xdr:from>
    <xdr:ext cx="5372100" cy="56388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0"/>
          <a:ext cx="5372100" cy="56388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1043941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336280" cy="594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1013461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366760" cy="632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7</xdr:col>
      <xdr:colOff>1089660</xdr:colOff>
      <xdr:row>2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"/>
          <a:ext cx="8252460" cy="5181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15240</xdr:colOff>
      <xdr:row>2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473440" cy="5181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7</xdr:col>
      <xdr:colOff>1028701</xdr:colOff>
      <xdr:row>2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252460" cy="548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7620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18120" cy="5562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1158240</xdr:colOff>
      <xdr:row>3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03820" cy="5562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944880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67600" cy="5562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1181100</xdr:colOff>
      <xdr:row>3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70520" cy="56388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0</xdr:rowOff>
    </xdr:from>
    <xdr:to>
      <xdr:col>8</xdr:col>
      <xdr:colOff>45720</xdr:colOff>
      <xdr:row>3</xdr:row>
      <xdr:rowOff>15240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0"/>
          <a:ext cx="8343900" cy="56388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1066800</xdr:colOff>
      <xdr:row>2</xdr:row>
      <xdr:rowOff>175260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23860" cy="5410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1028700</xdr:colOff>
      <xdr:row>2</xdr:row>
      <xdr:rowOff>175260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71460" cy="5410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830579</xdr:colOff>
      <xdr:row>3</xdr:row>
      <xdr:rowOff>121920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597139" cy="67055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830579</xdr:colOff>
      <xdr:row>3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597139" cy="67055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1028700</xdr:colOff>
      <xdr:row>3</xdr:row>
      <xdr:rowOff>105189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87640" cy="65382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891539</xdr:colOff>
      <xdr:row>3</xdr:row>
      <xdr:rowOff>121920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597139" cy="670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7</xdr:col>
      <xdr:colOff>1051560</xdr:colOff>
      <xdr:row>3</xdr:row>
      <xdr:rowOff>103910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57160" cy="652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1"/>
  <sheetViews>
    <sheetView tabSelected="1" topLeftCell="A31" workbookViewId="0">
      <selection activeCell="E39" sqref="E39"/>
    </sheetView>
  </sheetViews>
  <sheetFormatPr baseColWidth="10" defaultRowHeight="14.4" x14ac:dyDescent="0.3"/>
  <cols>
    <col min="1" max="1" width="32.33203125" customWidth="1"/>
    <col min="2" max="2" width="16.5546875" customWidth="1"/>
    <col min="3" max="3" width="30" customWidth="1"/>
    <col min="4" max="4" width="12.77734375" bestFit="1" customWidth="1"/>
  </cols>
  <sheetData>
    <row r="1" spans="1:4" ht="45.6" customHeight="1" x14ac:dyDescent="0.3"/>
    <row r="2" spans="1:4" ht="25.8" customHeight="1" x14ac:dyDescent="0.3">
      <c r="A2" s="412" t="s">
        <v>79</v>
      </c>
      <c r="B2" s="413"/>
      <c r="C2" s="413"/>
    </row>
    <row r="3" spans="1:4" ht="26.4" customHeight="1" x14ac:dyDescent="0.3">
      <c r="A3" s="414" t="s">
        <v>32</v>
      </c>
      <c r="B3" s="414" t="s">
        <v>33</v>
      </c>
      <c r="C3" s="415"/>
    </row>
    <row r="4" spans="1:4" ht="19.95" customHeight="1" x14ac:dyDescent="0.3">
      <c r="A4" s="134" t="s">
        <v>47</v>
      </c>
      <c r="B4" s="125">
        <v>138000</v>
      </c>
      <c r="C4" s="130"/>
    </row>
    <row r="5" spans="1:4" ht="19.95" customHeight="1" x14ac:dyDescent="0.3">
      <c r="A5" s="113" t="s">
        <v>65</v>
      </c>
      <c r="B5" s="125">
        <v>0</v>
      </c>
      <c r="C5" s="123" t="s">
        <v>78</v>
      </c>
    </row>
    <row r="6" spans="1:4" ht="19.95" customHeight="1" x14ac:dyDescent="0.3">
      <c r="A6" s="113" t="s">
        <v>67</v>
      </c>
      <c r="B6" s="125">
        <v>0</v>
      </c>
      <c r="C6" s="123" t="s">
        <v>78</v>
      </c>
    </row>
    <row r="7" spans="1:4" ht="19.95" customHeight="1" x14ac:dyDescent="0.3">
      <c r="A7" s="113" t="s">
        <v>68</v>
      </c>
      <c r="B7" s="125">
        <v>0</v>
      </c>
      <c r="C7" s="123" t="s">
        <v>78</v>
      </c>
    </row>
    <row r="8" spans="1:4" ht="19.95" customHeight="1" x14ac:dyDescent="0.3">
      <c r="A8" s="113" t="s">
        <v>71</v>
      </c>
      <c r="B8" s="125">
        <v>0</v>
      </c>
      <c r="C8" s="123" t="s">
        <v>78</v>
      </c>
    </row>
    <row r="9" spans="1:4" ht="19.95" customHeight="1" x14ac:dyDescent="0.3">
      <c r="A9" s="113" t="s">
        <v>72</v>
      </c>
      <c r="B9" s="125">
        <v>0</v>
      </c>
      <c r="C9" s="123" t="s">
        <v>78</v>
      </c>
    </row>
    <row r="10" spans="1:4" ht="19.95" customHeight="1" x14ac:dyDescent="0.3">
      <c r="A10" s="113" t="s">
        <v>66</v>
      </c>
      <c r="B10" s="125">
        <v>0</v>
      </c>
      <c r="C10" s="123" t="s">
        <v>78</v>
      </c>
    </row>
    <row r="11" spans="1:4" ht="12" customHeight="1" x14ac:dyDescent="0.3">
      <c r="A11" s="113"/>
      <c r="B11" s="107"/>
      <c r="C11" s="123"/>
    </row>
    <row r="12" spans="1:4" ht="22.2" customHeight="1" x14ac:dyDescent="0.3">
      <c r="A12" s="416" t="s">
        <v>73</v>
      </c>
      <c r="B12" s="417">
        <f>SUM(B4:B10)</f>
        <v>138000</v>
      </c>
      <c r="C12" s="418">
        <f>SUM(C4:C10)</f>
        <v>0</v>
      </c>
      <c r="D12" s="112"/>
    </row>
    <row r="13" spans="1:4" ht="12.6" customHeight="1" x14ac:dyDescent="0.3">
      <c r="A13" s="109"/>
      <c r="B13" s="110"/>
      <c r="C13" s="117"/>
      <c r="D13" s="112"/>
    </row>
    <row r="14" spans="1:4" x14ac:dyDescent="0.3">
      <c r="A14" s="113" t="s">
        <v>51</v>
      </c>
      <c r="B14" s="107">
        <v>96000</v>
      </c>
      <c r="C14" s="132"/>
    </row>
    <row r="15" spans="1:4" x14ac:dyDescent="0.3">
      <c r="A15" s="113" t="s">
        <v>52</v>
      </c>
      <c r="B15" s="107">
        <v>0</v>
      </c>
      <c r="C15" s="123" t="s">
        <v>78</v>
      </c>
    </row>
    <row r="16" spans="1:4" x14ac:dyDescent="0.3">
      <c r="A16" s="113" t="s">
        <v>61</v>
      </c>
      <c r="B16" s="107">
        <v>334000</v>
      </c>
      <c r="C16" s="132"/>
    </row>
    <row r="17" spans="1:4" x14ac:dyDescent="0.3">
      <c r="A17" s="116" t="s">
        <v>58</v>
      </c>
      <c r="B17" s="107">
        <v>123000</v>
      </c>
      <c r="C17" s="123"/>
    </row>
    <row r="18" spans="1:4" ht="24" customHeight="1" x14ac:dyDescent="0.3">
      <c r="A18" s="416" t="s">
        <v>73</v>
      </c>
      <c r="B18" s="121">
        <f>SUM(B14:B17)</f>
        <v>553000</v>
      </c>
      <c r="C18" s="419">
        <f>SUM(C14:C17)</f>
        <v>0</v>
      </c>
    </row>
    <row r="19" spans="1:4" ht="9.6" customHeight="1" x14ac:dyDescent="0.3">
      <c r="A19" s="108"/>
      <c r="B19" s="107"/>
      <c r="C19" s="123"/>
    </row>
    <row r="20" spans="1:4" ht="24.6" customHeight="1" x14ac:dyDescent="0.3">
      <c r="A20" s="119" t="s">
        <v>45</v>
      </c>
      <c r="B20" s="118">
        <f>+B12+B18</f>
        <v>691000</v>
      </c>
      <c r="C20" s="133">
        <f>+C12+C18</f>
        <v>0</v>
      </c>
      <c r="D20" s="112"/>
    </row>
    <row r="22" spans="1:4" ht="27" customHeight="1" x14ac:dyDescent="0.3">
      <c r="A22" s="412" t="s">
        <v>83</v>
      </c>
      <c r="B22" s="413"/>
      <c r="C22" s="413"/>
    </row>
    <row r="23" spans="1:4" ht="19.2" customHeight="1" x14ac:dyDescent="0.3">
      <c r="A23" s="414" t="s">
        <v>32</v>
      </c>
      <c r="B23" s="414" t="s">
        <v>33</v>
      </c>
      <c r="C23" s="415"/>
    </row>
    <row r="24" spans="1:4" ht="21" customHeight="1" x14ac:dyDescent="0.3">
      <c r="A24" s="142" t="s">
        <v>47</v>
      </c>
      <c r="B24" s="125">
        <v>184000</v>
      </c>
      <c r="C24" s="130"/>
    </row>
    <row r="25" spans="1:4" ht="18.600000000000001" customHeight="1" x14ac:dyDescent="0.3">
      <c r="A25" s="113" t="s">
        <v>68</v>
      </c>
      <c r="B25" s="125">
        <v>165600</v>
      </c>
      <c r="C25" s="123"/>
    </row>
    <row r="26" spans="1:4" x14ac:dyDescent="0.3">
      <c r="A26" s="113" t="s">
        <v>67</v>
      </c>
      <c r="B26" s="125">
        <v>0</v>
      </c>
      <c r="C26" s="123" t="s">
        <v>53</v>
      </c>
    </row>
    <row r="27" spans="1:4" x14ac:dyDescent="0.3">
      <c r="A27" s="113" t="s">
        <v>71</v>
      </c>
      <c r="B27" s="125">
        <v>0</v>
      </c>
      <c r="C27" s="123" t="s">
        <v>53</v>
      </c>
    </row>
    <row r="28" spans="1:4" x14ac:dyDescent="0.3">
      <c r="A28" s="113" t="s">
        <v>72</v>
      </c>
      <c r="B28" s="125">
        <v>0</v>
      </c>
      <c r="C28" s="123" t="s">
        <v>53</v>
      </c>
    </row>
    <row r="29" spans="1:4" x14ac:dyDescent="0.3">
      <c r="A29" s="113" t="s">
        <v>66</v>
      </c>
      <c r="B29" s="125">
        <v>0</v>
      </c>
      <c r="C29" s="123" t="s">
        <v>53</v>
      </c>
    </row>
    <row r="30" spans="1:4" x14ac:dyDescent="0.3">
      <c r="A30" s="113"/>
      <c r="B30" s="107"/>
      <c r="C30" s="123"/>
    </row>
    <row r="31" spans="1:4" ht="21" customHeight="1" x14ac:dyDescent="0.3">
      <c r="A31" s="416" t="s">
        <v>73</v>
      </c>
      <c r="B31" s="417">
        <f>SUM(B24:B29)</f>
        <v>349600</v>
      </c>
      <c r="C31" s="418"/>
    </row>
    <row r="32" spans="1:4" x14ac:dyDescent="0.3">
      <c r="A32" s="109"/>
      <c r="B32" s="110"/>
      <c r="C32" s="117"/>
    </row>
    <row r="33" spans="1:3" x14ac:dyDescent="0.3">
      <c r="A33" s="113" t="s">
        <v>84</v>
      </c>
      <c r="B33" s="150">
        <v>192000</v>
      </c>
      <c r="C33" s="151" t="s">
        <v>99</v>
      </c>
    </row>
    <row r="34" spans="1:3" x14ac:dyDescent="0.3">
      <c r="A34" s="113" t="s">
        <v>52</v>
      </c>
      <c r="B34" s="107">
        <v>0</v>
      </c>
      <c r="C34" s="123" t="s">
        <v>53</v>
      </c>
    </row>
    <row r="35" spans="1:3" x14ac:dyDescent="0.3">
      <c r="A35" s="113" t="s">
        <v>61</v>
      </c>
      <c r="B35" s="107">
        <v>307600</v>
      </c>
      <c r="C35" s="132"/>
    </row>
    <row r="36" spans="1:3" x14ac:dyDescent="0.3">
      <c r="A36" s="116" t="s">
        <v>58</v>
      </c>
      <c r="B36" s="107">
        <v>392000</v>
      </c>
      <c r="C36" s="123"/>
    </row>
    <row r="37" spans="1:3" ht="21.6" customHeight="1" x14ac:dyDescent="0.3">
      <c r="A37" s="416" t="s">
        <v>73</v>
      </c>
      <c r="B37" s="121">
        <f>SUM(B33:B36)</f>
        <v>891600</v>
      </c>
      <c r="C37" s="419"/>
    </row>
    <row r="38" spans="1:3" x14ac:dyDescent="0.3">
      <c r="A38" s="108"/>
      <c r="B38" s="107"/>
      <c r="C38" s="123"/>
    </row>
    <row r="39" spans="1:3" ht="27.6" customHeight="1" x14ac:dyDescent="0.3">
      <c r="A39" s="119" t="s">
        <v>45</v>
      </c>
      <c r="B39" s="118">
        <f>+B31+B37</f>
        <v>1241200</v>
      </c>
      <c r="C39" s="133"/>
    </row>
    <row r="41" spans="1:3" ht="24.6" customHeight="1" x14ac:dyDescent="0.3">
      <c r="A41" s="412" t="s">
        <v>86</v>
      </c>
      <c r="B41" s="413"/>
      <c r="C41" s="413"/>
    </row>
    <row r="42" spans="1:3" ht="27" customHeight="1" x14ac:dyDescent="0.3">
      <c r="A42" s="414" t="s">
        <v>32</v>
      </c>
      <c r="B42" s="414" t="s">
        <v>33</v>
      </c>
      <c r="C42" s="415" t="s">
        <v>90</v>
      </c>
    </row>
    <row r="43" spans="1:3" x14ac:dyDescent="0.3">
      <c r="A43" s="149" t="s">
        <v>47</v>
      </c>
      <c r="B43" s="125">
        <v>230000</v>
      </c>
      <c r="C43" s="130" t="s">
        <v>91</v>
      </c>
    </row>
    <row r="44" spans="1:3" x14ac:dyDescent="0.3">
      <c r="A44" s="113" t="s">
        <v>68</v>
      </c>
      <c r="B44" s="125">
        <v>92000</v>
      </c>
      <c r="C44" s="117" t="s">
        <v>92</v>
      </c>
    </row>
    <row r="45" spans="1:3" x14ac:dyDescent="0.3">
      <c r="A45" s="113" t="s">
        <v>67</v>
      </c>
      <c r="B45" s="125">
        <v>138000</v>
      </c>
      <c r="C45" s="117" t="s">
        <v>93</v>
      </c>
    </row>
    <row r="46" spans="1:3" x14ac:dyDescent="0.3">
      <c r="A46" s="113" t="s">
        <v>71</v>
      </c>
      <c r="B46" s="125">
        <v>92000</v>
      </c>
      <c r="C46" s="117" t="s">
        <v>92</v>
      </c>
    </row>
    <row r="47" spans="1:3" x14ac:dyDescent="0.3">
      <c r="A47" s="113" t="s">
        <v>72</v>
      </c>
      <c r="B47" s="125">
        <v>184000</v>
      </c>
      <c r="C47" s="117" t="s">
        <v>94</v>
      </c>
    </row>
    <row r="48" spans="1:3" x14ac:dyDescent="0.3">
      <c r="A48" s="113" t="s">
        <v>89</v>
      </c>
      <c r="B48" s="125">
        <v>92000</v>
      </c>
      <c r="C48" s="117" t="s">
        <v>92</v>
      </c>
    </row>
    <row r="49" spans="1:3" x14ac:dyDescent="0.3">
      <c r="A49" s="113" t="s">
        <v>65</v>
      </c>
      <c r="B49" s="125">
        <v>0</v>
      </c>
      <c r="C49" s="123"/>
    </row>
    <row r="50" spans="1:3" x14ac:dyDescent="0.3">
      <c r="A50" s="113"/>
      <c r="B50" s="107"/>
      <c r="C50" s="123"/>
    </row>
    <row r="51" spans="1:3" ht="18.600000000000001" customHeight="1" x14ac:dyDescent="0.3">
      <c r="A51" s="416" t="s">
        <v>73</v>
      </c>
      <c r="B51" s="417">
        <f>SUM(B43:B49)</f>
        <v>828000</v>
      </c>
      <c r="C51" s="418"/>
    </row>
    <row r="52" spans="1:3" x14ac:dyDescent="0.3">
      <c r="A52" s="109"/>
      <c r="B52" s="110"/>
      <c r="C52" s="162"/>
    </row>
    <row r="53" spans="1:3" x14ac:dyDescent="0.3">
      <c r="A53" s="113" t="s">
        <v>49</v>
      </c>
      <c r="B53" s="107">
        <v>278400</v>
      </c>
      <c r="C53" s="163" t="s">
        <v>85</v>
      </c>
    </row>
    <row r="54" spans="1:3" x14ac:dyDescent="0.3">
      <c r="A54" s="113" t="s">
        <v>52</v>
      </c>
      <c r="B54" s="107">
        <v>144000</v>
      </c>
      <c r="C54" s="117" t="s">
        <v>93</v>
      </c>
    </row>
    <row r="55" spans="1:3" x14ac:dyDescent="0.3">
      <c r="A55" s="113" t="s">
        <v>61</v>
      </c>
      <c r="B55" s="107">
        <v>426000</v>
      </c>
      <c r="C55" s="163" t="s">
        <v>95</v>
      </c>
    </row>
    <row r="56" spans="1:3" x14ac:dyDescent="0.3">
      <c r="A56" s="116" t="s">
        <v>58</v>
      </c>
      <c r="B56" s="107">
        <f>410100-6000</f>
        <v>404100</v>
      </c>
      <c r="C56" s="163" t="s">
        <v>85</v>
      </c>
    </row>
    <row r="57" spans="1:3" x14ac:dyDescent="0.3">
      <c r="A57" s="116"/>
      <c r="B57" s="107"/>
      <c r="C57" s="132"/>
    </row>
    <row r="58" spans="1:3" ht="19.2" customHeight="1" x14ac:dyDescent="0.3">
      <c r="A58" s="416" t="s">
        <v>73</v>
      </c>
      <c r="B58" s="121">
        <f>SUM(B53:B56)</f>
        <v>1252500</v>
      </c>
      <c r="C58" s="419"/>
    </row>
    <row r="59" spans="1:3" x14ac:dyDescent="0.3">
      <c r="A59" s="108"/>
      <c r="B59" s="107"/>
      <c r="C59" s="123"/>
    </row>
    <row r="60" spans="1:3" ht="24" customHeight="1" x14ac:dyDescent="0.3">
      <c r="A60" s="119" t="s">
        <v>45</v>
      </c>
      <c r="B60" s="118">
        <f>+B51+B58</f>
        <v>2080500</v>
      </c>
      <c r="C60" s="133"/>
    </row>
    <row r="62" spans="1:3" ht="19.2" customHeight="1" x14ac:dyDescent="0.3">
      <c r="A62" s="412" t="s">
        <v>98</v>
      </c>
      <c r="B62" s="413"/>
      <c r="C62" s="413"/>
    </row>
    <row r="63" spans="1:3" ht="21" customHeight="1" x14ac:dyDescent="0.3">
      <c r="A63" s="414" t="s">
        <v>32</v>
      </c>
      <c r="B63" s="414" t="s">
        <v>33</v>
      </c>
      <c r="C63" s="415" t="s">
        <v>90</v>
      </c>
    </row>
    <row r="64" spans="1:3" x14ac:dyDescent="0.3">
      <c r="A64" s="164" t="s">
        <v>47</v>
      </c>
      <c r="B64" s="125"/>
      <c r="C64" s="130"/>
    </row>
    <row r="65" spans="1:3" x14ac:dyDescent="0.3">
      <c r="A65" s="113" t="s">
        <v>68</v>
      </c>
      <c r="B65" s="125"/>
      <c r="C65" s="117"/>
    </row>
    <row r="66" spans="1:3" x14ac:dyDescent="0.3">
      <c r="A66" s="113" t="s">
        <v>67</v>
      </c>
      <c r="B66" s="125"/>
      <c r="C66" s="117"/>
    </row>
    <row r="67" spans="1:3" x14ac:dyDescent="0.3">
      <c r="A67" s="113" t="s">
        <v>71</v>
      </c>
      <c r="B67" s="125"/>
      <c r="C67" s="117"/>
    </row>
    <row r="68" spans="1:3" x14ac:dyDescent="0.3">
      <c r="A68" s="113" t="s">
        <v>72</v>
      </c>
      <c r="B68" s="125"/>
      <c r="C68" s="117"/>
    </row>
    <row r="69" spans="1:3" x14ac:dyDescent="0.3">
      <c r="A69" s="113" t="s">
        <v>89</v>
      </c>
      <c r="B69" s="125"/>
      <c r="C69" s="117"/>
    </row>
    <row r="70" spans="1:3" x14ac:dyDescent="0.3">
      <c r="A70" s="113" t="s">
        <v>65</v>
      </c>
      <c r="B70" s="125">
        <v>0</v>
      </c>
      <c r="C70" s="123"/>
    </row>
    <row r="71" spans="1:3" x14ac:dyDescent="0.3">
      <c r="A71" s="113"/>
      <c r="B71" s="107"/>
      <c r="C71" s="123"/>
    </row>
    <row r="72" spans="1:3" ht="22.2" customHeight="1" x14ac:dyDescent="0.3">
      <c r="A72" s="416" t="s">
        <v>73</v>
      </c>
      <c r="B72" s="417">
        <f>SUM(B64:B70)</f>
        <v>0</v>
      </c>
      <c r="C72" s="418"/>
    </row>
    <row r="73" spans="1:3" x14ac:dyDescent="0.3">
      <c r="A73" s="109"/>
      <c r="B73" s="110"/>
      <c r="C73" s="162"/>
    </row>
    <row r="74" spans="1:3" x14ac:dyDescent="0.3">
      <c r="A74" s="113" t="s">
        <v>49</v>
      </c>
      <c r="B74" s="107"/>
      <c r="C74" s="163" t="s">
        <v>85</v>
      </c>
    </row>
    <row r="75" spans="1:3" x14ac:dyDescent="0.3">
      <c r="A75" s="113" t="s">
        <v>52</v>
      </c>
      <c r="B75" s="107"/>
      <c r="C75" s="117"/>
    </row>
    <row r="76" spans="1:3" x14ac:dyDescent="0.3">
      <c r="A76" s="113" t="s">
        <v>61</v>
      </c>
      <c r="B76" s="107"/>
      <c r="C76" s="163"/>
    </row>
    <row r="77" spans="1:3" x14ac:dyDescent="0.3">
      <c r="A77" s="116" t="s">
        <v>58</v>
      </c>
      <c r="B77" s="107"/>
      <c r="C77" s="163" t="s">
        <v>85</v>
      </c>
    </row>
    <row r="78" spans="1:3" x14ac:dyDescent="0.3">
      <c r="A78" s="116"/>
      <c r="B78" s="107"/>
      <c r="C78" s="132"/>
    </row>
    <row r="79" spans="1:3" ht="22.2" customHeight="1" x14ac:dyDescent="0.3">
      <c r="A79" s="416" t="s">
        <v>73</v>
      </c>
      <c r="B79" s="121">
        <f>SUM(B74:B77)</f>
        <v>0</v>
      </c>
      <c r="C79" s="419"/>
    </row>
    <row r="80" spans="1:3" x14ac:dyDescent="0.3">
      <c r="A80" s="108"/>
      <c r="B80" s="107"/>
      <c r="C80" s="123"/>
    </row>
    <row r="81" spans="1:3" ht="27.6" customHeight="1" x14ac:dyDescent="0.3">
      <c r="A81" s="119" t="s">
        <v>45</v>
      </c>
      <c r="B81" s="118">
        <f>+B72+B79</f>
        <v>0</v>
      </c>
      <c r="C81" s="133"/>
    </row>
  </sheetData>
  <mergeCells count="4">
    <mergeCell ref="A2:C2"/>
    <mergeCell ref="A22:C22"/>
    <mergeCell ref="A41:C41"/>
    <mergeCell ref="A62:C62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9"/>
  <sheetViews>
    <sheetView topLeftCell="A55" workbookViewId="0">
      <selection activeCell="C78" sqref="C78:H79"/>
    </sheetView>
  </sheetViews>
  <sheetFormatPr baseColWidth="10" defaultRowHeight="14.4" x14ac:dyDescent="0.3"/>
  <cols>
    <col min="1" max="1" width="16.44140625" customWidth="1"/>
    <col min="2" max="2" width="13.6640625" customWidth="1"/>
    <col min="3" max="4" width="15.109375" customWidth="1"/>
    <col min="5" max="7" width="15.33203125" customWidth="1"/>
    <col min="8" max="8" width="15.44140625" customWidth="1"/>
    <col min="9" max="9" width="11.6640625" bestFit="1" customWidth="1"/>
  </cols>
  <sheetData>
    <row r="1" spans="1:8" x14ac:dyDescent="0.3">
      <c r="A1" s="1"/>
      <c r="B1" s="2"/>
      <c r="C1" s="2"/>
      <c r="D1" s="2"/>
      <c r="E1" s="2"/>
      <c r="F1" s="2"/>
      <c r="G1" s="2"/>
      <c r="H1" s="3"/>
    </row>
    <row r="2" spans="1:8" ht="6.6" customHeight="1" x14ac:dyDescent="0.3">
      <c r="A2" s="4"/>
      <c r="H2" s="5"/>
    </row>
    <row r="3" spans="1:8" ht="16.8" customHeight="1" thickBot="1" x14ac:dyDescent="0.35">
      <c r="A3" s="4"/>
      <c r="H3" s="5"/>
    </row>
    <row r="4" spans="1:8" ht="31.8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x14ac:dyDescent="0.3">
      <c r="A5" s="209" t="s">
        <v>0</v>
      </c>
      <c r="B5" s="210"/>
      <c r="C5" s="211" t="s">
        <v>49</v>
      </c>
      <c r="D5" s="212"/>
      <c r="E5" s="213"/>
      <c r="F5" s="214" t="s">
        <v>1</v>
      </c>
      <c r="G5" s="121">
        <v>48000</v>
      </c>
      <c r="H5" s="121" t="s">
        <v>46</v>
      </c>
    </row>
    <row r="6" spans="1:8" x14ac:dyDescent="0.3">
      <c r="A6" s="216" t="s">
        <v>3</v>
      </c>
      <c r="B6" s="217"/>
      <c r="C6" s="218">
        <v>42106207</v>
      </c>
      <c r="D6" s="218"/>
      <c r="E6" s="219"/>
      <c r="F6" s="215"/>
      <c r="G6" s="121">
        <v>24000</v>
      </c>
      <c r="H6" s="121" t="s">
        <v>4</v>
      </c>
    </row>
    <row r="7" spans="1:8" x14ac:dyDescent="0.3">
      <c r="A7" s="185" t="s">
        <v>5</v>
      </c>
      <c r="B7" s="188"/>
      <c r="C7" s="185" t="s">
        <v>6</v>
      </c>
      <c r="D7" s="188"/>
      <c r="E7" s="185" t="s">
        <v>7</v>
      </c>
      <c r="F7" s="186"/>
      <c r="G7" s="187" t="s">
        <v>8</v>
      </c>
      <c r="H7" s="186"/>
    </row>
    <row r="8" spans="1:8" x14ac:dyDescent="0.3">
      <c r="A8" s="201">
        <f>+F19</f>
        <v>19.716666666666669</v>
      </c>
      <c r="B8" s="202"/>
      <c r="C8" s="226">
        <v>0</v>
      </c>
      <c r="D8" s="202"/>
      <c r="E8" s="205">
        <v>4800</v>
      </c>
      <c r="F8" s="206"/>
      <c r="G8" s="207">
        <f>+E8*C8</f>
        <v>0</v>
      </c>
      <c r="H8" s="208"/>
    </row>
    <row r="9" spans="1:8" x14ac:dyDescent="0.3">
      <c r="A9" s="185"/>
      <c r="B9" s="186"/>
      <c r="C9" s="402" t="s">
        <v>100</v>
      </c>
      <c r="D9" s="403"/>
      <c r="E9" s="189"/>
      <c r="F9" s="190"/>
      <c r="G9" s="191" t="s">
        <v>57</v>
      </c>
      <c r="H9" s="192"/>
    </row>
    <row r="10" spans="1:8" ht="15.6" x14ac:dyDescent="0.3">
      <c r="A10" s="193"/>
      <c r="B10" s="194"/>
      <c r="C10" s="195">
        <f>+G19</f>
        <v>-0.28333333333333144</v>
      </c>
      <c r="D10" s="196"/>
      <c r="E10" s="197"/>
      <c r="F10" s="227"/>
      <c r="G10" s="228">
        <f>+H19+G8</f>
        <v>96000</v>
      </c>
      <c r="H10" s="229"/>
    </row>
    <row r="11" spans="1:8" ht="28.8" x14ac:dyDescent="0.3">
      <c r="A11" s="145" t="s">
        <v>10</v>
      </c>
      <c r="B11" s="145" t="s">
        <v>11</v>
      </c>
      <c r="C11" s="145" t="s">
        <v>12</v>
      </c>
      <c r="D11" s="145" t="s">
        <v>13</v>
      </c>
      <c r="E11" s="145" t="s">
        <v>14</v>
      </c>
      <c r="F11" s="145" t="s">
        <v>15</v>
      </c>
      <c r="G11" s="145" t="s">
        <v>16</v>
      </c>
      <c r="H11" s="145" t="s">
        <v>17</v>
      </c>
    </row>
    <row r="12" spans="1:8" x14ac:dyDescent="0.3">
      <c r="A12" s="114" t="s">
        <v>53</v>
      </c>
      <c r="B12" s="169" t="s">
        <v>24</v>
      </c>
      <c r="C12" s="144">
        <v>46205</v>
      </c>
      <c r="D12" s="170"/>
      <c r="E12" s="170"/>
      <c r="F12" s="97">
        <f t="shared" ref="F12:F18" si="0">(IF(D12&gt;E12,E12+1-D12,E12-D12))*24</f>
        <v>0</v>
      </c>
      <c r="G12" s="85"/>
      <c r="H12" s="86">
        <v>0</v>
      </c>
    </row>
    <row r="13" spans="1:8" x14ac:dyDescent="0.3">
      <c r="A13" s="114" t="s">
        <v>53</v>
      </c>
      <c r="B13" s="154" t="s">
        <v>25</v>
      </c>
      <c r="C13" s="71">
        <v>46206</v>
      </c>
      <c r="D13" s="84"/>
      <c r="E13" s="84"/>
      <c r="F13" s="73">
        <f t="shared" si="0"/>
        <v>0</v>
      </c>
      <c r="G13" s="85"/>
      <c r="H13" s="86">
        <v>0</v>
      </c>
    </row>
    <row r="14" spans="1:8" x14ac:dyDescent="0.3">
      <c r="A14" s="114" t="s">
        <v>53</v>
      </c>
      <c r="B14" s="154" t="s">
        <v>55</v>
      </c>
      <c r="C14" s="71">
        <v>46207</v>
      </c>
      <c r="D14" s="84"/>
      <c r="E14" s="84"/>
      <c r="F14" s="73">
        <f t="shared" si="0"/>
        <v>0</v>
      </c>
      <c r="G14" s="85"/>
      <c r="H14" s="86">
        <v>0</v>
      </c>
    </row>
    <row r="15" spans="1:8" x14ac:dyDescent="0.3">
      <c r="A15" s="114" t="s">
        <v>53</v>
      </c>
      <c r="B15" s="154" t="s">
        <v>19</v>
      </c>
      <c r="C15" s="71">
        <v>46208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78" t="s">
        <v>76</v>
      </c>
      <c r="B16" s="91" t="s">
        <v>20</v>
      </c>
      <c r="C16" s="71">
        <v>46209</v>
      </c>
      <c r="D16" s="68">
        <v>0.3659722222222222</v>
      </c>
      <c r="E16" s="68">
        <v>0.81041666666666667</v>
      </c>
      <c r="F16" s="73">
        <f t="shared" si="0"/>
        <v>10.666666666666668</v>
      </c>
      <c r="G16" s="72">
        <f>+F16-10</f>
        <v>0.66666666666666785</v>
      </c>
      <c r="H16" s="69">
        <v>48000</v>
      </c>
    </row>
    <row r="17" spans="1:8" x14ac:dyDescent="0.3">
      <c r="A17" s="114"/>
      <c r="B17" s="94" t="s">
        <v>21</v>
      </c>
      <c r="C17" s="71">
        <v>46210</v>
      </c>
      <c r="D17" s="84"/>
      <c r="E17" s="84"/>
      <c r="F17" s="73">
        <f t="shared" si="0"/>
        <v>0</v>
      </c>
      <c r="G17" s="85"/>
      <c r="H17" s="86"/>
    </row>
    <row r="18" spans="1:8" x14ac:dyDescent="0.3">
      <c r="A18" s="78" t="s">
        <v>76</v>
      </c>
      <c r="B18" s="91" t="s">
        <v>56</v>
      </c>
      <c r="C18" s="71">
        <v>46211</v>
      </c>
      <c r="D18" s="68">
        <v>0.37291666666666662</v>
      </c>
      <c r="E18" s="68">
        <v>0.75</v>
      </c>
      <c r="F18" s="73">
        <f t="shared" si="0"/>
        <v>9.0500000000000007</v>
      </c>
      <c r="G18" s="72">
        <f>+F18-10</f>
        <v>-0.94999999999999929</v>
      </c>
      <c r="H18" s="69">
        <v>48000</v>
      </c>
    </row>
    <row r="19" spans="1:8" x14ac:dyDescent="0.3">
      <c r="A19" s="220"/>
      <c r="B19" s="220"/>
      <c r="C19" s="88"/>
      <c r="D19" s="89"/>
      <c r="E19" s="79" t="s">
        <v>23</v>
      </c>
      <c r="F19" s="80">
        <f>SUM(F12:F18)</f>
        <v>19.716666666666669</v>
      </c>
      <c r="G19" s="80">
        <f>SUM(G12:G18)</f>
        <v>-0.28333333333333144</v>
      </c>
      <c r="H19" s="81">
        <f>SUM(H12:H18)</f>
        <v>96000</v>
      </c>
    </row>
    <row r="20" spans="1:8" ht="18" customHeight="1" x14ac:dyDescent="0.3">
      <c r="A20" s="221"/>
      <c r="B20" s="221"/>
      <c r="C20" s="90"/>
      <c r="D20" s="89"/>
      <c r="E20" s="174" t="s">
        <v>26</v>
      </c>
      <c r="F20" s="175"/>
      <c r="G20" s="176"/>
      <c r="H20" s="82">
        <v>0</v>
      </c>
    </row>
    <row r="21" spans="1:8" x14ac:dyDescent="0.3">
      <c r="A21" s="177" t="s">
        <v>27</v>
      </c>
      <c r="B21" s="178"/>
      <c r="C21" s="179"/>
      <c r="D21" s="180"/>
      <c r="E21" s="180"/>
      <c r="F21" s="180"/>
      <c r="G21" s="180"/>
      <c r="H21" s="181"/>
    </row>
    <row r="22" spans="1:8" x14ac:dyDescent="0.3">
      <c r="A22" s="177" t="s">
        <v>28</v>
      </c>
      <c r="B22" s="178"/>
      <c r="C22" s="182"/>
      <c r="D22" s="183"/>
      <c r="E22" s="183"/>
      <c r="F22" s="183"/>
      <c r="G22" s="183"/>
      <c r="H22" s="184"/>
    </row>
    <row r="23" spans="1:8" ht="15" thickBot="1" x14ac:dyDescent="0.35"/>
    <row r="24" spans="1:8" ht="17.399999999999999" customHeight="1" x14ac:dyDescent="0.3">
      <c r="A24" s="209" t="s">
        <v>0</v>
      </c>
      <c r="B24" s="210"/>
      <c r="C24" s="211" t="s">
        <v>49</v>
      </c>
      <c r="D24" s="212"/>
      <c r="E24" s="213"/>
      <c r="F24" s="214" t="s">
        <v>1</v>
      </c>
      <c r="G24" s="121">
        <v>48000</v>
      </c>
      <c r="H24" s="121" t="s">
        <v>46</v>
      </c>
    </row>
    <row r="25" spans="1:8" ht="17.399999999999999" customHeight="1" x14ac:dyDescent="0.3">
      <c r="A25" s="216" t="s">
        <v>3</v>
      </c>
      <c r="B25" s="217"/>
      <c r="C25" s="218">
        <v>42106207</v>
      </c>
      <c r="D25" s="218"/>
      <c r="E25" s="219"/>
      <c r="F25" s="215"/>
      <c r="G25" s="121">
        <v>24000</v>
      </c>
      <c r="H25" s="121" t="s">
        <v>4</v>
      </c>
    </row>
    <row r="26" spans="1:8" x14ac:dyDescent="0.3">
      <c r="A26" s="185" t="s">
        <v>5</v>
      </c>
      <c r="B26" s="188"/>
      <c r="C26" s="185" t="s">
        <v>6</v>
      </c>
      <c r="D26" s="188"/>
      <c r="E26" s="185" t="s">
        <v>7</v>
      </c>
      <c r="F26" s="186"/>
      <c r="G26" s="187" t="s">
        <v>8</v>
      </c>
      <c r="H26" s="186"/>
    </row>
    <row r="27" spans="1:8" x14ac:dyDescent="0.3">
      <c r="A27" s="201">
        <f>+F38</f>
        <v>36.216666666666669</v>
      </c>
      <c r="B27" s="202"/>
      <c r="C27" s="226">
        <v>0</v>
      </c>
      <c r="D27" s="202"/>
      <c r="E27" s="205">
        <v>4800</v>
      </c>
      <c r="F27" s="206"/>
      <c r="G27" s="207">
        <f>+E27*C27</f>
        <v>0</v>
      </c>
      <c r="H27" s="208"/>
    </row>
    <row r="28" spans="1:8" x14ac:dyDescent="0.3">
      <c r="A28" s="185"/>
      <c r="B28" s="186"/>
      <c r="C28" s="402" t="s">
        <v>100</v>
      </c>
      <c r="D28" s="403"/>
      <c r="E28" s="189"/>
      <c r="F28" s="190"/>
      <c r="G28" s="191" t="s">
        <v>57</v>
      </c>
      <c r="H28" s="192"/>
    </row>
    <row r="29" spans="1:8" ht="16.2" thickBot="1" x14ac:dyDescent="0.35">
      <c r="A29" s="193"/>
      <c r="B29" s="194"/>
      <c r="C29" s="195">
        <f>+G38</f>
        <v>-3.783333333333335</v>
      </c>
      <c r="D29" s="196"/>
      <c r="E29" s="197"/>
      <c r="F29" s="198"/>
      <c r="G29" s="199">
        <f>+H38+G27</f>
        <v>192000</v>
      </c>
      <c r="H29" s="200"/>
    </row>
    <row r="30" spans="1:8" ht="29.4" thickBot="1" x14ac:dyDescent="0.35">
      <c r="A30" s="145" t="s">
        <v>10</v>
      </c>
      <c r="B30" s="145" t="s">
        <v>11</v>
      </c>
      <c r="C30" s="145" t="s">
        <v>12</v>
      </c>
      <c r="D30" s="145" t="s">
        <v>13</v>
      </c>
      <c r="E30" s="146" t="s">
        <v>14</v>
      </c>
      <c r="F30" s="76" t="s">
        <v>15</v>
      </c>
      <c r="G30" s="92" t="s">
        <v>16</v>
      </c>
      <c r="H30" s="93" t="s">
        <v>17</v>
      </c>
    </row>
    <row r="31" spans="1:8" x14ac:dyDescent="0.3">
      <c r="A31" s="78" t="s">
        <v>60</v>
      </c>
      <c r="B31" s="148" t="s">
        <v>24</v>
      </c>
      <c r="C31" s="144">
        <v>46212</v>
      </c>
      <c r="D31" s="147">
        <v>0.375</v>
      </c>
      <c r="E31" s="147">
        <v>0.74791666666666667</v>
      </c>
      <c r="F31" s="73">
        <f t="shared" ref="F31:F37" si="1">(IF(D31&gt;E31,E31+1-D31,E31-D31))*24</f>
        <v>8.9499999999999993</v>
      </c>
      <c r="G31" s="72">
        <f>+F31-10</f>
        <v>-1.0500000000000007</v>
      </c>
      <c r="H31" s="69">
        <v>48000</v>
      </c>
    </row>
    <row r="32" spans="1:8" x14ac:dyDescent="0.3">
      <c r="A32" s="78" t="s">
        <v>60</v>
      </c>
      <c r="B32" s="91" t="s">
        <v>25</v>
      </c>
      <c r="C32" s="71">
        <v>46213</v>
      </c>
      <c r="D32" s="68">
        <v>0.3756944444444445</v>
      </c>
      <c r="E32" s="68">
        <v>0.75555555555555554</v>
      </c>
      <c r="F32" s="73">
        <f t="shared" si="1"/>
        <v>9.1166666666666654</v>
      </c>
      <c r="G32" s="72">
        <f>+F32-10</f>
        <v>-0.88333333333333464</v>
      </c>
      <c r="H32" s="69">
        <v>48000</v>
      </c>
    </row>
    <row r="33" spans="1:8" x14ac:dyDescent="0.3">
      <c r="A33" s="83" t="s">
        <v>53</v>
      </c>
      <c r="B33" s="94" t="s">
        <v>55</v>
      </c>
      <c r="C33" s="71">
        <v>46214</v>
      </c>
      <c r="D33" s="84"/>
      <c r="E33" s="84"/>
      <c r="F33" s="73">
        <f t="shared" si="1"/>
        <v>0</v>
      </c>
      <c r="G33" s="72">
        <v>0</v>
      </c>
      <c r="H33" s="86">
        <v>0</v>
      </c>
    </row>
    <row r="34" spans="1:8" x14ac:dyDescent="0.3">
      <c r="A34" s="83" t="s">
        <v>53</v>
      </c>
      <c r="B34" s="94" t="s">
        <v>19</v>
      </c>
      <c r="C34" s="71">
        <v>46215</v>
      </c>
      <c r="D34" s="84"/>
      <c r="E34" s="84"/>
      <c r="F34" s="73">
        <f t="shared" si="1"/>
        <v>0</v>
      </c>
      <c r="G34" s="72">
        <v>0</v>
      </c>
      <c r="H34" s="86">
        <v>0</v>
      </c>
    </row>
    <row r="35" spans="1:8" x14ac:dyDescent="0.3">
      <c r="A35" s="78" t="s">
        <v>60</v>
      </c>
      <c r="B35" s="91" t="s">
        <v>20</v>
      </c>
      <c r="C35" s="71">
        <v>46216</v>
      </c>
      <c r="D35" s="68">
        <v>0.37291666666666662</v>
      </c>
      <c r="E35" s="68">
        <v>0.75069444444444444</v>
      </c>
      <c r="F35" s="73">
        <f t="shared" si="1"/>
        <v>9.0666666666666682</v>
      </c>
      <c r="G35" s="72">
        <f t="shared" ref="G33:G37" si="2">+F35-10</f>
        <v>-0.93333333333333179</v>
      </c>
      <c r="H35" s="69">
        <v>48000</v>
      </c>
    </row>
    <row r="36" spans="1:8" x14ac:dyDescent="0.3">
      <c r="A36" s="83" t="s">
        <v>60</v>
      </c>
      <c r="B36" s="94" t="s">
        <v>21</v>
      </c>
      <c r="C36" s="71">
        <v>46217</v>
      </c>
      <c r="D36" s="68">
        <v>0.37222222222222223</v>
      </c>
      <c r="E36" s="68">
        <v>0.75069444444444444</v>
      </c>
      <c r="F36" s="73">
        <f t="shared" si="1"/>
        <v>9.0833333333333321</v>
      </c>
      <c r="G36" s="72">
        <f t="shared" si="2"/>
        <v>-0.91666666666666785</v>
      </c>
      <c r="H36" s="69">
        <v>48000</v>
      </c>
    </row>
    <row r="37" spans="1:8" x14ac:dyDescent="0.3">
      <c r="A37" s="78" t="s">
        <v>53</v>
      </c>
      <c r="B37" s="91" t="s">
        <v>56</v>
      </c>
      <c r="C37" s="71">
        <v>46218</v>
      </c>
      <c r="D37" s="68"/>
      <c r="E37" s="68"/>
      <c r="F37" s="73">
        <f t="shared" si="1"/>
        <v>0</v>
      </c>
      <c r="G37" s="72">
        <v>0</v>
      </c>
      <c r="H37" s="69">
        <v>0</v>
      </c>
    </row>
    <row r="38" spans="1:8" x14ac:dyDescent="0.3">
      <c r="A38" s="220"/>
      <c r="B38" s="220"/>
      <c r="C38" s="88"/>
      <c r="D38" s="89"/>
      <c r="E38" s="79" t="s">
        <v>23</v>
      </c>
      <c r="F38" s="80">
        <f>SUM(F31:F37)</f>
        <v>36.216666666666669</v>
      </c>
      <c r="G38" s="80">
        <f>SUM(G31:G37)</f>
        <v>-3.783333333333335</v>
      </c>
      <c r="H38" s="81">
        <f>SUM(H31:H37)</f>
        <v>192000</v>
      </c>
    </row>
    <row r="39" spans="1:8" x14ac:dyDescent="0.3">
      <c r="A39" s="221"/>
      <c r="B39" s="221"/>
      <c r="C39" s="90"/>
      <c r="D39" s="89"/>
      <c r="E39" s="174" t="s">
        <v>26</v>
      </c>
      <c r="F39" s="175"/>
      <c r="G39" s="176"/>
      <c r="H39" s="82">
        <v>0</v>
      </c>
    </row>
    <row r="40" spans="1:8" ht="19.2" customHeight="1" x14ac:dyDescent="0.3">
      <c r="A40" s="177" t="s">
        <v>27</v>
      </c>
      <c r="B40" s="178"/>
      <c r="C40" s="179"/>
      <c r="D40" s="180"/>
      <c r="E40" s="180"/>
      <c r="F40" s="180"/>
      <c r="G40" s="180"/>
      <c r="H40" s="181"/>
    </row>
    <row r="41" spans="1:8" ht="21.6" customHeight="1" x14ac:dyDescent="0.3">
      <c r="A41" s="177" t="s">
        <v>28</v>
      </c>
      <c r="B41" s="178"/>
      <c r="C41" s="182"/>
      <c r="D41" s="183"/>
      <c r="E41" s="183"/>
      <c r="F41" s="183"/>
      <c r="G41" s="183"/>
      <c r="H41" s="184"/>
    </row>
    <row r="42" spans="1:8" ht="15" thickBot="1" x14ac:dyDescent="0.35"/>
    <row r="43" spans="1:8" x14ac:dyDescent="0.3">
      <c r="A43" s="209" t="s">
        <v>0</v>
      </c>
      <c r="B43" s="210"/>
      <c r="C43" s="211" t="s">
        <v>49</v>
      </c>
      <c r="D43" s="212"/>
      <c r="E43" s="213"/>
      <c r="F43" s="214" t="s">
        <v>1</v>
      </c>
      <c r="G43" s="121">
        <v>48000</v>
      </c>
      <c r="H43" s="121" t="s">
        <v>46</v>
      </c>
    </row>
    <row r="44" spans="1:8" x14ac:dyDescent="0.3">
      <c r="A44" s="216" t="s">
        <v>3</v>
      </c>
      <c r="B44" s="217"/>
      <c r="C44" s="218">
        <v>42106207</v>
      </c>
      <c r="D44" s="218"/>
      <c r="E44" s="219"/>
      <c r="F44" s="215"/>
      <c r="G44" s="121">
        <v>24000</v>
      </c>
      <c r="H44" s="121" t="s">
        <v>4</v>
      </c>
    </row>
    <row r="45" spans="1:8" x14ac:dyDescent="0.3">
      <c r="A45" s="185" t="s">
        <v>5</v>
      </c>
      <c r="B45" s="188"/>
      <c r="C45" s="185" t="s">
        <v>6</v>
      </c>
      <c r="D45" s="188"/>
      <c r="E45" s="185" t="s">
        <v>7</v>
      </c>
      <c r="F45" s="186"/>
      <c r="G45" s="187" t="s">
        <v>8</v>
      </c>
      <c r="H45" s="186"/>
    </row>
    <row r="46" spans="1:8" x14ac:dyDescent="0.3">
      <c r="A46" s="201">
        <f>+F57</f>
        <v>57.9</v>
      </c>
      <c r="B46" s="202"/>
      <c r="C46" s="203">
        <f>+G57</f>
        <v>3</v>
      </c>
      <c r="D46" s="204"/>
      <c r="E46" s="205">
        <v>4800</v>
      </c>
      <c r="F46" s="206"/>
      <c r="G46" s="207">
        <f>+C46*E46+C48*E48</f>
        <v>14400</v>
      </c>
      <c r="H46" s="208"/>
    </row>
    <row r="47" spans="1:8" x14ac:dyDescent="0.3">
      <c r="A47" s="185"/>
      <c r="B47" s="186"/>
      <c r="C47" s="402" t="s">
        <v>100</v>
      </c>
      <c r="D47" s="403"/>
      <c r="E47" s="189"/>
      <c r="F47" s="190"/>
      <c r="G47" s="191" t="s">
        <v>57</v>
      </c>
      <c r="H47" s="192"/>
    </row>
    <row r="48" spans="1:8" ht="16.2" thickBot="1" x14ac:dyDescent="0.35">
      <c r="A48" s="193"/>
      <c r="B48" s="194"/>
      <c r="C48" s="239"/>
      <c r="D48" s="240"/>
      <c r="E48" s="197"/>
      <c r="F48" s="198"/>
      <c r="G48" s="199">
        <f>+H57+G46</f>
        <v>278400</v>
      </c>
      <c r="H48" s="200"/>
    </row>
    <row r="49" spans="1:8" ht="29.4" thickBot="1" x14ac:dyDescent="0.35">
      <c r="A49" s="145" t="s">
        <v>10</v>
      </c>
      <c r="B49" s="145" t="s">
        <v>11</v>
      </c>
      <c r="C49" s="145" t="s">
        <v>12</v>
      </c>
      <c r="D49" s="145" t="s">
        <v>13</v>
      </c>
      <c r="E49" s="146" t="s">
        <v>14</v>
      </c>
      <c r="F49" s="76" t="s">
        <v>15</v>
      </c>
      <c r="G49" s="92" t="s">
        <v>16</v>
      </c>
      <c r="H49" s="93" t="s">
        <v>17</v>
      </c>
    </row>
    <row r="50" spans="1:8" x14ac:dyDescent="0.3">
      <c r="A50" s="78" t="s">
        <v>60</v>
      </c>
      <c r="B50" s="148" t="s">
        <v>24</v>
      </c>
      <c r="C50" s="144">
        <v>46219</v>
      </c>
      <c r="D50" s="147">
        <v>0.375</v>
      </c>
      <c r="E50" s="147">
        <v>0.75</v>
      </c>
      <c r="F50" s="73">
        <f t="shared" ref="F50:F56" si="3">(IF(D50&gt;E50,E50+1-D50,E50-D50))*24</f>
        <v>9</v>
      </c>
      <c r="G50" s="72">
        <f>+F50-10</f>
        <v>-1</v>
      </c>
      <c r="H50" s="69">
        <v>48000</v>
      </c>
    </row>
    <row r="51" spans="1:8" x14ac:dyDescent="0.3">
      <c r="A51" s="114" t="s">
        <v>64</v>
      </c>
      <c r="B51" s="169" t="s">
        <v>25</v>
      </c>
      <c r="C51" s="144">
        <v>46220</v>
      </c>
      <c r="D51" s="84"/>
      <c r="E51" s="84"/>
      <c r="F51" s="73">
        <f t="shared" si="3"/>
        <v>0</v>
      </c>
      <c r="G51" s="85"/>
      <c r="H51" s="86">
        <v>0</v>
      </c>
    </row>
    <row r="52" spans="1:8" x14ac:dyDescent="0.3">
      <c r="A52" s="78" t="s">
        <v>85</v>
      </c>
      <c r="B52" s="148" t="s">
        <v>55</v>
      </c>
      <c r="C52" s="144">
        <v>46221</v>
      </c>
      <c r="D52" s="68">
        <v>0.63263888888888886</v>
      </c>
      <c r="E52" s="68">
        <v>0.83680555555555547</v>
      </c>
      <c r="F52" s="73">
        <f t="shared" si="3"/>
        <v>4.8999999999999986</v>
      </c>
      <c r="G52" s="72">
        <v>0</v>
      </c>
      <c r="H52" s="69">
        <v>24000</v>
      </c>
    </row>
    <row r="53" spans="1:8" x14ac:dyDescent="0.3">
      <c r="A53" s="78" t="s">
        <v>85</v>
      </c>
      <c r="B53" s="148" t="s">
        <v>19</v>
      </c>
      <c r="C53" s="144">
        <v>46222</v>
      </c>
      <c r="D53" s="68">
        <v>0.29166666666666669</v>
      </c>
      <c r="E53" s="68">
        <v>0.58333333333333337</v>
      </c>
      <c r="F53" s="73">
        <f t="shared" si="3"/>
        <v>7</v>
      </c>
      <c r="G53" s="72">
        <f t="shared" ref="G53:G56" si="4">+F53-10</f>
        <v>-3</v>
      </c>
      <c r="H53" s="69">
        <v>48000</v>
      </c>
    </row>
    <row r="54" spans="1:8" x14ac:dyDescent="0.3">
      <c r="A54" s="78" t="s">
        <v>85</v>
      </c>
      <c r="B54" s="148" t="s">
        <v>20</v>
      </c>
      <c r="C54" s="144">
        <v>46223</v>
      </c>
      <c r="D54" s="68">
        <v>0.29166666666666669</v>
      </c>
      <c r="E54" s="68">
        <v>0.875</v>
      </c>
      <c r="F54" s="73">
        <f t="shared" si="3"/>
        <v>13.999999999999998</v>
      </c>
      <c r="G54" s="72">
        <f t="shared" si="4"/>
        <v>3.9999999999999982</v>
      </c>
      <c r="H54" s="69">
        <v>48000</v>
      </c>
    </row>
    <row r="55" spans="1:8" x14ac:dyDescent="0.3">
      <c r="A55" s="78" t="s">
        <v>85</v>
      </c>
      <c r="B55" s="148" t="s">
        <v>21</v>
      </c>
      <c r="C55" s="144">
        <v>46224</v>
      </c>
      <c r="D55" s="68">
        <v>0.33333333333333331</v>
      </c>
      <c r="E55" s="68">
        <v>0.875</v>
      </c>
      <c r="F55" s="73">
        <f t="shared" si="3"/>
        <v>13.000000000000002</v>
      </c>
      <c r="G55" s="72">
        <f t="shared" si="4"/>
        <v>3.0000000000000018</v>
      </c>
      <c r="H55" s="69">
        <v>48000</v>
      </c>
    </row>
    <row r="56" spans="1:8" x14ac:dyDescent="0.3">
      <c r="A56" s="78" t="s">
        <v>85</v>
      </c>
      <c r="B56" s="148" t="s">
        <v>56</v>
      </c>
      <c r="C56" s="144">
        <v>46225</v>
      </c>
      <c r="D56" s="68">
        <v>0.33333333333333331</v>
      </c>
      <c r="E56" s="68">
        <v>0.75</v>
      </c>
      <c r="F56" s="73">
        <f t="shared" si="3"/>
        <v>10</v>
      </c>
      <c r="G56" s="72">
        <f t="shared" si="4"/>
        <v>0</v>
      </c>
      <c r="H56" s="69">
        <v>48000</v>
      </c>
    </row>
    <row r="57" spans="1:8" x14ac:dyDescent="0.3">
      <c r="A57" s="220"/>
      <c r="B57" s="220"/>
      <c r="C57" s="88"/>
      <c r="D57" s="89"/>
      <c r="E57" s="79" t="s">
        <v>23</v>
      </c>
      <c r="F57" s="80">
        <f>SUM(F50:F56)</f>
        <v>57.9</v>
      </c>
      <c r="G57" s="161">
        <f>SUM(G50:G56)</f>
        <v>3</v>
      </c>
      <c r="H57" s="81">
        <f>SUM(H50:H56)</f>
        <v>264000</v>
      </c>
    </row>
    <row r="58" spans="1:8" ht="18" customHeight="1" x14ac:dyDescent="0.3">
      <c r="A58" s="221"/>
      <c r="B58" s="221"/>
      <c r="C58" s="90"/>
      <c r="D58" s="89"/>
      <c r="E58" s="174" t="s">
        <v>26</v>
      </c>
      <c r="F58" s="175"/>
      <c r="G58" s="176"/>
      <c r="H58" s="82">
        <v>0</v>
      </c>
    </row>
    <row r="59" spans="1:8" x14ac:dyDescent="0.3">
      <c r="A59" s="177" t="s">
        <v>27</v>
      </c>
      <c r="B59" s="178"/>
      <c r="C59" s="179"/>
      <c r="D59" s="180"/>
      <c r="E59" s="180"/>
      <c r="F59" s="180"/>
      <c r="G59" s="180"/>
      <c r="H59" s="181"/>
    </row>
    <row r="60" spans="1:8" x14ac:dyDescent="0.3">
      <c r="A60" s="177" t="s">
        <v>28</v>
      </c>
      <c r="B60" s="178"/>
      <c r="C60" s="182"/>
      <c r="D60" s="183"/>
      <c r="E60" s="183"/>
      <c r="F60" s="183"/>
      <c r="G60" s="183"/>
      <c r="H60" s="184"/>
    </row>
    <row r="61" spans="1:8" ht="15" thickBot="1" x14ac:dyDescent="0.35"/>
    <row r="62" spans="1:8" x14ac:dyDescent="0.3">
      <c r="A62" s="209" t="s">
        <v>0</v>
      </c>
      <c r="B62" s="210"/>
      <c r="C62" s="211" t="s">
        <v>49</v>
      </c>
      <c r="D62" s="212"/>
      <c r="E62" s="213"/>
      <c r="F62" s="214" t="s">
        <v>1</v>
      </c>
      <c r="G62" s="121">
        <v>48000</v>
      </c>
      <c r="H62" s="121" t="s">
        <v>46</v>
      </c>
    </row>
    <row r="63" spans="1:8" x14ac:dyDescent="0.3">
      <c r="A63" s="216" t="s">
        <v>3</v>
      </c>
      <c r="B63" s="217"/>
      <c r="C63" s="218">
        <v>42106207</v>
      </c>
      <c r="D63" s="218"/>
      <c r="E63" s="219"/>
      <c r="F63" s="215"/>
      <c r="G63" s="121">
        <v>24000</v>
      </c>
      <c r="H63" s="121" t="s">
        <v>4</v>
      </c>
    </row>
    <row r="64" spans="1:8" x14ac:dyDescent="0.3">
      <c r="A64" s="185" t="s">
        <v>5</v>
      </c>
      <c r="B64" s="188"/>
      <c r="C64" s="185" t="s">
        <v>6</v>
      </c>
      <c r="D64" s="188"/>
      <c r="E64" s="185" t="s">
        <v>7</v>
      </c>
      <c r="F64" s="186"/>
      <c r="G64" s="187" t="s">
        <v>8</v>
      </c>
      <c r="H64" s="186"/>
    </row>
    <row r="65" spans="1:8" x14ac:dyDescent="0.3">
      <c r="A65" s="201">
        <f>+F76</f>
        <v>32.5</v>
      </c>
      <c r="B65" s="202"/>
      <c r="C65" s="203">
        <f>+G76</f>
        <v>-27.5</v>
      </c>
      <c r="D65" s="204"/>
      <c r="E65" s="205">
        <v>4800</v>
      </c>
      <c r="F65" s="206"/>
      <c r="G65" s="207">
        <f>+C65*E65+C67*E67</f>
        <v>-132000</v>
      </c>
      <c r="H65" s="208"/>
    </row>
    <row r="66" spans="1:8" x14ac:dyDescent="0.3">
      <c r="A66" s="185"/>
      <c r="B66" s="186"/>
      <c r="C66" s="187" t="s">
        <v>100</v>
      </c>
      <c r="D66" s="188"/>
      <c r="E66" s="189"/>
      <c r="F66" s="190"/>
      <c r="G66" s="191" t="s">
        <v>57</v>
      </c>
      <c r="H66" s="192"/>
    </row>
    <row r="67" spans="1:8" ht="16.2" thickBot="1" x14ac:dyDescent="0.35">
      <c r="A67" s="193"/>
      <c r="B67" s="194"/>
      <c r="C67" s="195"/>
      <c r="D67" s="196"/>
      <c r="E67" s="197"/>
      <c r="F67" s="198"/>
      <c r="G67" s="199">
        <f>+H76+G65</f>
        <v>204000</v>
      </c>
      <c r="H67" s="200"/>
    </row>
    <row r="68" spans="1:8" ht="29.4" thickBot="1" x14ac:dyDescent="0.35">
      <c r="A68" s="145" t="s">
        <v>10</v>
      </c>
      <c r="B68" s="145" t="s">
        <v>11</v>
      </c>
      <c r="C68" s="145" t="s">
        <v>12</v>
      </c>
      <c r="D68" s="145" t="s">
        <v>13</v>
      </c>
      <c r="E68" s="146" t="s">
        <v>14</v>
      </c>
      <c r="F68" s="76" t="s">
        <v>15</v>
      </c>
      <c r="G68" s="92" t="s">
        <v>16</v>
      </c>
      <c r="H68" s="93" t="s">
        <v>17</v>
      </c>
    </row>
    <row r="69" spans="1:8" x14ac:dyDescent="0.3">
      <c r="A69" s="78" t="s">
        <v>60</v>
      </c>
      <c r="B69" s="148" t="s">
        <v>24</v>
      </c>
      <c r="C69" s="144">
        <v>46226</v>
      </c>
      <c r="D69" s="147">
        <v>0.33333333333333331</v>
      </c>
      <c r="E69" s="147">
        <v>0.79166666666666663</v>
      </c>
      <c r="F69" s="73">
        <f t="shared" ref="F69:F75" si="5">(IF(D69&gt;E69,E69+1-D69,E69-D69))*24</f>
        <v>11</v>
      </c>
      <c r="G69" s="72">
        <f>+F69-10</f>
        <v>1</v>
      </c>
      <c r="H69" s="69">
        <v>48000</v>
      </c>
    </row>
    <row r="70" spans="1:8" x14ac:dyDescent="0.3">
      <c r="A70" s="78" t="s">
        <v>60</v>
      </c>
      <c r="B70" s="155" t="s">
        <v>25</v>
      </c>
      <c r="C70" s="144">
        <v>46227</v>
      </c>
      <c r="D70" s="167"/>
      <c r="E70" s="167"/>
      <c r="F70" s="73">
        <f t="shared" si="5"/>
        <v>0</v>
      </c>
      <c r="G70" s="72">
        <v>0</v>
      </c>
      <c r="H70" s="69">
        <v>48000</v>
      </c>
    </row>
    <row r="71" spans="1:8" x14ac:dyDescent="0.3">
      <c r="A71" s="78" t="s">
        <v>60</v>
      </c>
      <c r="B71" s="148" t="s">
        <v>55</v>
      </c>
      <c r="C71" s="144">
        <v>46228</v>
      </c>
      <c r="D71" s="68">
        <v>0.66666666666666663</v>
      </c>
      <c r="E71" s="68">
        <v>0.125</v>
      </c>
      <c r="F71" s="73">
        <f t="shared" si="5"/>
        <v>11</v>
      </c>
      <c r="G71" s="72">
        <f t="shared" ref="G71:G75" si="6">+F71-10</f>
        <v>1</v>
      </c>
      <c r="H71" s="69">
        <v>48000</v>
      </c>
    </row>
    <row r="72" spans="1:8" x14ac:dyDescent="0.3">
      <c r="A72" s="78" t="s">
        <v>60</v>
      </c>
      <c r="B72" s="148" t="s">
        <v>19</v>
      </c>
      <c r="C72" s="144">
        <v>46229</v>
      </c>
      <c r="D72" s="68">
        <v>0.375</v>
      </c>
      <c r="E72" s="68">
        <v>0.8125</v>
      </c>
      <c r="F72" s="73">
        <f t="shared" si="5"/>
        <v>10.5</v>
      </c>
      <c r="G72" s="72">
        <f t="shared" si="6"/>
        <v>0.5</v>
      </c>
      <c r="H72" s="69">
        <v>48000</v>
      </c>
    </row>
    <row r="73" spans="1:8" x14ac:dyDescent="0.3">
      <c r="A73" s="78" t="s">
        <v>60</v>
      </c>
      <c r="B73" s="148" t="s">
        <v>20</v>
      </c>
      <c r="C73" s="144">
        <v>46230</v>
      </c>
      <c r="D73" s="68"/>
      <c r="E73" s="68"/>
      <c r="F73" s="73">
        <f t="shared" si="5"/>
        <v>0</v>
      </c>
      <c r="G73" s="72">
        <f t="shared" si="6"/>
        <v>-10</v>
      </c>
      <c r="H73" s="69">
        <v>48000</v>
      </c>
    </row>
    <row r="74" spans="1:8" x14ac:dyDescent="0.3">
      <c r="A74" s="78" t="s">
        <v>60</v>
      </c>
      <c r="B74" s="148" t="s">
        <v>21</v>
      </c>
      <c r="C74" s="144">
        <v>46231</v>
      </c>
      <c r="D74" s="68"/>
      <c r="E74" s="68"/>
      <c r="F74" s="73">
        <f t="shared" si="5"/>
        <v>0</v>
      </c>
      <c r="G74" s="72">
        <f t="shared" si="6"/>
        <v>-10</v>
      </c>
      <c r="H74" s="69">
        <v>48000</v>
      </c>
    </row>
    <row r="75" spans="1:8" x14ac:dyDescent="0.3">
      <c r="A75" s="78" t="s">
        <v>60</v>
      </c>
      <c r="B75" s="148" t="s">
        <v>56</v>
      </c>
      <c r="C75" s="144">
        <v>46232</v>
      </c>
      <c r="D75" s="68"/>
      <c r="E75" s="68"/>
      <c r="F75" s="73">
        <f t="shared" si="5"/>
        <v>0</v>
      </c>
      <c r="G75" s="72">
        <f t="shared" si="6"/>
        <v>-10</v>
      </c>
      <c r="H75" s="69">
        <v>48000</v>
      </c>
    </row>
    <row r="76" spans="1:8" x14ac:dyDescent="0.3">
      <c r="A76" s="165"/>
      <c r="B76" s="165"/>
      <c r="C76" s="88"/>
      <c r="D76" s="89"/>
      <c r="E76" s="79" t="s">
        <v>23</v>
      </c>
      <c r="F76" s="80">
        <f>SUM(F69:F75)</f>
        <v>32.5</v>
      </c>
      <c r="G76" s="161">
        <f>SUM(G69:G75)</f>
        <v>-27.5</v>
      </c>
      <c r="H76" s="81">
        <f>SUM(H69:H75)</f>
        <v>336000</v>
      </c>
    </row>
    <row r="77" spans="1:8" x14ac:dyDescent="0.3">
      <c r="A77" s="166"/>
      <c r="B77" s="166"/>
      <c r="C77" s="90"/>
      <c r="D77" s="89"/>
      <c r="E77" s="174" t="s">
        <v>26</v>
      </c>
      <c r="F77" s="175"/>
      <c r="G77" s="176"/>
      <c r="H77" s="82">
        <v>0</v>
      </c>
    </row>
    <row r="78" spans="1:8" x14ac:dyDescent="0.3">
      <c r="A78" s="177" t="s">
        <v>27</v>
      </c>
      <c r="B78" s="178"/>
      <c r="C78" s="179"/>
      <c r="D78" s="180"/>
      <c r="E78" s="180"/>
      <c r="F78" s="180"/>
      <c r="G78" s="180"/>
      <c r="H78" s="181"/>
    </row>
    <row r="79" spans="1:8" ht="24" customHeight="1" x14ac:dyDescent="0.3">
      <c r="A79" s="177" t="s">
        <v>28</v>
      </c>
      <c r="B79" s="178"/>
      <c r="C79" s="182"/>
      <c r="D79" s="183"/>
      <c r="E79" s="183"/>
      <c r="F79" s="183"/>
      <c r="G79" s="183"/>
      <c r="H79" s="184"/>
    </row>
  </sheetData>
  <mergeCells count="108">
    <mergeCell ref="A38:B38"/>
    <mergeCell ref="A39:B39"/>
    <mergeCell ref="E39:G39"/>
    <mergeCell ref="A40:B40"/>
    <mergeCell ref="C40:H41"/>
    <mergeCell ref="A41:B41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24:B24"/>
    <mergeCell ref="C24:E24"/>
    <mergeCell ref="F24:F25"/>
    <mergeCell ref="A25:B25"/>
    <mergeCell ref="C25:E25"/>
    <mergeCell ref="A26:B26"/>
    <mergeCell ref="C26:D26"/>
    <mergeCell ref="E26:F26"/>
    <mergeCell ref="G26:H26"/>
    <mergeCell ref="A19:B19"/>
    <mergeCell ref="A20:B20"/>
    <mergeCell ref="E20:G20"/>
    <mergeCell ref="A21:B21"/>
    <mergeCell ref="C21:H22"/>
    <mergeCell ref="A22:B22"/>
    <mergeCell ref="A9:B9"/>
    <mergeCell ref="C9:D9"/>
    <mergeCell ref="E9:F9"/>
    <mergeCell ref="G9:H9"/>
    <mergeCell ref="A10:B10"/>
    <mergeCell ref="C10:D10"/>
    <mergeCell ref="E10:F10"/>
    <mergeCell ref="G10:H10"/>
    <mergeCell ref="A4:E4"/>
    <mergeCell ref="F4:G4"/>
    <mergeCell ref="A7:B7"/>
    <mergeCell ref="C7:D7"/>
    <mergeCell ref="E7:F7"/>
    <mergeCell ref="G7:H7"/>
    <mergeCell ref="A8:B8"/>
    <mergeCell ref="C8:D8"/>
    <mergeCell ref="E8:F8"/>
    <mergeCell ref="G8:H8"/>
    <mergeCell ref="A5:B5"/>
    <mergeCell ref="C5:E5"/>
    <mergeCell ref="F5:F6"/>
    <mergeCell ref="A6:B6"/>
    <mergeCell ref="C6:E6"/>
    <mergeCell ref="A45:B45"/>
    <mergeCell ref="C45:D45"/>
    <mergeCell ref="E45:F45"/>
    <mergeCell ref="G45:H45"/>
    <mergeCell ref="A46:B46"/>
    <mergeCell ref="C46:D46"/>
    <mergeCell ref="E46:F46"/>
    <mergeCell ref="G46:H46"/>
    <mergeCell ref="A43:B43"/>
    <mergeCell ref="C43:E43"/>
    <mergeCell ref="F43:F44"/>
    <mergeCell ref="A44:B44"/>
    <mergeCell ref="C44:E44"/>
    <mergeCell ref="A57:B57"/>
    <mergeCell ref="A58:B58"/>
    <mergeCell ref="E58:G58"/>
    <mergeCell ref="A59:B59"/>
    <mergeCell ref="C59:H60"/>
    <mergeCell ref="A60:B60"/>
    <mergeCell ref="A47:B47"/>
    <mergeCell ref="C47:D47"/>
    <mergeCell ref="E47:F47"/>
    <mergeCell ref="G47:H47"/>
    <mergeCell ref="A48:B48"/>
    <mergeCell ref="C48:D48"/>
    <mergeCell ref="E48:F48"/>
    <mergeCell ref="G48:H48"/>
    <mergeCell ref="A64:B64"/>
    <mergeCell ref="C64:D64"/>
    <mergeCell ref="E64:F64"/>
    <mergeCell ref="G64:H64"/>
    <mergeCell ref="A65:B65"/>
    <mergeCell ref="C65:D65"/>
    <mergeCell ref="E65:F65"/>
    <mergeCell ref="G65:H65"/>
    <mergeCell ref="A62:B62"/>
    <mergeCell ref="C62:E62"/>
    <mergeCell ref="F62:F63"/>
    <mergeCell ref="A63:B63"/>
    <mergeCell ref="C63:E63"/>
    <mergeCell ref="E77:G77"/>
    <mergeCell ref="A78:B78"/>
    <mergeCell ref="C78:H79"/>
    <mergeCell ref="A79:B79"/>
    <mergeCell ref="A66:B66"/>
    <mergeCell ref="C66:D66"/>
    <mergeCell ref="E66:F66"/>
    <mergeCell ref="G66:H66"/>
    <mergeCell ref="A67:B67"/>
    <mergeCell ref="C67:D67"/>
    <mergeCell ref="E67:F67"/>
    <mergeCell ref="G67:H67"/>
  </mergeCells>
  <pageMargins left="0.23622047244094491" right="0.23622047244094491" top="0.74803149606299213" bottom="0.74803149606299213" header="0.31496062992125984" footer="0.31496062992125984"/>
  <pageSetup paperSize="9"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9"/>
  <sheetViews>
    <sheetView topLeftCell="A55" workbookViewId="0">
      <selection activeCell="C85" sqref="C85"/>
    </sheetView>
  </sheetViews>
  <sheetFormatPr baseColWidth="10" defaultRowHeight="14.4" x14ac:dyDescent="0.3"/>
  <cols>
    <col min="1" max="1" width="17.33203125" customWidth="1"/>
    <col min="2" max="2" width="13.6640625" customWidth="1"/>
    <col min="3" max="4" width="15.109375" customWidth="1"/>
    <col min="5" max="7" width="15.33203125" customWidth="1"/>
    <col min="8" max="8" width="15.44140625" customWidth="1"/>
    <col min="9" max="9" width="11.6640625" bestFit="1" customWidth="1"/>
  </cols>
  <sheetData>
    <row r="1" spans="1:8" x14ac:dyDescent="0.3">
      <c r="A1" s="1"/>
      <c r="B1" s="2"/>
      <c r="C1" s="2"/>
      <c r="D1" s="2"/>
      <c r="E1" s="2"/>
      <c r="F1" s="2"/>
      <c r="G1" s="2"/>
      <c r="H1" s="3"/>
    </row>
    <row r="2" spans="1:8" x14ac:dyDescent="0.3">
      <c r="A2" s="4"/>
      <c r="H2" s="5"/>
    </row>
    <row r="3" spans="1:8" ht="21" customHeight="1" thickBot="1" x14ac:dyDescent="0.35">
      <c r="A3" s="4"/>
      <c r="H3" s="5"/>
    </row>
    <row r="4" spans="1:8" ht="20.399999999999999" customHeight="1" x14ac:dyDescent="0.3">
      <c r="A4" s="209" t="s">
        <v>0</v>
      </c>
      <c r="B4" s="210"/>
      <c r="C4" s="211" t="s">
        <v>50</v>
      </c>
      <c r="D4" s="212"/>
      <c r="E4" s="213"/>
      <c r="F4" s="214" t="s">
        <v>1</v>
      </c>
      <c r="G4" s="121">
        <v>48000</v>
      </c>
      <c r="H4" s="121" t="s">
        <v>46</v>
      </c>
    </row>
    <row r="5" spans="1:8" ht="22.8" customHeight="1" x14ac:dyDescent="0.3">
      <c r="A5" s="216" t="s">
        <v>3</v>
      </c>
      <c r="B5" s="217"/>
      <c r="C5" s="218">
        <v>42782885</v>
      </c>
      <c r="D5" s="218"/>
      <c r="E5" s="219"/>
      <c r="F5" s="215"/>
      <c r="G5" s="121">
        <v>24000</v>
      </c>
      <c r="H5" s="121" t="s">
        <v>4</v>
      </c>
    </row>
    <row r="6" spans="1:8" x14ac:dyDescent="0.3">
      <c r="A6" s="185" t="s">
        <v>5</v>
      </c>
      <c r="B6" s="188"/>
      <c r="C6" s="185" t="s">
        <v>6</v>
      </c>
      <c r="D6" s="188"/>
      <c r="E6" s="185" t="s">
        <v>7</v>
      </c>
      <c r="F6" s="186"/>
      <c r="G6" s="187" t="s">
        <v>8</v>
      </c>
      <c r="H6" s="188"/>
    </row>
    <row r="7" spans="1:8" x14ac:dyDescent="0.3">
      <c r="A7" s="237">
        <f>+F18</f>
        <v>0</v>
      </c>
      <c r="B7" s="238"/>
      <c r="C7" s="260">
        <f>+G18</f>
        <v>0</v>
      </c>
      <c r="D7" s="261"/>
      <c r="E7" s="241">
        <v>4800</v>
      </c>
      <c r="F7" s="242"/>
      <c r="G7" s="243">
        <f>+C7*E7+C9*E9</f>
        <v>0</v>
      </c>
      <c r="H7" s="244"/>
    </row>
    <row r="8" spans="1:8" x14ac:dyDescent="0.3">
      <c r="A8" s="245"/>
      <c r="B8" s="246"/>
      <c r="C8" s="247"/>
      <c r="D8" s="248"/>
      <c r="E8" s="249"/>
      <c r="F8" s="250"/>
      <c r="G8" s="191" t="s">
        <v>57</v>
      </c>
      <c r="H8" s="251"/>
    </row>
    <row r="9" spans="1:8" ht="16.2" thickBot="1" x14ac:dyDescent="0.35">
      <c r="A9" s="252"/>
      <c r="B9" s="253"/>
      <c r="C9" s="254"/>
      <c r="D9" s="255"/>
      <c r="E9" s="256"/>
      <c r="F9" s="257"/>
      <c r="G9" s="258">
        <f>+G7+E9+H18-H19</f>
        <v>0</v>
      </c>
      <c r="H9" s="259"/>
    </row>
    <row r="10" spans="1:8" ht="29.4" thickBot="1" x14ac:dyDescent="0.35">
      <c r="A10" s="74" t="s">
        <v>10</v>
      </c>
      <c r="B10" s="75" t="s">
        <v>11</v>
      </c>
      <c r="C10" s="75" t="s">
        <v>12</v>
      </c>
      <c r="D10" s="75" t="s">
        <v>13</v>
      </c>
      <c r="E10" s="75" t="s">
        <v>14</v>
      </c>
      <c r="F10" s="76" t="s">
        <v>15</v>
      </c>
      <c r="G10" s="76" t="s">
        <v>16</v>
      </c>
      <c r="H10" s="77" t="s">
        <v>17</v>
      </c>
    </row>
    <row r="11" spans="1:8" x14ac:dyDescent="0.3">
      <c r="A11" s="114" t="s">
        <v>53</v>
      </c>
      <c r="B11" s="153" t="s">
        <v>24</v>
      </c>
      <c r="C11" s="71">
        <v>46205</v>
      </c>
      <c r="D11" s="68"/>
      <c r="E11" s="68"/>
      <c r="F11" s="73">
        <f t="shared" ref="F11:F17" si="0">(IF(D11&gt;E11,E11+1-D11,E11-D11))*24</f>
        <v>0</v>
      </c>
      <c r="G11" s="72"/>
      <c r="H11" s="69">
        <v>0</v>
      </c>
    </row>
    <row r="12" spans="1:8" x14ac:dyDescent="0.3">
      <c r="A12" s="114" t="s">
        <v>53</v>
      </c>
      <c r="B12" s="153" t="s">
        <v>25</v>
      </c>
      <c r="C12" s="71">
        <v>46206</v>
      </c>
      <c r="D12" s="68"/>
      <c r="E12" s="68"/>
      <c r="F12" s="73">
        <f t="shared" si="0"/>
        <v>0</v>
      </c>
      <c r="G12" s="72"/>
      <c r="H12" s="69">
        <v>0</v>
      </c>
    </row>
    <row r="13" spans="1:8" x14ac:dyDescent="0.3">
      <c r="A13" s="114" t="s">
        <v>53</v>
      </c>
      <c r="B13" s="154" t="s">
        <v>55</v>
      </c>
      <c r="C13" s="71">
        <v>46207</v>
      </c>
      <c r="D13" s="84"/>
      <c r="E13" s="84"/>
      <c r="F13" s="73">
        <f t="shared" si="0"/>
        <v>0</v>
      </c>
      <c r="G13" s="85"/>
      <c r="H13" s="86">
        <v>0</v>
      </c>
    </row>
    <row r="14" spans="1:8" x14ac:dyDescent="0.3">
      <c r="A14" s="114" t="s">
        <v>53</v>
      </c>
      <c r="B14" s="154" t="s">
        <v>19</v>
      </c>
      <c r="C14" s="71">
        <v>46208</v>
      </c>
      <c r="D14" s="84"/>
      <c r="E14" s="84"/>
      <c r="F14" s="73">
        <f t="shared" si="0"/>
        <v>0</v>
      </c>
      <c r="G14" s="85"/>
      <c r="H14" s="86">
        <v>0</v>
      </c>
    </row>
    <row r="15" spans="1:8" x14ac:dyDescent="0.3">
      <c r="A15" s="114" t="s">
        <v>53</v>
      </c>
      <c r="B15" s="154" t="s">
        <v>20</v>
      </c>
      <c r="C15" s="71">
        <v>46209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114" t="s">
        <v>53</v>
      </c>
      <c r="B16" s="154" t="s">
        <v>21</v>
      </c>
      <c r="C16" s="71">
        <v>46210</v>
      </c>
      <c r="D16" s="84"/>
      <c r="E16" s="84"/>
      <c r="F16" s="73">
        <f t="shared" si="0"/>
        <v>0</v>
      </c>
      <c r="G16" s="85"/>
      <c r="H16" s="86">
        <v>0</v>
      </c>
    </row>
    <row r="17" spans="1:8" x14ac:dyDescent="0.3">
      <c r="A17" s="114" t="s">
        <v>53</v>
      </c>
      <c r="B17" s="154" t="s">
        <v>56</v>
      </c>
      <c r="C17" s="71">
        <v>46211</v>
      </c>
      <c r="D17" s="84"/>
      <c r="E17" s="84"/>
      <c r="F17" s="73">
        <f t="shared" si="0"/>
        <v>0</v>
      </c>
      <c r="G17" s="85"/>
      <c r="H17" s="86">
        <v>0</v>
      </c>
    </row>
    <row r="18" spans="1:8" x14ac:dyDescent="0.3">
      <c r="A18" s="230"/>
      <c r="B18" s="230"/>
      <c r="C18" s="230"/>
      <c r="D18" s="231"/>
      <c r="E18" s="79" t="s">
        <v>23</v>
      </c>
      <c r="F18" s="80">
        <f>SUM(F11:F17)</f>
        <v>0</v>
      </c>
      <c r="G18" s="80">
        <f>SUM(G11:G17)</f>
        <v>0</v>
      </c>
      <c r="H18" s="81">
        <f>SUM(H11:H17)</f>
        <v>0</v>
      </c>
    </row>
    <row r="19" spans="1:8" x14ac:dyDescent="0.3">
      <c r="A19" s="232"/>
      <c r="B19" s="232"/>
      <c r="C19" s="232"/>
      <c r="D19" s="233"/>
      <c r="E19" s="234" t="s">
        <v>26</v>
      </c>
      <c r="F19" s="235"/>
      <c r="G19" s="236"/>
      <c r="H19" s="87">
        <v>0</v>
      </c>
    </row>
    <row r="20" spans="1:8" x14ac:dyDescent="0.3">
      <c r="A20" s="177" t="s">
        <v>27</v>
      </c>
      <c r="B20" s="178"/>
      <c r="C20" s="179"/>
      <c r="D20" s="180"/>
      <c r="E20" s="180"/>
      <c r="F20" s="180"/>
      <c r="G20" s="180"/>
      <c r="H20" s="181"/>
    </row>
    <row r="21" spans="1:8" x14ac:dyDescent="0.3">
      <c r="A21" s="177" t="s">
        <v>28</v>
      </c>
      <c r="B21" s="178"/>
      <c r="C21" s="182"/>
      <c r="D21" s="183"/>
      <c r="E21" s="183"/>
      <c r="F21" s="183"/>
      <c r="G21" s="183"/>
      <c r="H21" s="184"/>
    </row>
    <row r="22" spans="1:8" ht="15" thickBot="1" x14ac:dyDescent="0.35"/>
    <row r="23" spans="1:8" ht="6.6" customHeight="1" x14ac:dyDescent="0.3">
      <c r="A23" s="209" t="s">
        <v>0</v>
      </c>
      <c r="B23" s="210"/>
      <c r="C23" s="211" t="s">
        <v>50</v>
      </c>
      <c r="D23" s="212"/>
      <c r="E23" s="213"/>
      <c r="F23" s="214" t="s">
        <v>1</v>
      </c>
      <c r="G23" s="121">
        <v>48000</v>
      </c>
      <c r="H23" s="121" t="s">
        <v>46</v>
      </c>
    </row>
    <row r="24" spans="1:8" x14ac:dyDescent="0.3">
      <c r="A24" s="216" t="s">
        <v>3</v>
      </c>
      <c r="B24" s="217"/>
      <c r="C24" s="218">
        <v>42782885</v>
      </c>
      <c r="D24" s="218"/>
      <c r="E24" s="219"/>
      <c r="F24" s="215"/>
      <c r="G24" s="121">
        <v>24000</v>
      </c>
      <c r="H24" s="121" t="s">
        <v>4</v>
      </c>
    </row>
    <row r="25" spans="1:8" x14ac:dyDescent="0.3">
      <c r="A25" s="185" t="s">
        <v>5</v>
      </c>
      <c r="B25" s="188"/>
      <c r="C25" s="185" t="s">
        <v>6</v>
      </c>
      <c r="D25" s="188"/>
      <c r="E25" s="185" t="s">
        <v>7</v>
      </c>
      <c r="F25" s="186"/>
      <c r="G25" s="187" t="s">
        <v>8</v>
      </c>
      <c r="H25" s="188"/>
    </row>
    <row r="26" spans="1:8" x14ac:dyDescent="0.3">
      <c r="A26" s="237">
        <f>+F37</f>
        <v>0</v>
      </c>
      <c r="B26" s="238"/>
      <c r="C26" s="260">
        <f>+G37</f>
        <v>0</v>
      </c>
      <c r="D26" s="261"/>
      <c r="E26" s="241">
        <v>4800</v>
      </c>
      <c r="F26" s="242"/>
      <c r="G26" s="243">
        <f>+C26*E26+C28*E28</f>
        <v>0</v>
      </c>
      <c r="H26" s="244"/>
    </row>
    <row r="27" spans="1:8" x14ac:dyDescent="0.3">
      <c r="A27" s="245"/>
      <c r="B27" s="246"/>
      <c r="C27" s="247"/>
      <c r="D27" s="248"/>
      <c r="E27" s="249"/>
      <c r="F27" s="250"/>
      <c r="G27" s="191" t="s">
        <v>57</v>
      </c>
      <c r="H27" s="251"/>
    </row>
    <row r="28" spans="1:8" ht="16.2" thickBot="1" x14ac:dyDescent="0.35">
      <c r="A28" s="252"/>
      <c r="B28" s="253"/>
      <c r="C28" s="254"/>
      <c r="D28" s="255"/>
      <c r="E28" s="256"/>
      <c r="F28" s="257"/>
      <c r="G28" s="258">
        <f>+G26+E28+H37-H38</f>
        <v>0</v>
      </c>
      <c r="H28" s="259"/>
    </row>
    <row r="29" spans="1:8" ht="29.4" thickBot="1" x14ac:dyDescent="0.35">
      <c r="A29" s="74" t="s">
        <v>10</v>
      </c>
      <c r="B29" s="75" t="s">
        <v>11</v>
      </c>
      <c r="C29" s="75" t="s">
        <v>12</v>
      </c>
      <c r="D29" s="75" t="s">
        <v>13</v>
      </c>
      <c r="E29" s="75" t="s">
        <v>14</v>
      </c>
      <c r="F29" s="76" t="s">
        <v>15</v>
      </c>
      <c r="G29" s="76" t="s">
        <v>16</v>
      </c>
      <c r="H29" s="77" t="s">
        <v>17</v>
      </c>
    </row>
    <row r="30" spans="1:8" x14ac:dyDescent="0.3">
      <c r="A30" s="114" t="s">
        <v>53</v>
      </c>
      <c r="B30" s="154" t="s">
        <v>24</v>
      </c>
      <c r="C30" s="71">
        <v>46212</v>
      </c>
      <c r="D30" s="84"/>
      <c r="E30" s="84"/>
      <c r="F30" s="73">
        <f t="shared" ref="F30:F36" si="1">(IF(D30&gt;E30,E30+1-D30,E30-D30))*24</f>
        <v>0</v>
      </c>
      <c r="G30" s="85"/>
      <c r="H30" s="86">
        <v>0</v>
      </c>
    </row>
    <row r="31" spans="1:8" x14ac:dyDescent="0.3">
      <c r="A31" s="114" t="s">
        <v>53</v>
      </c>
      <c r="B31" s="154" t="s">
        <v>25</v>
      </c>
      <c r="C31" s="71">
        <v>46213</v>
      </c>
      <c r="D31" s="84"/>
      <c r="E31" s="84"/>
      <c r="F31" s="73">
        <f t="shared" si="1"/>
        <v>0</v>
      </c>
      <c r="G31" s="85"/>
      <c r="H31" s="86">
        <v>0</v>
      </c>
    </row>
    <row r="32" spans="1:8" x14ac:dyDescent="0.3">
      <c r="A32" s="114" t="s">
        <v>53</v>
      </c>
      <c r="B32" s="154" t="s">
        <v>55</v>
      </c>
      <c r="C32" s="71">
        <v>46214</v>
      </c>
      <c r="D32" s="84"/>
      <c r="E32" s="84"/>
      <c r="F32" s="73">
        <f t="shared" si="1"/>
        <v>0</v>
      </c>
      <c r="G32" s="85"/>
      <c r="H32" s="86">
        <v>0</v>
      </c>
    </row>
    <row r="33" spans="1:8" x14ac:dyDescent="0.3">
      <c r="A33" s="114" t="s">
        <v>53</v>
      </c>
      <c r="B33" s="154" t="s">
        <v>19</v>
      </c>
      <c r="C33" s="71">
        <v>46215</v>
      </c>
      <c r="D33" s="84"/>
      <c r="E33" s="84"/>
      <c r="F33" s="73">
        <f t="shared" si="1"/>
        <v>0</v>
      </c>
      <c r="G33" s="85"/>
      <c r="H33" s="86">
        <v>0</v>
      </c>
    </row>
    <row r="34" spans="1:8" x14ac:dyDescent="0.3">
      <c r="A34" s="114" t="s">
        <v>53</v>
      </c>
      <c r="B34" s="154" t="s">
        <v>20</v>
      </c>
      <c r="C34" s="71">
        <v>46216</v>
      </c>
      <c r="D34" s="84"/>
      <c r="E34" s="84"/>
      <c r="F34" s="73">
        <f t="shared" si="1"/>
        <v>0</v>
      </c>
      <c r="G34" s="85"/>
      <c r="H34" s="86">
        <v>0</v>
      </c>
    </row>
    <row r="35" spans="1:8" x14ac:dyDescent="0.3">
      <c r="A35" s="114" t="s">
        <v>53</v>
      </c>
      <c r="B35" s="154" t="s">
        <v>21</v>
      </c>
      <c r="C35" s="71">
        <v>46217</v>
      </c>
      <c r="D35" s="84"/>
      <c r="E35" s="84"/>
      <c r="F35" s="73">
        <f t="shared" si="1"/>
        <v>0</v>
      </c>
      <c r="G35" s="85"/>
      <c r="H35" s="86">
        <v>0</v>
      </c>
    </row>
    <row r="36" spans="1:8" x14ac:dyDescent="0.3">
      <c r="A36" s="114" t="s">
        <v>53</v>
      </c>
      <c r="B36" s="154" t="s">
        <v>56</v>
      </c>
      <c r="C36" s="71">
        <v>46218</v>
      </c>
      <c r="D36" s="84"/>
      <c r="E36" s="84"/>
      <c r="F36" s="73">
        <f t="shared" si="1"/>
        <v>0</v>
      </c>
      <c r="G36" s="85"/>
      <c r="H36" s="86">
        <v>0</v>
      </c>
    </row>
    <row r="37" spans="1:8" x14ac:dyDescent="0.3">
      <c r="A37" s="230"/>
      <c r="B37" s="230"/>
      <c r="C37" s="230"/>
      <c r="D37" s="231"/>
      <c r="E37" s="79" t="s">
        <v>23</v>
      </c>
      <c r="F37" s="80">
        <f>SUM(F30:F36)</f>
        <v>0</v>
      </c>
      <c r="G37" s="80">
        <f>SUM(G30:G36)</f>
        <v>0</v>
      </c>
      <c r="H37" s="81">
        <f>SUM(H30:H36)</f>
        <v>0</v>
      </c>
    </row>
    <row r="38" spans="1:8" x14ac:dyDescent="0.3">
      <c r="A38" s="232"/>
      <c r="B38" s="232"/>
      <c r="C38" s="232"/>
      <c r="D38" s="233"/>
      <c r="E38" s="234" t="s">
        <v>26</v>
      </c>
      <c r="F38" s="235"/>
      <c r="G38" s="236"/>
      <c r="H38" s="87">
        <v>0</v>
      </c>
    </row>
    <row r="39" spans="1:8" x14ac:dyDescent="0.3">
      <c r="A39" s="177" t="s">
        <v>27</v>
      </c>
      <c r="B39" s="178"/>
      <c r="C39" s="179"/>
      <c r="D39" s="180"/>
      <c r="E39" s="180"/>
      <c r="F39" s="180"/>
      <c r="G39" s="180"/>
      <c r="H39" s="181"/>
    </row>
    <row r="40" spans="1:8" x14ac:dyDescent="0.3">
      <c r="A40" s="177" t="s">
        <v>28</v>
      </c>
      <c r="B40" s="178"/>
      <c r="C40" s="182"/>
      <c r="D40" s="183"/>
      <c r="E40" s="183"/>
      <c r="F40" s="183"/>
      <c r="G40" s="183"/>
      <c r="H40" s="184"/>
    </row>
    <row r="41" spans="1:8" ht="22.2" customHeight="1" thickBot="1" x14ac:dyDescent="0.35"/>
    <row r="42" spans="1:8" x14ac:dyDescent="0.3">
      <c r="A42" s="209" t="s">
        <v>0</v>
      </c>
      <c r="B42" s="210"/>
      <c r="C42" s="211" t="s">
        <v>50</v>
      </c>
      <c r="D42" s="212"/>
      <c r="E42" s="213"/>
      <c r="F42" s="214" t="s">
        <v>1</v>
      </c>
      <c r="G42" s="121">
        <v>48000</v>
      </c>
      <c r="H42" s="121" t="s">
        <v>46</v>
      </c>
    </row>
    <row r="43" spans="1:8" ht="22.2" customHeight="1" x14ac:dyDescent="0.3">
      <c r="A43" s="216" t="s">
        <v>3</v>
      </c>
      <c r="B43" s="217"/>
      <c r="C43" s="218">
        <v>42782885</v>
      </c>
      <c r="D43" s="218"/>
      <c r="E43" s="219"/>
      <c r="F43" s="215"/>
      <c r="G43" s="121">
        <v>24000</v>
      </c>
      <c r="H43" s="121" t="s">
        <v>4</v>
      </c>
    </row>
    <row r="44" spans="1:8" ht="19.8" customHeight="1" x14ac:dyDescent="0.3">
      <c r="A44" s="185" t="s">
        <v>5</v>
      </c>
      <c r="B44" s="188"/>
      <c r="C44" s="185" t="s">
        <v>6</v>
      </c>
      <c r="D44" s="188"/>
      <c r="E44" s="185" t="s">
        <v>7</v>
      </c>
      <c r="F44" s="186"/>
      <c r="G44" s="187" t="s">
        <v>8</v>
      </c>
      <c r="H44" s="188"/>
    </row>
    <row r="45" spans="1:8" x14ac:dyDescent="0.3">
      <c r="A45" s="237">
        <f>+F56</f>
        <v>29.650000000000002</v>
      </c>
      <c r="B45" s="238"/>
      <c r="C45" s="239">
        <v>0</v>
      </c>
      <c r="D45" s="240"/>
      <c r="E45" s="241">
        <v>4800</v>
      </c>
      <c r="F45" s="242"/>
      <c r="G45" s="243">
        <f>+C45*E45</f>
        <v>0</v>
      </c>
      <c r="H45" s="244"/>
    </row>
    <row r="46" spans="1:8" x14ac:dyDescent="0.3">
      <c r="A46" s="245"/>
      <c r="B46" s="246"/>
      <c r="C46" s="402" t="s">
        <v>100</v>
      </c>
      <c r="D46" s="403"/>
      <c r="E46" s="249"/>
      <c r="F46" s="250"/>
      <c r="G46" s="191" t="s">
        <v>57</v>
      </c>
      <c r="H46" s="251"/>
    </row>
    <row r="47" spans="1:8" ht="16.2" thickBot="1" x14ac:dyDescent="0.35">
      <c r="A47" s="252"/>
      <c r="B47" s="253"/>
      <c r="C47" s="239">
        <f>+G56</f>
        <v>-0.34999999999999787</v>
      </c>
      <c r="D47" s="240"/>
      <c r="E47" s="256"/>
      <c r="F47" s="257"/>
      <c r="G47" s="258">
        <f>+G45+E47+H56-H57</f>
        <v>144000</v>
      </c>
      <c r="H47" s="259"/>
    </row>
    <row r="48" spans="1:8" ht="29.4" thickBot="1" x14ac:dyDescent="0.35">
      <c r="A48" s="74" t="s">
        <v>10</v>
      </c>
      <c r="B48" s="75" t="s">
        <v>11</v>
      </c>
      <c r="C48" s="75" t="s">
        <v>12</v>
      </c>
      <c r="D48" s="75" t="s">
        <v>13</v>
      </c>
      <c r="E48" s="75" t="s">
        <v>14</v>
      </c>
      <c r="F48" s="76" t="s">
        <v>15</v>
      </c>
      <c r="G48" s="76" t="s">
        <v>16</v>
      </c>
      <c r="H48" s="77" t="s">
        <v>17</v>
      </c>
    </row>
    <row r="49" spans="1:8" x14ac:dyDescent="0.3">
      <c r="A49" s="111" t="s">
        <v>53</v>
      </c>
      <c r="B49" s="153" t="s">
        <v>24</v>
      </c>
      <c r="C49" s="71">
        <v>46219</v>
      </c>
      <c r="D49" s="68"/>
      <c r="E49" s="68"/>
      <c r="F49" s="73">
        <f t="shared" ref="F49:F55" si="2">(IF(D49&gt;E49,E49+1-D49,E49-D49))*24</f>
        <v>0</v>
      </c>
      <c r="G49" s="72"/>
      <c r="H49" s="69">
        <v>0</v>
      </c>
    </row>
    <row r="50" spans="1:8" x14ac:dyDescent="0.3">
      <c r="A50" s="111" t="s">
        <v>53</v>
      </c>
      <c r="B50" s="153" t="s">
        <v>25</v>
      </c>
      <c r="C50" s="71">
        <v>46220</v>
      </c>
      <c r="D50" s="68"/>
      <c r="E50" s="68"/>
      <c r="F50" s="73">
        <f t="shared" si="2"/>
        <v>0</v>
      </c>
      <c r="G50" s="72"/>
      <c r="H50" s="69">
        <v>0</v>
      </c>
    </row>
    <row r="51" spans="1:8" x14ac:dyDescent="0.3">
      <c r="A51" s="111" t="s">
        <v>53</v>
      </c>
      <c r="B51" s="154" t="s">
        <v>55</v>
      </c>
      <c r="C51" s="71">
        <v>46221</v>
      </c>
      <c r="D51" s="68"/>
      <c r="E51" s="68"/>
      <c r="F51" s="73">
        <f t="shared" si="2"/>
        <v>0</v>
      </c>
      <c r="G51" s="72"/>
      <c r="H51" s="69">
        <v>0</v>
      </c>
    </row>
    <row r="52" spans="1:8" x14ac:dyDescent="0.3">
      <c r="A52" s="111" t="s">
        <v>53</v>
      </c>
      <c r="B52" s="154" t="s">
        <v>19</v>
      </c>
      <c r="C52" s="71">
        <v>46222</v>
      </c>
      <c r="D52" s="68"/>
      <c r="E52" s="68"/>
      <c r="F52" s="73">
        <f t="shared" si="2"/>
        <v>0</v>
      </c>
      <c r="G52" s="72"/>
      <c r="H52" s="69">
        <v>0</v>
      </c>
    </row>
    <row r="53" spans="1:8" x14ac:dyDescent="0.3">
      <c r="A53" s="129" t="s">
        <v>87</v>
      </c>
      <c r="B53" s="94" t="s">
        <v>20</v>
      </c>
      <c r="C53" s="71">
        <v>46223</v>
      </c>
      <c r="D53" s="68">
        <v>0.38819444444444445</v>
      </c>
      <c r="E53" s="68">
        <v>0.75</v>
      </c>
      <c r="F53" s="73">
        <f t="shared" si="2"/>
        <v>8.6833333333333336</v>
      </c>
      <c r="G53" s="72">
        <f>+F53-10</f>
        <v>-1.3166666666666664</v>
      </c>
      <c r="H53" s="69">
        <v>48000</v>
      </c>
    </row>
    <row r="54" spans="1:8" x14ac:dyDescent="0.3">
      <c r="A54" s="129" t="s">
        <v>87</v>
      </c>
      <c r="B54" s="94" t="s">
        <v>21</v>
      </c>
      <c r="C54" s="71">
        <v>46224</v>
      </c>
      <c r="D54" s="68">
        <v>0.38055555555555554</v>
      </c>
      <c r="E54" s="68">
        <v>0.79166666666666663</v>
      </c>
      <c r="F54" s="73">
        <f t="shared" si="2"/>
        <v>9.8666666666666671</v>
      </c>
      <c r="G54" s="72">
        <f t="shared" ref="G54:G55" si="3">+F54-10</f>
        <v>-0.13333333333333286</v>
      </c>
      <c r="H54" s="69">
        <v>48000</v>
      </c>
    </row>
    <row r="55" spans="1:8" x14ac:dyDescent="0.3">
      <c r="A55" s="129" t="s">
        <v>88</v>
      </c>
      <c r="B55" s="94" t="s">
        <v>56</v>
      </c>
      <c r="C55" s="71">
        <v>46225</v>
      </c>
      <c r="D55" s="68">
        <v>0.37083333333333335</v>
      </c>
      <c r="E55" s="68">
        <v>0.83333333333333337</v>
      </c>
      <c r="F55" s="73">
        <f t="shared" si="2"/>
        <v>11.100000000000001</v>
      </c>
      <c r="G55" s="72">
        <f t="shared" si="3"/>
        <v>1.1000000000000014</v>
      </c>
      <c r="H55" s="69">
        <v>48000</v>
      </c>
    </row>
    <row r="56" spans="1:8" x14ac:dyDescent="0.3">
      <c r="A56" s="230"/>
      <c r="B56" s="230"/>
      <c r="C56" s="230"/>
      <c r="D56" s="231"/>
      <c r="E56" s="79" t="s">
        <v>23</v>
      </c>
      <c r="F56" s="80">
        <f>SUM(F49:F55)</f>
        <v>29.650000000000002</v>
      </c>
      <c r="G56" s="161">
        <f>SUM(G49:G55)</f>
        <v>-0.34999999999999787</v>
      </c>
      <c r="H56" s="81">
        <f>SUM(H49:H55)</f>
        <v>144000</v>
      </c>
    </row>
    <row r="57" spans="1:8" x14ac:dyDescent="0.3">
      <c r="A57" s="232"/>
      <c r="B57" s="232"/>
      <c r="C57" s="232"/>
      <c r="D57" s="233"/>
      <c r="E57" s="234" t="s">
        <v>26</v>
      </c>
      <c r="F57" s="235"/>
      <c r="G57" s="236"/>
      <c r="H57" s="87">
        <v>0</v>
      </c>
    </row>
    <row r="58" spans="1:8" ht="17.399999999999999" customHeight="1" x14ac:dyDescent="0.3">
      <c r="A58" s="177" t="s">
        <v>27</v>
      </c>
      <c r="B58" s="178"/>
      <c r="C58" s="179"/>
      <c r="D58" s="180"/>
      <c r="E58" s="180"/>
      <c r="F58" s="180"/>
      <c r="G58" s="180"/>
      <c r="H58" s="181"/>
    </row>
    <row r="59" spans="1:8" x14ac:dyDescent="0.3">
      <c r="A59" s="177" t="s">
        <v>28</v>
      </c>
      <c r="B59" s="178"/>
      <c r="C59" s="182"/>
      <c r="D59" s="183"/>
      <c r="E59" s="183"/>
      <c r="F59" s="183"/>
      <c r="G59" s="183"/>
      <c r="H59" s="184"/>
    </row>
    <row r="60" spans="1:8" ht="19.2" customHeight="1" thickBot="1" x14ac:dyDescent="0.35"/>
    <row r="61" spans="1:8" x14ac:dyDescent="0.3">
      <c r="A61" s="209" t="s">
        <v>0</v>
      </c>
      <c r="B61" s="210"/>
      <c r="C61" s="211" t="s">
        <v>50</v>
      </c>
      <c r="D61" s="212"/>
      <c r="E61" s="213"/>
      <c r="F61" s="214" t="s">
        <v>1</v>
      </c>
      <c r="G61" s="121">
        <v>48000</v>
      </c>
      <c r="H61" s="121" t="s">
        <v>46</v>
      </c>
    </row>
    <row r="62" spans="1:8" ht="17.399999999999999" customHeight="1" x14ac:dyDescent="0.3">
      <c r="A62" s="216" t="s">
        <v>3</v>
      </c>
      <c r="B62" s="217"/>
      <c r="C62" s="218">
        <v>42782885</v>
      </c>
      <c r="D62" s="218"/>
      <c r="E62" s="219"/>
      <c r="F62" s="215"/>
      <c r="G62" s="121">
        <v>24000</v>
      </c>
      <c r="H62" s="121" t="s">
        <v>4</v>
      </c>
    </row>
    <row r="63" spans="1:8" x14ac:dyDescent="0.3">
      <c r="A63" s="185" t="s">
        <v>5</v>
      </c>
      <c r="B63" s="188"/>
      <c r="C63" s="185" t="s">
        <v>6</v>
      </c>
      <c r="D63" s="188"/>
      <c r="E63" s="185" t="s">
        <v>7</v>
      </c>
      <c r="F63" s="186"/>
      <c r="G63" s="187" t="s">
        <v>8</v>
      </c>
      <c r="H63" s="188"/>
    </row>
    <row r="64" spans="1:8" x14ac:dyDescent="0.3">
      <c r="A64" s="237">
        <f>+F75</f>
        <v>67.083333333333343</v>
      </c>
      <c r="B64" s="238"/>
      <c r="C64" s="239">
        <v>0</v>
      </c>
      <c r="D64" s="240"/>
      <c r="E64" s="241">
        <v>4800</v>
      </c>
      <c r="F64" s="242"/>
      <c r="G64" s="243">
        <f>+E64*C64</f>
        <v>0</v>
      </c>
      <c r="H64" s="244"/>
    </row>
    <row r="65" spans="1:8" x14ac:dyDescent="0.3">
      <c r="A65" s="245"/>
      <c r="B65" s="246"/>
      <c r="C65" s="402" t="s">
        <v>100</v>
      </c>
      <c r="D65" s="403"/>
      <c r="E65" s="249"/>
      <c r="F65" s="250"/>
      <c r="G65" s="191" t="s">
        <v>57</v>
      </c>
      <c r="H65" s="251"/>
    </row>
    <row r="66" spans="1:8" ht="16.2" thickBot="1" x14ac:dyDescent="0.35">
      <c r="A66" s="252"/>
      <c r="B66" s="253"/>
      <c r="C66" s="239">
        <f>+G75</f>
        <v>-2.9166666666666643</v>
      </c>
      <c r="D66" s="240"/>
      <c r="E66" s="256"/>
      <c r="F66" s="257"/>
      <c r="G66" s="258">
        <f>+G64+E66+H75-H76</f>
        <v>336000</v>
      </c>
      <c r="H66" s="259"/>
    </row>
    <row r="67" spans="1:8" ht="29.4" thickBot="1" x14ac:dyDescent="0.35">
      <c r="A67" s="74" t="s">
        <v>10</v>
      </c>
      <c r="B67" s="75" t="s">
        <v>11</v>
      </c>
      <c r="C67" s="75" t="s">
        <v>12</v>
      </c>
      <c r="D67" s="75" t="s">
        <v>13</v>
      </c>
      <c r="E67" s="75" t="s">
        <v>14</v>
      </c>
      <c r="F67" s="76" t="s">
        <v>15</v>
      </c>
      <c r="G67" s="76" t="s">
        <v>16</v>
      </c>
      <c r="H67" s="77" t="s">
        <v>17</v>
      </c>
    </row>
    <row r="68" spans="1:8" x14ac:dyDescent="0.3">
      <c r="A68" s="111"/>
      <c r="B68" s="91" t="s">
        <v>24</v>
      </c>
      <c r="C68" s="71">
        <v>46226</v>
      </c>
      <c r="D68" s="68">
        <v>0.34027777777777773</v>
      </c>
      <c r="E68" s="68">
        <v>0.99652777777777779</v>
      </c>
      <c r="F68" s="73">
        <f t="shared" ref="F68:F74" si="4">(IF(D68&gt;E68,E68+1-D68,E68-D68))*24</f>
        <v>15.75</v>
      </c>
      <c r="G68" s="72">
        <f>+F68-10</f>
        <v>5.75</v>
      </c>
      <c r="H68" s="69">
        <v>48000</v>
      </c>
    </row>
    <row r="69" spans="1:8" x14ac:dyDescent="0.3">
      <c r="A69" s="111"/>
      <c r="B69" s="91" t="s">
        <v>25</v>
      </c>
      <c r="C69" s="71">
        <v>46227</v>
      </c>
      <c r="D69" s="68">
        <v>0.33888888888888885</v>
      </c>
      <c r="E69" s="68">
        <v>0.88541666666666663</v>
      </c>
      <c r="F69" s="73">
        <f t="shared" si="4"/>
        <v>13.116666666666665</v>
      </c>
      <c r="G69" s="72">
        <f t="shared" ref="G69:G72" si="5">+F69-10</f>
        <v>3.1166666666666654</v>
      </c>
      <c r="H69" s="69">
        <v>48000</v>
      </c>
    </row>
    <row r="70" spans="1:8" x14ac:dyDescent="0.3">
      <c r="A70" s="111"/>
      <c r="B70" s="91" t="s">
        <v>55</v>
      </c>
      <c r="C70" s="71">
        <v>46228</v>
      </c>
      <c r="D70" s="68">
        <v>0.32500000000000001</v>
      </c>
      <c r="E70" s="68">
        <v>0.76666666666666661</v>
      </c>
      <c r="F70" s="73">
        <f t="shared" si="4"/>
        <v>10.599999999999998</v>
      </c>
      <c r="G70" s="72">
        <f t="shared" si="5"/>
        <v>0.59999999999999787</v>
      </c>
      <c r="H70" s="69">
        <v>48000</v>
      </c>
    </row>
    <row r="71" spans="1:8" x14ac:dyDescent="0.3">
      <c r="A71" s="111"/>
      <c r="B71" s="91" t="s">
        <v>19</v>
      </c>
      <c r="C71" s="71">
        <v>46229</v>
      </c>
      <c r="D71" s="68">
        <v>0.33749999999999997</v>
      </c>
      <c r="E71" s="68">
        <v>0.82430555555555562</v>
      </c>
      <c r="F71" s="73">
        <f t="shared" si="4"/>
        <v>11.683333333333335</v>
      </c>
      <c r="G71" s="72">
        <f t="shared" si="5"/>
        <v>1.6833333333333353</v>
      </c>
      <c r="H71" s="69">
        <v>48000</v>
      </c>
    </row>
    <row r="72" spans="1:8" x14ac:dyDescent="0.3">
      <c r="A72" s="127"/>
      <c r="B72" s="91" t="s">
        <v>20</v>
      </c>
      <c r="C72" s="71">
        <v>46230</v>
      </c>
      <c r="D72" s="68">
        <v>0.33611111111111108</v>
      </c>
      <c r="E72" s="168"/>
      <c r="F72" s="73">
        <f t="shared" si="4"/>
        <v>15.933333333333335</v>
      </c>
      <c r="G72" s="72">
        <f t="shared" si="5"/>
        <v>5.9333333333333353</v>
      </c>
      <c r="H72" s="69">
        <v>48000</v>
      </c>
    </row>
    <row r="73" spans="1:8" x14ac:dyDescent="0.3">
      <c r="A73" s="127"/>
      <c r="B73" s="91" t="s">
        <v>21</v>
      </c>
      <c r="C73" s="71">
        <v>46231</v>
      </c>
      <c r="D73" s="68"/>
      <c r="E73" s="68"/>
      <c r="F73" s="73">
        <f t="shared" si="4"/>
        <v>0</v>
      </c>
      <c r="G73" s="72">
        <f t="shared" ref="G73:G74" si="6">+F73-10</f>
        <v>-10</v>
      </c>
      <c r="H73" s="69">
        <v>48000</v>
      </c>
    </row>
    <row r="74" spans="1:8" x14ac:dyDescent="0.3">
      <c r="A74" s="127"/>
      <c r="B74" s="91" t="s">
        <v>56</v>
      </c>
      <c r="C74" s="71">
        <v>46232</v>
      </c>
      <c r="D74" s="68"/>
      <c r="E74" s="68"/>
      <c r="F74" s="73">
        <f t="shared" si="4"/>
        <v>0</v>
      </c>
      <c r="G74" s="72">
        <f t="shared" si="6"/>
        <v>-10</v>
      </c>
      <c r="H74" s="69">
        <v>48000</v>
      </c>
    </row>
    <row r="75" spans="1:8" x14ac:dyDescent="0.3">
      <c r="A75" s="230"/>
      <c r="B75" s="230"/>
      <c r="C75" s="230"/>
      <c r="D75" s="231"/>
      <c r="E75" s="79" t="s">
        <v>23</v>
      </c>
      <c r="F75" s="80">
        <f>SUM(F68:F74)</f>
        <v>67.083333333333343</v>
      </c>
      <c r="G75" s="161">
        <f>SUM(G68:G74)</f>
        <v>-2.9166666666666643</v>
      </c>
      <c r="H75" s="81">
        <f>SUM(H68:H74)</f>
        <v>336000</v>
      </c>
    </row>
    <row r="76" spans="1:8" x14ac:dyDescent="0.3">
      <c r="A76" s="232"/>
      <c r="B76" s="232"/>
      <c r="C76" s="232"/>
      <c r="D76" s="233"/>
      <c r="E76" s="234" t="s">
        <v>26</v>
      </c>
      <c r="F76" s="235"/>
      <c r="G76" s="236"/>
      <c r="H76" s="87">
        <v>0</v>
      </c>
    </row>
    <row r="77" spans="1:8" ht="18" customHeight="1" x14ac:dyDescent="0.3">
      <c r="A77" s="177" t="s">
        <v>27</v>
      </c>
      <c r="B77" s="178"/>
      <c r="C77" s="179"/>
      <c r="D77" s="180"/>
      <c r="E77" s="180"/>
      <c r="F77" s="180"/>
      <c r="G77" s="180"/>
      <c r="H77" s="181"/>
    </row>
    <row r="78" spans="1:8" ht="19.8" customHeight="1" x14ac:dyDescent="0.3">
      <c r="A78" s="177" t="s">
        <v>28</v>
      </c>
      <c r="B78" s="178"/>
      <c r="C78" s="182"/>
      <c r="D78" s="183"/>
      <c r="E78" s="183"/>
      <c r="F78" s="183"/>
      <c r="G78" s="183"/>
      <c r="H78" s="184"/>
    </row>
    <row r="79" spans="1:8" ht="25.2" customHeight="1" x14ac:dyDescent="0.3"/>
  </sheetData>
  <mergeCells count="104">
    <mergeCell ref="A56:D57"/>
    <mergeCell ref="E57:G57"/>
    <mergeCell ref="A58:B58"/>
    <mergeCell ref="C58:H59"/>
    <mergeCell ref="A59:B59"/>
    <mergeCell ref="A45:B45"/>
    <mergeCell ref="C45:D45"/>
    <mergeCell ref="E45:F45"/>
    <mergeCell ref="G45:H45"/>
    <mergeCell ref="A46:B46"/>
    <mergeCell ref="C46:D46"/>
    <mergeCell ref="E46:F46"/>
    <mergeCell ref="G46:H46"/>
    <mergeCell ref="A47:B47"/>
    <mergeCell ref="C47:D47"/>
    <mergeCell ref="E47:F47"/>
    <mergeCell ref="G47:H47"/>
    <mergeCell ref="A42:B42"/>
    <mergeCell ref="C42:E42"/>
    <mergeCell ref="F42:F43"/>
    <mergeCell ref="A43:B43"/>
    <mergeCell ref="C43:E43"/>
    <mergeCell ref="A44:B44"/>
    <mergeCell ref="C44:D44"/>
    <mergeCell ref="E44:F44"/>
    <mergeCell ref="G44:H44"/>
    <mergeCell ref="A37:D38"/>
    <mergeCell ref="E38:G38"/>
    <mergeCell ref="A39:B39"/>
    <mergeCell ref="C39:H40"/>
    <mergeCell ref="A40:B40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23:B23"/>
    <mergeCell ref="C23:E23"/>
    <mergeCell ref="F23:F24"/>
    <mergeCell ref="A24:B24"/>
    <mergeCell ref="C24:E24"/>
    <mergeCell ref="A25:B25"/>
    <mergeCell ref="C25:D25"/>
    <mergeCell ref="E25:F25"/>
    <mergeCell ref="G25:H25"/>
    <mergeCell ref="A18:D19"/>
    <mergeCell ref="E19:G19"/>
    <mergeCell ref="A20:B20"/>
    <mergeCell ref="C20:H21"/>
    <mergeCell ref="A21:B21"/>
    <mergeCell ref="A8:B8"/>
    <mergeCell ref="C8:D8"/>
    <mergeCell ref="E8:F8"/>
    <mergeCell ref="G8:H8"/>
    <mergeCell ref="A9:B9"/>
    <mergeCell ref="C9:D9"/>
    <mergeCell ref="E9:F9"/>
    <mergeCell ref="G9:H9"/>
    <mergeCell ref="A6:B6"/>
    <mergeCell ref="C6:D6"/>
    <mergeCell ref="E6:F6"/>
    <mergeCell ref="G6:H6"/>
    <mergeCell ref="A7:B7"/>
    <mergeCell ref="C7:D7"/>
    <mergeCell ref="E7:F7"/>
    <mergeCell ref="G7:H7"/>
    <mergeCell ref="A4:B4"/>
    <mergeCell ref="C4:E4"/>
    <mergeCell ref="F4:F5"/>
    <mergeCell ref="A5:B5"/>
    <mergeCell ref="C5:E5"/>
    <mergeCell ref="A61:B61"/>
    <mergeCell ref="C61:E61"/>
    <mergeCell ref="F61:F62"/>
    <mergeCell ref="A62:B62"/>
    <mergeCell ref="C62:E62"/>
    <mergeCell ref="A63:B63"/>
    <mergeCell ref="C63:D63"/>
    <mergeCell ref="E63:F63"/>
    <mergeCell ref="G63:H63"/>
    <mergeCell ref="A75:D76"/>
    <mergeCell ref="E76:G76"/>
    <mergeCell ref="A77:B77"/>
    <mergeCell ref="C77:H78"/>
    <mergeCell ref="A78:B78"/>
    <mergeCell ref="A64:B64"/>
    <mergeCell ref="C64:D64"/>
    <mergeCell ref="E64:F64"/>
    <mergeCell ref="G64:H64"/>
    <mergeCell ref="A65:B65"/>
    <mergeCell ref="C65:D65"/>
    <mergeCell ref="E65:F65"/>
    <mergeCell ref="G65:H65"/>
    <mergeCell ref="A66:B66"/>
    <mergeCell ref="C66:D66"/>
    <mergeCell ref="E66:F66"/>
    <mergeCell ref="G66:H66"/>
  </mergeCells>
  <pageMargins left="0.70866141732283472" right="0.70866141732283472" top="0.74803149606299213" bottom="0.74803149606299213" header="0.31496062992125984" footer="0.31496062992125984"/>
  <pageSetup paperSize="9" scale="5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9"/>
  <sheetViews>
    <sheetView topLeftCell="A46" workbookViewId="0">
      <selection activeCell="C82" sqref="C82"/>
    </sheetView>
  </sheetViews>
  <sheetFormatPr baseColWidth="10" defaultRowHeight="14.4" x14ac:dyDescent="0.3"/>
  <cols>
    <col min="1" max="1" width="17.33203125" customWidth="1"/>
    <col min="2" max="2" width="14.88671875" customWidth="1"/>
    <col min="3" max="3" width="14.44140625" customWidth="1"/>
    <col min="4" max="4" width="15.88671875" customWidth="1"/>
    <col min="5" max="5" width="13.44140625" customWidth="1"/>
    <col min="6" max="6" width="14.109375" customWidth="1"/>
    <col min="7" max="7" width="14.33203125" customWidth="1"/>
    <col min="8" max="8" width="16.77734375" customWidth="1"/>
  </cols>
  <sheetData>
    <row r="1" spans="1:8" x14ac:dyDescent="0.3">
      <c r="A1" s="1"/>
      <c r="B1" s="2"/>
      <c r="C1" s="2"/>
      <c r="D1" s="2"/>
      <c r="E1" s="2"/>
      <c r="F1" s="2"/>
      <c r="G1" s="2"/>
      <c r="H1" s="3"/>
    </row>
    <row r="2" spans="1:8" x14ac:dyDescent="0.3">
      <c r="A2" s="4"/>
      <c r="H2" s="5"/>
    </row>
    <row r="3" spans="1:8" ht="15" thickBot="1" x14ac:dyDescent="0.35">
      <c r="A3" s="4"/>
      <c r="H3" s="5"/>
    </row>
    <row r="4" spans="1:8" ht="28.2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x14ac:dyDescent="0.3">
      <c r="A5" s="211"/>
      <c r="B5" s="210"/>
      <c r="C5" s="211" t="s">
        <v>54</v>
      </c>
      <c r="D5" s="212"/>
      <c r="E5" s="213"/>
      <c r="F5" s="283" t="s">
        <v>1</v>
      </c>
      <c r="G5" s="104">
        <v>60000</v>
      </c>
      <c r="H5" s="102" t="s">
        <v>46</v>
      </c>
    </row>
    <row r="6" spans="1:8" x14ac:dyDescent="0.3">
      <c r="A6" s="284" t="s">
        <v>3</v>
      </c>
      <c r="B6" s="217"/>
      <c r="C6" s="218">
        <v>40773282</v>
      </c>
      <c r="D6" s="218"/>
      <c r="E6" s="219"/>
      <c r="F6" s="283"/>
      <c r="G6" s="104">
        <v>30000</v>
      </c>
      <c r="H6" s="102" t="s">
        <v>4</v>
      </c>
    </row>
    <row r="7" spans="1:8" x14ac:dyDescent="0.3">
      <c r="A7" s="273" t="s">
        <v>5</v>
      </c>
      <c r="B7" s="280"/>
      <c r="C7" s="273" t="s">
        <v>6</v>
      </c>
      <c r="D7" s="280"/>
      <c r="E7" s="273" t="s">
        <v>7</v>
      </c>
      <c r="F7" s="274"/>
      <c r="G7" s="281" t="s">
        <v>8</v>
      </c>
      <c r="H7" s="281"/>
    </row>
    <row r="8" spans="1:8" x14ac:dyDescent="0.3">
      <c r="A8" s="201">
        <f>+F19</f>
        <v>19.566666666666666</v>
      </c>
      <c r="B8" s="202"/>
      <c r="C8" s="226">
        <f>+G19</f>
        <v>0.5</v>
      </c>
      <c r="D8" s="202"/>
      <c r="E8" s="205">
        <v>6000</v>
      </c>
      <c r="F8" s="282"/>
      <c r="G8" s="243">
        <f>+C8*E8+C10*E10</f>
        <v>3000</v>
      </c>
      <c r="H8" s="244"/>
    </row>
    <row r="9" spans="1:8" x14ac:dyDescent="0.3">
      <c r="A9" s="273"/>
      <c r="B9" s="274"/>
      <c r="C9" s="273" t="s">
        <v>100</v>
      </c>
      <c r="D9" s="280"/>
      <c r="E9" s="273" t="s">
        <v>7</v>
      </c>
      <c r="F9" s="274"/>
      <c r="G9" s="191" t="s">
        <v>57</v>
      </c>
      <c r="H9" s="251"/>
    </row>
    <row r="10" spans="1:8" ht="16.2" thickBot="1" x14ac:dyDescent="0.35">
      <c r="A10" s="252"/>
      <c r="B10" s="253"/>
      <c r="C10" s="254">
        <v>0</v>
      </c>
      <c r="D10" s="255"/>
      <c r="E10" s="276"/>
      <c r="F10" s="277"/>
      <c r="G10" s="278">
        <f>+H19+G8-H20</f>
        <v>123000</v>
      </c>
      <c r="H10" s="279"/>
    </row>
    <row r="11" spans="1:8" ht="29.4" thickBot="1" x14ac:dyDescent="0.35">
      <c r="A11" s="74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5" t="s">
        <v>15</v>
      </c>
      <c r="G11" s="76" t="s">
        <v>16</v>
      </c>
      <c r="H11" s="77" t="s">
        <v>17</v>
      </c>
    </row>
    <row r="12" spans="1:8" x14ac:dyDescent="0.3">
      <c r="A12" s="83" t="s">
        <v>53</v>
      </c>
      <c r="B12" s="94" t="s">
        <v>24</v>
      </c>
      <c r="C12" s="71">
        <v>46205</v>
      </c>
      <c r="D12" s="84"/>
      <c r="E12" s="84"/>
      <c r="F12" s="100">
        <f t="shared" ref="F12:F17" si="0">(IF(D12&gt;E12,E12+1-D12,E12-D12))*24</f>
        <v>0</v>
      </c>
      <c r="G12" s="85"/>
      <c r="H12" s="86">
        <v>0</v>
      </c>
    </row>
    <row r="13" spans="1:8" x14ac:dyDescent="0.3">
      <c r="A13" s="83" t="s">
        <v>53</v>
      </c>
      <c r="B13" s="94" t="s">
        <v>25</v>
      </c>
      <c r="C13" s="71">
        <v>46206</v>
      </c>
      <c r="D13" s="84"/>
      <c r="E13" s="84"/>
      <c r="F13" s="98">
        <f t="shared" si="0"/>
        <v>0</v>
      </c>
      <c r="G13" s="85"/>
      <c r="H13" s="86">
        <v>0</v>
      </c>
    </row>
    <row r="14" spans="1:8" x14ac:dyDescent="0.3">
      <c r="A14" s="83" t="s">
        <v>53</v>
      </c>
      <c r="B14" s="94" t="s">
        <v>55</v>
      </c>
      <c r="C14" s="71">
        <v>46207</v>
      </c>
      <c r="D14" s="84"/>
      <c r="E14" s="84"/>
      <c r="F14" s="97">
        <f t="shared" si="0"/>
        <v>0</v>
      </c>
      <c r="G14" s="85"/>
      <c r="H14" s="86">
        <v>0</v>
      </c>
    </row>
    <row r="15" spans="1:8" x14ac:dyDescent="0.3">
      <c r="A15" s="83" t="s">
        <v>53</v>
      </c>
      <c r="B15" s="94" t="s">
        <v>19</v>
      </c>
      <c r="C15" s="71">
        <v>46208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78" t="s">
        <v>76</v>
      </c>
      <c r="B16" s="91" t="s">
        <v>20</v>
      </c>
      <c r="C16" s="71">
        <v>46209</v>
      </c>
      <c r="D16" s="68">
        <v>0.375</v>
      </c>
      <c r="E16" s="68">
        <v>0.8125</v>
      </c>
      <c r="F16" s="99">
        <f t="shared" si="0"/>
        <v>10.5</v>
      </c>
      <c r="G16" s="72">
        <f t="shared" ref="G16" si="1">+F16-10</f>
        <v>0.5</v>
      </c>
      <c r="H16" s="69">
        <v>60000</v>
      </c>
    </row>
    <row r="17" spans="1:8" x14ac:dyDescent="0.3">
      <c r="A17" s="83" t="s">
        <v>53</v>
      </c>
      <c r="B17" s="94" t="s">
        <v>21</v>
      </c>
      <c r="C17" s="71">
        <v>46210</v>
      </c>
      <c r="D17" s="84"/>
      <c r="E17" s="84"/>
      <c r="F17" s="99">
        <f t="shared" si="0"/>
        <v>0</v>
      </c>
      <c r="G17" s="85"/>
      <c r="H17" s="86">
        <v>0</v>
      </c>
    </row>
    <row r="18" spans="1:8" x14ac:dyDescent="0.3">
      <c r="A18" s="78" t="s">
        <v>76</v>
      </c>
      <c r="B18" s="94" t="s">
        <v>56</v>
      </c>
      <c r="C18" s="71">
        <v>46211</v>
      </c>
      <c r="D18" s="68">
        <v>0.37222222222222223</v>
      </c>
      <c r="E18" s="68">
        <v>0.75</v>
      </c>
      <c r="F18" s="73">
        <f>(IF(D18&gt;E18,E18+1-D18,E18-D18))*24</f>
        <v>9.0666666666666664</v>
      </c>
      <c r="G18" s="72"/>
      <c r="H18" s="69">
        <v>60000</v>
      </c>
    </row>
    <row r="19" spans="1:8" x14ac:dyDescent="0.3">
      <c r="A19" s="266"/>
      <c r="B19" s="266"/>
      <c r="C19" s="70"/>
      <c r="D19" s="95"/>
      <c r="E19" s="79" t="s">
        <v>23</v>
      </c>
      <c r="F19" s="80">
        <f>SUM(F12:F18)</f>
        <v>19.566666666666666</v>
      </c>
      <c r="G19" s="80">
        <f>SUM(G12:G18)</f>
        <v>0.5</v>
      </c>
      <c r="H19" s="81">
        <f>SUM(H12:H18)</f>
        <v>120000</v>
      </c>
    </row>
    <row r="20" spans="1:8" ht="18.600000000000001" customHeight="1" x14ac:dyDescent="0.3">
      <c r="A20" s="267"/>
      <c r="B20" s="267"/>
      <c r="C20" s="96"/>
      <c r="D20" s="95"/>
      <c r="E20" s="268" t="s">
        <v>26</v>
      </c>
      <c r="F20" s="268"/>
      <c r="G20" s="268"/>
      <c r="H20" s="87"/>
    </row>
    <row r="21" spans="1:8" ht="22.2" customHeight="1" x14ac:dyDescent="0.3">
      <c r="A21" s="262" t="s">
        <v>27</v>
      </c>
      <c r="B21" s="269"/>
      <c r="C21" s="270"/>
      <c r="D21" s="271"/>
      <c r="E21" s="271"/>
      <c r="F21" s="271"/>
      <c r="G21" s="271"/>
      <c r="H21" s="272"/>
    </row>
    <row r="22" spans="1:8" ht="26.4" customHeight="1" x14ac:dyDescent="0.3">
      <c r="A22" s="262" t="s">
        <v>28</v>
      </c>
      <c r="B22" s="262"/>
      <c r="C22" s="263"/>
      <c r="D22" s="264"/>
      <c r="E22" s="264"/>
      <c r="F22" s="264"/>
      <c r="G22" s="264"/>
      <c r="H22" s="265"/>
    </row>
    <row r="23" spans="1:8" ht="15" thickBot="1" x14ac:dyDescent="0.35"/>
    <row r="24" spans="1:8" ht="21" customHeight="1" x14ac:dyDescent="0.3">
      <c r="A24" s="211"/>
      <c r="B24" s="210"/>
      <c r="C24" s="211" t="s">
        <v>54</v>
      </c>
      <c r="D24" s="212"/>
      <c r="E24" s="213"/>
      <c r="F24" s="283" t="s">
        <v>1</v>
      </c>
      <c r="G24" s="104">
        <v>60000</v>
      </c>
      <c r="H24" s="102" t="s">
        <v>46</v>
      </c>
    </row>
    <row r="25" spans="1:8" ht="23.4" customHeight="1" x14ac:dyDescent="0.3">
      <c r="A25" s="284" t="s">
        <v>3</v>
      </c>
      <c r="B25" s="217"/>
      <c r="C25" s="218">
        <v>40773282</v>
      </c>
      <c r="D25" s="218"/>
      <c r="E25" s="219"/>
      <c r="F25" s="283"/>
      <c r="G25" s="104">
        <v>30000</v>
      </c>
      <c r="H25" s="102" t="s">
        <v>4</v>
      </c>
    </row>
    <row r="26" spans="1:8" x14ac:dyDescent="0.3">
      <c r="A26" s="402" t="s">
        <v>5</v>
      </c>
      <c r="B26" s="403"/>
      <c r="C26" s="402" t="s">
        <v>6</v>
      </c>
      <c r="D26" s="403"/>
      <c r="E26" s="402" t="s">
        <v>7</v>
      </c>
      <c r="F26" s="404"/>
      <c r="G26" s="281" t="s">
        <v>8</v>
      </c>
      <c r="H26" s="281"/>
    </row>
    <row r="27" spans="1:8" x14ac:dyDescent="0.3">
      <c r="A27" s="201">
        <f>+F38</f>
        <v>65.333333333333329</v>
      </c>
      <c r="B27" s="202"/>
      <c r="C27" s="226">
        <f>+G38</f>
        <v>5.3333333333333304</v>
      </c>
      <c r="D27" s="202"/>
      <c r="E27" s="205">
        <v>6000</v>
      </c>
      <c r="F27" s="282"/>
      <c r="G27" s="243">
        <f>+C27*E27+C29*E29</f>
        <v>31999.999999999982</v>
      </c>
      <c r="H27" s="244"/>
    </row>
    <row r="28" spans="1:8" x14ac:dyDescent="0.3">
      <c r="A28" s="402"/>
      <c r="B28" s="404"/>
      <c r="C28" s="402" t="s">
        <v>100</v>
      </c>
      <c r="D28" s="403"/>
      <c r="E28" s="402" t="s">
        <v>7</v>
      </c>
      <c r="F28" s="404"/>
      <c r="G28" s="191" t="s">
        <v>57</v>
      </c>
      <c r="H28" s="251"/>
    </row>
    <row r="29" spans="1:8" ht="16.2" thickBot="1" x14ac:dyDescent="0.35">
      <c r="A29" s="252"/>
      <c r="B29" s="253"/>
      <c r="C29" s="254">
        <v>0</v>
      </c>
      <c r="D29" s="255"/>
      <c r="E29" s="276"/>
      <c r="F29" s="277"/>
      <c r="G29" s="291">
        <f>+H38+G27-H39</f>
        <v>392000</v>
      </c>
      <c r="H29" s="259"/>
    </row>
    <row r="30" spans="1:8" ht="29.4" thickBot="1" x14ac:dyDescent="0.35">
      <c r="A30" s="74" t="s">
        <v>10</v>
      </c>
      <c r="B30" s="75" t="s">
        <v>11</v>
      </c>
      <c r="C30" s="75" t="s">
        <v>12</v>
      </c>
      <c r="D30" s="75" t="s">
        <v>13</v>
      </c>
      <c r="E30" s="75" t="s">
        <v>14</v>
      </c>
      <c r="F30" s="75" t="s">
        <v>15</v>
      </c>
      <c r="G30" s="76" t="s">
        <v>16</v>
      </c>
      <c r="H30" s="77" t="s">
        <v>17</v>
      </c>
    </row>
    <row r="31" spans="1:8" x14ac:dyDescent="0.3">
      <c r="A31" s="78" t="s">
        <v>60</v>
      </c>
      <c r="B31" s="94" t="s">
        <v>24</v>
      </c>
      <c r="C31" s="71">
        <v>46212</v>
      </c>
      <c r="D31" s="68">
        <v>0.3756944444444445</v>
      </c>
      <c r="E31" s="68">
        <v>0.75624999999999998</v>
      </c>
      <c r="F31" s="100">
        <f t="shared" ref="F31:F36" si="2">(IF(D31&gt;E31,E31+1-D31,E31-D31))*24</f>
        <v>9.1333333333333311</v>
      </c>
      <c r="G31" s="72">
        <f>+F31-10</f>
        <v>-0.86666666666666892</v>
      </c>
      <c r="H31" s="69">
        <v>60000</v>
      </c>
    </row>
    <row r="32" spans="1:8" x14ac:dyDescent="0.3">
      <c r="A32" s="78" t="s">
        <v>81</v>
      </c>
      <c r="B32" s="94" t="s">
        <v>25</v>
      </c>
      <c r="C32" s="71">
        <v>46213</v>
      </c>
      <c r="D32" s="68">
        <v>0.37152777777777773</v>
      </c>
      <c r="E32" s="68">
        <v>0.81458333333333333</v>
      </c>
      <c r="F32" s="98">
        <f t="shared" si="2"/>
        <v>10.633333333333335</v>
      </c>
      <c r="G32" s="72">
        <f t="shared" ref="G32:G36" si="3">+F32-10</f>
        <v>0.63333333333333464</v>
      </c>
      <c r="H32" s="69">
        <v>60000</v>
      </c>
    </row>
    <row r="33" spans="1:8" x14ac:dyDescent="0.3">
      <c r="A33" s="78" t="s">
        <v>81</v>
      </c>
      <c r="B33" s="94" t="s">
        <v>55</v>
      </c>
      <c r="C33" s="71">
        <v>46214</v>
      </c>
      <c r="D33" s="68">
        <v>0.28055555555555556</v>
      </c>
      <c r="E33" s="68">
        <v>0.8041666666666667</v>
      </c>
      <c r="F33" s="97">
        <f t="shared" si="2"/>
        <v>12.566666666666666</v>
      </c>
      <c r="G33" s="72">
        <f t="shared" si="3"/>
        <v>2.5666666666666664</v>
      </c>
      <c r="H33" s="69">
        <v>60000</v>
      </c>
    </row>
    <row r="34" spans="1:8" x14ac:dyDescent="0.3">
      <c r="A34" s="78" t="s">
        <v>81</v>
      </c>
      <c r="B34" s="94" t="s">
        <v>19</v>
      </c>
      <c r="C34" s="71">
        <v>46215</v>
      </c>
      <c r="D34" s="68">
        <v>0.29166666666666669</v>
      </c>
      <c r="E34" s="68">
        <v>0.90625</v>
      </c>
      <c r="F34" s="73">
        <f t="shared" si="2"/>
        <v>14.749999999999998</v>
      </c>
      <c r="G34" s="72">
        <f t="shared" si="3"/>
        <v>4.7499999999999982</v>
      </c>
      <c r="H34" s="69">
        <v>60000</v>
      </c>
    </row>
    <row r="35" spans="1:8" x14ac:dyDescent="0.3">
      <c r="A35" s="78" t="s">
        <v>81</v>
      </c>
      <c r="B35" s="94" t="s">
        <v>20</v>
      </c>
      <c r="C35" s="71">
        <v>46216</v>
      </c>
      <c r="D35" s="68">
        <v>0.37222222222222223</v>
      </c>
      <c r="E35" s="68">
        <v>0.75347222222222221</v>
      </c>
      <c r="F35" s="99">
        <f t="shared" si="2"/>
        <v>9.1499999999999986</v>
      </c>
      <c r="G35" s="72">
        <f t="shared" si="3"/>
        <v>-0.85000000000000142</v>
      </c>
      <c r="H35" s="69">
        <v>60000</v>
      </c>
    </row>
    <row r="36" spans="1:8" x14ac:dyDescent="0.3">
      <c r="A36" s="78" t="s">
        <v>60</v>
      </c>
      <c r="B36" s="94" t="s">
        <v>21</v>
      </c>
      <c r="C36" s="71">
        <v>46217</v>
      </c>
      <c r="D36" s="68">
        <v>0.37222222222222223</v>
      </c>
      <c r="E36" s="68">
        <v>0.75138888888888899</v>
      </c>
      <c r="F36" s="99">
        <f t="shared" si="2"/>
        <v>9.1000000000000014</v>
      </c>
      <c r="G36" s="72">
        <f t="shared" si="3"/>
        <v>-0.89999999999999858</v>
      </c>
      <c r="H36" s="69">
        <v>60000</v>
      </c>
    </row>
    <row r="37" spans="1:8" x14ac:dyDescent="0.3">
      <c r="A37" s="83"/>
      <c r="B37" s="94" t="s">
        <v>56</v>
      </c>
      <c r="C37" s="71">
        <v>46218</v>
      </c>
      <c r="D37" s="128"/>
      <c r="E37" s="128"/>
      <c r="F37" s="73">
        <f>(IF(D37&gt;E37,E37+1-D37,E37-D37))*24</f>
        <v>0</v>
      </c>
      <c r="G37" s="72">
        <v>0</v>
      </c>
      <c r="H37" s="86">
        <v>0</v>
      </c>
    </row>
    <row r="38" spans="1:8" x14ac:dyDescent="0.3">
      <c r="A38" s="266"/>
      <c r="B38" s="266"/>
      <c r="C38" s="70"/>
      <c r="D38" s="95"/>
      <c r="E38" s="79" t="s">
        <v>23</v>
      </c>
      <c r="F38" s="80">
        <f>SUM(F31:F37)</f>
        <v>65.333333333333329</v>
      </c>
      <c r="G38" s="80">
        <f>SUM(G31:G37)</f>
        <v>5.3333333333333304</v>
      </c>
      <c r="H38" s="81">
        <f>SUM(H31:H37)</f>
        <v>360000</v>
      </c>
    </row>
    <row r="39" spans="1:8" x14ac:dyDescent="0.3">
      <c r="A39" s="267"/>
      <c r="B39" s="267"/>
      <c r="C39" s="96"/>
      <c r="D39" s="95"/>
      <c r="E39" s="268" t="s">
        <v>26</v>
      </c>
      <c r="F39" s="268"/>
      <c r="G39" s="268"/>
      <c r="H39" s="87"/>
    </row>
    <row r="40" spans="1:8" ht="21" customHeight="1" x14ac:dyDescent="0.3">
      <c r="A40" s="262" t="s">
        <v>27</v>
      </c>
      <c r="B40" s="269"/>
      <c r="C40" s="270"/>
      <c r="D40" s="271"/>
      <c r="E40" s="271"/>
      <c r="F40" s="271"/>
      <c r="G40" s="271"/>
      <c r="H40" s="272"/>
    </row>
    <row r="41" spans="1:8" ht="21" customHeight="1" x14ac:dyDescent="0.3">
      <c r="A41" s="262" t="s">
        <v>28</v>
      </c>
      <c r="B41" s="262"/>
      <c r="C41" s="263"/>
      <c r="D41" s="264"/>
      <c r="E41" s="264"/>
      <c r="F41" s="264"/>
      <c r="G41" s="264"/>
      <c r="H41" s="265"/>
    </row>
    <row r="42" spans="1:8" ht="15" thickBot="1" x14ac:dyDescent="0.35"/>
    <row r="43" spans="1:8" ht="21.6" customHeight="1" x14ac:dyDescent="0.3">
      <c r="A43" s="211"/>
      <c r="B43" s="210"/>
      <c r="C43" s="211" t="s">
        <v>54</v>
      </c>
      <c r="D43" s="212"/>
      <c r="E43" s="213"/>
      <c r="F43" s="283" t="s">
        <v>1</v>
      </c>
      <c r="G43" s="104">
        <v>60000</v>
      </c>
      <c r="H43" s="102" t="s">
        <v>46</v>
      </c>
    </row>
    <row r="44" spans="1:8" ht="24" customHeight="1" x14ac:dyDescent="0.3">
      <c r="A44" s="284" t="s">
        <v>3</v>
      </c>
      <c r="B44" s="217"/>
      <c r="C44" s="218">
        <v>40773282</v>
      </c>
      <c r="D44" s="218"/>
      <c r="E44" s="219"/>
      <c r="F44" s="283"/>
      <c r="G44" s="104">
        <v>30000</v>
      </c>
      <c r="H44" s="102" t="s">
        <v>4</v>
      </c>
    </row>
    <row r="45" spans="1:8" x14ac:dyDescent="0.3">
      <c r="A45" s="402" t="s">
        <v>5</v>
      </c>
      <c r="B45" s="403"/>
      <c r="C45" s="402" t="s">
        <v>6</v>
      </c>
      <c r="D45" s="403"/>
      <c r="E45" s="402" t="s">
        <v>7</v>
      </c>
      <c r="F45" s="404"/>
      <c r="G45" s="281" t="s">
        <v>8</v>
      </c>
      <c r="H45" s="281"/>
    </row>
    <row r="46" spans="1:8" x14ac:dyDescent="0.3">
      <c r="A46" s="201">
        <f>+F57</f>
        <v>68.25</v>
      </c>
      <c r="B46" s="202"/>
      <c r="C46" s="203">
        <f>+G57</f>
        <v>3.3499999999999943</v>
      </c>
      <c r="D46" s="204"/>
      <c r="E46" s="205">
        <v>6000</v>
      </c>
      <c r="F46" s="282"/>
      <c r="G46" s="243">
        <f>+C46*E46</f>
        <v>20099.999999999967</v>
      </c>
      <c r="H46" s="244"/>
    </row>
    <row r="47" spans="1:8" x14ac:dyDescent="0.3">
      <c r="A47" s="402"/>
      <c r="B47" s="404"/>
      <c r="C47" s="402" t="s">
        <v>100</v>
      </c>
      <c r="D47" s="403"/>
      <c r="E47" s="402" t="s">
        <v>7</v>
      </c>
      <c r="F47" s="404"/>
      <c r="G47" s="191" t="s">
        <v>57</v>
      </c>
      <c r="H47" s="251"/>
    </row>
    <row r="48" spans="1:8" ht="16.2" thickBot="1" x14ac:dyDescent="0.35">
      <c r="A48" s="252"/>
      <c r="B48" s="253"/>
      <c r="C48" s="254">
        <v>0</v>
      </c>
      <c r="D48" s="255"/>
      <c r="E48" s="276"/>
      <c r="F48" s="277"/>
      <c r="G48" s="291">
        <f>+H57+G46-H58</f>
        <v>404099.99999999994</v>
      </c>
      <c r="H48" s="259"/>
    </row>
    <row r="49" spans="1:8" ht="29.4" thickBot="1" x14ac:dyDescent="0.35">
      <c r="A49" s="74" t="s">
        <v>10</v>
      </c>
      <c r="B49" s="75" t="s">
        <v>11</v>
      </c>
      <c r="C49" s="75" t="s">
        <v>12</v>
      </c>
      <c r="D49" s="75" t="s">
        <v>13</v>
      </c>
      <c r="E49" s="75" t="s">
        <v>14</v>
      </c>
      <c r="F49" s="75" t="s">
        <v>15</v>
      </c>
      <c r="G49" s="76" t="s">
        <v>16</v>
      </c>
      <c r="H49" s="77" t="s">
        <v>17</v>
      </c>
    </row>
    <row r="50" spans="1:8" x14ac:dyDescent="0.3">
      <c r="A50" s="171" t="s">
        <v>74</v>
      </c>
      <c r="B50" s="172" t="s">
        <v>24</v>
      </c>
      <c r="C50" s="173">
        <v>46219</v>
      </c>
      <c r="D50" s="68">
        <v>0.3888888888888889</v>
      </c>
      <c r="E50" s="68">
        <v>0.76944444444444438</v>
      </c>
      <c r="F50" s="100">
        <f t="shared" ref="F50:F55" si="4">(IF(D50&gt;E50,E50+1-D50,E50-D50))*24</f>
        <v>9.1333333333333311</v>
      </c>
      <c r="G50" s="72">
        <f>+F50-10</f>
        <v>-0.86666666666666892</v>
      </c>
      <c r="H50" s="69">
        <v>60000</v>
      </c>
    </row>
    <row r="51" spans="1:8" x14ac:dyDescent="0.3">
      <c r="A51" s="78" t="s">
        <v>74</v>
      </c>
      <c r="B51" s="94" t="s">
        <v>25</v>
      </c>
      <c r="C51" s="71">
        <v>46220</v>
      </c>
      <c r="D51" s="68">
        <v>0.37708333333333338</v>
      </c>
      <c r="E51" s="68">
        <v>0.8027777777777777</v>
      </c>
      <c r="F51" s="98">
        <f t="shared" si="4"/>
        <v>10.216666666666663</v>
      </c>
      <c r="G51" s="72">
        <f t="shared" ref="G51:G56" si="5">+F51-10</f>
        <v>0.21666666666666323</v>
      </c>
      <c r="H51" s="69">
        <v>60000</v>
      </c>
    </row>
    <row r="52" spans="1:8" x14ac:dyDescent="0.3">
      <c r="A52" s="78" t="s">
        <v>85</v>
      </c>
      <c r="B52" s="148" t="s">
        <v>55</v>
      </c>
      <c r="C52" s="144">
        <v>46221</v>
      </c>
      <c r="D52" s="68">
        <v>0.63263888888888886</v>
      </c>
      <c r="E52" s="68">
        <v>0.83680555555555547</v>
      </c>
      <c r="F52" s="97">
        <f t="shared" si="4"/>
        <v>4.8999999999999986</v>
      </c>
      <c r="G52" s="72">
        <v>0</v>
      </c>
      <c r="H52" s="69">
        <v>30000</v>
      </c>
    </row>
    <row r="53" spans="1:8" x14ac:dyDescent="0.3">
      <c r="A53" s="78" t="s">
        <v>85</v>
      </c>
      <c r="B53" s="148" t="s">
        <v>19</v>
      </c>
      <c r="C53" s="144">
        <v>46222</v>
      </c>
      <c r="D53" s="68">
        <v>0.29166666666666669</v>
      </c>
      <c r="E53" s="68">
        <v>0.58333333333333337</v>
      </c>
      <c r="F53" s="73">
        <f t="shared" si="4"/>
        <v>7</v>
      </c>
      <c r="G53" s="72">
        <f t="shared" si="5"/>
        <v>-3</v>
      </c>
      <c r="H53" s="69">
        <v>60000</v>
      </c>
    </row>
    <row r="54" spans="1:8" x14ac:dyDescent="0.3">
      <c r="A54" s="78" t="s">
        <v>85</v>
      </c>
      <c r="B54" s="148" t="s">
        <v>20</v>
      </c>
      <c r="C54" s="144">
        <v>46223</v>
      </c>
      <c r="D54" s="68">
        <v>0.29166666666666669</v>
      </c>
      <c r="E54" s="68">
        <v>0.875</v>
      </c>
      <c r="F54" s="99">
        <f t="shared" si="4"/>
        <v>13.999999999999998</v>
      </c>
      <c r="G54" s="72">
        <f t="shared" si="5"/>
        <v>3.9999999999999982</v>
      </c>
      <c r="H54" s="69">
        <v>60000</v>
      </c>
    </row>
    <row r="55" spans="1:8" x14ac:dyDescent="0.3">
      <c r="A55" s="78" t="s">
        <v>85</v>
      </c>
      <c r="B55" s="148" t="s">
        <v>21</v>
      </c>
      <c r="C55" s="144">
        <v>46224</v>
      </c>
      <c r="D55" s="68">
        <v>0.33333333333333331</v>
      </c>
      <c r="E55" s="68">
        <v>0.875</v>
      </c>
      <c r="F55" s="99">
        <f t="shared" si="4"/>
        <v>13.000000000000002</v>
      </c>
      <c r="G55" s="72">
        <f t="shared" si="5"/>
        <v>3.0000000000000018</v>
      </c>
      <c r="H55" s="69">
        <v>60000</v>
      </c>
    </row>
    <row r="56" spans="1:8" x14ac:dyDescent="0.3">
      <c r="A56" s="78" t="s">
        <v>85</v>
      </c>
      <c r="B56" s="148" t="s">
        <v>56</v>
      </c>
      <c r="C56" s="144">
        <v>46225</v>
      </c>
      <c r="D56" s="68">
        <v>0.33333333333333331</v>
      </c>
      <c r="E56" s="68">
        <v>0.75</v>
      </c>
      <c r="F56" s="73">
        <f>(IF(D56&gt;E56,E56+1-D56,E56-D56))*24</f>
        <v>10</v>
      </c>
      <c r="G56" s="72">
        <f t="shared" si="5"/>
        <v>0</v>
      </c>
      <c r="H56" s="69">
        <v>60000</v>
      </c>
    </row>
    <row r="57" spans="1:8" x14ac:dyDescent="0.3">
      <c r="A57" s="266"/>
      <c r="B57" s="266"/>
      <c r="C57" s="70"/>
      <c r="D57" s="95"/>
      <c r="E57" s="79" t="s">
        <v>23</v>
      </c>
      <c r="F57" s="80">
        <f>SUM(F50:F56)</f>
        <v>68.25</v>
      </c>
      <c r="G57" s="161">
        <f>SUM(G50:G56)</f>
        <v>3.3499999999999943</v>
      </c>
      <c r="H57" s="81">
        <f>SUM(H50:H56)</f>
        <v>390000</v>
      </c>
    </row>
    <row r="58" spans="1:8" ht="21" customHeight="1" x14ac:dyDescent="0.3">
      <c r="A58" s="267"/>
      <c r="B58" s="267"/>
      <c r="C58" s="96"/>
      <c r="D58" s="95"/>
      <c r="E58" s="285" t="s">
        <v>97</v>
      </c>
      <c r="F58" s="285"/>
      <c r="G58" s="285"/>
      <c r="H58" s="101">
        <v>6000</v>
      </c>
    </row>
    <row r="59" spans="1:8" ht="19.8" customHeight="1" x14ac:dyDescent="0.3">
      <c r="A59" s="262" t="s">
        <v>27</v>
      </c>
      <c r="B59" s="269"/>
      <c r="C59" s="270"/>
      <c r="D59" s="271"/>
      <c r="E59" s="271"/>
      <c r="F59" s="271"/>
      <c r="G59" s="271"/>
      <c r="H59" s="272"/>
    </row>
    <row r="60" spans="1:8" ht="25.2" customHeight="1" x14ac:dyDescent="0.3">
      <c r="A60" s="262" t="s">
        <v>28</v>
      </c>
      <c r="B60" s="262"/>
      <c r="C60" s="263"/>
      <c r="D60" s="264"/>
      <c r="E60" s="264"/>
      <c r="F60" s="264"/>
      <c r="G60" s="264"/>
      <c r="H60" s="265"/>
    </row>
    <row r="61" spans="1:8" ht="15" thickBot="1" x14ac:dyDescent="0.35"/>
    <row r="62" spans="1:8" x14ac:dyDescent="0.3">
      <c r="A62" s="211"/>
      <c r="B62" s="210"/>
      <c r="C62" s="211" t="s">
        <v>54</v>
      </c>
      <c r="D62" s="212"/>
      <c r="E62" s="213"/>
      <c r="F62" s="283" t="s">
        <v>1</v>
      </c>
      <c r="G62" s="104">
        <v>60000</v>
      </c>
      <c r="H62" s="102" t="s">
        <v>46</v>
      </c>
    </row>
    <row r="63" spans="1:8" x14ac:dyDescent="0.3">
      <c r="A63" s="284" t="s">
        <v>3</v>
      </c>
      <c r="B63" s="217"/>
      <c r="C63" s="218">
        <v>40773282</v>
      </c>
      <c r="D63" s="218"/>
      <c r="E63" s="219"/>
      <c r="F63" s="283"/>
      <c r="G63" s="104">
        <v>30000</v>
      </c>
      <c r="H63" s="102" t="s">
        <v>4</v>
      </c>
    </row>
    <row r="64" spans="1:8" x14ac:dyDescent="0.3">
      <c r="A64" s="402" t="s">
        <v>5</v>
      </c>
      <c r="B64" s="403"/>
      <c r="C64" s="402" t="s">
        <v>6</v>
      </c>
      <c r="D64" s="403"/>
      <c r="E64" s="402" t="s">
        <v>7</v>
      </c>
      <c r="F64" s="404"/>
      <c r="G64" s="405" t="s">
        <v>8</v>
      </c>
      <c r="H64" s="405"/>
    </row>
    <row r="65" spans="1:8" x14ac:dyDescent="0.3">
      <c r="A65" s="201">
        <f>+F76</f>
        <v>0</v>
      </c>
      <c r="B65" s="202"/>
      <c r="C65" s="203">
        <f>+G76</f>
        <v>-70</v>
      </c>
      <c r="D65" s="204"/>
      <c r="E65" s="205">
        <v>6000</v>
      </c>
      <c r="F65" s="282"/>
      <c r="G65" s="243">
        <f>+C65*E65</f>
        <v>-420000</v>
      </c>
      <c r="H65" s="244"/>
    </row>
    <row r="66" spans="1:8" x14ac:dyDescent="0.3">
      <c r="A66" s="402"/>
      <c r="B66" s="404"/>
      <c r="C66" s="402" t="s">
        <v>100</v>
      </c>
      <c r="D66" s="403"/>
      <c r="E66" s="402" t="s">
        <v>7</v>
      </c>
      <c r="F66" s="404"/>
      <c r="G66" s="191" t="s">
        <v>57</v>
      </c>
      <c r="H66" s="251"/>
    </row>
    <row r="67" spans="1:8" ht="16.2" thickBot="1" x14ac:dyDescent="0.35">
      <c r="A67" s="252"/>
      <c r="B67" s="253"/>
      <c r="C67" s="254"/>
      <c r="D67" s="255"/>
      <c r="E67" s="276"/>
      <c r="F67" s="277"/>
      <c r="G67" s="291">
        <f>+H76+G65-H77</f>
        <v>-6000</v>
      </c>
      <c r="H67" s="259"/>
    </row>
    <row r="68" spans="1:8" ht="29.4" thickBot="1" x14ac:dyDescent="0.35">
      <c r="A68" s="74" t="s">
        <v>10</v>
      </c>
      <c r="B68" s="75" t="s">
        <v>11</v>
      </c>
      <c r="C68" s="75" t="s">
        <v>12</v>
      </c>
      <c r="D68" s="75" t="s">
        <v>13</v>
      </c>
      <c r="E68" s="75" t="s">
        <v>14</v>
      </c>
      <c r="F68" s="75" t="s">
        <v>15</v>
      </c>
      <c r="G68" s="76" t="s">
        <v>16</v>
      </c>
      <c r="H68" s="77" t="s">
        <v>17</v>
      </c>
    </row>
    <row r="69" spans="1:8" x14ac:dyDescent="0.3">
      <c r="A69" s="78" t="s">
        <v>74</v>
      </c>
      <c r="B69" s="94" t="s">
        <v>24</v>
      </c>
      <c r="C69" s="71">
        <v>46226</v>
      </c>
      <c r="D69" s="68"/>
      <c r="E69" s="68"/>
      <c r="F69" s="100">
        <f t="shared" ref="F69:F74" si="6">(IF(D69&gt;E69,E69+1-D69,E69-D69))*24</f>
        <v>0</v>
      </c>
      <c r="G69" s="72">
        <f>+F69-10</f>
        <v>-10</v>
      </c>
      <c r="H69" s="69">
        <v>60000</v>
      </c>
    </row>
    <row r="70" spans="1:8" x14ac:dyDescent="0.3">
      <c r="A70" s="78" t="s">
        <v>74</v>
      </c>
      <c r="B70" s="94" t="s">
        <v>25</v>
      </c>
      <c r="C70" s="71">
        <v>46227</v>
      </c>
      <c r="D70" s="68"/>
      <c r="E70" s="68"/>
      <c r="F70" s="98">
        <f t="shared" si="6"/>
        <v>0</v>
      </c>
      <c r="G70" s="72">
        <f t="shared" ref="G70:G75" si="7">+F70-10</f>
        <v>-10</v>
      </c>
      <c r="H70" s="69">
        <v>60000</v>
      </c>
    </row>
    <row r="71" spans="1:8" x14ac:dyDescent="0.3">
      <c r="A71" s="78" t="s">
        <v>85</v>
      </c>
      <c r="B71" s="148" t="s">
        <v>55</v>
      </c>
      <c r="C71" s="71">
        <v>46228</v>
      </c>
      <c r="D71" s="68"/>
      <c r="E71" s="68"/>
      <c r="F71" s="97">
        <f t="shared" si="6"/>
        <v>0</v>
      </c>
      <c r="G71" s="72">
        <f t="shared" si="7"/>
        <v>-10</v>
      </c>
      <c r="H71" s="69">
        <v>60000</v>
      </c>
    </row>
    <row r="72" spans="1:8" x14ac:dyDescent="0.3">
      <c r="A72" s="78" t="s">
        <v>85</v>
      </c>
      <c r="B72" s="148" t="s">
        <v>19</v>
      </c>
      <c r="C72" s="71">
        <v>46229</v>
      </c>
      <c r="D72" s="68"/>
      <c r="E72" s="68"/>
      <c r="F72" s="73">
        <f t="shared" si="6"/>
        <v>0</v>
      </c>
      <c r="G72" s="72">
        <f t="shared" si="7"/>
        <v>-10</v>
      </c>
      <c r="H72" s="69">
        <v>60000</v>
      </c>
    </row>
    <row r="73" spans="1:8" x14ac:dyDescent="0.3">
      <c r="A73" s="78" t="s">
        <v>85</v>
      </c>
      <c r="B73" s="148" t="s">
        <v>20</v>
      </c>
      <c r="C73" s="71">
        <v>46230</v>
      </c>
      <c r="D73" s="68"/>
      <c r="E73" s="68"/>
      <c r="F73" s="99">
        <f t="shared" si="6"/>
        <v>0</v>
      </c>
      <c r="G73" s="72">
        <f t="shared" si="7"/>
        <v>-10</v>
      </c>
      <c r="H73" s="69">
        <v>60000</v>
      </c>
    </row>
    <row r="74" spans="1:8" x14ac:dyDescent="0.3">
      <c r="A74" s="78" t="s">
        <v>85</v>
      </c>
      <c r="B74" s="148" t="s">
        <v>21</v>
      </c>
      <c r="C74" s="71">
        <v>46231</v>
      </c>
      <c r="D74" s="68"/>
      <c r="E74" s="68"/>
      <c r="F74" s="99">
        <f t="shared" si="6"/>
        <v>0</v>
      </c>
      <c r="G74" s="72">
        <f t="shared" si="7"/>
        <v>-10</v>
      </c>
      <c r="H74" s="69">
        <v>60000</v>
      </c>
    </row>
    <row r="75" spans="1:8" x14ac:dyDescent="0.3">
      <c r="A75" s="78" t="s">
        <v>85</v>
      </c>
      <c r="B75" s="148" t="s">
        <v>56</v>
      </c>
      <c r="C75" s="71">
        <v>46232</v>
      </c>
      <c r="D75" s="68"/>
      <c r="E75" s="68"/>
      <c r="F75" s="73">
        <f>(IF(D75&gt;E75,E75+1-D75,E75-D75))*24</f>
        <v>0</v>
      </c>
      <c r="G75" s="72">
        <f t="shared" si="7"/>
        <v>-10</v>
      </c>
      <c r="H75" s="69">
        <v>60000</v>
      </c>
    </row>
    <row r="76" spans="1:8" x14ac:dyDescent="0.3">
      <c r="A76" s="266"/>
      <c r="B76" s="266"/>
      <c r="C76" s="70"/>
      <c r="D76" s="95"/>
      <c r="E76" s="79" t="s">
        <v>23</v>
      </c>
      <c r="F76" s="80">
        <f>SUM(F69:F75)</f>
        <v>0</v>
      </c>
      <c r="G76" s="161">
        <f>SUM(G69:G75)</f>
        <v>-70</v>
      </c>
      <c r="H76" s="81">
        <f>SUM(H69:H75)</f>
        <v>420000</v>
      </c>
    </row>
    <row r="77" spans="1:8" x14ac:dyDescent="0.3">
      <c r="A77" s="267"/>
      <c r="B77" s="267"/>
      <c r="C77" s="96"/>
      <c r="D77" s="95"/>
      <c r="E77" s="268" t="s">
        <v>96</v>
      </c>
      <c r="F77" s="268"/>
      <c r="G77" s="268"/>
      <c r="H77" s="87">
        <v>6000</v>
      </c>
    </row>
    <row r="78" spans="1:8" ht="20.399999999999999" customHeight="1" x14ac:dyDescent="0.3">
      <c r="A78" s="262" t="s">
        <v>27</v>
      </c>
      <c r="B78" s="269"/>
      <c r="C78" s="270"/>
      <c r="D78" s="271"/>
      <c r="E78" s="271"/>
      <c r="F78" s="271"/>
      <c r="G78" s="271"/>
      <c r="H78" s="272"/>
    </row>
    <row r="79" spans="1:8" ht="24.6" customHeight="1" x14ac:dyDescent="0.3">
      <c r="A79" s="262" t="s">
        <v>28</v>
      </c>
      <c r="B79" s="262"/>
      <c r="C79" s="263"/>
      <c r="D79" s="264"/>
      <c r="E79" s="264"/>
      <c r="F79" s="264"/>
      <c r="G79" s="264"/>
      <c r="H79" s="265"/>
    </row>
  </sheetData>
  <mergeCells count="114">
    <mergeCell ref="A48:B48"/>
    <mergeCell ref="C48:D48"/>
    <mergeCell ref="E48:F48"/>
    <mergeCell ref="G48:H48"/>
    <mergeCell ref="A60:B60"/>
    <mergeCell ref="C60:H60"/>
    <mergeCell ref="A57:B57"/>
    <mergeCell ref="A58:B58"/>
    <mergeCell ref="E58:G58"/>
    <mergeCell ref="A59:B59"/>
    <mergeCell ref="C59:H59"/>
    <mergeCell ref="A45:B45"/>
    <mergeCell ref="C45:D45"/>
    <mergeCell ref="E45:F45"/>
    <mergeCell ref="G45:H45"/>
    <mergeCell ref="A46:B46"/>
    <mergeCell ref="C46:D46"/>
    <mergeCell ref="E46:F46"/>
    <mergeCell ref="G46:H46"/>
    <mergeCell ref="A47:B47"/>
    <mergeCell ref="C47:D47"/>
    <mergeCell ref="E47:F47"/>
    <mergeCell ref="G47:H47"/>
    <mergeCell ref="A41:B41"/>
    <mergeCell ref="C41:H41"/>
    <mergeCell ref="A38:B38"/>
    <mergeCell ref="A39:B39"/>
    <mergeCell ref="E39:G39"/>
    <mergeCell ref="A40:B40"/>
    <mergeCell ref="C40:H40"/>
    <mergeCell ref="A43:B43"/>
    <mergeCell ref="C43:E43"/>
    <mergeCell ref="F43:F44"/>
    <mergeCell ref="A44:B44"/>
    <mergeCell ref="C44:E44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24:B24"/>
    <mergeCell ref="C24:E24"/>
    <mergeCell ref="F24:F25"/>
    <mergeCell ref="A25:B25"/>
    <mergeCell ref="C25:E25"/>
    <mergeCell ref="A26:B26"/>
    <mergeCell ref="C26:D26"/>
    <mergeCell ref="E26:F26"/>
    <mergeCell ref="G26:H26"/>
    <mergeCell ref="A22:B22"/>
    <mergeCell ref="C22:H22"/>
    <mergeCell ref="A19:B19"/>
    <mergeCell ref="A20:B20"/>
    <mergeCell ref="E20:G20"/>
    <mergeCell ref="A21:B21"/>
    <mergeCell ref="C21:H21"/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4:E4"/>
    <mergeCell ref="F4:G4"/>
    <mergeCell ref="A5:B5"/>
    <mergeCell ref="C5:E5"/>
    <mergeCell ref="F5:F6"/>
    <mergeCell ref="A6:B6"/>
    <mergeCell ref="C6:E6"/>
    <mergeCell ref="A64:B64"/>
    <mergeCell ref="C64:D64"/>
    <mergeCell ref="E64:F64"/>
    <mergeCell ref="G64:H64"/>
    <mergeCell ref="A65:B65"/>
    <mergeCell ref="C65:D65"/>
    <mergeCell ref="E65:F65"/>
    <mergeCell ref="G65:H65"/>
    <mergeCell ref="A62:B62"/>
    <mergeCell ref="C62:E62"/>
    <mergeCell ref="F62:F63"/>
    <mergeCell ref="A63:B63"/>
    <mergeCell ref="C63:E63"/>
    <mergeCell ref="A79:B79"/>
    <mergeCell ref="C79:H79"/>
    <mergeCell ref="A76:B76"/>
    <mergeCell ref="A77:B77"/>
    <mergeCell ref="E77:G77"/>
    <mergeCell ref="A78:B78"/>
    <mergeCell ref="C78:H78"/>
    <mergeCell ref="A66:B66"/>
    <mergeCell ref="C66:D66"/>
    <mergeCell ref="E66:F66"/>
    <mergeCell ref="G66:H66"/>
    <mergeCell ref="A67:B67"/>
    <mergeCell ref="C67:D67"/>
    <mergeCell ref="E67:F67"/>
    <mergeCell ref="G67:H67"/>
  </mergeCells>
  <pageMargins left="0.70866141732283472" right="0.70866141732283472" top="0.74803149606299213" bottom="0.74803149606299213" header="0.31496062992125984" footer="0.31496062992125984"/>
  <pageSetup paperSize="9" scale="7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63"/>
  <sheetViews>
    <sheetView topLeftCell="A52" workbookViewId="0">
      <selection activeCell="E11" sqref="E11"/>
    </sheetView>
  </sheetViews>
  <sheetFormatPr baseColWidth="10" defaultRowHeight="14.4" x14ac:dyDescent="0.3"/>
  <cols>
    <col min="1" max="1" width="16.77734375" customWidth="1"/>
    <col min="2" max="2" width="14.5546875" customWidth="1"/>
    <col min="3" max="3" width="14.77734375" customWidth="1"/>
    <col min="4" max="4" width="15.21875" customWidth="1"/>
    <col min="5" max="5" width="13.77734375" customWidth="1"/>
    <col min="6" max="6" width="13.33203125" customWidth="1"/>
    <col min="7" max="7" width="15.88671875" customWidth="1"/>
    <col min="8" max="8" width="19" customWidth="1"/>
    <col min="9" max="9" width="12.77734375" bestFit="1" customWidth="1"/>
  </cols>
  <sheetData>
    <row r="3" spans="1:8" ht="15" thickBot="1" x14ac:dyDescent="0.35"/>
    <row r="4" spans="1:8" ht="28.8" customHeight="1" thickBot="1" x14ac:dyDescent="0.35">
      <c r="A4" s="222" t="s">
        <v>48</v>
      </c>
      <c r="B4" s="223"/>
      <c r="C4" s="223"/>
      <c r="D4" s="223"/>
      <c r="E4" s="223"/>
      <c r="F4" s="286" t="s">
        <v>77</v>
      </c>
      <c r="G4" s="287"/>
      <c r="H4" s="139">
        <v>2026</v>
      </c>
    </row>
    <row r="5" spans="1:8" ht="20.399999999999999" customHeight="1" x14ac:dyDescent="0.3">
      <c r="A5" s="211" t="s">
        <v>80</v>
      </c>
      <c r="B5" s="210"/>
      <c r="C5" s="211" t="s">
        <v>61</v>
      </c>
      <c r="D5" s="212"/>
      <c r="E5" s="213"/>
      <c r="F5" s="288" t="s">
        <v>1</v>
      </c>
      <c r="G5" s="138">
        <v>65000</v>
      </c>
      <c r="H5" s="106" t="s">
        <v>46</v>
      </c>
    </row>
    <row r="6" spans="1:8" ht="21" customHeight="1" x14ac:dyDescent="0.3">
      <c r="A6" s="284" t="s">
        <v>3</v>
      </c>
      <c r="B6" s="217"/>
      <c r="C6" s="218">
        <v>40522822</v>
      </c>
      <c r="D6" s="218"/>
      <c r="E6" s="219"/>
      <c r="F6" s="283"/>
      <c r="G6" s="104">
        <f>65000/2</f>
        <v>32500</v>
      </c>
      <c r="H6" s="102" t="s">
        <v>4</v>
      </c>
    </row>
    <row r="7" spans="1:8" x14ac:dyDescent="0.3">
      <c r="A7" s="402" t="s">
        <v>5</v>
      </c>
      <c r="B7" s="403"/>
      <c r="C7" s="402" t="s">
        <v>6</v>
      </c>
      <c r="D7" s="403"/>
      <c r="E7" s="402" t="s">
        <v>7</v>
      </c>
      <c r="F7" s="404"/>
      <c r="G7" s="408" t="s">
        <v>8</v>
      </c>
      <c r="H7" s="409"/>
    </row>
    <row r="8" spans="1:8" x14ac:dyDescent="0.3">
      <c r="A8" s="201">
        <f>+F19</f>
        <v>35.966666666666661</v>
      </c>
      <c r="B8" s="202"/>
      <c r="C8" s="226">
        <v>0</v>
      </c>
      <c r="D8" s="202"/>
      <c r="E8" s="205">
        <v>6500</v>
      </c>
      <c r="F8" s="282"/>
      <c r="G8" s="243">
        <f>+C8*E8+C10*E10</f>
        <v>24000</v>
      </c>
      <c r="H8" s="244"/>
    </row>
    <row r="9" spans="1:8" x14ac:dyDescent="0.3">
      <c r="A9" s="402" t="s">
        <v>100</v>
      </c>
      <c r="B9" s="404"/>
      <c r="C9" s="410" t="s">
        <v>63</v>
      </c>
      <c r="D9" s="404"/>
      <c r="E9" s="402" t="s">
        <v>62</v>
      </c>
      <c r="F9" s="404"/>
      <c r="G9" s="191" t="s">
        <v>57</v>
      </c>
      <c r="H9" s="251"/>
    </row>
    <row r="10" spans="1:8" ht="16.2" thickBot="1" x14ac:dyDescent="0.35">
      <c r="A10" s="203">
        <f>+G19</f>
        <v>-4.033333333333335</v>
      </c>
      <c r="B10" s="204"/>
      <c r="C10" s="254">
        <f>+H20</f>
        <v>4</v>
      </c>
      <c r="D10" s="255"/>
      <c r="E10" s="276">
        <v>6000</v>
      </c>
      <c r="F10" s="277"/>
      <c r="G10" s="291">
        <f>+H19+G8+H21</f>
        <v>334000</v>
      </c>
      <c r="H10" s="259"/>
    </row>
    <row r="11" spans="1:8" ht="29.4" thickBot="1" x14ac:dyDescent="0.35">
      <c r="A11" s="135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5" t="s">
        <v>15</v>
      </c>
      <c r="G11" s="76" t="s">
        <v>16</v>
      </c>
      <c r="H11" s="77" t="s">
        <v>17</v>
      </c>
    </row>
    <row r="12" spans="1:8" x14ac:dyDescent="0.3">
      <c r="A12" s="127" t="s">
        <v>76</v>
      </c>
      <c r="B12" s="91" t="s">
        <v>24</v>
      </c>
      <c r="C12" s="71">
        <v>46205</v>
      </c>
      <c r="D12" s="68">
        <v>0.38194444444444442</v>
      </c>
      <c r="E12" s="68">
        <v>0.72916666666666663</v>
      </c>
      <c r="F12" s="100">
        <f t="shared" ref="F12:F17" si="0">(IF(D12&gt;E12,E12+1-D12,E12-D12))*24</f>
        <v>8.3333333333333321</v>
      </c>
      <c r="G12" s="72">
        <f>+F12-10</f>
        <v>-1.6666666666666679</v>
      </c>
      <c r="H12" s="69">
        <v>65000</v>
      </c>
    </row>
    <row r="13" spans="1:8" x14ac:dyDescent="0.3">
      <c r="A13" s="127" t="s">
        <v>76</v>
      </c>
      <c r="B13" s="91" t="s">
        <v>25</v>
      </c>
      <c r="C13" s="71">
        <v>46206</v>
      </c>
      <c r="D13" s="68">
        <v>0.36319444444444443</v>
      </c>
      <c r="E13" s="68">
        <v>0.73055555555555562</v>
      </c>
      <c r="F13" s="98">
        <f t="shared" si="0"/>
        <v>8.8166666666666682</v>
      </c>
      <c r="G13" s="72">
        <f t="shared" ref="G13:G18" si="1">+F13-10</f>
        <v>-1.1833333333333318</v>
      </c>
      <c r="H13" s="69">
        <v>65000</v>
      </c>
    </row>
    <row r="14" spans="1:8" x14ac:dyDescent="0.3">
      <c r="A14" s="129" t="s">
        <v>53</v>
      </c>
      <c r="B14" s="94" t="s">
        <v>55</v>
      </c>
      <c r="C14" s="71">
        <v>46207</v>
      </c>
      <c r="D14" s="84"/>
      <c r="E14" s="84"/>
      <c r="F14" s="97">
        <f t="shared" si="0"/>
        <v>0</v>
      </c>
      <c r="G14" s="72">
        <v>0</v>
      </c>
      <c r="H14" s="86">
        <v>0</v>
      </c>
    </row>
    <row r="15" spans="1:8" x14ac:dyDescent="0.3">
      <c r="A15" s="129" t="s">
        <v>53</v>
      </c>
      <c r="B15" s="94" t="s">
        <v>19</v>
      </c>
      <c r="C15" s="71">
        <v>46208</v>
      </c>
      <c r="D15" s="84"/>
      <c r="E15" s="84"/>
      <c r="F15" s="73">
        <f t="shared" si="0"/>
        <v>0</v>
      </c>
      <c r="G15" s="72">
        <v>0</v>
      </c>
      <c r="H15" s="86">
        <v>0</v>
      </c>
    </row>
    <row r="16" spans="1:8" x14ac:dyDescent="0.3">
      <c r="A16" s="127" t="s">
        <v>76</v>
      </c>
      <c r="B16" s="91" t="s">
        <v>20</v>
      </c>
      <c r="C16" s="71">
        <v>46209</v>
      </c>
      <c r="D16" s="68">
        <v>0.38263888888888892</v>
      </c>
      <c r="E16" s="68">
        <v>0.79166666666666663</v>
      </c>
      <c r="F16" s="99">
        <f t="shared" si="0"/>
        <v>9.8166666666666647</v>
      </c>
      <c r="G16" s="72">
        <f t="shared" si="1"/>
        <v>-0.18333333333333535</v>
      </c>
      <c r="H16" s="69">
        <v>65000</v>
      </c>
    </row>
    <row r="17" spans="1:8" x14ac:dyDescent="0.3">
      <c r="A17" s="129" t="s">
        <v>53</v>
      </c>
      <c r="B17" s="94" t="s">
        <v>21</v>
      </c>
      <c r="C17" s="71">
        <v>46210</v>
      </c>
      <c r="D17" s="84"/>
      <c r="E17" s="84"/>
      <c r="F17" s="99">
        <f t="shared" si="0"/>
        <v>0</v>
      </c>
      <c r="G17" s="72">
        <v>0</v>
      </c>
      <c r="H17" s="69">
        <v>0</v>
      </c>
    </row>
    <row r="18" spans="1:8" x14ac:dyDescent="0.3">
      <c r="A18" s="127" t="s">
        <v>60</v>
      </c>
      <c r="B18" s="91" t="s">
        <v>56</v>
      </c>
      <c r="C18" s="71">
        <v>46211</v>
      </c>
      <c r="D18" s="68">
        <v>0.375</v>
      </c>
      <c r="E18" s="68">
        <v>0.75</v>
      </c>
      <c r="F18" s="73">
        <f>(IF(D18&gt;E18,E18+1-D18,E18-D18))*24</f>
        <v>9</v>
      </c>
      <c r="G18" s="72">
        <f t="shared" si="1"/>
        <v>-1</v>
      </c>
      <c r="H18" s="69">
        <v>65000</v>
      </c>
    </row>
    <row r="19" spans="1:8" x14ac:dyDescent="0.3">
      <c r="A19" s="266"/>
      <c r="B19" s="266"/>
      <c r="C19" s="70"/>
      <c r="D19" s="95"/>
      <c r="E19" s="79" t="s">
        <v>23</v>
      </c>
      <c r="F19" s="80">
        <f>SUM(F12:F18)</f>
        <v>35.966666666666661</v>
      </c>
      <c r="G19" s="80">
        <f>SUM(G12:G18)</f>
        <v>-4.033333333333335</v>
      </c>
      <c r="H19" s="81">
        <f>SUM(H12:H18)</f>
        <v>260000</v>
      </c>
    </row>
    <row r="20" spans="1:8" x14ac:dyDescent="0.3">
      <c r="A20" s="267"/>
      <c r="B20" s="267"/>
      <c r="C20" s="96"/>
      <c r="D20" s="95"/>
      <c r="E20" s="295" t="s">
        <v>69</v>
      </c>
      <c r="F20" s="296"/>
      <c r="G20" s="297"/>
      <c r="H20" s="137">
        <v>4</v>
      </c>
    </row>
    <row r="21" spans="1:8" ht="17.399999999999999" customHeight="1" x14ac:dyDescent="0.3">
      <c r="A21" s="126"/>
      <c r="B21" s="126"/>
      <c r="C21" s="96"/>
      <c r="D21" s="95"/>
      <c r="E21" s="292" t="s">
        <v>82</v>
      </c>
      <c r="F21" s="293"/>
      <c r="G21" s="294"/>
      <c r="H21" s="136">
        <v>50000</v>
      </c>
    </row>
    <row r="22" spans="1:8" ht="25.2" customHeight="1" x14ac:dyDescent="0.3">
      <c r="A22" s="262" t="s">
        <v>27</v>
      </c>
      <c r="B22" s="269"/>
      <c r="C22" s="270"/>
      <c r="D22" s="271"/>
      <c r="E22" s="271"/>
      <c r="F22" s="271"/>
      <c r="G22" s="271"/>
      <c r="H22" s="272"/>
    </row>
    <row r="23" spans="1:8" ht="29.4" customHeight="1" x14ac:dyDescent="0.3">
      <c r="A23" s="262" t="s">
        <v>28</v>
      </c>
      <c r="B23" s="262"/>
      <c r="C23" s="263"/>
      <c r="D23" s="264"/>
      <c r="E23" s="264"/>
      <c r="F23" s="264"/>
      <c r="G23" s="264"/>
      <c r="H23" s="265"/>
    </row>
    <row r="24" spans="1:8" ht="15" thickBot="1" x14ac:dyDescent="0.35"/>
    <row r="25" spans="1:8" ht="16.8" customHeight="1" x14ac:dyDescent="0.3">
      <c r="A25" s="211" t="s">
        <v>80</v>
      </c>
      <c r="B25" s="210"/>
      <c r="C25" s="211" t="s">
        <v>61</v>
      </c>
      <c r="D25" s="212"/>
      <c r="E25" s="213"/>
      <c r="F25" s="288" t="s">
        <v>1</v>
      </c>
      <c r="G25" s="138">
        <v>65000</v>
      </c>
      <c r="H25" s="106" t="s">
        <v>46</v>
      </c>
    </row>
    <row r="26" spans="1:8" ht="19.8" customHeight="1" x14ac:dyDescent="0.3">
      <c r="A26" s="284" t="s">
        <v>3</v>
      </c>
      <c r="B26" s="217"/>
      <c r="C26" s="218">
        <v>40522822</v>
      </c>
      <c r="D26" s="218"/>
      <c r="E26" s="219"/>
      <c r="F26" s="283"/>
      <c r="G26" s="104">
        <f>65000/2</f>
        <v>32500</v>
      </c>
      <c r="H26" s="102" t="s">
        <v>4</v>
      </c>
    </row>
    <row r="27" spans="1:8" x14ac:dyDescent="0.3">
      <c r="A27" s="402" t="s">
        <v>5</v>
      </c>
      <c r="B27" s="403"/>
      <c r="C27" s="402" t="s">
        <v>6</v>
      </c>
      <c r="D27" s="403"/>
      <c r="E27" s="402" t="s">
        <v>7</v>
      </c>
      <c r="F27" s="404"/>
      <c r="G27" s="408" t="s">
        <v>8</v>
      </c>
      <c r="H27" s="409"/>
    </row>
    <row r="28" spans="1:8" x14ac:dyDescent="0.3">
      <c r="A28" s="201">
        <f>+F39</f>
        <v>43.63333333333334</v>
      </c>
      <c r="B28" s="202"/>
      <c r="C28" s="203">
        <f>+G39</f>
        <v>3.6333333333333364</v>
      </c>
      <c r="D28" s="204"/>
      <c r="E28" s="205">
        <v>6500</v>
      </c>
      <c r="F28" s="282"/>
      <c r="G28" s="243">
        <f>+C28*E28+C30*E30</f>
        <v>47616.666666666686</v>
      </c>
      <c r="H28" s="244"/>
    </row>
    <row r="29" spans="1:8" x14ac:dyDescent="0.3">
      <c r="A29" s="402" t="s">
        <v>100</v>
      </c>
      <c r="B29" s="404"/>
      <c r="C29" s="410" t="s">
        <v>63</v>
      </c>
      <c r="D29" s="404"/>
      <c r="E29" s="402" t="s">
        <v>62</v>
      </c>
      <c r="F29" s="404"/>
      <c r="G29" s="191" t="s">
        <v>57</v>
      </c>
      <c r="H29" s="251"/>
    </row>
    <row r="30" spans="1:8" ht="16.2" thickBot="1" x14ac:dyDescent="0.35">
      <c r="A30" s="254">
        <v>0</v>
      </c>
      <c r="B30" s="255"/>
      <c r="C30" s="254">
        <f>+H40</f>
        <v>4</v>
      </c>
      <c r="D30" s="255"/>
      <c r="E30" s="276">
        <v>6000</v>
      </c>
      <c r="F30" s="277"/>
      <c r="G30" s="291">
        <f>+H39+G28+H41</f>
        <v>307616.66666666669</v>
      </c>
      <c r="H30" s="259"/>
    </row>
    <row r="31" spans="1:8" ht="29.4" thickBot="1" x14ac:dyDescent="0.35">
      <c r="A31" s="135" t="s">
        <v>10</v>
      </c>
      <c r="B31" s="75" t="s">
        <v>11</v>
      </c>
      <c r="C31" s="75" t="s">
        <v>12</v>
      </c>
      <c r="D31" s="75" t="s">
        <v>13</v>
      </c>
      <c r="E31" s="75" t="s">
        <v>14</v>
      </c>
      <c r="F31" s="75" t="s">
        <v>15</v>
      </c>
      <c r="G31" s="76" t="s">
        <v>16</v>
      </c>
      <c r="H31" s="77" t="s">
        <v>17</v>
      </c>
    </row>
    <row r="32" spans="1:8" x14ac:dyDescent="0.3">
      <c r="A32" s="127" t="s">
        <v>60</v>
      </c>
      <c r="B32" s="91" t="s">
        <v>24</v>
      </c>
      <c r="C32" s="71">
        <v>46212</v>
      </c>
      <c r="D32" s="68">
        <v>0.3972222222222222</v>
      </c>
      <c r="E32" s="68">
        <v>0.75138888888888899</v>
      </c>
      <c r="F32" s="100">
        <f t="shared" ref="F32:F37" si="2">(IF(D32&gt;E32,E32+1-D32,E32-D32))*24</f>
        <v>8.5000000000000036</v>
      </c>
      <c r="G32" s="72">
        <f>+F32-10</f>
        <v>-1.4999999999999964</v>
      </c>
      <c r="H32" s="69">
        <v>65000</v>
      </c>
    </row>
    <row r="33" spans="1:8" x14ac:dyDescent="0.3">
      <c r="A33" s="127" t="s">
        <v>81</v>
      </c>
      <c r="B33" s="91" t="s">
        <v>25</v>
      </c>
      <c r="C33" s="71">
        <v>46213</v>
      </c>
      <c r="D33" s="68">
        <v>0.36944444444444446</v>
      </c>
      <c r="E33" s="68">
        <v>0.79166666666666663</v>
      </c>
      <c r="F33" s="98">
        <f t="shared" si="2"/>
        <v>10.133333333333333</v>
      </c>
      <c r="G33" s="72">
        <f t="shared" ref="G33:G35" si="3">+F33-10</f>
        <v>0.13333333333333286</v>
      </c>
      <c r="H33" s="69">
        <v>65000</v>
      </c>
    </row>
    <row r="34" spans="1:8" x14ac:dyDescent="0.3">
      <c r="A34" s="127" t="s">
        <v>81</v>
      </c>
      <c r="B34" s="91" t="s">
        <v>55</v>
      </c>
      <c r="C34" s="71">
        <v>46214</v>
      </c>
      <c r="D34" s="68">
        <v>0.3125</v>
      </c>
      <c r="E34" s="68">
        <v>0.79166666666666663</v>
      </c>
      <c r="F34" s="97">
        <f t="shared" si="2"/>
        <v>11.5</v>
      </c>
      <c r="G34" s="72">
        <f t="shared" si="3"/>
        <v>1.5</v>
      </c>
      <c r="H34" s="69">
        <v>65000</v>
      </c>
    </row>
    <row r="35" spans="1:8" x14ac:dyDescent="0.3">
      <c r="A35" s="127" t="s">
        <v>81</v>
      </c>
      <c r="B35" s="91" t="s">
        <v>19</v>
      </c>
      <c r="C35" s="71">
        <v>46215</v>
      </c>
      <c r="D35" s="68">
        <v>0.3125</v>
      </c>
      <c r="E35" s="68">
        <v>0.875</v>
      </c>
      <c r="F35" s="73">
        <f t="shared" si="2"/>
        <v>13.5</v>
      </c>
      <c r="G35" s="72">
        <f t="shared" si="3"/>
        <v>3.5</v>
      </c>
      <c r="H35" s="69">
        <v>65000</v>
      </c>
    </row>
    <row r="36" spans="1:8" x14ac:dyDescent="0.3">
      <c r="A36" s="129" t="s">
        <v>53</v>
      </c>
      <c r="B36" s="94" t="s">
        <v>20</v>
      </c>
      <c r="C36" s="71">
        <v>46216</v>
      </c>
      <c r="D36" s="84"/>
      <c r="E36" s="84"/>
      <c r="F36" s="99">
        <f t="shared" si="2"/>
        <v>0</v>
      </c>
      <c r="G36" s="85"/>
      <c r="H36" s="86">
        <v>0</v>
      </c>
    </row>
    <row r="37" spans="1:8" x14ac:dyDescent="0.3">
      <c r="A37" s="129" t="s">
        <v>53</v>
      </c>
      <c r="B37" s="94" t="s">
        <v>21</v>
      </c>
      <c r="C37" s="71">
        <v>46217</v>
      </c>
      <c r="D37" s="84"/>
      <c r="E37" s="84"/>
      <c r="F37" s="99">
        <f t="shared" si="2"/>
        <v>0</v>
      </c>
      <c r="G37" s="85"/>
      <c r="H37" s="86">
        <v>0</v>
      </c>
    </row>
    <row r="38" spans="1:8" x14ac:dyDescent="0.3">
      <c r="A38" s="129" t="s">
        <v>53</v>
      </c>
      <c r="B38" s="94" t="s">
        <v>56</v>
      </c>
      <c r="C38" s="71">
        <v>46218</v>
      </c>
      <c r="D38" s="84"/>
      <c r="E38" s="84"/>
      <c r="F38" s="73">
        <f>(IF(D38&gt;E38,E38+1-D38,E38-D38))*24</f>
        <v>0</v>
      </c>
      <c r="G38" s="85"/>
      <c r="H38" s="86">
        <v>0</v>
      </c>
    </row>
    <row r="39" spans="1:8" x14ac:dyDescent="0.3">
      <c r="A39" s="266"/>
      <c r="B39" s="266"/>
      <c r="C39" s="70"/>
      <c r="D39" s="95"/>
      <c r="E39" s="79" t="s">
        <v>23</v>
      </c>
      <c r="F39" s="80">
        <f>SUM(F32:F38)</f>
        <v>43.63333333333334</v>
      </c>
      <c r="G39" s="161">
        <f>SUM(G32:G38)</f>
        <v>3.6333333333333364</v>
      </c>
      <c r="H39" s="81">
        <f>SUM(H32:H38)</f>
        <v>260000</v>
      </c>
    </row>
    <row r="40" spans="1:8" x14ac:dyDescent="0.3">
      <c r="A40" s="267"/>
      <c r="B40" s="267"/>
      <c r="C40" s="96"/>
      <c r="D40" s="95"/>
      <c r="E40" s="295" t="s">
        <v>69</v>
      </c>
      <c r="F40" s="296"/>
      <c r="G40" s="297"/>
      <c r="H40" s="137">
        <v>4</v>
      </c>
    </row>
    <row r="41" spans="1:8" x14ac:dyDescent="0.3">
      <c r="A41" s="143"/>
      <c r="B41" s="143"/>
      <c r="C41" s="96"/>
      <c r="D41" s="95"/>
      <c r="E41" s="292" t="s">
        <v>82</v>
      </c>
      <c r="F41" s="293"/>
      <c r="G41" s="294"/>
      <c r="H41" s="136">
        <v>0</v>
      </c>
    </row>
    <row r="42" spans="1:8" ht="25.2" customHeight="1" x14ac:dyDescent="0.3">
      <c r="A42" s="262" t="s">
        <v>27</v>
      </c>
      <c r="B42" s="269"/>
      <c r="C42" s="270"/>
      <c r="D42" s="271"/>
      <c r="E42" s="271"/>
      <c r="F42" s="271"/>
      <c r="G42" s="271"/>
      <c r="H42" s="272"/>
    </row>
    <row r="43" spans="1:8" ht="25.2" customHeight="1" x14ac:dyDescent="0.3">
      <c r="A43" s="262" t="s">
        <v>28</v>
      </c>
      <c r="B43" s="262"/>
      <c r="C43" s="263"/>
      <c r="D43" s="264"/>
      <c r="E43" s="264"/>
      <c r="F43" s="264"/>
      <c r="G43" s="264"/>
      <c r="H43" s="265"/>
    </row>
    <row r="44" spans="1:8" ht="15" thickBot="1" x14ac:dyDescent="0.35"/>
    <row r="45" spans="1:8" x14ac:dyDescent="0.3">
      <c r="A45" s="211" t="s">
        <v>80</v>
      </c>
      <c r="B45" s="210"/>
      <c r="C45" s="211" t="s">
        <v>61</v>
      </c>
      <c r="D45" s="212"/>
      <c r="E45" s="213"/>
      <c r="F45" s="288" t="s">
        <v>1</v>
      </c>
      <c r="G45" s="138">
        <v>65000</v>
      </c>
      <c r="H45" s="106" t="s">
        <v>46</v>
      </c>
    </row>
    <row r="46" spans="1:8" x14ac:dyDescent="0.3">
      <c r="A46" s="284" t="s">
        <v>3</v>
      </c>
      <c r="B46" s="217"/>
      <c r="C46" s="218">
        <v>40522822</v>
      </c>
      <c r="D46" s="218"/>
      <c r="E46" s="219"/>
      <c r="F46" s="283"/>
      <c r="G46" s="104">
        <f>65000/2</f>
        <v>32500</v>
      </c>
      <c r="H46" s="102" t="s">
        <v>4</v>
      </c>
    </row>
    <row r="47" spans="1:8" x14ac:dyDescent="0.3">
      <c r="A47" s="402" t="s">
        <v>5</v>
      </c>
      <c r="B47" s="403"/>
      <c r="C47" s="402" t="s">
        <v>6</v>
      </c>
      <c r="D47" s="403"/>
      <c r="E47" s="402" t="s">
        <v>7</v>
      </c>
      <c r="F47" s="404"/>
      <c r="G47" s="408" t="s">
        <v>8</v>
      </c>
      <c r="H47" s="409"/>
    </row>
    <row r="48" spans="1:8" x14ac:dyDescent="0.3">
      <c r="A48" s="201">
        <f>+F59</f>
        <v>58.85</v>
      </c>
      <c r="B48" s="202"/>
      <c r="C48" s="226">
        <v>0</v>
      </c>
      <c r="D48" s="202"/>
      <c r="E48" s="205">
        <v>6500</v>
      </c>
      <c r="F48" s="282"/>
      <c r="G48" s="406">
        <f>+C48*E48+C50*E50</f>
        <v>36000</v>
      </c>
      <c r="H48" s="407"/>
    </row>
    <row r="49" spans="1:8" x14ac:dyDescent="0.3">
      <c r="A49" s="402" t="s">
        <v>100</v>
      </c>
      <c r="B49" s="404"/>
      <c r="C49" s="410" t="s">
        <v>63</v>
      </c>
      <c r="D49" s="404"/>
      <c r="E49" s="402" t="s">
        <v>62</v>
      </c>
      <c r="F49" s="404"/>
      <c r="G49" s="191" t="s">
        <v>57</v>
      </c>
      <c r="H49" s="251"/>
    </row>
    <row r="50" spans="1:8" ht="16.2" thickBot="1" x14ac:dyDescent="0.35">
      <c r="A50" s="399">
        <f>+G59</f>
        <v>-1.1500000000000004</v>
      </c>
      <c r="B50" s="401"/>
      <c r="C50" s="254">
        <v>6</v>
      </c>
      <c r="D50" s="255"/>
      <c r="E50" s="276">
        <v>6000</v>
      </c>
      <c r="F50" s="277"/>
      <c r="G50" s="291">
        <f>+H59+G48+H61</f>
        <v>426000</v>
      </c>
      <c r="H50" s="259"/>
    </row>
    <row r="51" spans="1:8" ht="29.4" thickBot="1" x14ac:dyDescent="0.35">
      <c r="A51" s="135" t="s">
        <v>10</v>
      </c>
      <c r="B51" s="75" t="s">
        <v>11</v>
      </c>
      <c r="C51" s="75" t="s">
        <v>12</v>
      </c>
      <c r="D51" s="75" t="s">
        <v>13</v>
      </c>
      <c r="E51" s="75" t="s">
        <v>14</v>
      </c>
      <c r="F51" s="75" t="s">
        <v>15</v>
      </c>
      <c r="G51" s="76" t="s">
        <v>16</v>
      </c>
      <c r="H51" s="77" t="s">
        <v>17</v>
      </c>
    </row>
    <row r="52" spans="1:8" x14ac:dyDescent="0.3">
      <c r="A52" s="127" t="s">
        <v>60</v>
      </c>
      <c r="B52" s="91" t="s">
        <v>24</v>
      </c>
      <c r="C52" s="71">
        <v>46219</v>
      </c>
      <c r="D52" s="68">
        <v>0.37013888888888885</v>
      </c>
      <c r="E52" s="68">
        <v>0.7680555555555556</v>
      </c>
      <c r="F52" s="100">
        <f t="shared" ref="F52:F57" si="4">(IF(D52&gt;E52,E52+1-D52,E52-D52))*24</f>
        <v>9.5500000000000025</v>
      </c>
      <c r="G52" s="72">
        <f>+F52-10</f>
        <v>-0.44999999999999751</v>
      </c>
      <c r="H52" s="69">
        <v>65000</v>
      </c>
    </row>
    <row r="53" spans="1:8" x14ac:dyDescent="0.3">
      <c r="A53" s="127" t="s">
        <v>74</v>
      </c>
      <c r="B53" s="91" t="s">
        <v>25</v>
      </c>
      <c r="C53" s="71">
        <v>46220</v>
      </c>
      <c r="D53" s="68">
        <v>0.37708333333333338</v>
      </c>
      <c r="E53" s="68">
        <v>0.80555555555555547</v>
      </c>
      <c r="F53" s="98">
        <f t="shared" si="4"/>
        <v>10.28333333333333</v>
      </c>
      <c r="G53" s="72">
        <f t="shared" ref="G53:G58" si="5">+F53-10</f>
        <v>0.28333333333332966</v>
      </c>
      <c r="H53" s="69">
        <v>65000</v>
      </c>
    </row>
    <row r="54" spans="1:8" x14ac:dyDescent="0.3">
      <c r="A54" s="127" t="s">
        <v>74</v>
      </c>
      <c r="B54" s="91" t="s">
        <v>55</v>
      </c>
      <c r="C54" s="71">
        <v>46221</v>
      </c>
      <c r="D54" s="68">
        <v>0.38125000000000003</v>
      </c>
      <c r="E54" s="68">
        <v>0.74722222222222223</v>
      </c>
      <c r="F54" s="97">
        <f t="shared" si="4"/>
        <v>8.7833333333333332</v>
      </c>
      <c r="G54" s="72">
        <f t="shared" si="5"/>
        <v>-1.2166666666666668</v>
      </c>
      <c r="H54" s="69">
        <v>65000</v>
      </c>
    </row>
    <row r="55" spans="1:8" x14ac:dyDescent="0.3">
      <c r="A55" s="156" t="s">
        <v>53</v>
      </c>
      <c r="B55" s="157" t="s">
        <v>19</v>
      </c>
      <c r="C55" s="71">
        <v>46222</v>
      </c>
      <c r="D55" s="158"/>
      <c r="E55" s="158"/>
      <c r="F55" s="73">
        <f t="shared" si="4"/>
        <v>0</v>
      </c>
      <c r="G55" s="159"/>
      <c r="H55" s="160">
        <v>0</v>
      </c>
    </row>
    <row r="56" spans="1:8" x14ac:dyDescent="0.3">
      <c r="A56" s="129" t="s">
        <v>87</v>
      </c>
      <c r="B56" s="94" t="s">
        <v>20</v>
      </c>
      <c r="C56" s="71">
        <v>46223</v>
      </c>
      <c r="D56" s="84">
        <v>0.37986111111111115</v>
      </c>
      <c r="E56" s="84">
        <v>0.75763888888888886</v>
      </c>
      <c r="F56" s="99">
        <f t="shared" si="4"/>
        <v>9.0666666666666647</v>
      </c>
      <c r="G56" s="72">
        <f t="shared" si="5"/>
        <v>-0.93333333333333535</v>
      </c>
      <c r="H56" s="69">
        <v>65000</v>
      </c>
    </row>
    <row r="57" spans="1:8" x14ac:dyDescent="0.3">
      <c r="A57" s="129" t="s">
        <v>87</v>
      </c>
      <c r="B57" s="94" t="s">
        <v>21</v>
      </c>
      <c r="C57" s="71">
        <v>46224</v>
      </c>
      <c r="D57" s="84">
        <v>0.36458333333333331</v>
      </c>
      <c r="E57" s="84">
        <v>0.78819444444444453</v>
      </c>
      <c r="F57" s="99">
        <f t="shared" si="4"/>
        <v>10.16666666666667</v>
      </c>
      <c r="G57" s="72">
        <f t="shared" si="5"/>
        <v>0.16666666666666963</v>
      </c>
      <c r="H57" s="69">
        <v>65000</v>
      </c>
    </row>
    <row r="58" spans="1:8" x14ac:dyDescent="0.3">
      <c r="A58" s="129" t="s">
        <v>88</v>
      </c>
      <c r="B58" s="94" t="s">
        <v>56</v>
      </c>
      <c r="C58" s="71">
        <v>46225</v>
      </c>
      <c r="D58" s="84">
        <v>0.375</v>
      </c>
      <c r="E58" s="84">
        <v>0.83333333333333337</v>
      </c>
      <c r="F58" s="73">
        <f>(IF(D58&gt;E58,E58+1-D58,E58-D58))*24</f>
        <v>11</v>
      </c>
      <c r="G58" s="72">
        <f t="shared" si="5"/>
        <v>1</v>
      </c>
      <c r="H58" s="69">
        <v>65000</v>
      </c>
    </row>
    <row r="59" spans="1:8" x14ac:dyDescent="0.3">
      <c r="A59" s="266"/>
      <c r="B59" s="266"/>
      <c r="C59" s="70"/>
      <c r="D59" s="95"/>
      <c r="E59" s="79" t="s">
        <v>23</v>
      </c>
      <c r="F59" s="80">
        <f>SUM(F52:F58)</f>
        <v>58.85</v>
      </c>
      <c r="G59" s="161">
        <f>SUM(G52:G58)</f>
        <v>-1.1500000000000004</v>
      </c>
      <c r="H59" s="81">
        <f>SUM(H52:H58)</f>
        <v>390000</v>
      </c>
    </row>
    <row r="60" spans="1:8" x14ac:dyDescent="0.3">
      <c r="A60" s="267"/>
      <c r="B60" s="267"/>
      <c r="C60" s="96"/>
      <c r="D60" s="95"/>
      <c r="E60" s="295" t="s">
        <v>69</v>
      </c>
      <c r="F60" s="296"/>
      <c r="G60" s="297"/>
      <c r="H60" s="137">
        <v>4</v>
      </c>
    </row>
    <row r="61" spans="1:8" x14ac:dyDescent="0.3">
      <c r="A61" s="152"/>
      <c r="B61" s="152"/>
      <c r="C61" s="96"/>
      <c r="D61" s="95"/>
      <c r="E61" s="292" t="s">
        <v>82</v>
      </c>
      <c r="F61" s="293"/>
      <c r="G61" s="294"/>
      <c r="H61" s="136">
        <v>0</v>
      </c>
    </row>
    <row r="62" spans="1:8" ht="25.2" customHeight="1" x14ac:dyDescent="0.3">
      <c r="A62" s="262" t="s">
        <v>27</v>
      </c>
      <c r="B62" s="269"/>
      <c r="C62" s="270"/>
      <c r="D62" s="271"/>
      <c r="E62" s="271"/>
      <c r="F62" s="271"/>
      <c r="G62" s="271"/>
      <c r="H62" s="272"/>
    </row>
    <row r="63" spans="1:8" ht="23.4" customHeight="1" x14ac:dyDescent="0.3">
      <c r="A63" s="262" t="s">
        <v>28</v>
      </c>
      <c r="B63" s="262"/>
      <c r="C63" s="263"/>
      <c r="D63" s="264"/>
      <c r="E63" s="264"/>
      <c r="F63" s="264"/>
      <c r="G63" s="264"/>
      <c r="H63" s="265"/>
    </row>
  </sheetData>
  <mergeCells count="89">
    <mergeCell ref="A63:B63"/>
    <mergeCell ref="C63:H63"/>
    <mergeCell ref="A59:B59"/>
    <mergeCell ref="A60:B60"/>
    <mergeCell ref="E60:G60"/>
    <mergeCell ref="E61:G61"/>
    <mergeCell ref="A62:B62"/>
    <mergeCell ref="C62:H62"/>
    <mergeCell ref="A49:B49"/>
    <mergeCell ref="C49:D49"/>
    <mergeCell ref="E49:F49"/>
    <mergeCell ref="G49:H49"/>
    <mergeCell ref="A50:B50"/>
    <mergeCell ref="C50:D50"/>
    <mergeCell ref="E50:F50"/>
    <mergeCell ref="G50:H50"/>
    <mergeCell ref="A47:B47"/>
    <mergeCell ref="C47:D47"/>
    <mergeCell ref="E47:F47"/>
    <mergeCell ref="G47:H47"/>
    <mergeCell ref="A48:B48"/>
    <mergeCell ref="C48:D48"/>
    <mergeCell ref="E48:F48"/>
    <mergeCell ref="G48:H48"/>
    <mergeCell ref="A45:B45"/>
    <mergeCell ref="C45:E45"/>
    <mergeCell ref="F45:F46"/>
    <mergeCell ref="A46:B46"/>
    <mergeCell ref="C46:E46"/>
    <mergeCell ref="A43:B43"/>
    <mergeCell ref="C43:H43"/>
    <mergeCell ref="A39:B39"/>
    <mergeCell ref="A40:B40"/>
    <mergeCell ref="E40:G40"/>
    <mergeCell ref="E41:G41"/>
    <mergeCell ref="A42:B42"/>
    <mergeCell ref="C42:H42"/>
    <mergeCell ref="A29:B29"/>
    <mergeCell ref="C29:D29"/>
    <mergeCell ref="E29:F29"/>
    <mergeCell ref="G29:H29"/>
    <mergeCell ref="A30:B30"/>
    <mergeCell ref="C30:D30"/>
    <mergeCell ref="E30:F30"/>
    <mergeCell ref="G30:H30"/>
    <mergeCell ref="A27:B27"/>
    <mergeCell ref="C27:D27"/>
    <mergeCell ref="E27:F27"/>
    <mergeCell ref="G27:H27"/>
    <mergeCell ref="A28:B28"/>
    <mergeCell ref="C28:D28"/>
    <mergeCell ref="E28:F28"/>
    <mergeCell ref="G28:H28"/>
    <mergeCell ref="A25:B25"/>
    <mergeCell ref="C25:E25"/>
    <mergeCell ref="F25:F26"/>
    <mergeCell ref="A26:B26"/>
    <mergeCell ref="C26:E26"/>
    <mergeCell ref="A23:B23"/>
    <mergeCell ref="C23:H23"/>
    <mergeCell ref="E21:G21"/>
    <mergeCell ref="A19:B19"/>
    <mergeCell ref="A20:B20"/>
    <mergeCell ref="E20:G20"/>
    <mergeCell ref="A22:B22"/>
    <mergeCell ref="C22:H22"/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4:E4"/>
    <mergeCell ref="F4:G4"/>
    <mergeCell ref="A5:B5"/>
    <mergeCell ref="C5:E5"/>
    <mergeCell ref="F5:F6"/>
    <mergeCell ref="A6:B6"/>
    <mergeCell ref="C6:E6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0"/>
  <sheetViews>
    <sheetView topLeftCell="A34" workbookViewId="0">
      <selection activeCell="B54" sqref="B54"/>
    </sheetView>
  </sheetViews>
  <sheetFormatPr baseColWidth="10" defaultRowHeight="14.4" x14ac:dyDescent="0.3"/>
  <cols>
    <col min="1" max="1" width="19.6640625" customWidth="1"/>
    <col min="2" max="2" width="13.6640625" customWidth="1"/>
    <col min="3" max="4" width="15.109375" customWidth="1"/>
    <col min="5" max="5" width="15.33203125" customWidth="1"/>
    <col min="6" max="6" width="13.33203125" customWidth="1"/>
    <col min="7" max="7" width="13.109375" customWidth="1"/>
    <col min="8" max="8" width="15.44140625" customWidth="1"/>
    <col min="9" max="9" width="11.6640625" bestFit="1" customWidth="1"/>
  </cols>
  <sheetData>
    <row r="1" spans="1:8" x14ac:dyDescent="0.3">
      <c r="A1" s="303"/>
      <c r="B1" s="303"/>
      <c r="C1" s="303"/>
      <c r="D1" s="303"/>
      <c r="E1" s="303"/>
      <c r="F1" s="303"/>
      <c r="G1" s="303"/>
      <c r="H1" s="303"/>
    </row>
    <row r="2" spans="1:8" x14ac:dyDescent="0.3">
      <c r="A2" s="304"/>
      <c r="B2" s="304"/>
      <c r="C2" s="304"/>
      <c r="D2" s="304"/>
      <c r="E2" s="304"/>
      <c r="F2" s="304"/>
      <c r="G2" s="304"/>
      <c r="H2" s="304"/>
    </row>
    <row r="3" spans="1:8" ht="15" thickBot="1" x14ac:dyDescent="0.35">
      <c r="A3" s="304"/>
      <c r="B3" s="304"/>
      <c r="C3" s="304"/>
      <c r="D3" s="304"/>
      <c r="E3" s="304"/>
      <c r="F3" s="304"/>
      <c r="G3" s="304"/>
      <c r="H3" s="304"/>
    </row>
    <row r="4" spans="1:8" ht="25.8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ht="24" customHeight="1" x14ac:dyDescent="0.3">
      <c r="A5" s="211" t="s">
        <v>0</v>
      </c>
      <c r="B5" s="210"/>
      <c r="C5" s="211" t="s">
        <v>47</v>
      </c>
      <c r="D5" s="212"/>
      <c r="E5" s="213"/>
      <c r="F5" s="302" t="s">
        <v>1</v>
      </c>
      <c r="G5" s="105">
        <v>46000</v>
      </c>
      <c r="H5" s="106" t="s">
        <v>46</v>
      </c>
    </row>
    <row r="6" spans="1:8" ht="25.8" customHeight="1" x14ac:dyDescent="0.3">
      <c r="A6" s="284" t="s">
        <v>3</v>
      </c>
      <c r="B6" s="217"/>
      <c r="C6" s="218">
        <v>37733304</v>
      </c>
      <c r="D6" s="218"/>
      <c r="E6" s="219"/>
      <c r="F6" s="288"/>
      <c r="G6" s="103">
        <v>23000</v>
      </c>
      <c r="H6" s="102" t="s">
        <v>4</v>
      </c>
    </row>
    <row r="7" spans="1:8" x14ac:dyDescent="0.3">
      <c r="A7" s="273" t="s">
        <v>5</v>
      </c>
      <c r="B7" s="280"/>
      <c r="C7" s="273" t="s">
        <v>6</v>
      </c>
      <c r="D7" s="280"/>
      <c r="E7" s="273" t="s">
        <v>7</v>
      </c>
      <c r="F7" s="274"/>
      <c r="G7" s="289" t="s">
        <v>8</v>
      </c>
      <c r="H7" s="290"/>
    </row>
    <row r="8" spans="1:8" x14ac:dyDescent="0.3">
      <c r="A8" s="201">
        <f>+F19</f>
        <v>26.733333333333334</v>
      </c>
      <c r="B8" s="202"/>
      <c r="C8" s="226">
        <v>0</v>
      </c>
      <c r="D8" s="202"/>
      <c r="E8" s="205">
        <v>4600</v>
      </c>
      <c r="F8" s="301"/>
      <c r="G8" s="243">
        <f>+C8*E8+C10*E10</f>
        <v>0</v>
      </c>
      <c r="H8" s="244"/>
    </row>
    <row r="9" spans="1:8" x14ac:dyDescent="0.3">
      <c r="A9" s="273"/>
      <c r="B9" s="274"/>
      <c r="C9" s="273" t="s">
        <v>100</v>
      </c>
      <c r="D9" s="280"/>
      <c r="E9" s="273"/>
      <c r="F9" s="274"/>
      <c r="G9" s="191" t="s">
        <v>59</v>
      </c>
      <c r="H9" s="251"/>
    </row>
    <row r="10" spans="1:8" ht="16.2" thickBot="1" x14ac:dyDescent="0.35">
      <c r="A10" s="252"/>
      <c r="B10" s="253"/>
      <c r="C10" s="399">
        <f>+G19</f>
        <v>-3.2666666666666639</v>
      </c>
      <c r="D10" s="400"/>
      <c r="E10" s="205"/>
      <c r="F10" s="282"/>
      <c r="G10" s="291">
        <f>+G8+E10+H19+H20</f>
        <v>138000</v>
      </c>
      <c r="H10" s="259"/>
    </row>
    <row r="11" spans="1:8" ht="29.4" thickBot="1" x14ac:dyDescent="0.35">
      <c r="A11" s="74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6" t="s">
        <v>15</v>
      </c>
      <c r="G11" s="76" t="s">
        <v>16</v>
      </c>
      <c r="H11" s="77" t="s">
        <v>17</v>
      </c>
    </row>
    <row r="12" spans="1:8" x14ac:dyDescent="0.3">
      <c r="A12" s="83" t="s">
        <v>53</v>
      </c>
      <c r="B12" s="124" t="s">
        <v>24</v>
      </c>
      <c r="C12" s="71">
        <v>46205</v>
      </c>
      <c r="D12" s="84"/>
      <c r="E12" s="84"/>
      <c r="F12" s="73">
        <f t="shared" ref="F12:F18" si="0">(IF(D12&gt;E12,E12+1-D12,E12-D12))*24</f>
        <v>0</v>
      </c>
      <c r="G12" s="85"/>
      <c r="H12" s="86">
        <v>0</v>
      </c>
    </row>
    <row r="13" spans="1:8" x14ac:dyDescent="0.3">
      <c r="A13" s="78" t="s">
        <v>60</v>
      </c>
      <c r="B13" s="115" t="s">
        <v>25</v>
      </c>
      <c r="C13" s="71">
        <v>46206</v>
      </c>
      <c r="D13" s="68">
        <v>0.37222222222222223</v>
      </c>
      <c r="E13" s="68">
        <v>0.72916666666666663</v>
      </c>
      <c r="F13" s="73">
        <f t="shared" si="0"/>
        <v>8.5666666666666664</v>
      </c>
      <c r="G13" s="72">
        <f>+F13-10</f>
        <v>-1.4333333333333336</v>
      </c>
      <c r="H13" s="69">
        <v>46000</v>
      </c>
    </row>
    <row r="14" spans="1:8" x14ac:dyDescent="0.3">
      <c r="A14" s="83" t="s">
        <v>53</v>
      </c>
      <c r="B14" s="124" t="s">
        <v>55</v>
      </c>
      <c r="C14" s="71">
        <v>46207</v>
      </c>
      <c r="D14" s="84"/>
      <c r="E14" s="84"/>
      <c r="F14" s="73">
        <f t="shared" si="0"/>
        <v>0</v>
      </c>
      <c r="G14" s="85"/>
      <c r="H14" s="86">
        <v>0</v>
      </c>
    </row>
    <row r="15" spans="1:8" x14ac:dyDescent="0.3">
      <c r="A15" s="83" t="s">
        <v>53</v>
      </c>
      <c r="B15" s="124" t="s">
        <v>19</v>
      </c>
      <c r="C15" s="71">
        <v>46208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78" t="s">
        <v>60</v>
      </c>
      <c r="B16" s="115" t="s">
        <v>20</v>
      </c>
      <c r="C16" s="71">
        <v>46209</v>
      </c>
      <c r="D16" s="68">
        <v>0.36874999999999997</v>
      </c>
      <c r="E16" s="68">
        <v>0.75138888888888899</v>
      </c>
      <c r="F16" s="73">
        <f t="shared" si="0"/>
        <v>9.1833333333333371</v>
      </c>
      <c r="G16" s="72">
        <f>+F16-10</f>
        <v>-0.81666666666666288</v>
      </c>
      <c r="H16" s="69">
        <v>46000</v>
      </c>
    </row>
    <row r="17" spans="1:8" x14ac:dyDescent="0.3">
      <c r="A17" s="83" t="s">
        <v>53</v>
      </c>
      <c r="B17" s="115" t="s">
        <v>21</v>
      </c>
      <c r="C17" s="71">
        <v>46210</v>
      </c>
      <c r="D17" s="84"/>
      <c r="E17" s="84"/>
      <c r="F17" s="73">
        <f t="shared" si="0"/>
        <v>0</v>
      </c>
      <c r="G17" s="85"/>
      <c r="H17" s="86">
        <v>0</v>
      </c>
    </row>
    <row r="18" spans="1:8" x14ac:dyDescent="0.3">
      <c r="A18" s="83" t="s">
        <v>60</v>
      </c>
      <c r="B18" s="124" t="s">
        <v>56</v>
      </c>
      <c r="C18" s="71">
        <v>46211</v>
      </c>
      <c r="D18" s="68">
        <v>0.3756944444444445</v>
      </c>
      <c r="E18" s="68">
        <v>0.75</v>
      </c>
      <c r="F18" s="73">
        <f t="shared" si="0"/>
        <v>8.9833333333333325</v>
      </c>
      <c r="G18" s="72">
        <f>+F18-10</f>
        <v>-1.0166666666666675</v>
      </c>
      <c r="H18" s="69">
        <v>46000</v>
      </c>
    </row>
    <row r="19" spans="1:8" x14ac:dyDescent="0.3">
      <c r="A19" s="230"/>
      <c r="B19" s="230"/>
      <c r="C19" s="70"/>
      <c r="D19" s="95"/>
      <c r="E19" s="79"/>
      <c r="F19" s="80">
        <f>SUM(F12:F18)</f>
        <v>26.733333333333334</v>
      </c>
      <c r="G19" s="161">
        <f>SUM(G12:G18)</f>
        <v>-3.2666666666666639</v>
      </c>
      <c r="H19" s="81">
        <f>SUM(H12:H18)</f>
        <v>138000</v>
      </c>
    </row>
    <row r="20" spans="1:8" x14ac:dyDescent="0.3">
      <c r="A20" s="267"/>
      <c r="B20" s="267"/>
      <c r="C20" s="96"/>
      <c r="D20" s="95"/>
      <c r="E20" s="268" t="s">
        <v>26</v>
      </c>
      <c r="F20" s="268"/>
      <c r="G20" s="268"/>
      <c r="H20" s="101"/>
    </row>
    <row r="21" spans="1:8" x14ac:dyDescent="0.3">
      <c r="A21" s="298" t="s">
        <v>27</v>
      </c>
      <c r="B21" s="177"/>
      <c r="C21" s="299"/>
      <c r="D21" s="299"/>
      <c r="E21" s="299"/>
      <c r="F21" s="299"/>
      <c r="G21" s="299"/>
      <c r="H21" s="299"/>
    </row>
    <row r="22" spans="1:8" x14ac:dyDescent="0.3">
      <c r="A22" s="298" t="s">
        <v>28</v>
      </c>
      <c r="B22" s="298"/>
      <c r="C22" s="299"/>
      <c r="D22" s="299"/>
      <c r="E22" s="299"/>
      <c r="F22" s="299"/>
      <c r="G22" s="299"/>
      <c r="H22" s="299"/>
    </row>
    <row r="23" spans="1:8" ht="15" thickBot="1" x14ac:dyDescent="0.35"/>
    <row r="24" spans="1:8" ht="24" customHeight="1" x14ac:dyDescent="0.3">
      <c r="A24" s="211" t="s">
        <v>0</v>
      </c>
      <c r="B24" s="210"/>
      <c r="C24" s="211" t="s">
        <v>47</v>
      </c>
      <c r="D24" s="212"/>
      <c r="E24" s="213"/>
      <c r="F24" s="302" t="s">
        <v>1</v>
      </c>
      <c r="G24" s="105">
        <v>46000</v>
      </c>
      <c r="H24" s="106" t="s">
        <v>46</v>
      </c>
    </row>
    <row r="25" spans="1:8" ht="24.6" customHeight="1" x14ac:dyDescent="0.3">
      <c r="A25" s="284" t="s">
        <v>3</v>
      </c>
      <c r="B25" s="217"/>
      <c r="C25" s="218">
        <v>37733304</v>
      </c>
      <c r="D25" s="218"/>
      <c r="E25" s="219"/>
      <c r="F25" s="288"/>
      <c r="G25" s="103">
        <v>23000</v>
      </c>
      <c r="H25" s="102" t="s">
        <v>4</v>
      </c>
    </row>
    <row r="26" spans="1:8" x14ac:dyDescent="0.3">
      <c r="A26" s="273" t="s">
        <v>5</v>
      </c>
      <c r="B26" s="280"/>
      <c r="C26" s="273" t="s">
        <v>6</v>
      </c>
      <c r="D26" s="280"/>
      <c r="E26" s="273" t="s">
        <v>7</v>
      </c>
      <c r="F26" s="274"/>
      <c r="G26" s="289" t="s">
        <v>8</v>
      </c>
      <c r="H26" s="290"/>
    </row>
    <row r="27" spans="1:8" x14ac:dyDescent="0.3">
      <c r="A27" s="201">
        <f>+F38</f>
        <v>36.299999999999997</v>
      </c>
      <c r="B27" s="202"/>
      <c r="C27" s="226">
        <v>0</v>
      </c>
      <c r="D27" s="202"/>
      <c r="E27" s="205">
        <v>4600</v>
      </c>
      <c r="F27" s="301"/>
      <c r="G27" s="243">
        <f>+C27*E27+C29*E29</f>
        <v>0</v>
      </c>
      <c r="H27" s="244"/>
    </row>
    <row r="28" spans="1:8" x14ac:dyDescent="0.3">
      <c r="A28" s="273"/>
      <c r="B28" s="274"/>
      <c r="C28" s="273" t="s">
        <v>100</v>
      </c>
      <c r="D28" s="280"/>
      <c r="E28" s="273"/>
      <c r="F28" s="274"/>
      <c r="G28" s="191" t="s">
        <v>59</v>
      </c>
      <c r="H28" s="251"/>
    </row>
    <row r="29" spans="1:8" ht="16.2" thickBot="1" x14ac:dyDescent="0.35">
      <c r="A29" s="252"/>
      <c r="B29" s="253"/>
      <c r="C29" s="203">
        <f>+G38</f>
        <v>-3.7000000000000011</v>
      </c>
      <c r="D29" s="204"/>
      <c r="E29" s="205"/>
      <c r="F29" s="282"/>
      <c r="G29" s="291">
        <f>+G27+E29+H38+H39</f>
        <v>184000</v>
      </c>
      <c r="H29" s="259"/>
    </row>
    <row r="30" spans="1:8" ht="29.4" thickBot="1" x14ac:dyDescent="0.35">
      <c r="A30" s="74" t="s">
        <v>10</v>
      </c>
      <c r="B30" s="75" t="s">
        <v>11</v>
      </c>
      <c r="C30" s="75" t="s">
        <v>12</v>
      </c>
      <c r="D30" s="75" t="s">
        <v>13</v>
      </c>
      <c r="E30" s="75" t="s">
        <v>14</v>
      </c>
      <c r="F30" s="76" t="s">
        <v>15</v>
      </c>
      <c r="G30" s="76" t="s">
        <v>16</v>
      </c>
      <c r="H30" s="77" t="s">
        <v>17</v>
      </c>
    </row>
    <row r="31" spans="1:8" x14ac:dyDescent="0.3">
      <c r="A31" s="83" t="s">
        <v>60</v>
      </c>
      <c r="B31" s="124" t="s">
        <v>24</v>
      </c>
      <c r="C31" s="71">
        <v>46212</v>
      </c>
      <c r="D31" s="68">
        <v>0.37152777777777773</v>
      </c>
      <c r="E31" s="68">
        <v>0.75</v>
      </c>
      <c r="F31" s="73">
        <f t="shared" ref="F31:F37" si="1">(IF(D31&gt;E31,E31+1-D31,E31-D31))*24</f>
        <v>9.0833333333333339</v>
      </c>
      <c r="G31" s="72">
        <f>+F31-10</f>
        <v>-0.91666666666666607</v>
      </c>
      <c r="H31" s="69">
        <v>46000</v>
      </c>
    </row>
    <row r="32" spans="1:8" x14ac:dyDescent="0.3">
      <c r="A32" s="83" t="s">
        <v>60</v>
      </c>
      <c r="B32" s="115" t="s">
        <v>25</v>
      </c>
      <c r="C32" s="71">
        <v>46213</v>
      </c>
      <c r="D32" s="68">
        <v>0.3756944444444445</v>
      </c>
      <c r="E32" s="68">
        <v>0.75416666666666676</v>
      </c>
      <c r="F32" s="73">
        <f t="shared" si="1"/>
        <v>9.0833333333333339</v>
      </c>
      <c r="G32" s="72">
        <f t="shared" ref="G32:G37" si="2">+F32-10</f>
        <v>-0.91666666666666607</v>
      </c>
      <c r="H32" s="69">
        <v>46000</v>
      </c>
    </row>
    <row r="33" spans="1:8" x14ac:dyDescent="0.3">
      <c r="A33" s="83" t="s">
        <v>53</v>
      </c>
      <c r="B33" s="124" t="s">
        <v>55</v>
      </c>
      <c r="C33" s="71">
        <v>46214</v>
      </c>
      <c r="D33" s="84"/>
      <c r="E33" s="84"/>
      <c r="F33" s="73">
        <f t="shared" si="1"/>
        <v>0</v>
      </c>
      <c r="G33" s="72">
        <v>0</v>
      </c>
      <c r="H33" s="86">
        <v>0</v>
      </c>
    </row>
    <row r="34" spans="1:8" x14ac:dyDescent="0.3">
      <c r="A34" s="83" t="s">
        <v>53</v>
      </c>
      <c r="B34" s="124" t="s">
        <v>19</v>
      </c>
      <c r="C34" s="71">
        <v>46215</v>
      </c>
      <c r="D34" s="84"/>
      <c r="E34" s="84"/>
      <c r="F34" s="73">
        <f t="shared" si="1"/>
        <v>0</v>
      </c>
      <c r="G34" s="72">
        <v>0</v>
      </c>
      <c r="H34" s="86">
        <v>0</v>
      </c>
    </row>
    <row r="35" spans="1:8" x14ac:dyDescent="0.3">
      <c r="A35" s="78" t="s">
        <v>60</v>
      </c>
      <c r="B35" s="115" t="s">
        <v>20</v>
      </c>
      <c r="C35" s="71">
        <v>46216</v>
      </c>
      <c r="D35" s="68">
        <v>0.36944444444444446</v>
      </c>
      <c r="E35" s="68">
        <v>0.75069444444444444</v>
      </c>
      <c r="F35" s="73">
        <f t="shared" si="1"/>
        <v>9.1499999999999986</v>
      </c>
      <c r="G35" s="72">
        <f t="shared" si="2"/>
        <v>-0.85000000000000142</v>
      </c>
      <c r="H35" s="69">
        <v>46000</v>
      </c>
    </row>
    <row r="36" spans="1:8" x14ac:dyDescent="0.3">
      <c r="A36" s="78" t="s">
        <v>60</v>
      </c>
      <c r="B36" s="115" t="s">
        <v>21</v>
      </c>
      <c r="C36" s="71">
        <v>46217</v>
      </c>
      <c r="D36" s="68">
        <v>0.3756944444444445</v>
      </c>
      <c r="E36" s="68">
        <v>0.75</v>
      </c>
      <c r="F36" s="73">
        <f t="shared" si="1"/>
        <v>8.9833333333333325</v>
      </c>
      <c r="G36" s="72">
        <f t="shared" si="2"/>
        <v>-1.0166666666666675</v>
      </c>
      <c r="H36" s="69">
        <v>46000</v>
      </c>
    </row>
    <row r="37" spans="1:8" x14ac:dyDescent="0.3">
      <c r="A37" s="83" t="s">
        <v>53</v>
      </c>
      <c r="B37" s="124" t="s">
        <v>56</v>
      </c>
      <c r="C37" s="71">
        <v>46218</v>
      </c>
      <c r="D37" s="128"/>
      <c r="E37" s="128"/>
      <c r="F37" s="73">
        <f t="shared" si="1"/>
        <v>0</v>
      </c>
      <c r="G37" s="72">
        <v>0</v>
      </c>
      <c r="H37" s="86">
        <v>0</v>
      </c>
    </row>
    <row r="38" spans="1:8" x14ac:dyDescent="0.3">
      <c r="A38" s="230"/>
      <c r="B38" s="230"/>
      <c r="C38" s="70"/>
      <c r="D38" s="95"/>
      <c r="E38" s="79"/>
      <c r="F38" s="80">
        <f>SUM(F31:F37)</f>
        <v>36.299999999999997</v>
      </c>
      <c r="G38" s="161">
        <f>SUM(G31:G37)</f>
        <v>-3.7000000000000011</v>
      </c>
      <c r="H38" s="81">
        <f>SUM(H31:H37)</f>
        <v>184000</v>
      </c>
    </row>
    <row r="39" spans="1:8" x14ac:dyDescent="0.3">
      <c r="A39" s="267"/>
      <c r="B39" s="267"/>
      <c r="C39" s="96"/>
      <c r="D39" s="95"/>
      <c r="E39" s="268" t="s">
        <v>26</v>
      </c>
      <c r="F39" s="268"/>
      <c r="G39" s="268"/>
      <c r="H39" s="101"/>
    </row>
    <row r="40" spans="1:8" ht="19.8" customHeight="1" x14ac:dyDescent="0.3">
      <c r="A40" s="298" t="s">
        <v>27</v>
      </c>
      <c r="B40" s="177"/>
      <c r="C40" s="299"/>
      <c r="D40" s="299"/>
      <c r="E40" s="299"/>
      <c r="F40" s="299"/>
      <c r="G40" s="299"/>
      <c r="H40" s="299"/>
    </row>
    <row r="41" spans="1:8" ht="22.8" customHeight="1" x14ac:dyDescent="0.3">
      <c r="A41" s="298" t="s">
        <v>28</v>
      </c>
      <c r="B41" s="298"/>
      <c r="C41" s="299"/>
      <c r="D41" s="299"/>
      <c r="E41" s="299"/>
      <c r="F41" s="299"/>
      <c r="G41" s="299"/>
      <c r="H41" s="299"/>
    </row>
    <row r="42" spans="1:8" ht="15" thickBot="1" x14ac:dyDescent="0.35"/>
    <row r="43" spans="1:8" ht="19.2" customHeight="1" x14ac:dyDescent="0.3">
      <c r="A43" s="211" t="s">
        <v>0</v>
      </c>
      <c r="B43" s="210"/>
      <c r="C43" s="211" t="s">
        <v>47</v>
      </c>
      <c r="D43" s="212"/>
      <c r="E43" s="213"/>
      <c r="F43" s="302" t="s">
        <v>1</v>
      </c>
      <c r="G43" s="105">
        <v>46000</v>
      </c>
      <c r="H43" s="106" t="s">
        <v>46</v>
      </c>
    </row>
    <row r="44" spans="1:8" ht="22.8" customHeight="1" x14ac:dyDescent="0.3">
      <c r="A44" s="284" t="s">
        <v>3</v>
      </c>
      <c r="B44" s="217"/>
      <c r="C44" s="218">
        <v>37733304</v>
      </c>
      <c r="D44" s="218"/>
      <c r="E44" s="219"/>
      <c r="F44" s="288"/>
      <c r="G44" s="103">
        <v>23000</v>
      </c>
      <c r="H44" s="102" t="s">
        <v>4</v>
      </c>
    </row>
    <row r="45" spans="1:8" x14ac:dyDescent="0.3">
      <c r="A45" s="273" t="s">
        <v>5</v>
      </c>
      <c r="B45" s="280"/>
      <c r="C45" s="273" t="s">
        <v>6</v>
      </c>
      <c r="D45" s="280"/>
      <c r="E45" s="273" t="s">
        <v>7</v>
      </c>
      <c r="F45" s="274"/>
      <c r="G45" s="289" t="s">
        <v>8</v>
      </c>
      <c r="H45" s="290"/>
    </row>
    <row r="46" spans="1:8" x14ac:dyDescent="0.3">
      <c r="A46" s="201">
        <f>+F57</f>
        <v>46.15</v>
      </c>
      <c r="B46" s="202"/>
      <c r="C46" s="203">
        <v>0</v>
      </c>
      <c r="D46" s="204"/>
      <c r="E46" s="205">
        <v>4600</v>
      </c>
      <c r="F46" s="301"/>
      <c r="G46" s="243">
        <f>+C46*E46+C48*E48</f>
        <v>0</v>
      </c>
      <c r="H46" s="244"/>
    </row>
    <row r="47" spans="1:8" x14ac:dyDescent="0.3">
      <c r="A47" s="273"/>
      <c r="B47" s="274"/>
      <c r="C47" s="273" t="s">
        <v>100</v>
      </c>
      <c r="D47" s="280"/>
      <c r="E47" s="273"/>
      <c r="F47" s="274"/>
      <c r="G47" s="191" t="s">
        <v>59</v>
      </c>
      <c r="H47" s="251"/>
    </row>
    <row r="48" spans="1:8" ht="16.2" thickBot="1" x14ac:dyDescent="0.35">
      <c r="A48" s="252"/>
      <c r="B48" s="253"/>
      <c r="C48" s="399">
        <f>+G57</f>
        <v>-3.8500000000000014</v>
      </c>
      <c r="D48" s="400"/>
      <c r="E48" s="205"/>
      <c r="F48" s="282"/>
      <c r="G48" s="291">
        <f>+G46+E48+H57+H58</f>
        <v>230000</v>
      </c>
      <c r="H48" s="259"/>
    </row>
    <row r="49" spans="1:8" ht="29.4" thickBot="1" x14ac:dyDescent="0.35">
      <c r="A49" s="74" t="s">
        <v>10</v>
      </c>
      <c r="B49" s="75" t="s">
        <v>11</v>
      </c>
      <c r="C49" s="75" t="s">
        <v>12</v>
      </c>
      <c r="D49" s="75" t="s">
        <v>13</v>
      </c>
      <c r="E49" s="75" t="s">
        <v>14</v>
      </c>
      <c r="F49" s="76" t="s">
        <v>15</v>
      </c>
      <c r="G49" s="76" t="s">
        <v>16</v>
      </c>
      <c r="H49" s="77" t="s">
        <v>17</v>
      </c>
    </row>
    <row r="50" spans="1:8" x14ac:dyDescent="0.3">
      <c r="A50" s="83" t="s">
        <v>60</v>
      </c>
      <c r="B50" s="124" t="s">
        <v>24</v>
      </c>
      <c r="C50" s="71">
        <v>46219</v>
      </c>
      <c r="D50" s="68">
        <v>0.375</v>
      </c>
      <c r="E50" s="68">
        <v>0.75208333333333333</v>
      </c>
      <c r="F50" s="73">
        <f t="shared" ref="F50:F56" si="3">(IF(D50&gt;E50,E50+1-D50,E50-D50))*24</f>
        <v>9.0500000000000007</v>
      </c>
      <c r="G50" s="72">
        <f>+F50-10</f>
        <v>-0.94999999999999929</v>
      </c>
      <c r="H50" s="69">
        <v>46000</v>
      </c>
    </row>
    <row r="51" spans="1:8" x14ac:dyDescent="0.3">
      <c r="A51" s="83" t="s">
        <v>60</v>
      </c>
      <c r="B51" s="115" t="s">
        <v>25</v>
      </c>
      <c r="C51" s="71">
        <v>46220</v>
      </c>
      <c r="D51" s="68">
        <v>0.37083333333333335</v>
      </c>
      <c r="E51" s="68">
        <v>0.79513888888888884</v>
      </c>
      <c r="F51" s="73">
        <f t="shared" si="3"/>
        <v>10.183333333333332</v>
      </c>
      <c r="G51" s="72">
        <f t="shared" ref="G51:G56" si="4">+F51-10</f>
        <v>0.18333333333333179</v>
      </c>
      <c r="H51" s="69">
        <v>46000</v>
      </c>
    </row>
    <row r="52" spans="1:8" x14ac:dyDescent="0.3">
      <c r="A52" s="83" t="s">
        <v>53</v>
      </c>
      <c r="B52" s="124" t="s">
        <v>55</v>
      </c>
      <c r="C52" s="71">
        <v>46221</v>
      </c>
      <c r="D52" s="84"/>
      <c r="E52" s="84"/>
      <c r="F52" s="73">
        <f t="shared" si="3"/>
        <v>0</v>
      </c>
      <c r="G52" s="72"/>
      <c r="H52" s="86">
        <v>0</v>
      </c>
    </row>
    <row r="53" spans="1:8" x14ac:dyDescent="0.3">
      <c r="A53" s="83" t="s">
        <v>53</v>
      </c>
      <c r="B53" s="124" t="s">
        <v>19</v>
      </c>
      <c r="C53" s="71">
        <v>46222</v>
      </c>
      <c r="D53" s="84"/>
      <c r="E53" s="84"/>
      <c r="F53" s="73">
        <f t="shared" si="3"/>
        <v>0</v>
      </c>
      <c r="G53" s="72"/>
      <c r="H53" s="86">
        <v>0</v>
      </c>
    </row>
    <row r="54" spans="1:8" x14ac:dyDescent="0.3">
      <c r="A54" s="78" t="s">
        <v>60</v>
      </c>
      <c r="B54" s="115" t="s">
        <v>20</v>
      </c>
      <c r="C54" s="71">
        <v>46223</v>
      </c>
      <c r="D54" s="68">
        <v>0.37361111111111112</v>
      </c>
      <c r="E54" s="68">
        <v>0.75208333333333333</v>
      </c>
      <c r="F54" s="73">
        <f t="shared" si="3"/>
        <v>9.0833333333333321</v>
      </c>
      <c r="G54" s="72">
        <f t="shared" si="4"/>
        <v>-0.91666666666666785</v>
      </c>
      <c r="H54" s="69">
        <v>46000</v>
      </c>
    </row>
    <row r="55" spans="1:8" x14ac:dyDescent="0.3">
      <c r="A55" s="78" t="s">
        <v>60</v>
      </c>
      <c r="B55" s="115" t="s">
        <v>21</v>
      </c>
      <c r="C55" s="71">
        <v>46224</v>
      </c>
      <c r="D55" s="68">
        <v>0.38750000000000001</v>
      </c>
      <c r="E55" s="68">
        <v>0.75277777777777777</v>
      </c>
      <c r="F55" s="73">
        <f t="shared" si="3"/>
        <v>8.7666666666666657</v>
      </c>
      <c r="G55" s="72">
        <f t="shared" si="4"/>
        <v>-1.2333333333333343</v>
      </c>
      <c r="H55" s="69">
        <v>46000</v>
      </c>
    </row>
    <row r="56" spans="1:8" x14ac:dyDescent="0.3">
      <c r="A56" s="83" t="s">
        <v>60</v>
      </c>
      <c r="B56" s="124" t="s">
        <v>56</v>
      </c>
      <c r="C56" s="71">
        <v>46225</v>
      </c>
      <c r="D56" s="84">
        <v>0.37291666666666662</v>
      </c>
      <c r="E56" s="84">
        <v>0.75069444444444444</v>
      </c>
      <c r="F56" s="73">
        <f t="shared" si="3"/>
        <v>9.0666666666666682</v>
      </c>
      <c r="G56" s="72">
        <f t="shared" si="4"/>
        <v>-0.93333333333333179</v>
      </c>
      <c r="H56" s="69">
        <v>46000</v>
      </c>
    </row>
    <row r="57" spans="1:8" x14ac:dyDescent="0.3">
      <c r="A57" s="230"/>
      <c r="B57" s="230"/>
      <c r="C57" s="70"/>
      <c r="D57" s="95"/>
      <c r="E57" s="79"/>
      <c r="F57" s="80">
        <f>SUM(F50:F56)</f>
        <v>46.15</v>
      </c>
      <c r="G57" s="161">
        <f>SUM(G50:G56)</f>
        <v>-3.8500000000000014</v>
      </c>
      <c r="H57" s="81">
        <f>SUM(H50:H56)</f>
        <v>230000</v>
      </c>
    </row>
    <row r="58" spans="1:8" x14ac:dyDescent="0.3">
      <c r="A58" s="267"/>
      <c r="B58" s="267"/>
      <c r="C58" s="96"/>
      <c r="D58" s="95"/>
      <c r="E58" s="268" t="s">
        <v>26</v>
      </c>
      <c r="F58" s="268"/>
      <c r="G58" s="268"/>
      <c r="H58" s="101"/>
    </row>
    <row r="59" spans="1:8" ht="15.6" customHeight="1" x14ac:dyDescent="0.3">
      <c r="A59" s="298" t="s">
        <v>27</v>
      </c>
      <c r="B59" s="177"/>
      <c r="C59" s="299"/>
      <c r="D59" s="299"/>
      <c r="E59" s="299"/>
      <c r="F59" s="299"/>
      <c r="G59" s="299"/>
      <c r="H59" s="299"/>
    </row>
    <row r="60" spans="1:8" ht="15.6" customHeight="1" x14ac:dyDescent="0.3">
      <c r="A60" s="298" t="s">
        <v>28</v>
      </c>
      <c r="B60" s="298"/>
      <c r="C60" s="299"/>
      <c r="D60" s="299"/>
      <c r="E60" s="299"/>
      <c r="F60" s="299"/>
      <c r="G60" s="299"/>
      <c r="H60" s="299"/>
    </row>
  </sheetData>
  <mergeCells count="84">
    <mergeCell ref="A57:B57"/>
    <mergeCell ref="A58:B58"/>
    <mergeCell ref="E58:G58"/>
    <mergeCell ref="A59:B59"/>
    <mergeCell ref="C59:H60"/>
    <mergeCell ref="A60:B60"/>
    <mergeCell ref="A47:B47"/>
    <mergeCell ref="C47:D47"/>
    <mergeCell ref="E47:F47"/>
    <mergeCell ref="G47:H47"/>
    <mergeCell ref="A48:B48"/>
    <mergeCell ref="C48:D48"/>
    <mergeCell ref="E48:F48"/>
    <mergeCell ref="G48:H48"/>
    <mergeCell ref="A45:B45"/>
    <mergeCell ref="C45:D45"/>
    <mergeCell ref="E45:F45"/>
    <mergeCell ref="G45:H45"/>
    <mergeCell ref="A46:B46"/>
    <mergeCell ref="C46:D46"/>
    <mergeCell ref="E46:F46"/>
    <mergeCell ref="G46:H46"/>
    <mergeCell ref="A43:B43"/>
    <mergeCell ref="C43:E43"/>
    <mergeCell ref="F43:F44"/>
    <mergeCell ref="A44:B44"/>
    <mergeCell ref="C44:E44"/>
    <mergeCell ref="A1:H3"/>
    <mergeCell ref="F4:G4"/>
    <mergeCell ref="A4:E4"/>
    <mergeCell ref="A5:B5"/>
    <mergeCell ref="C5:E5"/>
    <mergeCell ref="F5:F6"/>
    <mergeCell ref="A6:B6"/>
    <mergeCell ref="C6:E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9:B19"/>
    <mergeCell ref="A20:B20"/>
    <mergeCell ref="E20:G20"/>
    <mergeCell ref="A21:B21"/>
    <mergeCell ref="C21:H22"/>
    <mergeCell ref="A22:B22"/>
    <mergeCell ref="A24:B24"/>
    <mergeCell ref="C24:E24"/>
    <mergeCell ref="F24:F25"/>
    <mergeCell ref="A25:B25"/>
    <mergeCell ref="C25:E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8:B38"/>
    <mergeCell ref="A39:B39"/>
    <mergeCell ref="E39:G39"/>
    <mergeCell ref="A40:B40"/>
    <mergeCell ref="C40:H41"/>
    <mergeCell ref="A41:B41"/>
  </mergeCells>
  <pageMargins left="0.70866141732283472" right="0.70866141732283472" top="0.74803149606299213" bottom="0.74803149606299213" header="0.31496062992125984" footer="0.31496062992125984"/>
  <pageSetup paperSize="9" scale="7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22"/>
  <sheetViews>
    <sheetView workbookViewId="0">
      <selection activeCell="C21" sqref="C21:H22"/>
    </sheetView>
  </sheetViews>
  <sheetFormatPr baseColWidth="10" defaultRowHeight="14.4" x14ac:dyDescent="0.3"/>
  <cols>
    <col min="1" max="1" width="16.77734375" customWidth="1"/>
    <col min="3" max="3" width="15.44140625" customWidth="1"/>
    <col min="4" max="4" width="14.109375" customWidth="1"/>
    <col min="5" max="5" width="14.5546875" customWidth="1"/>
    <col min="7" max="7" width="12.109375" customWidth="1"/>
    <col min="8" max="8" width="17.77734375" customWidth="1"/>
  </cols>
  <sheetData>
    <row r="3" spans="1:8" ht="15" thickBot="1" x14ac:dyDescent="0.35"/>
    <row r="4" spans="1:8" ht="22.2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ht="19.2" customHeight="1" x14ac:dyDescent="0.3">
      <c r="A5" s="211" t="s">
        <v>0</v>
      </c>
      <c r="B5" s="210"/>
      <c r="C5" s="211" t="s">
        <v>68</v>
      </c>
      <c r="D5" s="212"/>
      <c r="E5" s="213"/>
      <c r="F5" s="302" t="s">
        <v>1</v>
      </c>
      <c r="G5" s="105">
        <v>46000</v>
      </c>
      <c r="H5" s="106" t="s">
        <v>46</v>
      </c>
    </row>
    <row r="6" spans="1:8" x14ac:dyDescent="0.3">
      <c r="A6" s="284" t="s">
        <v>3</v>
      </c>
      <c r="B6" s="217"/>
      <c r="C6" s="218"/>
      <c r="D6" s="218"/>
      <c r="E6" s="219"/>
      <c r="F6" s="288"/>
      <c r="G6" s="103">
        <v>23000</v>
      </c>
      <c r="H6" s="102" t="s">
        <v>4</v>
      </c>
    </row>
    <row r="7" spans="1:8" x14ac:dyDescent="0.3">
      <c r="A7" s="273" t="s">
        <v>5</v>
      </c>
      <c r="B7" s="280"/>
      <c r="C7" s="273" t="s">
        <v>6</v>
      </c>
      <c r="D7" s="280"/>
      <c r="E7" s="273" t="s">
        <v>7</v>
      </c>
      <c r="F7" s="274"/>
      <c r="G7" s="289" t="s">
        <v>8</v>
      </c>
      <c r="H7" s="290"/>
    </row>
    <row r="8" spans="1:8" x14ac:dyDescent="0.3">
      <c r="A8" s="201">
        <f>+F19</f>
        <v>19</v>
      </c>
      <c r="B8" s="202"/>
      <c r="C8" s="226">
        <v>0</v>
      </c>
      <c r="D8" s="202"/>
      <c r="E8" s="205">
        <v>4600</v>
      </c>
      <c r="F8" s="301"/>
      <c r="G8" s="243">
        <f>+E8*C8</f>
        <v>0</v>
      </c>
      <c r="H8" s="244"/>
    </row>
    <row r="9" spans="1:8" x14ac:dyDescent="0.3">
      <c r="A9" s="273"/>
      <c r="B9" s="274"/>
      <c r="C9" s="273" t="s">
        <v>100</v>
      </c>
      <c r="D9" s="280"/>
      <c r="E9" s="273"/>
      <c r="F9" s="274"/>
      <c r="G9" s="191" t="s">
        <v>59</v>
      </c>
      <c r="H9" s="251"/>
    </row>
    <row r="10" spans="1:8" ht="16.2" thickBot="1" x14ac:dyDescent="0.35">
      <c r="A10" s="252"/>
      <c r="B10" s="253"/>
      <c r="C10" s="203">
        <f>+G19</f>
        <v>-1</v>
      </c>
      <c r="D10" s="204"/>
      <c r="E10" s="205"/>
      <c r="F10" s="282"/>
      <c r="G10" s="278">
        <f>+G8+E10+H19+H20</f>
        <v>92000</v>
      </c>
      <c r="H10" s="279"/>
    </row>
    <row r="11" spans="1:8" ht="29.4" thickBot="1" x14ac:dyDescent="0.35">
      <c r="A11" s="74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6" t="s">
        <v>15</v>
      </c>
      <c r="G11" s="76" t="s">
        <v>16</v>
      </c>
      <c r="H11" s="77" t="s">
        <v>17</v>
      </c>
    </row>
    <row r="12" spans="1:8" x14ac:dyDescent="0.3">
      <c r="A12" s="114" t="s">
        <v>64</v>
      </c>
      <c r="B12" s="124" t="s">
        <v>24</v>
      </c>
      <c r="C12" s="71">
        <v>46219</v>
      </c>
      <c r="D12" s="84"/>
      <c r="E12" s="84"/>
      <c r="F12" s="73">
        <f t="shared" ref="F12:F18" si="0">(IF(D12&gt;E12,E12+1-D12,E12-D12))*24</f>
        <v>0</v>
      </c>
      <c r="G12" s="85"/>
      <c r="H12" s="86">
        <v>0</v>
      </c>
    </row>
    <row r="13" spans="1:8" x14ac:dyDescent="0.3">
      <c r="A13" s="114" t="s">
        <v>53</v>
      </c>
      <c r="B13" s="124" t="s">
        <v>25</v>
      </c>
      <c r="C13" s="71">
        <v>46220</v>
      </c>
      <c r="D13" s="84"/>
      <c r="E13" s="84"/>
      <c r="F13" s="73">
        <f t="shared" si="0"/>
        <v>0</v>
      </c>
      <c r="G13" s="85"/>
      <c r="H13" s="86">
        <v>0</v>
      </c>
    </row>
    <row r="14" spans="1:8" x14ac:dyDescent="0.3">
      <c r="A14" s="114" t="s">
        <v>53</v>
      </c>
      <c r="B14" s="124" t="s">
        <v>55</v>
      </c>
      <c r="C14" s="71">
        <v>46221</v>
      </c>
      <c r="D14" s="84"/>
      <c r="E14" s="84"/>
      <c r="F14" s="73">
        <f t="shared" si="0"/>
        <v>0</v>
      </c>
      <c r="G14" s="85"/>
      <c r="H14" s="86">
        <v>0</v>
      </c>
    </row>
    <row r="15" spans="1:8" x14ac:dyDescent="0.3">
      <c r="A15" s="114" t="s">
        <v>53</v>
      </c>
      <c r="B15" s="124" t="s">
        <v>19</v>
      </c>
      <c r="C15" s="71">
        <v>46222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78" t="s">
        <v>87</v>
      </c>
      <c r="B16" s="115" t="s">
        <v>20</v>
      </c>
      <c r="C16" s="71">
        <v>46223</v>
      </c>
      <c r="D16" s="68">
        <v>0.375</v>
      </c>
      <c r="E16" s="68">
        <v>0.77083333333333337</v>
      </c>
      <c r="F16" s="73">
        <f t="shared" si="0"/>
        <v>9.5</v>
      </c>
      <c r="G16" s="72">
        <f>+F16-10</f>
        <v>-0.5</v>
      </c>
      <c r="H16" s="69">
        <v>46000</v>
      </c>
    </row>
    <row r="17" spans="1:8" x14ac:dyDescent="0.3">
      <c r="A17" s="78" t="s">
        <v>87</v>
      </c>
      <c r="B17" s="115" t="s">
        <v>21</v>
      </c>
      <c r="C17" s="71">
        <v>46224</v>
      </c>
      <c r="D17" s="68">
        <v>0.375</v>
      </c>
      <c r="E17" s="68">
        <v>0.77083333333333337</v>
      </c>
      <c r="F17" s="73">
        <f t="shared" si="0"/>
        <v>9.5</v>
      </c>
      <c r="G17" s="72">
        <f>+F17-10</f>
        <v>-0.5</v>
      </c>
      <c r="H17" s="69">
        <v>46000</v>
      </c>
    </row>
    <row r="18" spans="1:8" x14ac:dyDescent="0.3">
      <c r="A18" s="114" t="s">
        <v>53</v>
      </c>
      <c r="B18" s="124" t="s">
        <v>56</v>
      </c>
      <c r="C18" s="71">
        <v>46225</v>
      </c>
      <c r="D18" s="84"/>
      <c r="E18" s="84"/>
      <c r="F18" s="73">
        <f t="shared" si="0"/>
        <v>0</v>
      </c>
      <c r="G18" s="85"/>
      <c r="H18" s="86">
        <v>0</v>
      </c>
    </row>
    <row r="19" spans="1:8" x14ac:dyDescent="0.3">
      <c r="A19" s="230"/>
      <c r="B19" s="230"/>
      <c r="C19" s="70"/>
      <c r="D19" s="95"/>
      <c r="E19" s="79"/>
      <c r="F19" s="80">
        <f>SUM(F12:F18)</f>
        <v>19</v>
      </c>
      <c r="G19" s="161">
        <f>SUM(G12:G18)</f>
        <v>-1</v>
      </c>
      <c r="H19" s="81">
        <f>SUM(H12:H18)</f>
        <v>92000</v>
      </c>
    </row>
    <row r="20" spans="1:8" x14ac:dyDescent="0.3">
      <c r="A20" s="267"/>
      <c r="B20" s="267"/>
      <c r="C20" s="96"/>
      <c r="D20" s="95"/>
      <c r="E20" s="268" t="s">
        <v>26</v>
      </c>
      <c r="F20" s="268"/>
      <c r="G20" s="268"/>
      <c r="H20" s="101"/>
    </row>
    <row r="21" spans="1:8" ht="16.8" customHeight="1" x14ac:dyDescent="0.3">
      <c r="A21" s="298" t="s">
        <v>27</v>
      </c>
      <c r="B21" s="177"/>
      <c r="C21" s="299"/>
      <c r="D21" s="299"/>
      <c r="E21" s="299"/>
      <c r="F21" s="299"/>
      <c r="G21" s="299"/>
      <c r="H21" s="299"/>
    </row>
    <row r="22" spans="1:8" ht="21" customHeight="1" x14ac:dyDescent="0.3">
      <c r="A22" s="298" t="s">
        <v>28</v>
      </c>
      <c r="B22" s="298"/>
      <c r="C22" s="299"/>
      <c r="D22" s="299"/>
      <c r="E22" s="299"/>
      <c r="F22" s="299"/>
      <c r="G22" s="299"/>
      <c r="H22" s="299"/>
    </row>
  </sheetData>
  <mergeCells count="29">
    <mergeCell ref="C10:D10"/>
    <mergeCell ref="C9:D9"/>
    <mergeCell ref="A7:B7"/>
    <mergeCell ref="C7:D7"/>
    <mergeCell ref="E7:F7"/>
    <mergeCell ref="G7:H7"/>
    <mergeCell ref="A8:B8"/>
    <mergeCell ref="C8:D8"/>
    <mergeCell ref="E8:F8"/>
    <mergeCell ref="G8:H8"/>
    <mergeCell ref="A4:E4"/>
    <mergeCell ref="F4:G4"/>
    <mergeCell ref="A5:B5"/>
    <mergeCell ref="C5:E5"/>
    <mergeCell ref="F5:F6"/>
    <mergeCell ref="A6:B6"/>
    <mergeCell ref="C6:E6"/>
    <mergeCell ref="A19:B19"/>
    <mergeCell ref="A20:B20"/>
    <mergeCell ref="E20:G20"/>
    <mergeCell ref="A21:B21"/>
    <mergeCell ref="C21:H22"/>
    <mergeCell ref="A22:B22"/>
    <mergeCell ref="A9:B9"/>
    <mergeCell ref="E9:F9"/>
    <mergeCell ref="G9:H9"/>
    <mergeCell ref="A10:B10"/>
    <mergeCell ref="E10:F10"/>
    <mergeCell ref="G10:H10"/>
  </mergeCells>
  <pageMargins left="0.70866141732283472" right="0.70866141732283472" top="0.74803149606299213" bottom="0.74803149606299213" header="0.31496062992125984" footer="0.31496062992125984"/>
  <pageSetup paperSize="9" scale="6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H23"/>
  <sheetViews>
    <sheetView workbookViewId="0">
      <selection activeCell="C25" sqref="C25"/>
    </sheetView>
  </sheetViews>
  <sheetFormatPr baseColWidth="10" defaultRowHeight="14.4" x14ac:dyDescent="0.3"/>
  <cols>
    <col min="1" max="1" width="14.44140625" customWidth="1"/>
    <col min="2" max="2" width="12.88671875" customWidth="1"/>
    <col min="3" max="3" width="15" customWidth="1"/>
    <col min="4" max="4" width="14.109375" customWidth="1"/>
    <col min="5" max="5" width="13.109375" customWidth="1"/>
    <col min="7" max="7" width="14.33203125" customWidth="1"/>
    <col min="8" max="8" width="17.33203125" customWidth="1"/>
  </cols>
  <sheetData>
    <row r="4" spans="1:8" ht="1.2" customHeight="1" thickBot="1" x14ac:dyDescent="0.35"/>
    <row r="5" spans="1:8" ht="22.8" customHeight="1" thickBot="1" x14ac:dyDescent="0.35">
      <c r="A5" s="222" t="s">
        <v>48</v>
      </c>
      <c r="B5" s="223"/>
      <c r="C5" s="223"/>
      <c r="D5" s="223"/>
      <c r="E5" s="223"/>
      <c r="F5" s="224" t="s">
        <v>77</v>
      </c>
      <c r="G5" s="225"/>
      <c r="H5" s="120">
        <v>2026</v>
      </c>
    </row>
    <row r="6" spans="1:8" ht="22.2" customHeight="1" x14ac:dyDescent="0.3">
      <c r="A6" s="211" t="s">
        <v>0</v>
      </c>
      <c r="B6" s="210"/>
      <c r="C6" s="211" t="s">
        <v>67</v>
      </c>
      <c r="D6" s="212"/>
      <c r="E6" s="213"/>
      <c r="F6" s="302" t="s">
        <v>1</v>
      </c>
      <c r="G6" s="105">
        <v>46000</v>
      </c>
      <c r="H6" s="106" t="s">
        <v>46</v>
      </c>
    </row>
    <row r="7" spans="1:8" x14ac:dyDescent="0.3">
      <c r="A7" s="284" t="s">
        <v>3</v>
      </c>
      <c r="B7" s="217"/>
      <c r="C7" s="218">
        <v>42258819</v>
      </c>
      <c r="D7" s="218"/>
      <c r="E7" s="219"/>
      <c r="F7" s="288"/>
      <c r="G7" s="103">
        <v>23000</v>
      </c>
      <c r="H7" s="102" t="s">
        <v>4</v>
      </c>
    </row>
    <row r="8" spans="1:8" x14ac:dyDescent="0.3">
      <c r="A8" s="273" t="s">
        <v>5</v>
      </c>
      <c r="B8" s="280"/>
      <c r="C8" s="273" t="s">
        <v>6</v>
      </c>
      <c r="D8" s="280"/>
      <c r="E8" s="273" t="s">
        <v>7</v>
      </c>
      <c r="F8" s="274"/>
      <c r="G8" s="289" t="s">
        <v>8</v>
      </c>
      <c r="H8" s="290"/>
    </row>
    <row r="9" spans="1:8" x14ac:dyDescent="0.3">
      <c r="A9" s="201">
        <f>+F20</f>
        <v>27</v>
      </c>
      <c r="B9" s="202"/>
      <c r="C9" s="226">
        <v>0</v>
      </c>
      <c r="D9" s="202"/>
      <c r="E9" s="205">
        <v>4600</v>
      </c>
      <c r="F9" s="301"/>
      <c r="G9" s="243">
        <f>+C9*E9+C11*E11</f>
        <v>0</v>
      </c>
      <c r="H9" s="244"/>
    </row>
    <row r="10" spans="1:8" x14ac:dyDescent="0.3">
      <c r="A10" s="273"/>
      <c r="B10" s="274"/>
      <c r="C10" s="273" t="s">
        <v>100</v>
      </c>
      <c r="D10" s="280"/>
      <c r="E10" s="273"/>
      <c r="F10" s="274"/>
      <c r="G10" s="191" t="s">
        <v>59</v>
      </c>
      <c r="H10" s="251"/>
    </row>
    <row r="11" spans="1:8" ht="16.2" thickBot="1" x14ac:dyDescent="0.35">
      <c r="A11" s="252"/>
      <c r="B11" s="253"/>
      <c r="C11" s="203">
        <f>+G20</f>
        <v>-3</v>
      </c>
      <c r="D11" s="204"/>
      <c r="E11" s="205"/>
      <c r="F11" s="282"/>
      <c r="G11" s="291">
        <f>+G9+H20</f>
        <v>138000</v>
      </c>
      <c r="H11" s="259"/>
    </row>
    <row r="12" spans="1:8" ht="29.4" thickBot="1" x14ac:dyDescent="0.35">
      <c r="A12" s="74" t="s">
        <v>10</v>
      </c>
      <c r="B12" s="75" t="s">
        <v>11</v>
      </c>
      <c r="C12" s="75" t="s">
        <v>12</v>
      </c>
      <c r="D12" s="75" t="s">
        <v>13</v>
      </c>
      <c r="E12" s="75" t="s">
        <v>14</v>
      </c>
      <c r="F12" s="76" t="s">
        <v>15</v>
      </c>
      <c r="G12" s="76" t="s">
        <v>16</v>
      </c>
      <c r="H12" s="77" t="s">
        <v>17</v>
      </c>
    </row>
    <row r="13" spans="1:8" x14ac:dyDescent="0.3">
      <c r="A13" s="83" t="s">
        <v>53</v>
      </c>
      <c r="B13" s="124" t="s">
        <v>24</v>
      </c>
      <c r="C13" s="71">
        <v>46219</v>
      </c>
      <c r="D13" s="84"/>
      <c r="E13" s="84"/>
      <c r="F13" s="73">
        <f t="shared" ref="F13:F19" si="0">(IF(D13&gt;E13,E13+1-D13,E13-D13))*24</f>
        <v>0</v>
      </c>
      <c r="G13" s="85"/>
      <c r="H13" s="86">
        <v>0</v>
      </c>
    </row>
    <row r="14" spans="1:8" x14ac:dyDescent="0.3">
      <c r="A14" s="78" t="s">
        <v>60</v>
      </c>
      <c r="B14" s="115" t="s">
        <v>25</v>
      </c>
      <c r="C14" s="71">
        <v>46220</v>
      </c>
      <c r="D14" s="68">
        <v>0.375</v>
      </c>
      <c r="E14" s="68">
        <v>0.75</v>
      </c>
      <c r="F14" s="73">
        <f t="shared" si="0"/>
        <v>9</v>
      </c>
      <c r="G14" s="72">
        <f>+F14-10</f>
        <v>-1</v>
      </c>
      <c r="H14" s="69">
        <v>46000</v>
      </c>
    </row>
    <row r="15" spans="1:8" x14ac:dyDescent="0.3">
      <c r="A15" s="78" t="s">
        <v>87</v>
      </c>
      <c r="B15" s="115" t="s">
        <v>55</v>
      </c>
      <c r="C15" s="71">
        <v>46221</v>
      </c>
      <c r="D15" s="68">
        <v>0.375</v>
      </c>
      <c r="E15" s="68">
        <v>0.75</v>
      </c>
      <c r="F15" s="73">
        <f t="shared" si="0"/>
        <v>9</v>
      </c>
      <c r="G15" s="72">
        <f>+F15-10</f>
        <v>-1</v>
      </c>
      <c r="H15" s="69">
        <v>46000</v>
      </c>
    </row>
    <row r="16" spans="1:8" x14ac:dyDescent="0.3">
      <c r="A16" s="83" t="s">
        <v>53</v>
      </c>
      <c r="B16" s="124" t="s">
        <v>19</v>
      </c>
      <c r="C16" s="71">
        <v>46222</v>
      </c>
      <c r="D16" s="84"/>
      <c r="E16" s="84"/>
      <c r="F16" s="73">
        <f t="shared" si="0"/>
        <v>0</v>
      </c>
      <c r="G16" s="85"/>
      <c r="H16" s="86">
        <v>0</v>
      </c>
    </row>
    <row r="17" spans="1:8" x14ac:dyDescent="0.3">
      <c r="A17" s="78" t="s">
        <v>87</v>
      </c>
      <c r="B17" s="115" t="s">
        <v>20</v>
      </c>
      <c r="C17" s="71">
        <v>46223</v>
      </c>
      <c r="D17" s="68">
        <v>0.375</v>
      </c>
      <c r="E17" s="68">
        <v>0.75</v>
      </c>
      <c r="F17" s="73">
        <f t="shared" si="0"/>
        <v>9</v>
      </c>
      <c r="G17" s="72">
        <f>+F17-10</f>
        <v>-1</v>
      </c>
      <c r="H17" s="69">
        <v>46000</v>
      </c>
    </row>
    <row r="18" spans="1:8" x14ac:dyDescent="0.3">
      <c r="A18" s="114" t="s">
        <v>64</v>
      </c>
      <c r="B18" s="124" t="s">
        <v>21</v>
      </c>
      <c r="C18" s="71">
        <v>46224</v>
      </c>
      <c r="D18" s="84"/>
      <c r="E18" s="84"/>
      <c r="F18" s="73">
        <f t="shared" si="0"/>
        <v>0</v>
      </c>
      <c r="G18" s="85"/>
      <c r="H18" s="86">
        <v>0</v>
      </c>
    </row>
    <row r="19" spans="1:8" x14ac:dyDescent="0.3">
      <c r="A19" s="83" t="s">
        <v>53</v>
      </c>
      <c r="B19" s="124" t="s">
        <v>56</v>
      </c>
      <c r="C19" s="71">
        <v>46225</v>
      </c>
      <c r="D19" s="128"/>
      <c r="E19" s="128"/>
      <c r="F19" s="73">
        <f t="shared" si="0"/>
        <v>0</v>
      </c>
      <c r="G19" s="85"/>
      <c r="H19" s="86">
        <v>0</v>
      </c>
    </row>
    <row r="20" spans="1:8" x14ac:dyDescent="0.3">
      <c r="A20" s="230"/>
      <c r="B20" s="230"/>
      <c r="C20" s="70"/>
      <c r="D20" s="95"/>
      <c r="E20" s="79"/>
      <c r="F20" s="80">
        <f>SUM(F13:F19)</f>
        <v>27</v>
      </c>
      <c r="G20" s="161">
        <f>SUM(G13:G19)</f>
        <v>-3</v>
      </c>
      <c r="H20" s="81">
        <f>SUM(H13:H19)</f>
        <v>138000</v>
      </c>
    </row>
    <row r="21" spans="1:8" x14ac:dyDescent="0.3">
      <c r="A21" s="267"/>
      <c r="B21" s="267"/>
      <c r="C21" s="96"/>
      <c r="D21" s="95"/>
      <c r="E21" s="268" t="s">
        <v>26</v>
      </c>
      <c r="F21" s="268"/>
      <c r="G21" s="268"/>
      <c r="H21" s="101"/>
    </row>
    <row r="22" spans="1:8" ht="18" customHeight="1" x14ac:dyDescent="0.3">
      <c r="A22" s="298" t="s">
        <v>27</v>
      </c>
      <c r="B22" s="177"/>
      <c r="C22" s="299"/>
      <c r="D22" s="299"/>
      <c r="E22" s="299"/>
      <c r="F22" s="299"/>
      <c r="G22" s="299"/>
      <c r="H22" s="299"/>
    </row>
    <row r="23" spans="1:8" ht="18" customHeight="1" x14ac:dyDescent="0.3">
      <c r="A23" s="298" t="s">
        <v>28</v>
      </c>
      <c r="B23" s="298"/>
      <c r="C23" s="299"/>
      <c r="D23" s="299"/>
      <c r="E23" s="299"/>
      <c r="F23" s="299"/>
      <c r="G23" s="299"/>
      <c r="H23" s="299"/>
    </row>
  </sheetData>
  <mergeCells count="29">
    <mergeCell ref="A5:E5"/>
    <mergeCell ref="F5:G5"/>
    <mergeCell ref="C10:D10"/>
    <mergeCell ref="C11:D11"/>
    <mergeCell ref="A6:B6"/>
    <mergeCell ref="C6:E6"/>
    <mergeCell ref="F6:F7"/>
    <mergeCell ref="A7:B7"/>
    <mergeCell ref="C7:E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E10:F10"/>
    <mergeCell ref="G10:H10"/>
    <mergeCell ref="A11:B11"/>
    <mergeCell ref="E11:F11"/>
    <mergeCell ref="G11:H11"/>
    <mergeCell ref="A20:B20"/>
    <mergeCell ref="A21:B21"/>
    <mergeCell ref="E21:G21"/>
    <mergeCell ref="A22:B22"/>
    <mergeCell ref="C22:H23"/>
    <mergeCell ref="A23:B23"/>
  </mergeCells>
  <pageMargins left="0.70866141732283472" right="0.70866141732283472" top="0.74803149606299213" bottom="0.74803149606299213" header="0.31496062992125984" footer="0.31496062992125984"/>
  <pageSetup paperSize="9" scale="7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22"/>
  <sheetViews>
    <sheetView workbookViewId="0">
      <selection activeCell="F4" sqref="F4:H4"/>
    </sheetView>
  </sheetViews>
  <sheetFormatPr baseColWidth="10" defaultRowHeight="14.4" x14ac:dyDescent="0.3"/>
  <cols>
    <col min="1" max="1" width="15.5546875" customWidth="1"/>
    <col min="3" max="3" width="15" customWidth="1"/>
    <col min="4" max="4" width="14.21875" customWidth="1"/>
    <col min="5" max="5" width="14.5546875" customWidth="1"/>
    <col min="7" max="7" width="12.6640625" customWidth="1"/>
    <col min="8" max="8" width="14.21875" customWidth="1"/>
  </cols>
  <sheetData>
    <row r="3" spans="1:8" ht="15" thickBot="1" x14ac:dyDescent="0.35"/>
    <row r="4" spans="1:8" ht="21.6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ht="19.2" customHeight="1" x14ac:dyDescent="0.3">
      <c r="A5" s="211" t="s">
        <v>0</v>
      </c>
      <c r="B5" s="210"/>
      <c r="C5" s="211" t="s">
        <v>71</v>
      </c>
      <c r="D5" s="212"/>
      <c r="E5" s="213"/>
      <c r="F5" s="302" t="s">
        <v>1</v>
      </c>
      <c r="G5" s="105">
        <v>46000</v>
      </c>
      <c r="H5" s="106" t="s">
        <v>46</v>
      </c>
    </row>
    <row r="6" spans="1:8" x14ac:dyDescent="0.3">
      <c r="A6" s="284" t="s">
        <v>3</v>
      </c>
      <c r="B6" s="217"/>
      <c r="C6" s="218">
        <v>37315657</v>
      </c>
      <c r="D6" s="218"/>
      <c r="E6" s="219"/>
      <c r="F6" s="288"/>
      <c r="G6" s="103">
        <v>23000</v>
      </c>
      <c r="H6" s="102" t="s">
        <v>4</v>
      </c>
    </row>
    <row r="7" spans="1:8" x14ac:dyDescent="0.3">
      <c r="A7" s="273" t="s">
        <v>5</v>
      </c>
      <c r="B7" s="280"/>
      <c r="C7" s="273" t="s">
        <v>6</v>
      </c>
      <c r="D7" s="280"/>
      <c r="E7" s="273" t="s">
        <v>7</v>
      </c>
      <c r="F7" s="274"/>
      <c r="G7" s="275" t="s">
        <v>8</v>
      </c>
      <c r="H7" s="280"/>
    </row>
    <row r="8" spans="1:8" x14ac:dyDescent="0.3">
      <c r="A8" s="201">
        <f>+F19</f>
        <v>18.25</v>
      </c>
      <c r="B8" s="202"/>
      <c r="C8" s="226">
        <v>0</v>
      </c>
      <c r="D8" s="202"/>
      <c r="E8" s="205">
        <v>4600</v>
      </c>
      <c r="F8" s="282"/>
      <c r="G8" s="243">
        <f>+C8*E8+C10*E10</f>
        <v>0</v>
      </c>
      <c r="H8" s="244"/>
    </row>
    <row r="9" spans="1:8" x14ac:dyDescent="0.3">
      <c r="A9" s="273"/>
      <c r="B9" s="274"/>
      <c r="C9" s="273" t="s">
        <v>100</v>
      </c>
      <c r="D9" s="280"/>
      <c r="E9" s="306"/>
      <c r="F9" s="307"/>
      <c r="G9" s="191" t="s">
        <v>59</v>
      </c>
      <c r="H9" s="251"/>
    </row>
    <row r="10" spans="1:8" ht="16.2" thickBot="1" x14ac:dyDescent="0.35">
      <c r="A10" s="252"/>
      <c r="B10" s="253"/>
      <c r="C10" s="203">
        <f>+G19</f>
        <v>-1.75</v>
      </c>
      <c r="D10" s="204"/>
      <c r="E10" s="256"/>
      <c r="F10" s="257"/>
      <c r="G10" s="308">
        <f>+G8+E10+H19+H20</f>
        <v>92000</v>
      </c>
      <c r="H10" s="279"/>
    </row>
    <row r="11" spans="1:8" ht="29.4" thickBot="1" x14ac:dyDescent="0.35">
      <c r="A11" s="74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6" t="s">
        <v>15</v>
      </c>
      <c r="G11" s="76" t="s">
        <v>16</v>
      </c>
      <c r="H11" s="77" t="s">
        <v>17</v>
      </c>
    </row>
    <row r="12" spans="1:8" x14ac:dyDescent="0.3">
      <c r="A12" s="83" t="s">
        <v>53</v>
      </c>
      <c r="B12" s="124" t="s">
        <v>24</v>
      </c>
      <c r="C12" s="71">
        <v>46219</v>
      </c>
      <c r="D12" s="84"/>
      <c r="E12" s="84"/>
      <c r="F12" s="73">
        <f t="shared" ref="F12:F18" si="0">(IF(D12&gt;E12,E12+1-D12,E12-D12))*24</f>
        <v>0</v>
      </c>
      <c r="G12" s="85"/>
      <c r="H12" s="86">
        <v>0</v>
      </c>
    </row>
    <row r="13" spans="1:8" x14ac:dyDescent="0.3">
      <c r="A13" s="83" t="s">
        <v>53</v>
      </c>
      <c r="B13" s="124" t="s">
        <v>25</v>
      </c>
      <c r="C13" s="71">
        <v>46220</v>
      </c>
      <c r="D13" s="84"/>
      <c r="E13" s="84"/>
      <c r="F13" s="73">
        <f t="shared" si="0"/>
        <v>0</v>
      </c>
      <c r="G13" s="85"/>
      <c r="H13" s="86">
        <v>0</v>
      </c>
    </row>
    <row r="14" spans="1:8" x14ac:dyDescent="0.3">
      <c r="A14" s="83" t="s">
        <v>53</v>
      </c>
      <c r="B14" s="124" t="s">
        <v>55</v>
      </c>
      <c r="C14" s="71">
        <v>46221</v>
      </c>
      <c r="D14" s="84"/>
      <c r="E14" s="84"/>
      <c r="F14" s="73">
        <f t="shared" si="0"/>
        <v>0</v>
      </c>
      <c r="G14" s="85"/>
      <c r="H14" s="86">
        <v>0</v>
      </c>
    </row>
    <row r="15" spans="1:8" x14ac:dyDescent="0.3">
      <c r="A15" s="83" t="s">
        <v>53</v>
      </c>
      <c r="B15" s="124" t="s">
        <v>19</v>
      </c>
      <c r="C15" s="71">
        <v>46222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78" t="s">
        <v>87</v>
      </c>
      <c r="B16" s="115" t="s">
        <v>20</v>
      </c>
      <c r="C16" s="71">
        <v>46223</v>
      </c>
      <c r="D16" s="68">
        <v>0.375</v>
      </c>
      <c r="E16" s="68">
        <v>0.75</v>
      </c>
      <c r="F16" s="73">
        <f t="shared" si="0"/>
        <v>9</v>
      </c>
      <c r="G16" s="72">
        <f>+F16-10</f>
        <v>-1</v>
      </c>
      <c r="H16" s="69">
        <v>46000</v>
      </c>
    </row>
    <row r="17" spans="1:8" x14ac:dyDescent="0.3">
      <c r="A17" s="78" t="s">
        <v>87</v>
      </c>
      <c r="B17" s="115" t="s">
        <v>21</v>
      </c>
      <c r="C17" s="71">
        <v>46224</v>
      </c>
      <c r="D17" s="68">
        <v>0.38541666666666669</v>
      </c>
      <c r="E17" s="68">
        <v>0.77083333333333337</v>
      </c>
      <c r="F17" s="73">
        <f t="shared" si="0"/>
        <v>9.25</v>
      </c>
      <c r="G17" s="72">
        <f>+F17-10</f>
        <v>-0.75</v>
      </c>
      <c r="H17" s="69">
        <v>46000</v>
      </c>
    </row>
    <row r="18" spans="1:8" x14ac:dyDescent="0.3">
      <c r="A18" s="83" t="s">
        <v>53</v>
      </c>
      <c r="B18" s="124" t="s">
        <v>56</v>
      </c>
      <c r="C18" s="71">
        <v>46225</v>
      </c>
      <c r="D18" s="128"/>
      <c r="E18" s="128"/>
      <c r="F18" s="73">
        <f t="shared" si="0"/>
        <v>0</v>
      </c>
      <c r="G18" s="85"/>
      <c r="H18" s="86">
        <v>0</v>
      </c>
    </row>
    <row r="19" spans="1:8" x14ac:dyDescent="0.3">
      <c r="A19" s="230"/>
      <c r="B19" s="230"/>
      <c r="C19" s="70"/>
      <c r="D19" s="95"/>
      <c r="E19" s="79"/>
      <c r="F19" s="80">
        <f>SUM(F12:F18)</f>
        <v>18.25</v>
      </c>
      <c r="G19" s="161">
        <f>SUM(G12:G18)</f>
        <v>-1.75</v>
      </c>
      <c r="H19" s="81">
        <f>SUM(H12:H18)</f>
        <v>92000</v>
      </c>
    </row>
    <row r="20" spans="1:8" x14ac:dyDescent="0.3">
      <c r="A20" s="305"/>
      <c r="B20" s="305"/>
      <c r="C20" s="96"/>
      <c r="D20" s="95"/>
      <c r="E20" s="234" t="s">
        <v>26</v>
      </c>
      <c r="F20" s="235"/>
      <c r="G20" s="236"/>
      <c r="H20" s="101"/>
    </row>
    <row r="21" spans="1:8" x14ac:dyDescent="0.3">
      <c r="A21" s="177" t="s">
        <v>27</v>
      </c>
      <c r="B21" s="178"/>
      <c r="C21" s="179"/>
      <c r="D21" s="180"/>
      <c r="E21" s="180"/>
      <c r="F21" s="180"/>
      <c r="G21" s="180"/>
      <c r="H21" s="181"/>
    </row>
    <row r="22" spans="1:8" ht="21.6" customHeight="1" x14ac:dyDescent="0.3">
      <c r="A22" s="177" t="s">
        <v>28</v>
      </c>
      <c r="B22" s="178"/>
      <c r="C22" s="182"/>
      <c r="D22" s="183"/>
      <c r="E22" s="183"/>
      <c r="F22" s="183"/>
      <c r="G22" s="183"/>
      <c r="H22" s="184"/>
    </row>
  </sheetData>
  <mergeCells count="29">
    <mergeCell ref="C9:D9"/>
    <mergeCell ref="C10:D10"/>
    <mergeCell ref="A7:B7"/>
    <mergeCell ref="C7:D7"/>
    <mergeCell ref="E7:F7"/>
    <mergeCell ref="G7:H7"/>
    <mergeCell ref="A8:B8"/>
    <mergeCell ref="C8:D8"/>
    <mergeCell ref="E8:F8"/>
    <mergeCell ref="G8:H8"/>
    <mergeCell ref="A4:E4"/>
    <mergeCell ref="F4:G4"/>
    <mergeCell ref="A5:B5"/>
    <mergeCell ref="C5:E5"/>
    <mergeCell ref="F5:F6"/>
    <mergeCell ref="A6:B6"/>
    <mergeCell ref="C6:E6"/>
    <mergeCell ref="A19:B19"/>
    <mergeCell ref="A20:B20"/>
    <mergeCell ref="E20:G20"/>
    <mergeCell ref="A21:B21"/>
    <mergeCell ref="C21:H22"/>
    <mergeCell ref="A22:B22"/>
    <mergeCell ref="A9:B9"/>
    <mergeCell ref="E9:F9"/>
    <mergeCell ref="G9:H9"/>
    <mergeCell ref="A10:B10"/>
    <mergeCell ref="E10:F10"/>
    <mergeCell ref="G10:H10"/>
  </mergeCells>
  <pageMargins left="0.70866141732283472" right="0.70866141732283472" top="0.74803149606299213" bottom="0.74803149606299213" header="0.31496062992125984" footer="0.31496062992125984"/>
  <pageSetup paperSize="9" scale="7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22"/>
  <sheetViews>
    <sheetView workbookViewId="0">
      <selection activeCell="A4" sqref="A4:H4"/>
    </sheetView>
  </sheetViews>
  <sheetFormatPr baseColWidth="10" defaultRowHeight="14.4" x14ac:dyDescent="0.3"/>
  <cols>
    <col min="1" max="1" width="15.5546875" customWidth="1"/>
    <col min="2" max="2" width="13.77734375" customWidth="1"/>
    <col min="3" max="4" width="15" customWidth="1"/>
    <col min="5" max="5" width="15.44140625" customWidth="1"/>
    <col min="7" max="7" width="12.6640625" customWidth="1"/>
    <col min="8" max="8" width="17.88671875" customWidth="1"/>
  </cols>
  <sheetData>
    <row r="3" spans="1:8" ht="15" thickBot="1" x14ac:dyDescent="0.35"/>
    <row r="4" spans="1:8" ht="28.2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ht="22.8" customHeight="1" x14ac:dyDescent="0.3">
      <c r="A5" s="211" t="s">
        <v>0</v>
      </c>
      <c r="B5" s="210"/>
      <c r="C5" s="211" t="s">
        <v>72</v>
      </c>
      <c r="D5" s="212"/>
      <c r="E5" s="213"/>
      <c r="F5" s="302" t="s">
        <v>1</v>
      </c>
      <c r="G5" s="105">
        <v>46000</v>
      </c>
      <c r="H5" s="106" t="s">
        <v>46</v>
      </c>
    </row>
    <row r="6" spans="1:8" ht="22.2" customHeight="1" x14ac:dyDescent="0.3">
      <c r="A6" s="284" t="s">
        <v>3</v>
      </c>
      <c r="B6" s="217"/>
      <c r="C6" s="218">
        <v>44687115</v>
      </c>
      <c r="D6" s="218"/>
      <c r="E6" s="219"/>
      <c r="F6" s="288"/>
      <c r="G6" s="103">
        <v>23000</v>
      </c>
      <c r="H6" s="102" t="s">
        <v>4</v>
      </c>
    </row>
    <row r="7" spans="1:8" x14ac:dyDescent="0.3">
      <c r="A7" s="273" t="s">
        <v>5</v>
      </c>
      <c r="B7" s="280"/>
      <c r="C7" s="273" t="s">
        <v>6</v>
      </c>
      <c r="D7" s="280"/>
      <c r="E7" s="273" t="s">
        <v>7</v>
      </c>
      <c r="F7" s="274"/>
      <c r="G7" s="289" t="s">
        <v>8</v>
      </c>
      <c r="H7" s="290"/>
    </row>
    <row r="8" spans="1:8" x14ac:dyDescent="0.3">
      <c r="A8" s="201">
        <f>+F19</f>
        <v>37.916666666666671</v>
      </c>
      <c r="B8" s="202"/>
      <c r="C8" s="226">
        <v>0</v>
      </c>
      <c r="D8" s="202"/>
      <c r="E8" s="205">
        <v>4600</v>
      </c>
      <c r="F8" s="301"/>
      <c r="G8" s="243">
        <f>+C8*E8+C10*E10</f>
        <v>0</v>
      </c>
      <c r="H8" s="244"/>
    </row>
    <row r="9" spans="1:8" x14ac:dyDescent="0.3">
      <c r="A9" s="273"/>
      <c r="B9" s="274"/>
      <c r="C9" s="273" t="s">
        <v>100</v>
      </c>
      <c r="D9" s="280"/>
      <c r="E9" s="273"/>
      <c r="F9" s="274"/>
      <c r="G9" s="191" t="s">
        <v>59</v>
      </c>
      <c r="H9" s="251"/>
    </row>
    <row r="10" spans="1:8" ht="16.2" thickBot="1" x14ac:dyDescent="0.35">
      <c r="A10" s="252"/>
      <c r="B10" s="253"/>
      <c r="C10" s="203">
        <f>+G19</f>
        <v>-2.0833333333333321</v>
      </c>
      <c r="D10" s="204"/>
      <c r="E10" s="205"/>
      <c r="F10" s="282"/>
      <c r="G10" s="278">
        <f>+G8+E10+H19+H20</f>
        <v>184000</v>
      </c>
      <c r="H10" s="279"/>
    </row>
    <row r="11" spans="1:8" ht="29.4" thickBot="1" x14ac:dyDescent="0.35">
      <c r="A11" s="74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6" t="s">
        <v>15</v>
      </c>
      <c r="G11" s="76" t="s">
        <v>16</v>
      </c>
      <c r="H11" s="77" t="s">
        <v>17</v>
      </c>
    </row>
    <row r="12" spans="1:8" x14ac:dyDescent="0.3">
      <c r="A12" s="78" t="s">
        <v>60</v>
      </c>
      <c r="B12" s="115" t="s">
        <v>24</v>
      </c>
      <c r="C12" s="71">
        <v>46219</v>
      </c>
      <c r="D12" s="68">
        <v>0.375</v>
      </c>
      <c r="E12" s="68">
        <v>0.76736111111111116</v>
      </c>
      <c r="F12" s="73">
        <f t="shared" ref="F12:F18" si="0">(IF(D12&gt;E12,E12+1-D12,E12-D12))*24</f>
        <v>9.4166666666666679</v>
      </c>
      <c r="G12" s="72">
        <f>+F12-10</f>
        <v>-0.58333333333333215</v>
      </c>
      <c r="H12" s="69">
        <v>46000</v>
      </c>
    </row>
    <row r="13" spans="1:8" x14ac:dyDescent="0.3">
      <c r="A13" s="78" t="s">
        <v>74</v>
      </c>
      <c r="B13" s="115" t="s">
        <v>25</v>
      </c>
      <c r="C13" s="71">
        <v>46220</v>
      </c>
      <c r="D13" s="68">
        <v>0.375</v>
      </c>
      <c r="E13" s="68">
        <v>0.79166666666666663</v>
      </c>
      <c r="F13" s="73">
        <f t="shared" si="0"/>
        <v>10</v>
      </c>
      <c r="G13" s="72">
        <f>+F13-10</f>
        <v>0</v>
      </c>
      <c r="H13" s="69">
        <v>46000</v>
      </c>
    </row>
    <row r="14" spans="1:8" x14ac:dyDescent="0.3">
      <c r="A14" s="114" t="s">
        <v>53</v>
      </c>
      <c r="B14" s="124" t="s">
        <v>55</v>
      </c>
      <c r="C14" s="71">
        <v>46221</v>
      </c>
      <c r="D14" s="84"/>
      <c r="E14" s="84"/>
      <c r="F14" s="73">
        <f t="shared" si="0"/>
        <v>0</v>
      </c>
      <c r="G14" s="85"/>
      <c r="H14" s="86">
        <v>0</v>
      </c>
    </row>
    <row r="15" spans="1:8" x14ac:dyDescent="0.3">
      <c r="A15" s="114" t="s">
        <v>53</v>
      </c>
      <c r="B15" s="124" t="s">
        <v>19</v>
      </c>
      <c r="C15" s="71">
        <v>46222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78" t="s">
        <v>87</v>
      </c>
      <c r="B16" s="115" t="s">
        <v>20</v>
      </c>
      <c r="C16" s="71">
        <v>46223</v>
      </c>
      <c r="D16" s="68">
        <v>0.375</v>
      </c>
      <c r="E16" s="68">
        <v>0.75</v>
      </c>
      <c r="F16" s="73">
        <f t="shared" si="0"/>
        <v>9</v>
      </c>
      <c r="G16" s="72">
        <f>+F16-10</f>
        <v>-1</v>
      </c>
      <c r="H16" s="69">
        <v>46000</v>
      </c>
    </row>
    <row r="17" spans="1:8" x14ac:dyDescent="0.3">
      <c r="A17" s="78" t="s">
        <v>87</v>
      </c>
      <c r="B17" s="115" t="s">
        <v>21</v>
      </c>
      <c r="C17" s="71">
        <v>46224</v>
      </c>
      <c r="D17" s="68">
        <v>0.375</v>
      </c>
      <c r="E17" s="68">
        <v>0.77083333333333337</v>
      </c>
      <c r="F17" s="73">
        <f t="shared" si="0"/>
        <v>9.5</v>
      </c>
      <c r="G17" s="72">
        <f>+F17-10</f>
        <v>-0.5</v>
      </c>
      <c r="H17" s="69">
        <v>46000</v>
      </c>
    </row>
    <row r="18" spans="1:8" x14ac:dyDescent="0.3">
      <c r="A18" s="114" t="s">
        <v>53</v>
      </c>
      <c r="B18" s="124" t="s">
        <v>56</v>
      </c>
      <c r="C18" s="71">
        <v>46225</v>
      </c>
      <c r="D18" s="84"/>
      <c r="E18" s="84"/>
      <c r="F18" s="73">
        <f t="shared" si="0"/>
        <v>0</v>
      </c>
      <c r="G18" s="85">
        <v>0</v>
      </c>
      <c r="H18" s="86">
        <v>0</v>
      </c>
    </row>
    <row r="19" spans="1:8" x14ac:dyDescent="0.3">
      <c r="A19" s="230"/>
      <c r="B19" s="230"/>
      <c r="C19" s="70"/>
      <c r="D19" s="95"/>
      <c r="E19" s="79"/>
      <c r="F19" s="80">
        <f>SUM(F12:F18)</f>
        <v>37.916666666666671</v>
      </c>
      <c r="G19" s="161">
        <f>SUM(G12:G18)</f>
        <v>-2.0833333333333321</v>
      </c>
      <c r="H19" s="81">
        <f>SUM(H12:H18)</f>
        <v>184000</v>
      </c>
    </row>
    <row r="20" spans="1:8" x14ac:dyDescent="0.3">
      <c r="A20" s="267"/>
      <c r="B20" s="267"/>
      <c r="C20" s="96"/>
      <c r="D20" s="95"/>
      <c r="E20" s="268" t="s">
        <v>26</v>
      </c>
      <c r="F20" s="268"/>
      <c r="G20" s="268"/>
      <c r="H20" s="101"/>
    </row>
    <row r="21" spans="1:8" ht="16.8" customHeight="1" x14ac:dyDescent="0.3">
      <c r="A21" s="298" t="s">
        <v>27</v>
      </c>
      <c r="B21" s="177"/>
      <c r="C21" s="299"/>
      <c r="D21" s="299"/>
      <c r="E21" s="299"/>
      <c r="F21" s="299"/>
      <c r="G21" s="299"/>
      <c r="H21" s="299"/>
    </row>
    <row r="22" spans="1:8" ht="20.399999999999999" customHeight="1" x14ac:dyDescent="0.3">
      <c r="A22" s="298" t="s">
        <v>28</v>
      </c>
      <c r="B22" s="298"/>
      <c r="C22" s="299"/>
      <c r="D22" s="299"/>
      <c r="E22" s="299"/>
      <c r="F22" s="299"/>
      <c r="G22" s="299"/>
      <c r="H22" s="299"/>
    </row>
  </sheetData>
  <mergeCells count="29">
    <mergeCell ref="A4:E4"/>
    <mergeCell ref="F4:G4"/>
    <mergeCell ref="C9:D9"/>
    <mergeCell ref="A5:B5"/>
    <mergeCell ref="C5:E5"/>
    <mergeCell ref="F5:F6"/>
    <mergeCell ref="A6:B6"/>
    <mergeCell ref="C6:E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E9:F9"/>
    <mergeCell ref="G9:H9"/>
    <mergeCell ref="A10:B10"/>
    <mergeCell ref="C10:D10"/>
    <mergeCell ref="E10:F10"/>
    <mergeCell ref="G10:H10"/>
    <mergeCell ref="A19:B19"/>
    <mergeCell ref="A20:B20"/>
    <mergeCell ref="E20:G20"/>
    <mergeCell ref="A21:B21"/>
    <mergeCell ref="C21:H22"/>
    <mergeCell ref="A22:B22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2"/>
  <sheetViews>
    <sheetView workbookViewId="0">
      <selection activeCell="F26" sqref="F26"/>
    </sheetView>
  </sheetViews>
  <sheetFormatPr baseColWidth="10" defaultRowHeight="14.4" x14ac:dyDescent="0.3"/>
  <cols>
    <col min="1" max="1" width="18.77734375" customWidth="1"/>
    <col min="2" max="2" width="15.21875" customWidth="1"/>
    <col min="3" max="3" width="14.77734375" customWidth="1"/>
    <col min="4" max="4" width="15.21875" customWidth="1"/>
    <col min="5" max="5" width="13.33203125" customWidth="1"/>
    <col min="6" max="6" width="13.109375" customWidth="1"/>
    <col min="7" max="7" width="13.44140625" customWidth="1"/>
    <col min="8" max="8" width="17.5546875" customWidth="1"/>
  </cols>
  <sheetData>
    <row r="3" spans="1:8" ht="15" thickBot="1" x14ac:dyDescent="0.35"/>
    <row r="4" spans="1:8" ht="25.8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ht="19.2" customHeight="1" x14ac:dyDescent="0.3">
      <c r="A5" s="211" t="s">
        <v>0</v>
      </c>
      <c r="B5" s="210"/>
      <c r="C5" s="211" t="s">
        <v>89</v>
      </c>
      <c r="D5" s="212"/>
      <c r="E5" s="213"/>
      <c r="F5" s="302" t="s">
        <v>1</v>
      </c>
      <c r="G5" s="105">
        <v>46000</v>
      </c>
      <c r="H5" s="106" t="s">
        <v>46</v>
      </c>
    </row>
    <row r="6" spans="1:8" ht="23.4" customHeight="1" x14ac:dyDescent="0.3">
      <c r="A6" s="284" t="s">
        <v>3</v>
      </c>
      <c r="B6" s="217"/>
      <c r="C6" s="218">
        <v>33535145</v>
      </c>
      <c r="D6" s="218"/>
      <c r="E6" s="219"/>
      <c r="F6" s="288"/>
      <c r="G6" s="103">
        <v>23000</v>
      </c>
      <c r="H6" s="102" t="s">
        <v>4</v>
      </c>
    </row>
    <row r="7" spans="1:8" x14ac:dyDescent="0.3">
      <c r="A7" s="273" t="s">
        <v>5</v>
      </c>
      <c r="B7" s="280"/>
      <c r="C7" s="273" t="s">
        <v>6</v>
      </c>
      <c r="D7" s="280"/>
      <c r="E7" s="273" t="s">
        <v>7</v>
      </c>
      <c r="F7" s="274"/>
      <c r="G7" s="289" t="s">
        <v>8</v>
      </c>
      <c r="H7" s="290"/>
    </row>
    <row r="8" spans="1:8" x14ac:dyDescent="0.3">
      <c r="A8" s="201">
        <f>+F19</f>
        <v>18.25</v>
      </c>
      <c r="B8" s="202"/>
      <c r="C8" s="226"/>
      <c r="D8" s="202"/>
      <c r="E8" s="205">
        <v>4600</v>
      </c>
      <c r="F8" s="301"/>
      <c r="G8" s="243">
        <f>+C8*E8+C10*E10</f>
        <v>0</v>
      </c>
      <c r="H8" s="244"/>
    </row>
    <row r="9" spans="1:8" x14ac:dyDescent="0.3">
      <c r="A9" s="273"/>
      <c r="B9" s="274"/>
      <c r="C9" s="273" t="s">
        <v>100</v>
      </c>
      <c r="D9" s="280"/>
      <c r="E9" s="273"/>
      <c r="F9" s="274"/>
      <c r="G9" s="191" t="s">
        <v>59</v>
      </c>
      <c r="H9" s="251"/>
    </row>
    <row r="10" spans="1:8" ht="16.2" thickBot="1" x14ac:dyDescent="0.35">
      <c r="A10" s="252"/>
      <c r="B10" s="253"/>
      <c r="C10" s="203">
        <f>+G19</f>
        <v>-1.75</v>
      </c>
      <c r="D10" s="204"/>
      <c r="E10" s="205"/>
      <c r="F10" s="282"/>
      <c r="G10" s="278">
        <f>+H19+G8</f>
        <v>92000</v>
      </c>
      <c r="H10" s="279"/>
    </row>
    <row r="11" spans="1:8" ht="29.4" thickBot="1" x14ac:dyDescent="0.35">
      <c r="A11" s="74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6" t="s">
        <v>15</v>
      </c>
      <c r="G11" s="76" t="s">
        <v>16</v>
      </c>
      <c r="H11" s="77" t="s">
        <v>17</v>
      </c>
    </row>
    <row r="12" spans="1:8" x14ac:dyDescent="0.3">
      <c r="A12" s="83" t="s">
        <v>53</v>
      </c>
      <c r="B12" s="124" t="s">
        <v>24</v>
      </c>
      <c r="C12" s="71">
        <v>46219</v>
      </c>
      <c r="D12" s="68"/>
      <c r="E12" s="68"/>
      <c r="F12" s="73">
        <f t="shared" ref="F12:F18" si="0">(IF(D12&gt;E12,E12+1-D12,E12-D12))*24</f>
        <v>0</v>
      </c>
      <c r="G12" s="72"/>
      <c r="H12" s="69">
        <v>0</v>
      </c>
    </row>
    <row r="13" spans="1:8" x14ac:dyDescent="0.3">
      <c r="A13" s="83" t="s">
        <v>53</v>
      </c>
      <c r="B13" s="124" t="s">
        <v>25</v>
      </c>
      <c r="C13" s="71">
        <v>46220</v>
      </c>
      <c r="D13" s="68"/>
      <c r="E13" s="68"/>
      <c r="F13" s="73">
        <f t="shared" si="0"/>
        <v>0</v>
      </c>
      <c r="G13" s="72"/>
      <c r="H13" s="69">
        <v>0</v>
      </c>
    </row>
    <row r="14" spans="1:8" x14ac:dyDescent="0.3">
      <c r="A14" s="83" t="s">
        <v>53</v>
      </c>
      <c r="B14" s="124" t="s">
        <v>55</v>
      </c>
      <c r="C14" s="71">
        <v>46221</v>
      </c>
      <c r="D14" s="84"/>
      <c r="E14" s="84"/>
      <c r="F14" s="73">
        <f t="shared" si="0"/>
        <v>0</v>
      </c>
      <c r="G14" s="85"/>
      <c r="H14" s="86">
        <v>0</v>
      </c>
    </row>
    <row r="15" spans="1:8" x14ac:dyDescent="0.3">
      <c r="A15" s="83" t="s">
        <v>53</v>
      </c>
      <c r="B15" s="124" t="s">
        <v>19</v>
      </c>
      <c r="C15" s="71">
        <v>46222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78" t="s">
        <v>87</v>
      </c>
      <c r="B16" s="115" t="s">
        <v>20</v>
      </c>
      <c r="C16" s="71">
        <v>46223</v>
      </c>
      <c r="D16" s="68">
        <v>0.375</v>
      </c>
      <c r="E16" s="68">
        <v>0.75</v>
      </c>
      <c r="F16" s="73">
        <f t="shared" si="0"/>
        <v>9</v>
      </c>
      <c r="G16" s="72">
        <f>+F16-10</f>
        <v>-1</v>
      </c>
      <c r="H16" s="69">
        <v>46000</v>
      </c>
    </row>
    <row r="17" spans="1:8" x14ac:dyDescent="0.3">
      <c r="A17" s="78" t="s">
        <v>87</v>
      </c>
      <c r="B17" s="115" t="s">
        <v>21</v>
      </c>
      <c r="C17" s="71">
        <v>46224</v>
      </c>
      <c r="D17" s="68">
        <v>0.38541666666666669</v>
      </c>
      <c r="E17" s="68">
        <v>0.77083333333333337</v>
      </c>
      <c r="F17" s="73">
        <f t="shared" si="0"/>
        <v>9.25</v>
      </c>
      <c r="G17" s="72">
        <f>+F17-10</f>
        <v>-0.75</v>
      </c>
      <c r="H17" s="69">
        <v>46000</v>
      </c>
    </row>
    <row r="18" spans="1:8" x14ac:dyDescent="0.3">
      <c r="A18" s="114" t="s">
        <v>53</v>
      </c>
      <c r="B18" s="124" t="s">
        <v>56</v>
      </c>
      <c r="C18" s="71">
        <v>46225</v>
      </c>
      <c r="D18" s="84"/>
      <c r="E18" s="84"/>
      <c r="F18" s="73">
        <f t="shared" si="0"/>
        <v>0</v>
      </c>
      <c r="G18" s="85"/>
      <c r="H18" s="86">
        <v>0</v>
      </c>
    </row>
    <row r="19" spans="1:8" x14ac:dyDescent="0.3">
      <c r="A19" s="230"/>
      <c r="B19" s="230"/>
      <c r="C19" s="70"/>
      <c r="D19" s="95"/>
      <c r="E19" s="79"/>
      <c r="F19" s="80">
        <f>SUM(F12:F18)</f>
        <v>18.25</v>
      </c>
      <c r="G19" s="161">
        <f>SUM(G12:G18)</f>
        <v>-1.75</v>
      </c>
      <c r="H19" s="81">
        <f>SUM(H12:H18)</f>
        <v>92000</v>
      </c>
    </row>
    <row r="20" spans="1:8" ht="22.2" customHeight="1" x14ac:dyDescent="0.3">
      <c r="A20" s="267"/>
      <c r="B20" s="267"/>
      <c r="C20" s="96"/>
      <c r="D20" s="95"/>
      <c r="E20" s="268" t="s">
        <v>26</v>
      </c>
      <c r="F20" s="268"/>
      <c r="G20" s="268"/>
      <c r="H20" s="101"/>
    </row>
    <row r="21" spans="1:8" ht="17.399999999999999" customHeight="1" x14ac:dyDescent="0.3">
      <c r="A21" s="298" t="s">
        <v>27</v>
      </c>
      <c r="B21" s="177"/>
      <c r="C21" s="299"/>
      <c r="D21" s="299"/>
      <c r="E21" s="299"/>
      <c r="F21" s="299"/>
      <c r="G21" s="299"/>
      <c r="H21" s="299"/>
    </row>
    <row r="22" spans="1:8" ht="19.2" customHeight="1" x14ac:dyDescent="0.3">
      <c r="A22" s="298" t="s">
        <v>28</v>
      </c>
      <c r="B22" s="298"/>
      <c r="C22" s="299"/>
      <c r="D22" s="299"/>
      <c r="E22" s="299"/>
      <c r="F22" s="299"/>
      <c r="G22" s="299"/>
      <c r="H22" s="299"/>
    </row>
  </sheetData>
  <mergeCells count="29">
    <mergeCell ref="A19:B19"/>
    <mergeCell ref="A20:B20"/>
    <mergeCell ref="E20:G20"/>
    <mergeCell ref="A21:B21"/>
    <mergeCell ref="C21:H22"/>
    <mergeCell ref="A22:B22"/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4:E4"/>
    <mergeCell ref="F4:G4"/>
    <mergeCell ref="A5:B5"/>
    <mergeCell ref="C5:E5"/>
    <mergeCell ref="F5:F6"/>
    <mergeCell ref="A6:B6"/>
    <mergeCell ref="C6:E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H22"/>
  <sheetViews>
    <sheetView workbookViewId="0">
      <selection activeCell="A4" sqref="A4:E4"/>
    </sheetView>
  </sheetViews>
  <sheetFormatPr baseColWidth="10" defaultRowHeight="14.4" x14ac:dyDescent="0.3"/>
  <cols>
    <col min="1" max="1" width="17.21875" customWidth="1"/>
    <col min="2" max="2" width="14.88671875" customWidth="1"/>
    <col min="3" max="3" width="16.44140625" customWidth="1"/>
    <col min="4" max="4" width="13.77734375" customWidth="1"/>
    <col min="5" max="5" width="13.5546875" customWidth="1"/>
    <col min="7" max="7" width="14" customWidth="1"/>
    <col min="8" max="8" width="16" customWidth="1"/>
    <col min="10" max="10" width="12.77734375" bestFit="1" customWidth="1"/>
  </cols>
  <sheetData>
    <row r="3" spans="1:8" ht="15" thickBot="1" x14ac:dyDescent="0.35"/>
    <row r="4" spans="1:8" ht="27.6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x14ac:dyDescent="0.3">
      <c r="A5" s="211" t="s">
        <v>0</v>
      </c>
      <c r="B5" s="210"/>
      <c r="C5" s="211" t="s">
        <v>65</v>
      </c>
      <c r="D5" s="212"/>
      <c r="E5" s="213"/>
      <c r="F5" s="302" t="s">
        <v>1</v>
      </c>
      <c r="G5" s="105">
        <v>46000</v>
      </c>
      <c r="H5" s="106" t="s">
        <v>46</v>
      </c>
    </row>
    <row r="6" spans="1:8" x14ac:dyDescent="0.3">
      <c r="A6" s="284" t="s">
        <v>3</v>
      </c>
      <c r="B6" s="217"/>
      <c r="C6" s="218">
        <v>36498189</v>
      </c>
      <c r="D6" s="218"/>
      <c r="E6" s="219"/>
      <c r="F6" s="288"/>
      <c r="G6" s="103">
        <v>23000</v>
      </c>
      <c r="H6" s="102" t="s">
        <v>4</v>
      </c>
    </row>
    <row r="7" spans="1:8" x14ac:dyDescent="0.3">
      <c r="A7" s="273" t="s">
        <v>5</v>
      </c>
      <c r="B7" s="280"/>
      <c r="C7" s="273" t="s">
        <v>6</v>
      </c>
      <c r="D7" s="280"/>
      <c r="E7" s="273" t="s">
        <v>7</v>
      </c>
      <c r="F7" s="274"/>
      <c r="G7" s="289" t="s">
        <v>8</v>
      </c>
      <c r="H7" s="290"/>
    </row>
    <row r="8" spans="1:8" x14ac:dyDescent="0.3">
      <c r="A8" s="201">
        <f>+F19</f>
        <v>0</v>
      </c>
      <c r="B8" s="202"/>
      <c r="C8" s="226">
        <f>+G19</f>
        <v>0</v>
      </c>
      <c r="D8" s="202"/>
      <c r="E8" s="205">
        <v>4600</v>
      </c>
      <c r="F8" s="301"/>
      <c r="G8" s="243">
        <f>+C8*E8+C10*E10</f>
        <v>0</v>
      </c>
      <c r="H8" s="244"/>
    </row>
    <row r="9" spans="1:8" x14ac:dyDescent="0.3">
      <c r="A9" s="273"/>
      <c r="B9" s="274"/>
      <c r="C9" s="273" t="s">
        <v>100</v>
      </c>
      <c r="D9" s="280"/>
      <c r="E9" s="273"/>
      <c r="F9" s="274"/>
      <c r="G9" s="191" t="s">
        <v>59</v>
      </c>
      <c r="H9" s="251"/>
    </row>
    <row r="10" spans="1:8" ht="16.2" thickBot="1" x14ac:dyDescent="0.35">
      <c r="A10" s="252"/>
      <c r="B10" s="253"/>
      <c r="C10" s="254">
        <f>+G19</f>
        <v>0</v>
      </c>
      <c r="D10" s="255"/>
      <c r="E10" s="205"/>
      <c r="F10" s="282"/>
      <c r="G10" s="291">
        <f>+G8+E10+H19+H20</f>
        <v>0</v>
      </c>
      <c r="H10" s="259"/>
    </row>
    <row r="11" spans="1:8" ht="29.4" thickBot="1" x14ac:dyDescent="0.35">
      <c r="A11" s="74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6" t="s">
        <v>15</v>
      </c>
      <c r="G11" s="76" t="s">
        <v>16</v>
      </c>
      <c r="H11" s="77" t="s">
        <v>17</v>
      </c>
    </row>
    <row r="12" spans="1:8" x14ac:dyDescent="0.3">
      <c r="A12" s="83" t="s">
        <v>53</v>
      </c>
      <c r="B12" s="124" t="s">
        <v>24</v>
      </c>
      <c r="C12" s="71">
        <v>46219</v>
      </c>
      <c r="D12" s="84"/>
      <c r="E12" s="84"/>
      <c r="F12" s="73">
        <f t="shared" ref="F12:F18" si="0">(IF(D12&gt;E12,E12+1-D12,E12-D12))*24</f>
        <v>0</v>
      </c>
      <c r="G12" s="85"/>
      <c r="H12" s="86">
        <v>0</v>
      </c>
    </row>
    <row r="13" spans="1:8" x14ac:dyDescent="0.3">
      <c r="A13" s="83" t="s">
        <v>53</v>
      </c>
      <c r="B13" s="124" t="s">
        <v>25</v>
      </c>
      <c r="C13" s="71">
        <v>46220</v>
      </c>
      <c r="D13" s="84"/>
      <c r="E13" s="84"/>
      <c r="F13" s="73">
        <f t="shared" si="0"/>
        <v>0</v>
      </c>
      <c r="G13" s="85"/>
      <c r="H13" s="86">
        <v>0</v>
      </c>
    </row>
    <row r="14" spans="1:8" x14ac:dyDescent="0.3">
      <c r="A14" s="83" t="s">
        <v>53</v>
      </c>
      <c r="B14" s="124" t="s">
        <v>55</v>
      </c>
      <c r="C14" s="71">
        <v>46221</v>
      </c>
      <c r="D14" s="84"/>
      <c r="E14" s="84"/>
      <c r="F14" s="73">
        <f t="shared" si="0"/>
        <v>0</v>
      </c>
      <c r="G14" s="85"/>
      <c r="H14" s="86">
        <v>0</v>
      </c>
    </row>
    <row r="15" spans="1:8" x14ac:dyDescent="0.3">
      <c r="A15" s="83" t="s">
        <v>53</v>
      </c>
      <c r="B15" s="124" t="s">
        <v>19</v>
      </c>
      <c r="C15" s="71">
        <v>46222</v>
      </c>
      <c r="D15" s="84"/>
      <c r="E15" s="84"/>
      <c r="F15" s="73">
        <f t="shared" si="0"/>
        <v>0</v>
      </c>
      <c r="G15" s="85"/>
      <c r="H15" s="86">
        <v>0</v>
      </c>
    </row>
    <row r="16" spans="1:8" x14ac:dyDescent="0.3">
      <c r="A16" s="83" t="s">
        <v>53</v>
      </c>
      <c r="B16" s="124" t="s">
        <v>20</v>
      </c>
      <c r="C16" s="71">
        <v>46223</v>
      </c>
      <c r="D16" s="84"/>
      <c r="E16" s="84"/>
      <c r="F16" s="73">
        <f t="shared" si="0"/>
        <v>0</v>
      </c>
      <c r="G16" s="85"/>
      <c r="H16" s="86">
        <v>0</v>
      </c>
    </row>
    <row r="17" spans="1:8" x14ac:dyDescent="0.3">
      <c r="A17" s="114" t="s">
        <v>64</v>
      </c>
      <c r="B17" s="131" t="s">
        <v>21</v>
      </c>
      <c r="C17" s="411">
        <v>46224</v>
      </c>
      <c r="D17" s="84"/>
      <c r="E17" s="84"/>
      <c r="F17" s="73">
        <f t="shared" si="0"/>
        <v>0</v>
      </c>
      <c r="G17" s="85"/>
      <c r="H17" s="86">
        <v>0</v>
      </c>
    </row>
    <row r="18" spans="1:8" x14ac:dyDescent="0.3">
      <c r="A18" s="83" t="s">
        <v>53</v>
      </c>
      <c r="B18" s="124" t="s">
        <v>56</v>
      </c>
      <c r="C18" s="71">
        <v>46225</v>
      </c>
      <c r="D18" s="128"/>
      <c r="E18" s="128"/>
      <c r="F18" s="73">
        <f t="shared" si="0"/>
        <v>0</v>
      </c>
      <c r="G18" s="85"/>
      <c r="H18" s="86">
        <v>0</v>
      </c>
    </row>
    <row r="19" spans="1:8" x14ac:dyDescent="0.3">
      <c r="A19" s="230"/>
      <c r="B19" s="230"/>
      <c r="C19" s="70"/>
      <c r="D19" s="95"/>
      <c r="E19" s="79"/>
      <c r="F19" s="80">
        <f>SUM(F12:F18)</f>
        <v>0</v>
      </c>
      <c r="G19" s="80">
        <f>SUM(G12:G18)</f>
        <v>0</v>
      </c>
      <c r="H19" s="81">
        <f>SUM(H12:H18)</f>
        <v>0</v>
      </c>
    </row>
    <row r="20" spans="1:8" x14ac:dyDescent="0.3">
      <c r="A20" s="267"/>
      <c r="B20" s="267"/>
      <c r="C20" s="96"/>
      <c r="D20" s="95"/>
      <c r="E20" s="268" t="s">
        <v>26</v>
      </c>
      <c r="F20" s="268"/>
      <c r="G20" s="268"/>
      <c r="H20" s="101"/>
    </row>
    <row r="21" spans="1:8" x14ac:dyDescent="0.3">
      <c r="A21" s="298" t="s">
        <v>27</v>
      </c>
      <c r="B21" s="177"/>
      <c r="C21" s="299"/>
      <c r="D21" s="299"/>
      <c r="E21" s="299"/>
      <c r="F21" s="299"/>
      <c r="G21" s="299"/>
      <c r="H21" s="299"/>
    </row>
    <row r="22" spans="1:8" x14ac:dyDescent="0.3">
      <c r="A22" s="298" t="s">
        <v>28</v>
      </c>
      <c r="B22" s="298"/>
      <c r="C22" s="299"/>
      <c r="D22" s="299"/>
      <c r="E22" s="299"/>
      <c r="F22" s="299"/>
      <c r="G22" s="299"/>
      <c r="H22" s="299"/>
    </row>
  </sheetData>
  <mergeCells count="29">
    <mergeCell ref="A4:E4"/>
    <mergeCell ref="F4:G4"/>
    <mergeCell ref="C9:D9"/>
    <mergeCell ref="A5:B5"/>
    <mergeCell ref="C5:E5"/>
    <mergeCell ref="F5:F6"/>
    <mergeCell ref="A6:B6"/>
    <mergeCell ref="C6:E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E9:F9"/>
    <mergeCell ref="G9:H9"/>
    <mergeCell ref="A10:B10"/>
    <mergeCell ref="C10:D10"/>
    <mergeCell ref="E10:F10"/>
    <mergeCell ref="G10:H10"/>
    <mergeCell ref="A19:B19"/>
    <mergeCell ref="A20:B20"/>
    <mergeCell ref="E20:G20"/>
    <mergeCell ref="A21:B21"/>
    <mergeCell ref="C21:H22"/>
    <mergeCell ref="A22:B22"/>
  </mergeCells>
  <pageMargins left="0.70866141732283472" right="0.70866141732283472" top="0.74803149606299213" bottom="0.74803149606299213" header="0.31496062992125984" footer="0.31496062992125984"/>
  <pageSetup paperSize="9" scale="74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61"/>
  <sheetViews>
    <sheetView workbookViewId="0">
      <selection activeCell="F62" sqref="F62"/>
    </sheetView>
  </sheetViews>
  <sheetFormatPr baseColWidth="10" defaultRowHeight="14.4" x14ac:dyDescent="0.3"/>
  <cols>
    <col min="1" max="1" width="17.21875" customWidth="1"/>
    <col min="2" max="2" width="14.88671875" customWidth="1"/>
    <col min="3" max="3" width="14.77734375" customWidth="1"/>
    <col min="4" max="4" width="13.77734375" customWidth="1"/>
    <col min="5" max="5" width="13.5546875" customWidth="1"/>
    <col min="7" max="7" width="14" customWidth="1"/>
    <col min="8" max="8" width="16" customWidth="1"/>
    <col min="10" max="10" width="12.77734375" bestFit="1" customWidth="1"/>
  </cols>
  <sheetData>
    <row r="3" spans="1:8" ht="15" thickBot="1" x14ac:dyDescent="0.35"/>
    <row r="4" spans="1:8" ht="27.6" customHeight="1" thickBot="1" x14ac:dyDescent="0.35">
      <c r="A4" s="222" t="s">
        <v>48</v>
      </c>
      <c r="B4" s="223"/>
      <c r="C4" s="223"/>
      <c r="D4" s="223"/>
      <c r="E4" s="223"/>
      <c r="F4" s="224" t="s">
        <v>77</v>
      </c>
      <c r="G4" s="225"/>
      <c r="H4" s="120">
        <v>2026</v>
      </c>
    </row>
    <row r="5" spans="1:8" ht="15" hidden="1" thickBot="1" x14ac:dyDescent="0.35">
      <c r="A5" s="211" t="s">
        <v>0</v>
      </c>
      <c r="B5" s="210"/>
      <c r="C5" s="211" t="s">
        <v>65</v>
      </c>
      <c r="D5" s="212"/>
      <c r="E5" s="213"/>
      <c r="F5" s="302" t="s">
        <v>1</v>
      </c>
      <c r="G5" s="105">
        <v>46000</v>
      </c>
      <c r="H5" s="106" t="s">
        <v>46</v>
      </c>
    </row>
    <row r="6" spans="1:8" ht="15" hidden="1" thickBot="1" x14ac:dyDescent="0.35">
      <c r="A6" s="284" t="s">
        <v>3</v>
      </c>
      <c r="B6" s="217"/>
      <c r="C6" s="218">
        <v>36498189</v>
      </c>
      <c r="D6" s="218"/>
      <c r="E6" s="219"/>
      <c r="F6" s="288"/>
      <c r="G6" s="103">
        <v>23000</v>
      </c>
      <c r="H6" s="102" t="s">
        <v>4</v>
      </c>
    </row>
    <row r="7" spans="1:8" ht="15" hidden="1" thickBot="1" x14ac:dyDescent="0.35">
      <c r="A7" s="273" t="s">
        <v>5</v>
      </c>
      <c r="B7" s="280"/>
      <c r="C7" s="273" t="s">
        <v>6</v>
      </c>
      <c r="D7" s="280"/>
      <c r="E7" s="273" t="s">
        <v>7</v>
      </c>
      <c r="F7" s="274"/>
      <c r="G7" s="289" t="s">
        <v>8</v>
      </c>
      <c r="H7" s="290"/>
    </row>
    <row r="8" spans="1:8" ht="15" hidden="1" thickBot="1" x14ac:dyDescent="0.35">
      <c r="A8" s="201">
        <f>+F19</f>
        <v>44.150000000000006</v>
      </c>
      <c r="B8" s="202"/>
      <c r="C8" s="226">
        <f>+G19</f>
        <v>4.1500000000000057</v>
      </c>
      <c r="D8" s="202"/>
      <c r="E8" s="205">
        <v>4600</v>
      </c>
      <c r="F8" s="301"/>
      <c r="G8" s="243">
        <f>+C8*E8+C10*E10</f>
        <v>19090.000000000025</v>
      </c>
      <c r="H8" s="244"/>
    </row>
    <row r="9" spans="1:8" ht="15" hidden="1" thickBot="1" x14ac:dyDescent="0.35">
      <c r="A9" s="273"/>
      <c r="B9" s="274"/>
      <c r="C9" s="275"/>
      <c r="D9" s="274"/>
      <c r="E9" s="273"/>
      <c r="F9" s="274"/>
      <c r="G9" s="191" t="s">
        <v>59</v>
      </c>
      <c r="H9" s="251"/>
    </row>
    <row r="10" spans="1:8" ht="16.2" hidden="1" thickBot="1" x14ac:dyDescent="0.35">
      <c r="A10" s="252"/>
      <c r="B10" s="253"/>
      <c r="C10" s="254"/>
      <c r="D10" s="300"/>
      <c r="E10" s="205"/>
      <c r="F10" s="282"/>
      <c r="G10" s="291">
        <f>+G8+E10+H19+H20</f>
        <v>203090.00000000003</v>
      </c>
      <c r="H10" s="259"/>
    </row>
    <row r="11" spans="1:8" ht="29.4" hidden="1" thickBot="1" x14ac:dyDescent="0.35">
      <c r="A11" s="74" t="s">
        <v>10</v>
      </c>
      <c r="B11" s="75" t="s">
        <v>11</v>
      </c>
      <c r="C11" s="75" t="s">
        <v>12</v>
      </c>
      <c r="D11" s="75" t="s">
        <v>13</v>
      </c>
      <c r="E11" s="75" t="s">
        <v>14</v>
      </c>
      <c r="F11" s="76" t="s">
        <v>15</v>
      </c>
      <c r="G11" s="76" t="s">
        <v>16</v>
      </c>
      <c r="H11" s="77" t="s">
        <v>17</v>
      </c>
    </row>
    <row r="12" spans="1:8" ht="15" hidden="1" thickBot="1" x14ac:dyDescent="0.35">
      <c r="A12" s="78" t="s">
        <v>70</v>
      </c>
      <c r="B12" s="115" t="s">
        <v>24</v>
      </c>
      <c r="C12" s="71">
        <v>46177</v>
      </c>
      <c r="D12" s="68">
        <v>0.33333333333333331</v>
      </c>
      <c r="E12" s="68">
        <v>0.81944444444444453</v>
      </c>
      <c r="F12" s="73">
        <f t="shared" ref="F12:F18" si="0">(IF(D12&gt;E12,E12+1-D12,E12-D12))*24</f>
        <v>11.66666666666667</v>
      </c>
      <c r="G12" s="72">
        <f>+F12-10</f>
        <v>1.6666666666666696</v>
      </c>
      <c r="H12" s="69">
        <v>46000</v>
      </c>
    </row>
    <row r="13" spans="1:8" ht="15" hidden="1" thickBot="1" x14ac:dyDescent="0.35">
      <c r="A13" s="78" t="s">
        <v>70</v>
      </c>
      <c r="B13" s="115" t="s">
        <v>25</v>
      </c>
      <c r="C13" s="71">
        <v>46178</v>
      </c>
      <c r="D13" s="68">
        <v>0.33333333333333331</v>
      </c>
      <c r="E13" s="68">
        <v>0.78125</v>
      </c>
      <c r="F13" s="73">
        <f t="shared" si="0"/>
        <v>10.75</v>
      </c>
      <c r="G13" s="72">
        <f t="shared" ref="G13:G16" si="1">+F13-10</f>
        <v>0.75</v>
      </c>
      <c r="H13" s="69">
        <v>46000</v>
      </c>
    </row>
    <row r="14" spans="1:8" ht="15" hidden="1" thickBot="1" x14ac:dyDescent="0.35">
      <c r="A14" s="78" t="s">
        <v>70</v>
      </c>
      <c r="B14" s="115" t="s">
        <v>55</v>
      </c>
      <c r="C14" s="71">
        <v>46179</v>
      </c>
      <c r="D14" s="68">
        <v>0.33333333333333331</v>
      </c>
      <c r="E14" s="68">
        <v>0.81527777777777777</v>
      </c>
      <c r="F14" s="73">
        <f t="shared" si="0"/>
        <v>11.566666666666666</v>
      </c>
      <c r="G14" s="72">
        <f t="shared" si="1"/>
        <v>1.5666666666666664</v>
      </c>
      <c r="H14" s="69">
        <v>46000</v>
      </c>
    </row>
    <row r="15" spans="1:8" ht="15" hidden="1" thickBot="1" x14ac:dyDescent="0.35">
      <c r="A15" s="83" t="s">
        <v>53</v>
      </c>
      <c r="B15" s="124" t="s">
        <v>19</v>
      </c>
      <c r="C15" s="71">
        <v>46180</v>
      </c>
      <c r="D15" s="84"/>
      <c r="E15" s="84"/>
      <c r="F15" s="73">
        <f t="shared" si="0"/>
        <v>0</v>
      </c>
      <c r="G15" s="85"/>
      <c r="H15" s="86">
        <v>0</v>
      </c>
    </row>
    <row r="16" spans="1:8" ht="15" hidden="1" thickBot="1" x14ac:dyDescent="0.35">
      <c r="A16" s="78" t="s">
        <v>70</v>
      </c>
      <c r="B16" s="115" t="s">
        <v>20</v>
      </c>
      <c r="C16" s="71">
        <v>46181</v>
      </c>
      <c r="D16" s="68">
        <v>0.33333333333333331</v>
      </c>
      <c r="E16" s="68">
        <v>0.75694444444444453</v>
      </c>
      <c r="F16" s="73">
        <f t="shared" si="0"/>
        <v>10.16666666666667</v>
      </c>
      <c r="G16" s="72">
        <f t="shared" si="1"/>
        <v>0.16666666666666963</v>
      </c>
      <c r="H16" s="86">
        <v>46000</v>
      </c>
    </row>
    <row r="17" spans="1:8" ht="15" hidden="1" thickBot="1" x14ac:dyDescent="0.35">
      <c r="A17" s="114" t="s">
        <v>64</v>
      </c>
      <c r="B17" s="131" t="s">
        <v>21</v>
      </c>
      <c r="C17" s="71">
        <v>46182</v>
      </c>
      <c r="D17" s="128"/>
      <c r="E17" s="128"/>
      <c r="F17" s="140">
        <f t="shared" si="0"/>
        <v>0</v>
      </c>
      <c r="G17" s="85"/>
      <c r="H17" s="122">
        <v>0</v>
      </c>
    </row>
    <row r="18" spans="1:8" ht="15" hidden="1" thickBot="1" x14ac:dyDescent="0.35">
      <c r="A18" s="83" t="s">
        <v>53</v>
      </c>
      <c r="B18" s="124" t="s">
        <v>56</v>
      </c>
      <c r="C18" s="71">
        <v>46183</v>
      </c>
      <c r="D18" s="84"/>
      <c r="E18" s="84"/>
      <c r="F18" s="73">
        <f t="shared" si="0"/>
        <v>0</v>
      </c>
      <c r="G18" s="85"/>
      <c r="H18" s="86">
        <v>0</v>
      </c>
    </row>
    <row r="19" spans="1:8" ht="15" hidden="1" thickBot="1" x14ac:dyDescent="0.35">
      <c r="A19" s="230"/>
      <c r="B19" s="230"/>
      <c r="C19" s="70"/>
      <c r="D19" s="95"/>
      <c r="E19" s="79"/>
      <c r="F19" s="80">
        <f>SUM(F12:F18)</f>
        <v>44.150000000000006</v>
      </c>
      <c r="G19" s="80">
        <f>SUM(G12:G18)</f>
        <v>4.1500000000000057</v>
      </c>
      <c r="H19" s="81">
        <f>SUM(H12:H18)</f>
        <v>184000</v>
      </c>
    </row>
    <row r="20" spans="1:8" ht="15" hidden="1" thickBot="1" x14ac:dyDescent="0.35">
      <c r="A20" s="267"/>
      <c r="B20" s="267"/>
      <c r="C20" s="96"/>
      <c r="D20" s="95"/>
      <c r="E20" s="268" t="s">
        <v>26</v>
      </c>
      <c r="F20" s="268"/>
      <c r="G20" s="268"/>
      <c r="H20" s="101"/>
    </row>
    <row r="21" spans="1:8" ht="15" hidden="1" thickBot="1" x14ac:dyDescent="0.35">
      <c r="A21" s="298" t="s">
        <v>27</v>
      </c>
      <c r="B21" s="177"/>
      <c r="C21" s="299"/>
      <c r="D21" s="299"/>
      <c r="E21" s="299"/>
      <c r="F21" s="299"/>
      <c r="G21" s="299"/>
      <c r="H21" s="299"/>
    </row>
    <row r="22" spans="1:8" ht="15" hidden="1" thickBot="1" x14ac:dyDescent="0.35">
      <c r="A22" s="298" t="s">
        <v>28</v>
      </c>
      <c r="B22" s="298"/>
      <c r="C22" s="299"/>
      <c r="D22" s="299"/>
      <c r="E22" s="299"/>
      <c r="F22" s="299"/>
      <c r="G22" s="299"/>
      <c r="H22" s="299"/>
    </row>
    <row r="23" spans="1:8" ht="15" hidden="1" thickBot="1" x14ac:dyDescent="0.35"/>
    <row r="24" spans="1:8" ht="15" hidden="1" thickBot="1" x14ac:dyDescent="0.35"/>
    <row r="25" spans="1:8" ht="17.399999999999999" hidden="1" customHeight="1" x14ac:dyDescent="0.3">
      <c r="A25" s="211" t="s">
        <v>0</v>
      </c>
      <c r="B25" s="210"/>
      <c r="C25" s="211" t="s">
        <v>65</v>
      </c>
      <c r="D25" s="212"/>
      <c r="E25" s="213"/>
      <c r="F25" s="302" t="s">
        <v>1</v>
      </c>
      <c r="G25" s="105">
        <v>46000</v>
      </c>
      <c r="H25" s="106" t="s">
        <v>46</v>
      </c>
    </row>
    <row r="26" spans="1:8" ht="15" hidden="1" thickBot="1" x14ac:dyDescent="0.35">
      <c r="A26" s="284" t="s">
        <v>3</v>
      </c>
      <c r="B26" s="217"/>
      <c r="C26" s="218">
        <v>36498189</v>
      </c>
      <c r="D26" s="218"/>
      <c r="E26" s="219"/>
      <c r="F26" s="288"/>
      <c r="G26" s="103">
        <v>23000</v>
      </c>
      <c r="H26" s="102" t="s">
        <v>4</v>
      </c>
    </row>
    <row r="27" spans="1:8" ht="15" hidden="1" thickBot="1" x14ac:dyDescent="0.35">
      <c r="A27" s="273" t="s">
        <v>5</v>
      </c>
      <c r="B27" s="280"/>
      <c r="C27" s="273" t="s">
        <v>6</v>
      </c>
      <c r="D27" s="280"/>
      <c r="E27" s="273" t="s">
        <v>7</v>
      </c>
      <c r="F27" s="274"/>
      <c r="G27" s="289" t="s">
        <v>8</v>
      </c>
      <c r="H27" s="290"/>
    </row>
    <row r="28" spans="1:8" ht="15" hidden="1" thickBot="1" x14ac:dyDescent="0.35">
      <c r="A28" s="201">
        <f>+F39</f>
        <v>9</v>
      </c>
      <c r="B28" s="202"/>
      <c r="C28" s="226">
        <f>+G39</f>
        <v>0</v>
      </c>
      <c r="D28" s="202"/>
      <c r="E28" s="205">
        <v>4600</v>
      </c>
      <c r="F28" s="301"/>
      <c r="G28" s="243">
        <f>+C28*E28+C30*E30</f>
        <v>0</v>
      </c>
      <c r="H28" s="244"/>
    </row>
    <row r="29" spans="1:8" ht="15" hidden="1" thickBot="1" x14ac:dyDescent="0.35">
      <c r="A29" s="273"/>
      <c r="B29" s="274"/>
      <c r="C29" s="275"/>
      <c r="D29" s="274"/>
      <c r="E29" s="273"/>
      <c r="F29" s="274"/>
      <c r="G29" s="191" t="s">
        <v>59</v>
      </c>
      <c r="H29" s="251"/>
    </row>
    <row r="30" spans="1:8" ht="16.2" hidden="1" thickBot="1" x14ac:dyDescent="0.35">
      <c r="A30" s="252"/>
      <c r="B30" s="253"/>
      <c r="C30" s="254"/>
      <c r="D30" s="300"/>
      <c r="E30" s="205"/>
      <c r="F30" s="282"/>
      <c r="G30" s="291">
        <f>+G28+E30+H39+H40</f>
        <v>46000</v>
      </c>
      <c r="H30" s="259"/>
    </row>
    <row r="31" spans="1:8" ht="29.4" hidden="1" thickBot="1" x14ac:dyDescent="0.35">
      <c r="A31" s="74" t="s">
        <v>10</v>
      </c>
      <c r="B31" s="75" t="s">
        <v>11</v>
      </c>
      <c r="C31" s="75" t="s">
        <v>12</v>
      </c>
      <c r="D31" s="75" t="s">
        <v>13</v>
      </c>
      <c r="E31" s="75" t="s">
        <v>14</v>
      </c>
      <c r="F31" s="76" t="s">
        <v>15</v>
      </c>
      <c r="G31" s="76" t="s">
        <v>16</v>
      </c>
      <c r="H31" s="77" t="s">
        <v>17</v>
      </c>
    </row>
    <row r="32" spans="1:8" ht="15" hidden="1" thickBot="1" x14ac:dyDescent="0.35">
      <c r="A32" s="83"/>
      <c r="B32" s="124" t="s">
        <v>24</v>
      </c>
      <c r="C32" s="71">
        <v>46191</v>
      </c>
      <c r="D32" s="84"/>
      <c r="E32" s="84"/>
      <c r="F32" s="73">
        <f t="shared" ref="F32:F38" si="2">(IF(D32&gt;E32,E32+1-D32,E32-D32))*24</f>
        <v>0</v>
      </c>
      <c r="G32" s="85"/>
      <c r="H32" s="86">
        <v>0</v>
      </c>
    </row>
    <row r="33" spans="1:8" ht="15" hidden="1" thickBot="1" x14ac:dyDescent="0.35">
      <c r="A33" s="83"/>
      <c r="B33" s="124" t="s">
        <v>25</v>
      </c>
      <c r="C33" s="71">
        <v>46192</v>
      </c>
      <c r="D33" s="84"/>
      <c r="E33" s="84"/>
      <c r="F33" s="73">
        <f t="shared" si="2"/>
        <v>0</v>
      </c>
      <c r="G33" s="85"/>
      <c r="H33" s="86">
        <v>0</v>
      </c>
    </row>
    <row r="34" spans="1:8" ht="15" hidden="1" thickBot="1" x14ac:dyDescent="0.35">
      <c r="A34" s="83"/>
      <c r="B34" s="124" t="s">
        <v>55</v>
      </c>
      <c r="C34" s="71">
        <v>46193</v>
      </c>
      <c r="D34" s="84"/>
      <c r="E34" s="84"/>
      <c r="F34" s="73">
        <f t="shared" si="2"/>
        <v>0</v>
      </c>
      <c r="G34" s="85"/>
      <c r="H34" s="86">
        <v>0</v>
      </c>
    </row>
    <row r="35" spans="1:8" ht="15" hidden="1" thickBot="1" x14ac:dyDescent="0.35">
      <c r="A35" s="83"/>
      <c r="B35" s="124" t="s">
        <v>19</v>
      </c>
      <c r="C35" s="71">
        <v>46194</v>
      </c>
      <c r="D35" s="84"/>
      <c r="E35" s="84"/>
      <c r="F35" s="73">
        <f t="shared" si="2"/>
        <v>0</v>
      </c>
      <c r="G35" s="85"/>
      <c r="H35" s="86">
        <v>0</v>
      </c>
    </row>
    <row r="36" spans="1:8" ht="15" hidden="1" thickBot="1" x14ac:dyDescent="0.35">
      <c r="A36" s="83"/>
      <c r="B36" s="124" t="s">
        <v>20</v>
      </c>
      <c r="C36" s="71">
        <v>46195</v>
      </c>
      <c r="D36" s="84"/>
      <c r="E36" s="84"/>
      <c r="F36" s="73">
        <f t="shared" si="2"/>
        <v>0</v>
      </c>
      <c r="G36" s="85"/>
      <c r="H36" s="86">
        <v>0</v>
      </c>
    </row>
    <row r="37" spans="1:8" ht="15" hidden="1" thickBot="1" x14ac:dyDescent="0.35">
      <c r="A37" s="83"/>
      <c r="B37" s="124" t="s">
        <v>21</v>
      </c>
      <c r="C37" s="71">
        <v>46196</v>
      </c>
      <c r="D37" s="84"/>
      <c r="E37" s="84"/>
      <c r="F37" s="73">
        <f t="shared" si="2"/>
        <v>0</v>
      </c>
      <c r="G37" s="85"/>
      <c r="H37" s="86">
        <v>0</v>
      </c>
    </row>
    <row r="38" spans="1:8" ht="15" hidden="1" thickBot="1" x14ac:dyDescent="0.35">
      <c r="A38" s="78" t="s">
        <v>75</v>
      </c>
      <c r="B38" s="115" t="s">
        <v>56</v>
      </c>
      <c r="C38" s="71">
        <v>46197</v>
      </c>
      <c r="D38" s="141">
        <v>0.375</v>
      </c>
      <c r="E38" s="141">
        <v>0.75</v>
      </c>
      <c r="F38" s="73">
        <f t="shared" si="2"/>
        <v>9</v>
      </c>
      <c r="G38" s="72"/>
      <c r="H38" s="69">
        <v>46000</v>
      </c>
    </row>
    <row r="39" spans="1:8" ht="15" hidden="1" thickBot="1" x14ac:dyDescent="0.35">
      <c r="A39" s="230"/>
      <c r="B39" s="230"/>
      <c r="C39" s="70"/>
      <c r="D39" s="95"/>
      <c r="E39" s="79"/>
      <c r="F39" s="80">
        <f>SUM(F32:F38)</f>
        <v>9</v>
      </c>
      <c r="G39" s="80">
        <f>SUM(G32:G38)</f>
        <v>0</v>
      </c>
      <c r="H39" s="81">
        <f>SUM(H32:H38)</f>
        <v>46000</v>
      </c>
    </row>
    <row r="40" spans="1:8" ht="15" hidden="1" thickBot="1" x14ac:dyDescent="0.35">
      <c r="A40" s="267"/>
      <c r="B40" s="267"/>
      <c r="C40" s="96"/>
      <c r="D40" s="95"/>
      <c r="E40" s="268" t="s">
        <v>26</v>
      </c>
      <c r="F40" s="268"/>
      <c r="G40" s="268"/>
      <c r="H40" s="101"/>
    </row>
    <row r="41" spans="1:8" ht="15" hidden="1" thickBot="1" x14ac:dyDescent="0.35">
      <c r="A41" s="298" t="s">
        <v>27</v>
      </c>
      <c r="B41" s="177"/>
      <c r="C41" s="299"/>
      <c r="D41" s="299"/>
      <c r="E41" s="299"/>
      <c r="F41" s="299"/>
      <c r="G41" s="299"/>
      <c r="H41" s="299"/>
    </row>
    <row r="42" spans="1:8" ht="15" hidden="1" thickBot="1" x14ac:dyDescent="0.35">
      <c r="A42" s="298" t="s">
        <v>28</v>
      </c>
      <c r="B42" s="298"/>
      <c r="C42" s="299"/>
      <c r="D42" s="299"/>
      <c r="E42" s="299"/>
      <c r="F42" s="299"/>
      <c r="G42" s="299"/>
      <c r="H42" s="299"/>
    </row>
    <row r="43" spans="1:8" ht="15" hidden="1" thickBot="1" x14ac:dyDescent="0.35"/>
    <row r="44" spans="1:8" x14ac:dyDescent="0.3">
      <c r="A44" s="211" t="s">
        <v>0</v>
      </c>
      <c r="B44" s="210"/>
      <c r="C44" s="211"/>
      <c r="D44" s="212"/>
      <c r="E44" s="213"/>
      <c r="F44" s="302" t="s">
        <v>1</v>
      </c>
      <c r="G44" s="105">
        <v>46000</v>
      </c>
      <c r="H44" s="106" t="s">
        <v>46</v>
      </c>
    </row>
    <row r="45" spans="1:8" x14ac:dyDescent="0.3">
      <c r="A45" s="284" t="s">
        <v>3</v>
      </c>
      <c r="B45" s="217"/>
      <c r="C45" s="218"/>
      <c r="D45" s="218"/>
      <c r="E45" s="219"/>
      <c r="F45" s="288"/>
      <c r="G45" s="103">
        <v>23000</v>
      </c>
      <c r="H45" s="102" t="s">
        <v>4</v>
      </c>
    </row>
    <row r="46" spans="1:8" x14ac:dyDescent="0.3">
      <c r="A46" s="402" t="s">
        <v>5</v>
      </c>
      <c r="B46" s="403"/>
      <c r="C46" s="402" t="s">
        <v>6</v>
      </c>
      <c r="D46" s="403"/>
      <c r="E46" s="402" t="s">
        <v>7</v>
      </c>
      <c r="F46" s="404"/>
      <c r="G46" s="408" t="s">
        <v>8</v>
      </c>
      <c r="H46" s="409"/>
    </row>
    <row r="47" spans="1:8" x14ac:dyDescent="0.3">
      <c r="A47" s="201">
        <f>+F58</f>
        <v>0</v>
      </c>
      <c r="B47" s="202"/>
      <c r="C47" s="203">
        <f>+G58</f>
        <v>-70</v>
      </c>
      <c r="D47" s="204"/>
      <c r="E47" s="205">
        <v>4600</v>
      </c>
      <c r="F47" s="301"/>
      <c r="G47" s="243">
        <f>+C47*E47+C49*E49</f>
        <v>-322000</v>
      </c>
      <c r="H47" s="244"/>
    </row>
    <row r="48" spans="1:8" x14ac:dyDescent="0.3">
      <c r="A48" s="402"/>
      <c r="B48" s="404"/>
      <c r="C48" s="402" t="s">
        <v>100</v>
      </c>
      <c r="D48" s="403"/>
      <c r="E48" s="402"/>
      <c r="F48" s="404"/>
      <c r="G48" s="191" t="s">
        <v>59</v>
      </c>
      <c r="H48" s="251"/>
    </row>
    <row r="49" spans="1:8" ht="16.2" thickBot="1" x14ac:dyDescent="0.35">
      <c r="A49" s="252"/>
      <c r="B49" s="253"/>
      <c r="C49" s="399">
        <f>+C47</f>
        <v>-70</v>
      </c>
      <c r="D49" s="400"/>
      <c r="E49" s="205"/>
      <c r="F49" s="282"/>
      <c r="G49" s="291">
        <f>+G47+E49+H58+H59</f>
        <v>0</v>
      </c>
      <c r="H49" s="259"/>
    </row>
    <row r="50" spans="1:8" ht="29.4" thickBot="1" x14ac:dyDescent="0.35">
      <c r="A50" s="74" t="s">
        <v>10</v>
      </c>
      <c r="B50" s="75" t="s">
        <v>11</v>
      </c>
      <c r="C50" s="75" t="s">
        <v>12</v>
      </c>
      <c r="D50" s="75" t="s">
        <v>13</v>
      </c>
      <c r="E50" s="75" t="s">
        <v>14</v>
      </c>
      <c r="F50" s="76" t="s">
        <v>15</v>
      </c>
      <c r="G50" s="76" t="s">
        <v>16</v>
      </c>
      <c r="H50" s="77" t="s">
        <v>17</v>
      </c>
    </row>
    <row r="51" spans="1:8" x14ac:dyDescent="0.3">
      <c r="A51" s="78"/>
      <c r="B51" s="115" t="s">
        <v>24</v>
      </c>
      <c r="C51" s="71"/>
      <c r="D51" s="68"/>
      <c r="E51" s="68"/>
      <c r="F51" s="73">
        <f t="shared" ref="F51:F57" si="3">(IF(D51&gt;E51,E51+1-D51,E51-D51))*24</f>
        <v>0</v>
      </c>
      <c r="G51" s="72">
        <f>+F51-10</f>
        <v>-10</v>
      </c>
      <c r="H51" s="69">
        <v>46000</v>
      </c>
    </row>
    <row r="52" spans="1:8" x14ac:dyDescent="0.3">
      <c r="A52" s="78"/>
      <c r="B52" s="115" t="s">
        <v>25</v>
      </c>
      <c r="C52" s="71"/>
      <c r="D52" s="68"/>
      <c r="E52" s="68"/>
      <c r="F52" s="73">
        <f t="shared" si="3"/>
        <v>0</v>
      </c>
      <c r="G52" s="72">
        <f t="shared" ref="G52:G57" si="4">+F52-10</f>
        <v>-10</v>
      </c>
      <c r="H52" s="69">
        <v>46000</v>
      </c>
    </row>
    <row r="53" spans="1:8" x14ac:dyDescent="0.3">
      <c r="A53" s="83"/>
      <c r="B53" s="124" t="s">
        <v>55</v>
      </c>
      <c r="C53" s="71"/>
      <c r="D53" s="68"/>
      <c r="E53" s="68"/>
      <c r="F53" s="73">
        <f t="shared" si="3"/>
        <v>0</v>
      </c>
      <c r="G53" s="72">
        <f t="shared" si="4"/>
        <v>-10</v>
      </c>
      <c r="H53" s="69">
        <v>46000</v>
      </c>
    </row>
    <row r="54" spans="1:8" x14ac:dyDescent="0.3">
      <c r="A54" s="83"/>
      <c r="B54" s="124" t="s">
        <v>19</v>
      </c>
      <c r="C54" s="71"/>
      <c r="D54" s="68"/>
      <c r="E54" s="68"/>
      <c r="F54" s="73">
        <f t="shared" si="3"/>
        <v>0</v>
      </c>
      <c r="G54" s="72">
        <f t="shared" si="4"/>
        <v>-10</v>
      </c>
      <c r="H54" s="69">
        <v>46000</v>
      </c>
    </row>
    <row r="55" spans="1:8" x14ac:dyDescent="0.3">
      <c r="A55" s="83"/>
      <c r="B55" s="124" t="s">
        <v>20</v>
      </c>
      <c r="C55" s="71"/>
      <c r="D55" s="68"/>
      <c r="E55" s="68"/>
      <c r="F55" s="73">
        <f t="shared" si="3"/>
        <v>0</v>
      </c>
      <c r="G55" s="72">
        <f t="shared" si="4"/>
        <v>-10</v>
      </c>
      <c r="H55" s="69">
        <v>46000</v>
      </c>
    </row>
    <row r="56" spans="1:8" x14ac:dyDescent="0.3">
      <c r="A56" s="83"/>
      <c r="B56" s="124" t="s">
        <v>21</v>
      </c>
      <c r="C56" s="71"/>
      <c r="D56" s="68"/>
      <c r="E56" s="68"/>
      <c r="F56" s="73">
        <f t="shared" si="3"/>
        <v>0</v>
      </c>
      <c r="G56" s="72">
        <f t="shared" si="4"/>
        <v>-10</v>
      </c>
      <c r="H56" s="69">
        <v>46000</v>
      </c>
    </row>
    <row r="57" spans="1:8" x14ac:dyDescent="0.3">
      <c r="A57" s="83"/>
      <c r="B57" s="115" t="s">
        <v>56</v>
      </c>
      <c r="C57" s="71"/>
      <c r="D57" s="141"/>
      <c r="E57" s="141"/>
      <c r="F57" s="73">
        <f t="shared" si="3"/>
        <v>0</v>
      </c>
      <c r="G57" s="72">
        <f t="shared" si="4"/>
        <v>-10</v>
      </c>
      <c r="H57" s="69">
        <v>46000</v>
      </c>
    </row>
    <row r="58" spans="1:8" x14ac:dyDescent="0.3">
      <c r="A58" s="230"/>
      <c r="B58" s="230"/>
      <c r="C58" s="70"/>
      <c r="D58" s="95"/>
      <c r="E58" s="79"/>
      <c r="F58" s="80">
        <f>SUM(F51:F57)</f>
        <v>0</v>
      </c>
      <c r="G58" s="161">
        <f>SUM(G51:G57)</f>
        <v>-70</v>
      </c>
      <c r="H58" s="81">
        <f>SUM(H51:H57)</f>
        <v>322000</v>
      </c>
    </row>
    <row r="59" spans="1:8" x14ac:dyDescent="0.3">
      <c r="A59" s="267"/>
      <c r="B59" s="267"/>
      <c r="C59" s="96"/>
      <c r="D59" s="95"/>
      <c r="E59" s="268" t="s">
        <v>26</v>
      </c>
      <c r="F59" s="268"/>
      <c r="G59" s="268"/>
      <c r="H59" s="101"/>
    </row>
    <row r="60" spans="1:8" ht="24" customHeight="1" x14ac:dyDescent="0.3">
      <c r="A60" s="298" t="s">
        <v>27</v>
      </c>
      <c r="B60" s="177"/>
      <c r="C60" s="299"/>
      <c r="D60" s="299"/>
      <c r="E60" s="299"/>
      <c r="F60" s="299"/>
      <c r="G60" s="299"/>
      <c r="H60" s="299"/>
    </row>
    <row r="61" spans="1:8" ht="19.8" customHeight="1" x14ac:dyDescent="0.3">
      <c r="A61" s="298" t="s">
        <v>28</v>
      </c>
      <c r="B61" s="298"/>
      <c r="C61" s="299"/>
      <c r="D61" s="299"/>
      <c r="E61" s="299"/>
      <c r="F61" s="299"/>
      <c r="G61" s="299"/>
      <c r="H61" s="299"/>
    </row>
  </sheetData>
  <mergeCells count="83">
    <mergeCell ref="A58:B58"/>
    <mergeCell ref="A59:B59"/>
    <mergeCell ref="E59:G59"/>
    <mergeCell ref="A60:B60"/>
    <mergeCell ref="C60:H61"/>
    <mergeCell ref="A61:B61"/>
    <mergeCell ref="A48:B48"/>
    <mergeCell ref="C48:D48"/>
    <mergeCell ref="E48:F48"/>
    <mergeCell ref="G48:H48"/>
    <mergeCell ref="A49:B49"/>
    <mergeCell ref="C49:D49"/>
    <mergeCell ref="E49:F49"/>
    <mergeCell ref="G49:H49"/>
    <mergeCell ref="A46:B46"/>
    <mergeCell ref="C46:D46"/>
    <mergeCell ref="E46:F46"/>
    <mergeCell ref="G46:H46"/>
    <mergeCell ref="A47:B47"/>
    <mergeCell ref="C47:D47"/>
    <mergeCell ref="E47:F47"/>
    <mergeCell ref="G47:H47"/>
    <mergeCell ref="A41:B41"/>
    <mergeCell ref="C41:H42"/>
    <mergeCell ref="A42:B42"/>
    <mergeCell ref="A44:B44"/>
    <mergeCell ref="C44:E44"/>
    <mergeCell ref="F44:F45"/>
    <mergeCell ref="A45:B45"/>
    <mergeCell ref="C45:E45"/>
    <mergeCell ref="A30:B30"/>
    <mergeCell ref="C30:D30"/>
    <mergeCell ref="E30:F30"/>
    <mergeCell ref="G30:H30"/>
    <mergeCell ref="A39:B39"/>
    <mergeCell ref="A40:B40"/>
    <mergeCell ref="E40:G40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25:B25"/>
    <mergeCell ref="C25:E25"/>
    <mergeCell ref="F25:F26"/>
    <mergeCell ref="A26:B26"/>
    <mergeCell ref="C26:E26"/>
    <mergeCell ref="A27:B27"/>
    <mergeCell ref="C27:D27"/>
    <mergeCell ref="E27:F27"/>
    <mergeCell ref="A19:B19"/>
    <mergeCell ref="A20:B20"/>
    <mergeCell ref="E20:G20"/>
    <mergeCell ref="A21:B21"/>
    <mergeCell ref="C21:H22"/>
    <mergeCell ref="A22:B22"/>
    <mergeCell ref="A9:B9"/>
    <mergeCell ref="C9:D9"/>
    <mergeCell ref="E9:F9"/>
    <mergeCell ref="G9:H9"/>
    <mergeCell ref="A10:B10"/>
    <mergeCell ref="C10:D10"/>
    <mergeCell ref="E10:F10"/>
    <mergeCell ref="G10:H10"/>
    <mergeCell ref="A7:B7"/>
    <mergeCell ref="C7:D7"/>
    <mergeCell ref="E7:F7"/>
    <mergeCell ref="G7:H7"/>
    <mergeCell ref="A8:B8"/>
    <mergeCell ref="C8:D8"/>
    <mergeCell ref="E8:F8"/>
    <mergeCell ref="G8:H8"/>
    <mergeCell ref="A4:E4"/>
    <mergeCell ref="F4:G4"/>
    <mergeCell ref="A5:B5"/>
    <mergeCell ref="C5:E5"/>
    <mergeCell ref="F5:F6"/>
    <mergeCell ref="A6:B6"/>
    <mergeCell ref="C6:E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"/>
  <sheetViews>
    <sheetView topLeftCell="A41" workbookViewId="0">
      <selection activeCell="F65" sqref="F65"/>
    </sheetView>
  </sheetViews>
  <sheetFormatPr baseColWidth="10" defaultRowHeight="14.4" x14ac:dyDescent="0.3"/>
  <cols>
    <col min="1" max="1" width="14.6640625" customWidth="1"/>
    <col min="4" max="4" width="15" customWidth="1"/>
    <col min="5" max="7" width="15.33203125" customWidth="1"/>
    <col min="8" max="8" width="13.33203125" customWidth="1"/>
  </cols>
  <sheetData>
    <row r="1" spans="1:8" x14ac:dyDescent="0.3">
      <c r="A1" s="1"/>
      <c r="B1" s="2"/>
      <c r="C1" s="2"/>
      <c r="D1" s="2"/>
      <c r="E1" s="2"/>
      <c r="F1" s="2"/>
      <c r="G1" s="2"/>
      <c r="H1" s="3"/>
    </row>
    <row r="2" spans="1:8" x14ac:dyDescent="0.3">
      <c r="A2" s="4"/>
      <c r="H2" s="5"/>
    </row>
    <row r="3" spans="1:8" x14ac:dyDescent="0.3">
      <c r="A3" s="4"/>
      <c r="H3" s="5"/>
    </row>
    <row r="4" spans="1:8" ht="15" thickBot="1" x14ac:dyDescent="0.35">
      <c r="A4" s="60"/>
      <c r="B4" s="61"/>
      <c r="C4" s="61"/>
      <c r="D4" s="61"/>
      <c r="E4" s="61"/>
      <c r="F4" s="61"/>
      <c r="G4" s="61"/>
      <c r="H4" s="62"/>
    </row>
    <row r="5" spans="1:8" ht="16.2" thickBot="1" x14ac:dyDescent="0.35">
      <c r="A5" s="359" t="s">
        <v>35</v>
      </c>
      <c r="B5" s="360"/>
      <c r="C5" s="360"/>
      <c r="D5" s="360"/>
      <c r="E5" s="361"/>
      <c r="F5" s="362" t="s">
        <v>36</v>
      </c>
      <c r="G5" s="363"/>
      <c r="H5" s="364"/>
    </row>
    <row r="6" spans="1:8" ht="15" hidden="1" thickBot="1" x14ac:dyDescent="0.35">
      <c r="A6" s="355" t="s">
        <v>0</v>
      </c>
      <c r="B6" s="356"/>
      <c r="C6" s="355" t="s">
        <v>42</v>
      </c>
      <c r="D6" s="357"/>
      <c r="E6" s="358"/>
      <c r="F6" s="43" t="s">
        <v>1</v>
      </c>
      <c r="G6" s="44">
        <f>5500+1000</f>
        <v>6500</v>
      </c>
      <c r="H6" s="45" t="s">
        <v>2</v>
      </c>
    </row>
    <row r="7" spans="1:8" ht="15" hidden="1" thickBot="1" x14ac:dyDescent="0.35">
      <c r="A7" s="351" t="s">
        <v>3</v>
      </c>
      <c r="B7" s="352"/>
      <c r="C7" s="353"/>
      <c r="D7" s="353"/>
      <c r="E7" s="354"/>
      <c r="F7" s="46"/>
      <c r="G7" s="44">
        <v>3250</v>
      </c>
      <c r="H7" s="47" t="s">
        <v>4</v>
      </c>
    </row>
    <row r="8" spans="1:8" hidden="1" x14ac:dyDescent="0.3">
      <c r="A8" s="326" t="s">
        <v>5</v>
      </c>
      <c r="B8" s="341"/>
      <c r="C8" s="326" t="s">
        <v>6</v>
      </c>
      <c r="D8" s="341"/>
      <c r="E8" s="326" t="s">
        <v>7</v>
      </c>
      <c r="F8" s="327"/>
      <c r="G8" s="342" t="s">
        <v>8</v>
      </c>
      <c r="H8" s="343"/>
    </row>
    <row r="9" spans="1:8" hidden="1" x14ac:dyDescent="0.3">
      <c r="A9" s="344">
        <f>+F20</f>
        <v>8.8333333333333321</v>
      </c>
      <c r="B9" s="345"/>
      <c r="C9" s="346">
        <f>+G20</f>
        <v>0</v>
      </c>
      <c r="D9" s="345"/>
      <c r="E9" s="347">
        <f>470+100</f>
        <v>570</v>
      </c>
      <c r="F9" s="348"/>
      <c r="G9" s="349">
        <f>+C9*E9</f>
        <v>0</v>
      </c>
      <c r="H9" s="350"/>
    </row>
    <row r="10" spans="1:8" hidden="1" x14ac:dyDescent="0.3">
      <c r="A10" s="326"/>
      <c r="B10" s="327"/>
      <c r="C10" s="328"/>
      <c r="D10" s="327"/>
      <c r="E10" s="329"/>
      <c r="F10" s="330"/>
      <c r="G10" s="331" t="s">
        <v>9</v>
      </c>
      <c r="H10" s="332"/>
    </row>
    <row r="11" spans="1:8" ht="16.2" hidden="1" thickBot="1" x14ac:dyDescent="0.35">
      <c r="A11" s="333"/>
      <c r="B11" s="334"/>
      <c r="C11" s="335"/>
      <c r="D11" s="336"/>
      <c r="E11" s="337"/>
      <c r="F11" s="338"/>
      <c r="G11" s="339">
        <f>+G9+E11+H20-H21</f>
        <v>6500</v>
      </c>
      <c r="H11" s="340"/>
    </row>
    <row r="12" spans="1:8" ht="29.4" hidden="1" thickBot="1" x14ac:dyDescent="0.35">
      <c r="A12" s="6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7" t="s">
        <v>15</v>
      </c>
      <c r="G12" s="7" t="s">
        <v>16</v>
      </c>
      <c r="H12" s="8" t="s">
        <v>17</v>
      </c>
    </row>
    <row r="13" spans="1:8" hidden="1" x14ac:dyDescent="0.3">
      <c r="A13" s="63"/>
      <c r="B13" s="24" t="s">
        <v>24</v>
      </c>
      <c r="C13" s="29">
        <v>45127</v>
      </c>
      <c r="D13" s="25"/>
      <c r="E13" s="26"/>
      <c r="F13" s="28">
        <f t="shared" ref="F13:F19" si="0">(IF(D13&gt;E13,E13+1-D13,E13-D13))*24</f>
        <v>0</v>
      </c>
      <c r="G13" s="31">
        <v>0</v>
      </c>
      <c r="H13" s="27">
        <v>0</v>
      </c>
    </row>
    <row r="14" spans="1:8" hidden="1" x14ac:dyDescent="0.3">
      <c r="A14" s="23"/>
      <c r="B14" s="24" t="s">
        <v>25</v>
      </c>
      <c r="C14" s="29">
        <v>45128</v>
      </c>
      <c r="D14" s="25"/>
      <c r="E14" s="26"/>
      <c r="F14" s="28">
        <f t="shared" si="0"/>
        <v>0</v>
      </c>
      <c r="G14" s="31">
        <v>0</v>
      </c>
      <c r="H14" s="27">
        <v>0</v>
      </c>
    </row>
    <row r="15" spans="1:8" hidden="1" x14ac:dyDescent="0.3">
      <c r="A15" s="10"/>
      <c r="B15" s="11" t="s">
        <v>18</v>
      </c>
      <c r="C15" s="67">
        <v>45129</v>
      </c>
      <c r="D15" s="18">
        <v>0.31944444444444448</v>
      </c>
      <c r="E15" s="20">
        <v>0.6875</v>
      </c>
      <c r="F15" s="59">
        <f t="shared" si="0"/>
        <v>8.8333333333333321</v>
      </c>
      <c r="G15" s="21">
        <v>0</v>
      </c>
      <c r="H15" s="22">
        <v>6500</v>
      </c>
    </row>
    <row r="16" spans="1:8" hidden="1" x14ac:dyDescent="0.3">
      <c r="A16" s="23"/>
      <c r="B16" s="24" t="s">
        <v>19</v>
      </c>
      <c r="C16" s="29">
        <v>45130</v>
      </c>
      <c r="D16" s="25"/>
      <c r="E16" s="26"/>
      <c r="F16" s="28">
        <f t="shared" si="0"/>
        <v>0</v>
      </c>
      <c r="G16" s="31">
        <v>0</v>
      </c>
      <c r="H16" s="27">
        <v>0</v>
      </c>
    </row>
    <row r="17" spans="1:8" hidden="1" x14ac:dyDescent="0.3">
      <c r="A17" s="23"/>
      <c r="B17" s="24" t="s">
        <v>20</v>
      </c>
      <c r="C17" s="29">
        <v>45131</v>
      </c>
      <c r="D17" s="25"/>
      <c r="E17" s="26"/>
      <c r="F17" s="28">
        <f t="shared" si="0"/>
        <v>0</v>
      </c>
      <c r="G17" s="31">
        <v>0</v>
      </c>
      <c r="H17" s="27">
        <v>0</v>
      </c>
    </row>
    <row r="18" spans="1:8" hidden="1" x14ac:dyDescent="0.3">
      <c r="A18" s="23"/>
      <c r="B18" s="24" t="s">
        <v>21</v>
      </c>
      <c r="C18" s="29">
        <v>45132</v>
      </c>
      <c r="D18" s="25"/>
      <c r="E18" s="26"/>
      <c r="F18" s="28">
        <f t="shared" si="0"/>
        <v>0</v>
      </c>
      <c r="G18" s="31">
        <v>0</v>
      </c>
      <c r="H18" s="27">
        <v>0</v>
      </c>
    </row>
    <row r="19" spans="1:8" hidden="1" x14ac:dyDescent="0.3">
      <c r="A19" s="23"/>
      <c r="B19" s="24" t="s">
        <v>22</v>
      </c>
      <c r="C19" s="29">
        <v>45133</v>
      </c>
      <c r="D19" s="25"/>
      <c r="E19" s="26"/>
      <c r="F19" s="28">
        <f t="shared" si="0"/>
        <v>0</v>
      </c>
      <c r="G19" s="31">
        <v>0</v>
      </c>
      <c r="H19" s="27">
        <v>0</v>
      </c>
    </row>
    <row r="20" spans="1:8" hidden="1" x14ac:dyDescent="0.3">
      <c r="A20" s="309"/>
      <c r="B20" s="310"/>
      <c r="C20" s="17"/>
      <c r="E20" s="32" t="s">
        <v>23</v>
      </c>
      <c r="F20" s="33">
        <f>SUM(F13:F19)</f>
        <v>8.8333333333333321</v>
      </c>
      <c r="G20" s="33">
        <f>SUM(G13:G19)</f>
        <v>0</v>
      </c>
      <c r="H20" s="34">
        <f>SUM(H13:H19)</f>
        <v>6500</v>
      </c>
    </row>
    <row r="21" spans="1:8" hidden="1" x14ac:dyDescent="0.3">
      <c r="A21" s="311"/>
      <c r="B21" s="312"/>
      <c r="C21" s="17"/>
      <c r="E21" s="313" t="s">
        <v>26</v>
      </c>
      <c r="F21" s="314"/>
      <c r="G21" s="315"/>
      <c r="H21" s="37"/>
    </row>
    <row r="22" spans="1:8" ht="17.399999999999999" hidden="1" customHeight="1" thickBot="1" x14ac:dyDescent="0.35">
      <c r="A22" s="316" t="s">
        <v>27</v>
      </c>
      <c r="B22" s="317"/>
      <c r="C22" s="318"/>
      <c r="D22" s="319"/>
      <c r="E22" s="319"/>
      <c r="F22" s="319"/>
      <c r="G22" s="319"/>
      <c r="H22" s="320"/>
    </row>
    <row r="23" spans="1:8" ht="23.4" hidden="1" customHeight="1" x14ac:dyDescent="0.3">
      <c r="A23" s="324" t="s">
        <v>28</v>
      </c>
      <c r="B23" s="325"/>
      <c r="C23" s="321"/>
      <c r="D23" s="322"/>
      <c r="E23" s="322"/>
      <c r="F23" s="322"/>
      <c r="G23" s="322"/>
      <c r="H23" s="323"/>
    </row>
    <row r="24" spans="1:8" ht="15" hidden="1" thickBot="1" x14ac:dyDescent="0.35"/>
    <row r="25" spans="1:8" ht="15" thickBot="1" x14ac:dyDescent="0.35">
      <c r="A25" s="355" t="s">
        <v>0</v>
      </c>
      <c r="B25" s="356"/>
      <c r="C25" s="355" t="s">
        <v>43</v>
      </c>
      <c r="D25" s="357"/>
      <c r="E25" s="358"/>
      <c r="F25" s="43" t="s">
        <v>1</v>
      </c>
      <c r="G25" s="44">
        <f>5500+1000</f>
        <v>6500</v>
      </c>
      <c r="H25" s="45" t="s">
        <v>2</v>
      </c>
    </row>
    <row r="26" spans="1:8" ht="15" thickBot="1" x14ac:dyDescent="0.35">
      <c r="A26" s="351" t="s">
        <v>3</v>
      </c>
      <c r="B26" s="352"/>
      <c r="C26" s="353"/>
      <c r="D26" s="353"/>
      <c r="E26" s="354"/>
      <c r="F26" s="46"/>
      <c r="G26" s="44">
        <v>3250</v>
      </c>
      <c r="H26" s="47" t="s">
        <v>4</v>
      </c>
    </row>
    <row r="27" spans="1:8" x14ac:dyDescent="0.3">
      <c r="A27" s="326" t="s">
        <v>5</v>
      </c>
      <c r="B27" s="341"/>
      <c r="C27" s="326" t="s">
        <v>6</v>
      </c>
      <c r="D27" s="341"/>
      <c r="E27" s="326" t="s">
        <v>7</v>
      </c>
      <c r="F27" s="327"/>
      <c r="G27" s="342" t="s">
        <v>8</v>
      </c>
      <c r="H27" s="343"/>
    </row>
    <row r="28" spans="1:8" x14ac:dyDescent="0.3">
      <c r="A28" s="344">
        <f>+F39</f>
        <v>14.33333333333333</v>
      </c>
      <c r="B28" s="345"/>
      <c r="C28" s="346">
        <f>+G39</f>
        <v>2.33</v>
      </c>
      <c r="D28" s="345"/>
      <c r="E28" s="347">
        <f>470+100</f>
        <v>570</v>
      </c>
      <c r="F28" s="348"/>
      <c r="G28" s="349">
        <f>+C28*E28</f>
        <v>1328.1000000000001</v>
      </c>
      <c r="H28" s="350"/>
    </row>
    <row r="29" spans="1:8" x14ac:dyDescent="0.3">
      <c r="A29" s="326"/>
      <c r="B29" s="327"/>
      <c r="C29" s="328"/>
      <c r="D29" s="327"/>
      <c r="E29" s="329"/>
      <c r="F29" s="330"/>
      <c r="G29" s="331" t="s">
        <v>38</v>
      </c>
      <c r="H29" s="332"/>
    </row>
    <row r="30" spans="1:8" ht="16.2" thickBot="1" x14ac:dyDescent="0.35">
      <c r="A30" s="333"/>
      <c r="B30" s="334"/>
      <c r="C30" s="335"/>
      <c r="D30" s="336"/>
      <c r="E30" s="337"/>
      <c r="F30" s="338"/>
      <c r="G30" s="339">
        <f>+G28+E30+H39-H40</f>
        <v>7828.1</v>
      </c>
      <c r="H30" s="340"/>
    </row>
    <row r="31" spans="1:8" ht="29.4" thickBot="1" x14ac:dyDescent="0.35">
      <c r="A31" s="6" t="s">
        <v>10</v>
      </c>
      <c r="B31" s="7" t="s">
        <v>11</v>
      </c>
      <c r="C31" s="7" t="s">
        <v>12</v>
      </c>
      <c r="D31" s="7" t="s">
        <v>13</v>
      </c>
      <c r="E31" s="7" t="s">
        <v>14</v>
      </c>
      <c r="F31" s="7" t="s">
        <v>15</v>
      </c>
      <c r="G31" s="7" t="s">
        <v>16</v>
      </c>
      <c r="H31" s="8" t="s">
        <v>17</v>
      </c>
    </row>
    <row r="32" spans="1:8" x14ac:dyDescent="0.3">
      <c r="A32" s="63"/>
      <c r="B32" s="24" t="s">
        <v>24</v>
      </c>
      <c r="C32" s="29">
        <v>45127</v>
      </c>
      <c r="D32" s="25"/>
      <c r="E32" s="26"/>
      <c r="F32" s="28">
        <f t="shared" ref="F32:F38" si="1">(IF(D32&gt;E32,E32+1-D32,E32-D32))*24</f>
        <v>0</v>
      </c>
      <c r="G32" s="31">
        <v>0</v>
      </c>
      <c r="H32" s="27">
        <v>0</v>
      </c>
    </row>
    <row r="33" spans="1:8" x14ac:dyDescent="0.3">
      <c r="A33" s="10"/>
      <c r="B33" s="11" t="s">
        <v>25</v>
      </c>
      <c r="C33" s="29">
        <v>45128</v>
      </c>
      <c r="D33" s="18">
        <v>0.31944444444444448</v>
      </c>
      <c r="E33" s="20">
        <v>0.91666666666666663</v>
      </c>
      <c r="F33" s="28">
        <f t="shared" si="1"/>
        <v>14.33333333333333</v>
      </c>
      <c r="G33" s="21">
        <v>2.33</v>
      </c>
      <c r="H33" s="22">
        <v>6500</v>
      </c>
    </row>
    <row r="34" spans="1:8" x14ac:dyDescent="0.3">
      <c r="A34" s="23"/>
      <c r="B34" s="24" t="s">
        <v>18</v>
      </c>
      <c r="C34" s="29">
        <v>45129</v>
      </c>
      <c r="D34" s="25"/>
      <c r="E34" s="26"/>
      <c r="F34" s="28">
        <f t="shared" si="1"/>
        <v>0</v>
      </c>
      <c r="G34" s="31">
        <v>0</v>
      </c>
      <c r="H34" s="27">
        <v>0</v>
      </c>
    </row>
    <row r="35" spans="1:8" x14ac:dyDescent="0.3">
      <c r="A35" s="23"/>
      <c r="B35" s="24" t="s">
        <v>19</v>
      </c>
      <c r="C35" s="29">
        <v>45130</v>
      </c>
      <c r="D35" s="25"/>
      <c r="E35" s="26"/>
      <c r="F35" s="28">
        <f t="shared" si="1"/>
        <v>0</v>
      </c>
      <c r="G35" s="31">
        <v>0</v>
      </c>
      <c r="H35" s="27">
        <v>0</v>
      </c>
    </row>
    <row r="36" spans="1:8" x14ac:dyDescent="0.3">
      <c r="A36" s="23"/>
      <c r="B36" s="24" t="s">
        <v>20</v>
      </c>
      <c r="C36" s="29">
        <v>45131</v>
      </c>
      <c r="D36" s="25"/>
      <c r="E36" s="26"/>
      <c r="F36" s="28">
        <f t="shared" si="1"/>
        <v>0</v>
      </c>
      <c r="G36" s="31">
        <v>0</v>
      </c>
      <c r="H36" s="27">
        <v>0</v>
      </c>
    </row>
    <row r="37" spans="1:8" x14ac:dyDescent="0.3">
      <c r="A37" s="23"/>
      <c r="B37" s="24" t="s">
        <v>21</v>
      </c>
      <c r="C37" s="29">
        <v>45132</v>
      </c>
      <c r="D37" s="25"/>
      <c r="E37" s="26"/>
      <c r="F37" s="28">
        <f t="shared" si="1"/>
        <v>0</v>
      </c>
      <c r="G37" s="31">
        <v>0</v>
      </c>
      <c r="H37" s="27">
        <v>0</v>
      </c>
    </row>
    <row r="38" spans="1:8" x14ac:dyDescent="0.3">
      <c r="A38" s="23"/>
      <c r="B38" s="24" t="s">
        <v>22</v>
      </c>
      <c r="C38" s="29">
        <v>45133</v>
      </c>
      <c r="D38" s="25"/>
      <c r="E38" s="26"/>
      <c r="F38" s="28">
        <f t="shared" si="1"/>
        <v>0</v>
      </c>
      <c r="G38" s="31">
        <v>0</v>
      </c>
      <c r="H38" s="27"/>
    </row>
    <row r="39" spans="1:8" x14ac:dyDescent="0.3">
      <c r="A39" s="309"/>
      <c r="B39" s="310"/>
      <c r="C39" s="17"/>
      <c r="E39" s="32" t="s">
        <v>23</v>
      </c>
      <c r="F39" s="33">
        <f>SUM(F32:F38)</f>
        <v>14.33333333333333</v>
      </c>
      <c r="G39" s="33">
        <f>SUM(G32:G38)</f>
        <v>2.33</v>
      </c>
      <c r="H39" s="34">
        <f>SUM(H32:H38)</f>
        <v>6500</v>
      </c>
    </row>
    <row r="40" spans="1:8" x14ac:dyDescent="0.3">
      <c r="A40" s="311"/>
      <c r="B40" s="312"/>
      <c r="C40" s="17"/>
      <c r="E40" s="313" t="s">
        <v>26</v>
      </c>
      <c r="F40" s="314"/>
      <c r="G40" s="315"/>
      <c r="H40" s="37"/>
    </row>
    <row r="41" spans="1:8" ht="15" thickBot="1" x14ac:dyDescent="0.35">
      <c r="A41" s="316" t="s">
        <v>27</v>
      </c>
      <c r="B41" s="317"/>
      <c r="C41" s="318"/>
      <c r="D41" s="319"/>
      <c r="E41" s="319"/>
      <c r="F41" s="319"/>
      <c r="G41" s="319"/>
      <c r="H41" s="320"/>
    </row>
    <row r="42" spans="1:8" x14ac:dyDescent="0.3">
      <c r="A42" s="324" t="s">
        <v>28</v>
      </c>
      <c r="B42" s="325"/>
      <c r="C42" s="321"/>
      <c r="D42" s="322"/>
      <c r="E42" s="322"/>
      <c r="F42" s="322"/>
      <c r="G42" s="322"/>
      <c r="H42" s="323"/>
    </row>
    <row r="44" spans="1:8" ht="15" thickBot="1" x14ac:dyDescent="0.35"/>
    <row r="45" spans="1:8" ht="15" thickBot="1" x14ac:dyDescent="0.35">
      <c r="A45" s="355" t="s">
        <v>0</v>
      </c>
      <c r="B45" s="356"/>
      <c r="C45" s="355" t="s">
        <v>44</v>
      </c>
      <c r="D45" s="357"/>
      <c r="E45" s="358"/>
      <c r="F45" s="43" t="s">
        <v>1</v>
      </c>
      <c r="G45" s="44">
        <f>5500+1000</f>
        <v>6500</v>
      </c>
      <c r="H45" s="45" t="s">
        <v>2</v>
      </c>
    </row>
    <row r="46" spans="1:8" ht="15" thickBot="1" x14ac:dyDescent="0.35">
      <c r="A46" s="351" t="s">
        <v>3</v>
      </c>
      <c r="B46" s="352"/>
      <c r="C46" s="353"/>
      <c r="D46" s="353"/>
      <c r="E46" s="354"/>
      <c r="F46" s="46"/>
      <c r="G46" s="44">
        <v>3250</v>
      </c>
      <c r="H46" s="47" t="s">
        <v>4</v>
      </c>
    </row>
    <row r="47" spans="1:8" x14ac:dyDescent="0.3">
      <c r="A47" s="326" t="s">
        <v>5</v>
      </c>
      <c r="B47" s="341"/>
      <c r="C47" s="326" t="s">
        <v>6</v>
      </c>
      <c r="D47" s="341"/>
      <c r="E47" s="326" t="s">
        <v>7</v>
      </c>
      <c r="F47" s="327"/>
      <c r="G47" s="342" t="s">
        <v>8</v>
      </c>
      <c r="H47" s="343"/>
    </row>
    <row r="48" spans="1:8" x14ac:dyDescent="0.3">
      <c r="A48" s="344">
        <f>+F59</f>
        <v>18.25</v>
      </c>
      <c r="B48" s="345"/>
      <c r="C48" s="346">
        <f>+G59</f>
        <v>1.25</v>
      </c>
      <c r="D48" s="345"/>
      <c r="E48" s="347">
        <f>470+100</f>
        <v>570</v>
      </c>
      <c r="F48" s="348"/>
      <c r="G48" s="349">
        <f>+C48*E48</f>
        <v>712.5</v>
      </c>
      <c r="H48" s="350"/>
    </row>
    <row r="49" spans="1:8" x14ac:dyDescent="0.3">
      <c r="A49" s="326"/>
      <c r="B49" s="327"/>
      <c r="C49" s="328"/>
      <c r="D49" s="327"/>
      <c r="E49" s="329"/>
      <c r="F49" s="330"/>
      <c r="G49" s="331" t="s">
        <v>9</v>
      </c>
      <c r="H49" s="332"/>
    </row>
    <row r="50" spans="1:8" ht="16.2" thickBot="1" x14ac:dyDescent="0.35">
      <c r="A50" s="333"/>
      <c r="B50" s="334"/>
      <c r="C50" s="335"/>
      <c r="D50" s="336"/>
      <c r="E50" s="337"/>
      <c r="F50" s="338"/>
      <c r="G50" s="339">
        <f>+G48+E50+H59-H60</f>
        <v>10462.5</v>
      </c>
      <c r="H50" s="340"/>
    </row>
    <row r="51" spans="1:8" ht="29.4" thickBot="1" x14ac:dyDescent="0.35">
      <c r="A51" s="6" t="s">
        <v>10</v>
      </c>
      <c r="B51" s="7" t="s">
        <v>11</v>
      </c>
      <c r="C51" s="7" t="s">
        <v>12</v>
      </c>
      <c r="D51" s="7" t="s">
        <v>13</v>
      </c>
      <c r="E51" s="7" t="s">
        <v>14</v>
      </c>
      <c r="F51" s="7" t="s">
        <v>15</v>
      </c>
      <c r="G51" s="7" t="s">
        <v>16</v>
      </c>
      <c r="H51" s="8" t="s">
        <v>17</v>
      </c>
    </row>
    <row r="52" spans="1:8" x14ac:dyDescent="0.3">
      <c r="A52" s="63"/>
      <c r="B52" s="24" t="s">
        <v>24</v>
      </c>
      <c r="C52" s="29">
        <v>45127</v>
      </c>
      <c r="D52" s="25"/>
      <c r="E52" s="26"/>
      <c r="F52" s="28">
        <f t="shared" ref="F52:F58" si="2">(IF(D52&gt;E52,E52+1-D52,E52-D52))*24</f>
        <v>0</v>
      </c>
      <c r="G52" s="31">
        <v>0</v>
      </c>
      <c r="H52" s="27">
        <v>0</v>
      </c>
    </row>
    <row r="53" spans="1:8" x14ac:dyDescent="0.3">
      <c r="A53" s="23"/>
      <c r="B53" s="24" t="s">
        <v>25</v>
      </c>
      <c r="C53" s="29">
        <v>45128</v>
      </c>
      <c r="D53" s="25"/>
      <c r="E53" s="26"/>
      <c r="F53" s="28">
        <f t="shared" si="2"/>
        <v>0</v>
      </c>
      <c r="G53" s="31">
        <v>0</v>
      </c>
      <c r="H53" s="27">
        <v>0</v>
      </c>
    </row>
    <row r="54" spans="1:8" x14ac:dyDescent="0.3">
      <c r="A54" s="10"/>
      <c r="B54" s="11" t="s">
        <v>18</v>
      </c>
      <c r="C54" s="29">
        <v>45129</v>
      </c>
      <c r="D54" s="18">
        <v>0.38541666666666669</v>
      </c>
      <c r="E54" s="20">
        <v>0.6875</v>
      </c>
      <c r="F54" s="28">
        <f t="shared" si="2"/>
        <v>7.25</v>
      </c>
      <c r="G54" s="21">
        <v>1.25</v>
      </c>
      <c r="H54" s="22">
        <v>3250</v>
      </c>
    </row>
    <row r="55" spans="1:8" x14ac:dyDescent="0.3">
      <c r="A55" s="23"/>
      <c r="B55" s="24" t="s">
        <v>19</v>
      </c>
      <c r="C55" s="29">
        <v>45130</v>
      </c>
      <c r="D55" s="25"/>
      <c r="E55" s="26"/>
      <c r="F55" s="28">
        <f t="shared" si="2"/>
        <v>0</v>
      </c>
      <c r="G55" s="31">
        <v>0</v>
      </c>
      <c r="H55" s="27">
        <v>0</v>
      </c>
    </row>
    <row r="56" spans="1:8" x14ac:dyDescent="0.3">
      <c r="A56" s="10"/>
      <c r="B56" s="11" t="s">
        <v>20</v>
      </c>
      <c r="C56" s="29">
        <v>45131</v>
      </c>
      <c r="D56" s="18">
        <v>0.29166666666666669</v>
      </c>
      <c r="E56" s="20">
        <v>0.75</v>
      </c>
      <c r="F56" s="28">
        <f t="shared" si="2"/>
        <v>11</v>
      </c>
      <c r="G56" s="21">
        <v>0</v>
      </c>
      <c r="H56" s="22">
        <v>6500</v>
      </c>
    </row>
    <row r="57" spans="1:8" x14ac:dyDescent="0.3">
      <c r="A57" s="23"/>
      <c r="B57" s="24" t="s">
        <v>21</v>
      </c>
      <c r="C57" s="29">
        <v>45132</v>
      </c>
      <c r="D57" s="25"/>
      <c r="E57" s="26"/>
      <c r="F57" s="28">
        <f t="shared" si="2"/>
        <v>0</v>
      </c>
      <c r="G57" s="31">
        <v>0</v>
      </c>
      <c r="H57" s="27">
        <v>0</v>
      </c>
    </row>
    <row r="58" spans="1:8" x14ac:dyDescent="0.3">
      <c r="A58" s="23"/>
      <c r="B58" s="24" t="s">
        <v>22</v>
      </c>
      <c r="C58" s="29">
        <v>45133</v>
      </c>
      <c r="D58" s="25"/>
      <c r="E58" s="26"/>
      <c r="F58" s="28">
        <f t="shared" si="2"/>
        <v>0</v>
      </c>
      <c r="G58" s="31">
        <v>0</v>
      </c>
      <c r="H58" s="27">
        <v>0</v>
      </c>
    </row>
    <row r="59" spans="1:8" x14ac:dyDescent="0.3">
      <c r="A59" s="309"/>
      <c r="B59" s="310"/>
      <c r="C59" s="17"/>
      <c r="E59" s="32" t="s">
        <v>23</v>
      </c>
      <c r="F59" s="33">
        <f>SUM(F52:F58)</f>
        <v>18.25</v>
      </c>
      <c r="G59" s="33">
        <f>SUM(G52:G58)</f>
        <v>1.25</v>
      </c>
      <c r="H59" s="34">
        <f>SUM(H52:H58)</f>
        <v>9750</v>
      </c>
    </row>
    <row r="60" spans="1:8" x14ac:dyDescent="0.3">
      <c r="A60" s="311"/>
      <c r="B60" s="312"/>
      <c r="C60" s="17"/>
      <c r="E60" s="313" t="s">
        <v>26</v>
      </c>
      <c r="F60" s="314"/>
      <c r="G60" s="315"/>
      <c r="H60" s="37"/>
    </row>
    <row r="61" spans="1:8" ht="16.95" customHeight="1" thickBot="1" x14ac:dyDescent="0.35">
      <c r="A61" s="316" t="s">
        <v>27</v>
      </c>
      <c r="B61" s="317"/>
      <c r="C61" s="318"/>
      <c r="D61" s="319"/>
      <c r="E61" s="319"/>
      <c r="F61" s="319"/>
      <c r="G61" s="319"/>
      <c r="H61" s="320"/>
    </row>
    <row r="62" spans="1:8" ht="23.4" customHeight="1" x14ac:dyDescent="0.3">
      <c r="A62" s="324" t="s">
        <v>28</v>
      </c>
      <c r="B62" s="325"/>
      <c r="C62" s="321"/>
      <c r="D62" s="322"/>
      <c r="E62" s="322"/>
      <c r="F62" s="322"/>
      <c r="G62" s="322"/>
      <c r="H62" s="323"/>
    </row>
  </sheetData>
  <mergeCells count="80">
    <mergeCell ref="A5:E5"/>
    <mergeCell ref="F5:H5"/>
    <mergeCell ref="A6:B6"/>
    <mergeCell ref="C6:E6"/>
    <mergeCell ref="A7:B7"/>
    <mergeCell ref="C7:E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20:B20"/>
    <mergeCell ref="A21:B21"/>
    <mergeCell ref="E21:G21"/>
    <mergeCell ref="A22:B22"/>
    <mergeCell ref="C22:H23"/>
    <mergeCell ref="A23:B23"/>
    <mergeCell ref="A29:B29"/>
    <mergeCell ref="C29:D29"/>
    <mergeCell ref="E29:F29"/>
    <mergeCell ref="G29:H29"/>
    <mergeCell ref="A25:B25"/>
    <mergeCell ref="C25:E25"/>
    <mergeCell ref="A26:B26"/>
    <mergeCell ref="C26:E26"/>
    <mergeCell ref="A27:B27"/>
    <mergeCell ref="C27:D27"/>
    <mergeCell ref="E27:F27"/>
    <mergeCell ref="G27:H27"/>
    <mergeCell ref="A28:B28"/>
    <mergeCell ref="C28:D28"/>
    <mergeCell ref="E28:F28"/>
    <mergeCell ref="G28:H28"/>
    <mergeCell ref="A46:B46"/>
    <mergeCell ref="C46:E46"/>
    <mergeCell ref="A30:B30"/>
    <mergeCell ref="C30:D30"/>
    <mergeCell ref="E30:F30"/>
    <mergeCell ref="A41:B41"/>
    <mergeCell ref="C41:H42"/>
    <mergeCell ref="A42:B42"/>
    <mergeCell ref="A45:B45"/>
    <mergeCell ref="C45:E45"/>
    <mergeCell ref="G30:H30"/>
    <mergeCell ref="A39:B39"/>
    <mergeCell ref="A40:B40"/>
    <mergeCell ref="E40:G40"/>
    <mergeCell ref="A47:B47"/>
    <mergeCell ref="C47:D47"/>
    <mergeCell ref="E47:F47"/>
    <mergeCell ref="G47:H47"/>
    <mergeCell ref="A48:B48"/>
    <mergeCell ref="C48:D48"/>
    <mergeCell ref="E48:F48"/>
    <mergeCell ref="G48:H48"/>
    <mergeCell ref="A49:B49"/>
    <mergeCell ref="C49:D49"/>
    <mergeCell ref="E49:F49"/>
    <mergeCell ref="G49:H49"/>
    <mergeCell ref="A50:B50"/>
    <mergeCell ref="C50:D50"/>
    <mergeCell ref="E50:F50"/>
    <mergeCell ref="G50:H50"/>
    <mergeCell ref="A59:B59"/>
    <mergeCell ref="A60:B60"/>
    <mergeCell ref="E60:G60"/>
    <mergeCell ref="A61:B61"/>
    <mergeCell ref="C61:H62"/>
    <mergeCell ref="A62:B62"/>
  </mergeCells>
  <pageMargins left="0.70866141732283472" right="0.70866141732283472" top="0.74803149606299213" bottom="0.74803149606299213" header="0.31496062992125984" footer="0.31496062992125984"/>
  <pageSetup paperSize="9" scale="7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selection activeCell="I26" sqref="I26"/>
    </sheetView>
  </sheetViews>
  <sheetFormatPr baseColWidth="10" defaultRowHeight="14.4" x14ac:dyDescent="0.3"/>
  <cols>
    <col min="1" max="1" width="14.6640625" customWidth="1"/>
    <col min="4" max="4" width="15" customWidth="1"/>
    <col min="5" max="7" width="15.33203125" customWidth="1"/>
    <col min="8" max="8" width="13.33203125" customWidth="1"/>
  </cols>
  <sheetData>
    <row r="1" spans="1:8" x14ac:dyDescent="0.3">
      <c r="A1" s="1"/>
      <c r="B1" s="2"/>
      <c r="C1" s="2"/>
      <c r="D1" s="2"/>
      <c r="E1" s="2"/>
      <c r="F1" s="2"/>
      <c r="G1" s="2"/>
      <c r="H1" s="3"/>
    </row>
    <row r="2" spans="1:8" x14ac:dyDescent="0.3">
      <c r="A2" s="4"/>
      <c r="H2" s="5"/>
    </row>
    <row r="3" spans="1:8" x14ac:dyDescent="0.3">
      <c r="A3" s="4"/>
      <c r="H3" s="5"/>
    </row>
    <row r="4" spans="1:8" ht="15" thickBot="1" x14ac:dyDescent="0.35">
      <c r="A4" s="60"/>
      <c r="B4" s="61"/>
      <c r="C4" s="61"/>
      <c r="D4" s="61"/>
      <c r="E4" s="61"/>
      <c r="F4" s="61"/>
      <c r="G4" s="61"/>
      <c r="H4" s="62"/>
    </row>
    <row r="5" spans="1:8" ht="16.2" thickBot="1" x14ac:dyDescent="0.35">
      <c r="A5" s="359" t="s">
        <v>35</v>
      </c>
      <c r="B5" s="360"/>
      <c r="C5" s="360"/>
      <c r="D5" s="360"/>
      <c r="E5" s="361"/>
      <c r="F5" s="362" t="s">
        <v>36</v>
      </c>
      <c r="G5" s="363"/>
      <c r="H5" s="364"/>
    </row>
    <row r="6" spans="1:8" ht="15" thickBot="1" x14ac:dyDescent="0.35">
      <c r="A6" s="355" t="s">
        <v>0</v>
      </c>
      <c r="B6" s="356"/>
      <c r="C6" s="355" t="s">
        <v>41</v>
      </c>
      <c r="D6" s="357"/>
      <c r="E6" s="358"/>
      <c r="F6" s="43" t="s">
        <v>1</v>
      </c>
      <c r="G6" s="44">
        <f>5500+1000</f>
        <v>6500</v>
      </c>
      <c r="H6" s="45" t="s">
        <v>2</v>
      </c>
    </row>
    <row r="7" spans="1:8" ht="15" thickBot="1" x14ac:dyDescent="0.35">
      <c r="A7" s="351" t="s">
        <v>3</v>
      </c>
      <c r="B7" s="352"/>
      <c r="C7" s="353">
        <v>29964833</v>
      </c>
      <c r="D7" s="353"/>
      <c r="E7" s="354"/>
      <c r="F7" s="46"/>
      <c r="G7" s="44">
        <v>3250</v>
      </c>
      <c r="H7" s="47" t="s">
        <v>4</v>
      </c>
    </row>
    <row r="8" spans="1:8" x14ac:dyDescent="0.3">
      <c r="A8" s="326" t="s">
        <v>5</v>
      </c>
      <c r="B8" s="341"/>
      <c r="C8" s="326" t="s">
        <v>6</v>
      </c>
      <c r="D8" s="341"/>
      <c r="E8" s="326" t="s">
        <v>7</v>
      </c>
      <c r="F8" s="327"/>
      <c r="G8" s="342" t="s">
        <v>8</v>
      </c>
      <c r="H8" s="343"/>
    </row>
    <row r="9" spans="1:8" x14ac:dyDescent="0.3">
      <c r="A9" s="344">
        <f>+F20</f>
        <v>29.150000000000002</v>
      </c>
      <c r="B9" s="345"/>
      <c r="C9" s="346">
        <f>+G20</f>
        <v>0</v>
      </c>
      <c r="D9" s="345"/>
      <c r="E9" s="347">
        <f>470+100</f>
        <v>570</v>
      </c>
      <c r="F9" s="348"/>
      <c r="G9" s="349">
        <f>+C9*E9</f>
        <v>0</v>
      </c>
      <c r="H9" s="350"/>
    </row>
    <row r="10" spans="1:8" x14ac:dyDescent="0.3">
      <c r="A10" s="326"/>
      <c r="B10" s="327"/>
      <c r="C10" s="328"/>
      <c r="D10" s="327"/>
      <c r="E10" s="329"/>
      <c r="F10" s="330"/>
      <c r="G10" s="331" t="s">
        <v>9</v>
      </c>
      <c r="H10" s="332"/>
    </row>
    <row r="11" spans="1:8" ht="16.2" thickBot="1" x14ac:dyDescent="0.35">
      <c r="A11" s="333"/>
      <c r="B11" s="334"/>
      <c r="C11" s="335"/>
      <c r="D11" s="336"/>
      <c r="E11" s="337"/>
      <c r="F11" s="338"/>
      <c r="G11" s="339">
        <f>+G9+E11+H20-H21</f>
        <v>19500</v>
      </c>
      <c r="H11" s="340"/>
    </row>
    <row r="12" spans="1:8" ht="29.4" thickBot="1" x14ac:dyDescent="0.35">
      <c r="A12" s="6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7" t="s">
        <v>15</v>
      </c>
      <c r="G12" s="7" t="s">
        <v>16</v>
      </c>
      <c r="H12" s="8" t="s">
        <v>17</v>
      </c>
    </row>
    <row r="13" spans="1:8" x14ac:dyDescent="0.3">
      <c r="A13" s="63"/>
      <c r="B13" s="24" t="s">
        <v>24</v>
      </c>
      <c r="C13" s="29">
        <v>45113</v>
      </c>
      <c r="D13" s="25"/>
      <c r="E13" s="26"/>
      <c r="F13" s="28">
        <f t="shared" ref="F13:F19" si="0">(IF(D13&gt;E13,E13+1-D13,E13-D13))*24</f>
        <v>0</v>
      </c>
      <c r="G13" s="31">
        <v>0</v>
      </c>
      <c r="H13" s="27"/>
    </row>
    <row r="14" spans="1:8" x14ac:dyDescent="0.3">
      <c r="A14" s="10"/>
      <c r="B14" s="11" t="s">
        <v>25</v>
      </c>
      <c r="C14" s="29">
        <v>45114</v>
      </c>
      <c r="D14" s="18">
        <v>0.35069444444444442</v>
      </c>
      <c r="E14" s="20">
        <v>0.74791666666666667</v>
      </c>
      <c r="F14" s="59">
        <f t="shared" si="0"/>
        <v>9.533333333333335</v>
      </c>
      <c r="G14" s="21">
        <v>0</v>
      </c>
      <c r="H14" s="22">
        <v>6500</v>
      </c>
    </row>
    <row r="15" spans="1:8" x14ac:dyDescent="0.3">
      <c r="A15" s="23"/>
      <c r="B15" s="24" t="s">
        <v>18</v>
      </c>
      <c r="C15" s="29">
        <v>45115</v>
      </c>
      <c r="D15" s="25"/>
      <c r="E15" s="26"/>
      <c r="F15" s="28">
        <f t="shared" si="0"/>
        <v>0</v>
      </c>
      <c r="G15" s="31">
        <v>0</v>
      </c>
      <c r="H15" s="27">
        <v>0</v>
      </c>
    </row>
    <row r="16" spans="1:8" x14ac:dyDescent="0.3">
      <c r="A16" s="23"/>
      <c r="B16" s="24" t="s">
        <v>19</v>
      </c>
      <c r="C16" s="29">
        <v>45116</v>
      </c>
      <c r="D16" s="25"/>
      <c r="E16" s="26"/>
      <c r="F16" s="28">
        <f t="shared" si="0"/>
        <v>0</v>
      </c>
      <c r="G16" s="31">
        <v>0</v>
      </c>
      <c r="H16" s="27">
        <v>0</v>
      </c>
    </row>
    <row r="17" spans="1:8" x14ac:dyDescent="0.3">
      <c r="A17" s="23"/>
      <c r="B17" s="24" t="s">
        <v>20</v>
      </c>
      <c r="C17" s="29">
        <v>45117</v>
      </c>
      <c r="D17" s="25"/>
      <c r="E17" s="26"/>
      <c r="F17" s="28">
        <f t="shared" si="0"/>
        <v>0</v>
      </c>
      <c r="G17" s="31">
        <v>0</v>
      </c>
      <c r="H17" s="27">
        <v>0</v>
      </c>
    </row>
    <row r="18" spans="1:8" x14ac:dyDescent="0.3">
      <c r="A18" s="10"/>
      <c r="B18" s="11" t="s">
        <v>21</v>
      </c>
      <c r="C18" s="29">
        <v>45118</v>
      </c>
      <c r="D18" s="18">
        <v>0.34027777777777773</v>
      </c>
      <c r="E18" s="20">
        <v>0.75</v>
      </c>
      <c r="F18" s="28">
        <f t="shared" si="0"/>
        <v>9.8333333333333339</v>
      </c>
      <c r="G18" s="21">
        <v>0</v>
      </c>
      <c r="H18" s="22">
        <v>6500</v>
      </c>
    </row>
    <row r="19" spans="1:8" x14ac:dyDescent="0.3">
      <c r="A19" s="10"/>
      <c r="B19" s="11" t="s">
        <v>22</v>
      </c>
      <c r="C19" s="29">
        <v>45119</v>
      </c>
      <c r="D19" s="18">
        <v>0.34652777777777777</v>
      </c>
      <c r="E19" s="20">
        <v>0.75416666666666676</v>
      </c>
      <c r="F19" s="28">
        <f t="shared" si="0"/>
        <v>9.783333333333335</v>
      </c>
      <c r="G19" s="21">
        <v>0</v>
      </c>
      <c r="H19" s="22">
        <v>6500</v>
      </c>
    </row>
    <row r="20" spans="1:8" x14ac:dyDescent="0.3">
      <c r="A20" s="309"/>
      <c r="B20" s="310"/>
      <c r="C20" s="17"/>
      <c r="E20" s="32" t="s">
        <v>23</v>
      </c>
      <c r="F20" s="33">
        <f>SUM(F13:F19)</f>
        <v>29.150000000000002</v>
      </c>
      <c r="G20" s="33">
        <f>SUM(G13:G19)</f>
        <v>0</v>
      </c>
      <c r="H20" s="34">
        <f>SUM(H13:H19)</f>
        <v>19500</v>
      </c>
    </row>
    <row r="21" spans="1:8" x14ac:dyDescent="0.3">
      <c r="A21" s="311"/>
      <c r="B21" s="312"/>
      <c r="C21" s="17"/>
      <c r="E21" s="313" t="s">
        <v>26</v>
      </c>
      <c r="F21" s="314"/>
      <c r="G21" s="315"/>
      <c r="H21" s="37"/>
    </row>
    <row r="22" spans="1:8" ht="19.2" customHeight="1" thickBot="1" x14ac:dyDescent="0.35">
      <c r="A22" s="316" t="s">
        <v>27</v>
      </c>
      <c r="B22" s="317"/>
      <c r="C22" s="318"/>
      <c r="D22" s="319"/>
      <c r="E22" s="319"/>
      <c r="F22" s="319"/>
      <c r="G22" s="319"/>
      <c r="H22" s="320"/>
    </row>
    <row r="23" spans="1:8" ht="23.4" customHeight="1" x14ac:dyDescent="0.3">
      <c r="A23" s="324" t="s">
        <v>28</v>
      </c>
      <c r="B23" s="325"/>
      <c r="C23" s="321"/>
      <c r="D23" s="322"/>
      <c r="E23" s="322"/>
      <c r="F23" s="322"/>
      <c r="G23" s="322"/>
      <c r="H23" s="323"/>
    </row>
    <row r="24" spans="1:8" ht="15" thickBot="1" x14ac:dyDescent="0.35">
      <c r="A24" s="48"/>
      <c r="B24" s="48"/>
      <c r="C24" s="49"/>
      <c r="D24" s="49"/>
      <c r="E24" s="49"/>
      <c r="F24" s="49"/>
      <c r="G24" s="49"/>
      <c r="H24" s="49"/>
    </row>
    <row r="25" spans="1:8" ht="16.2" thickBot="1" x14ac:dyDescent="0.35">
      <c r="A25" s="359" t="s">
        <v>35</v>
      </c>
      <c r="B25" s="360"/>
      <c r="C25" s="360"/>
      <c r="D25" s="360"/>
      <c r="E25" s="361"/>
      <c r="F25" s="362" t="s">
        <v>36</v>
      </c>
      <c r="G25" s="363"/>
      <c r="H25" s="364"/>
    </row>
    <row r="26" spans="1:8" ht="15" thickBot="1" x14ac:dyDescent="0.35">
      <c r="A26" s="355" t="s">
        <v>0</v>
      </c>
      <c r="B26" s="356"/>
      <c r="C26" s="355" t="s">
        <v>37</v>
      </c>
      <c r="D26" s="357"/>
      <c r="E26" s="358"/>
      <c r="F26" s="43" t="s">
        <v>1</v>
      </c>
      <c r="G26" s="44">
        <f>5500+1000</f>
        <v>6500</v>
      </c>
      <c r="H26" s="45" t="s">
        <v>2</v>
      </c>
    </row>
    <row r="27" spans="1:8" ht="15" thickBot="1" x14ac:dyDescent="0.35">
      <c r="A27" s="351" t="s">
        <v>3</v>
      </c>
      <c r="B27" s="352"/>
      <c r="C27" s="353"/>
      <c r="D27" s="353"/>
      <c r="E27" s="354"/>
      <c r="F27" s="46"/>
      <c r="G27" s="44">
        <v>3250</v>
      </c>
      <c r="H27" s="47" t="s">
        <v>4</v>
      </c>
    </row>
    <row r="28" spans="1:8" x14ac:dyDescent="0.3">
      <c r="A28" s="326" t="s">
        <v>5</v>
      </c>
      <c r="B28" s="341"/>
      <c r="C28" s="326" t="s">
        <v>6</v>
      </c>
      <c r="D28" s="341"/>
      <c r="E28" s="326" t="s">
        <v>7</v>
      </c>
      <c r="F28" s="327"/>
      <c r="G28" s="342" t="s">
        <v>8</v>
      </c>
      <c r="H28" s="343"/>
    </row>
    <row r="29" spans="1:8" x14ac:dyDescent="0.3">
      <c r="A29" s="344">
        <f>+F40</f>
        <v>48.45</v>
      </c>
      <c r="B29" s="345"/>
      <c r="C29" s="346">
        <f>+G40</f>
        <v>0</v>
      </c>
      <c r="D29" s="345"/>
      <c r="E29" s="347">
        <f>470+100</f>
        <v>570</v>
      </c>
      <c r="F29" s="348"/>
      <c r="G29" s="349">
        <f>+C29*E29</f>
        <v>0</v>
      </c>
      <c r="H29" s="350"/>
    </row>
    <row r="30" spans="1:8" x14ac:dyDescent="0.3">
      <c r="A30" s="326"/>
      <c r="B30" s="327"/>
      <c r="C30" s="328"/>
      <c r="D30" s="327"/>
      <c r="E30" s="329"/>
      <c r="F30" s="330"/>
      <c r="G30" s="331" t="s">
        <v>9</v>
      </c>
      <c r="H30" s="332"/>
    </row>
    <row r="31" spans="1:8" ht="16.2" thickBot="1" x14ac:dyDescent="0.35">
      <c r="A31" s="333"/>
      <c r="B31" s="334"/>
      <c r="C31" s="335"/>
      <c r="D31" s="336"/>
      <c r="E31" s="337"/>
      <c r="F31" s="338"/>
      <c r="G31" s="339">
        <f>+G29+E31+H40-H41</f>
        <v>32500</v>
      </c>
      <c r="H31" s="340"/>
    </row>
    <row r="32" spans="1:8" ht="29.4" thickBot="1" x14ac:dyDescent="0.35">
      <c r="A32" s="6" t="s">
        <v>10</v>
      </c>
      <c r="B32" s="7" t="s">
        <v>11</v>
      </c>
      <c r="C32" s="7" t="s">
        <v>12</v>
      </c>
      <c r="D32" s="7" t="s">
        <v>13</v>
      </c>
      <c r="E32" s="7" t="s">
        <v>14</v>
      </c>
      <c r="F32" s="7" t="s">
        <v>15</v>
      </c>
      <c r="G32" s="7" t="s">
        <v>16</v>
      </c>
      <c r="H32" s="8" t="s">
        <v>17</v>
      </c>
    </row>
    <row r="33" spans="1:8" x14ac:dyDescent="0.3">
      <c r="A33" s="42"/>
      <c r="B33" s="11" t="s">
        <v>24</v>
      </c>
      <c r="C33" s="29">
        <v>45120</v>
      </c>
      <c r="D33" s="18">
        <v>0.34861111111111115</v>
      </c>
      <c r="E33" s="20">
        <v>0.74930555555555556</v>
      </c>
      <c r="F33" s="28">
        <f t="shared" ref="F33:F39" si="1">(IF(D33&gt;E33,E33+1-D33,E33-D33))*24</f>
        <v>9.6166666666666654</v>
      </c>
      <c r="G33" s="21">
        <v>0</v>
      </c>
      <c r="H33" s="22">
        <v>6500</v>
      </c>
    </row>
    <row r="34" spans="1:8" x14ac:dyDescent="0.3">
      <c r="A34" s="10"/>
      <c r="B34" s="11" t="s">
        <v>25</v>
      </c>
      <c r="C34" s="29">
        <v>45121</v>
      </c>
      <c r="D34" s="18">
        <v>0.35069444444444442</v>
      </c>
      <c r="E34" s="20">
        <v>0.75</v>
      </c>
      <c r="F34" s="28">
        <f t="shared" si="1"/>
        <v>9.5833333333333339</v>
      </c>
      <c r="G34" s="21">
        <v>0</v>
      </c>
      <c r="H34" s="22">
        <v>6500</v>
      </c>
    </row>
    <row r="35" spans="1:8" x14ac:dyDescent="0.3">
      <c r="A35" s="23"/>
      <c r="B35" s="24" t="s">
        <v>18</v>
      </c>
      <c r="C35" s="29">
        <v>45122</v>
      </c>
      <c r="D35" s="25"/>
      <c r="E35" s="26"/>
      <c r="F35" s="28">
        <f t="shared" si="1"/>
        <v>0</v>
      </c>
      <c r="G35" s="31">
        <v>0</v>
      </c>
      <c r="H35" s="27">
        <v>0</v>
      </c>
    </row>
    <row r="36" spans="1:8" x14ac:dyDescent="0.3">
      <c r="A36" s="23"/>
      <c r="B36" s="24" t="s">
        <v>19</v>
      </c>
      <c r="C36" s="29">
        <v>45123</v>
      </c>
      <c r="D36" s="25"/>
      <c r="E36" s="26"/>
      <c r="F36" s="28">
        <f t="shared" si="1"/>
        <v>0</v>
      </c>
      <c r="G36" s="31">
        <v>0</v>
      </c>
      <c r="H36" s="27">
        <v>0</v>
      </c>
    </row>
    <row r="37" spans="1:8" x14ac:dyDescent="0.3">
      <c r="A37" s="10"/>
      <c r="B37" s="11" t="s">
        <v>20</v>
      </c>
      <c r="C37" s="29">
        <v>45124</v>
      </c>
      <c r="D37" s="18">
        <v>0.34583333333333338</v>
      </c>
      <c r="E37" s="20">
        <v>0.75</v>
      </c>
      <c r="F37" s="28">
        <f t="shared" si="1"/>
        <v>9.6999999999999993</v>
      </c>
      <c r="G37" s="21">
        <v>0</v>
      </c>
      <c r="H37" s="22">
        <v>6500</v>
      </c>
    </row>
    <row r="38" spans="1:8" x14ac:dyDescent="0.3">
      <c r="A38" s="10"/>
      <c r="B38" s="16" t="s">
        <v>21</v>
      </c>
      <c r="C38" s="29">
        <v>45125</v>
      </c>
      <c r="D38" s="18">
        <v>0.34166666666666662</v>
      </c>
      <c r="E38" s="20">
        <v>0.75</v>
      </c>
      <c r="F38" s="28">
        <f t="shared" si="1"/>
        <v>9.8000000000000007</v>
      </c>
      <c r="G38" s="21">
        <v>0</v>
      </c>
      <c r="H38" s="22">
        <v>6500</v>
      </c>
    </row>
    <row r="39" spans="1:8" x14ac:dyDescent="0.3">
      <c r="A39" s="10"/>
      <c r="B39" s="16" t="s">
        <v>22</v>
      </c>
      <c r="C39" s="29">
        <v>45126</v>
      </c>
      <c r="D39" s="18">
        <v>0.34375</v>
      </c>
      <c r="E39" s="20">
        <v>0.75</v>
      </c>
      <c r="F39" s="28">
        <f t="shared" si="1"/>
        <v>9.75</v>
      </c>
      <c r="G39" s="21">
        <v>0</v>
      </c>
      <c r="H39" s="22">
        <v>6500</v>
      </c>
    </row>
    <row r="40" spans="1:8" x14ac:dyDescent="0.3">
      <c r="A40" s="309"/>
      <c r="B40" s="310"/>
      <c r="C40" s="17"/>
      <c r="E40" s="32" t="s">
        <v>23</v>
      </c>
      <c r="F40" s="33">
        <f>SUM(F33:F39)</f>
        <v>48.45</v>
      </c>
      <c r="G40" s="33">
        <f>SUM(G33:G39)</f>
        <v>0</v>
      </c>
      <c r="H40" s="34">
        <f>SUM(H33:H39)</f>
        <v>32500</v>
      </c>
    </row>
    <row r="41" spans="1:8" x14ac:dyDescent="0.3">
      <c r="A41" s="311"/>
      <c r="B41" s="312"/>
      <c r="C41" s="17"/>
      <c r="E41" s="313" t="s">
        <v>26</v>
      </c>
      <c r="F41" s="314"/>
      <c r="G41" s="315"/>
      <c r="H41" s="37"/>
    </row>
    <row r="42" spans="1:8" ht="17.399999999999999" customHeight="1" thickBot="1" x14ac:dyDescent="0.35">
      <c r="A42" s="316" t="s">
        <v>27</v>
      </c>
      <c r="B42" s="317"/>
      <c r="C42" s="318"/>
      <c r="D42" s="319"/>
      <c r="E42" s="319"/>
      <c r="F42" s="319"/>
      <c r="G42" s="319"/>
      <c r="H42" s="320"/>
    </row>
    <row r="43" spans="1:8" ht="23.4" customHeight="1" x14ac:dyDescent="0.3">
      <c r="A43" s="324" t="s">
        <v>28</v>
      </c>
      <c r="B43" s="325"/>
      <c r="C43" s="321"/>
      <c r="D43" s="322"/>
      <c r="E43" s="322"/>
      <c r="F43" s="322"/>
      <c r="G43" s="322"/>
      <c r="H43" s="323"/>
    </row>
  </sheetData>
  <mergeCells count="56">
    <mergeCell ref="A5:E5"/>
    <mergeCell ref="F5:H5"/>
    <mergeCell ref="A6:B6"/>
    <mergeCell ref="C6:E6"/>
    <mergeCell ref="A7:B7"/>
    <mergeCell ref="C7:E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20:B20"/>
    <mergeCell ref="A21:B21"/>
    <mergeCell ref="E21:G21"/>
    <mergeCell ref="A22:B22"/>
    <mergeCell ref="C22:H23"/>
    <mergeCell ref="A23:B23"/>
    <mergeCell ref="A25:E25"/>
    <mergeCell ref="F25:H25"/>
    <mergeCell ref="A26:B26"/>
    <mergeCell ref="C26:E26"/>
    <mergeCell ref="A27:B27"/>
    <mergeCell ref="C27:E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  <mergeCell ref="A31:B31"/>
    <mergeCell ref="C31:D31"/>
    <mergeCell ref="E31:F31"/>
    <mergeCell ref="G31:H31"/>
    <mergeCell ref="A40:B40"/>
    <mergeCell ref="A41:B41"/>
    <mergeCell ref="E41:G41"/>
    <mergeCell ref="A42:B42"/>
    <mergeCell ref="C42:H43"/>
    <mergeCell ref="A43:B43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9"/>
  <sheetViews>
    <sheetView topLeftCell="A25" workbookViewId="0">
      <selection activeCell="J42" sqref="J42"/>
    </sheetView>
  </sheetViews>
  <sheetFormatPr baseColWidth="10" defaultRowHeight="14.4" x14ac:dyDescent="0.3"/>
  <cols>
    <col min="1" max="3" width="13.6640625" customWidth="1"/>
    <col min="4" max="4" width="16.33203125" customWidth="1"/>
    <col min="5" max="5" width="13.88671875" customWidth="1"/>
    <col min="6" max="7" width="13.6640625" customWidth="1"/>
    <col min="8" max="8" width="15.6640625" customWidth="1"/>
    <col min="9" max="9" width="11.109375" customWidth="1"/>
    <col min="10" max="10" width="7.33203125" customWidth="1"/>
  </cols>
  <sheetData>
    <row r="1" spans="1:9" x14ac:dyDescent="0.3">
      <c r="A1" s="1"/>
      <c r="B1" s="2"/>
      <c r="C1" s="2"/>
      <c r="D1" s="2"/>
      <c r="E1" s="2"/>
      <c r="F1" s="2"/>
      <c r="G1" s="2"/>
      <c r="H1" s="3"/>
    </row>
    <row r="2" spans="1:9" x14ac:dyDescent="0.3">
      <c r="A2" s="4"/>
      <c r="H2" s="5"/>
    </row>
    <row r="3" spans="1:9" x14ac:dyDescent="0.3">
      <c r="A3" s="4"/>
      <c r="H3" s="5"/>
    </row>
    <row r="4" spans="1:9" ht="12.75" customHeight="1" thickBot="1" x14ac:dyDescent="0.35">
      <c r="A4" s="39"/>
      <c r="B4" s="40"/>
      <c r="C4" s="40"/>
      <c r="D4" s="40"/>
      <c r="E4" s="40"/>
      <c r="F4" s="40"/>
      <c r="G4" s="40"/>
      <c r="H4" s="41"/>
    </row>
    <row r="5" spans="1:9" ht="20.100000000000001" customHeight="1" thickBot="1" x14ac:dyDescent="0.35">
      <c r="A5" s="359" t="s">
        <v>35</v>
      </c>
      <c r="B5" s="360"/>
      <c r="C5" s="360"/>
      <c r="D5" s="360"/>
      <c r="E5" s="361"/>
      <c r="F5" s="362" t="s">
        <v>30</v>
      </c>
      <c r="G5" s="363"/>
      <c r="H5" s="364"/>
    </row>
    <row r="6" spans="1:9" ht="17.399999999999999" customHeight="1" thickBot="1" x14ac:dyDescent="0.35">
      <c r="A6" s="355" t="s">
        <v>0</v>
      </c>
      <c r="B6" s="356"/>
      <c r="C6" s="355" t="s">
        <v>29</v>
      </c>
      <c r="D6" s="357"/>
      <c r="E6" s="358"/>
      <c r="F6" s="43" t="s">
        <v>1</v>
      </c>
      <c r="G6" s="44">
        <f>5500+1000</f>
        <v>6500</v>
      </c>
      <c r="H6" s="45" t="s">
        <v>2</v>
      </c>
    </row>
    <row r="7" spans="1:9" ht="15.6" customHeight="1" thickBot="1" x14ac:dyDescent="0.35">
      <c r="A7" s="351" t="s">
        <v>3</v>
      </c>
      <c r="B7" s="352"/>
      <c r="C7" s="353">
        <v>39623762</v>
      </c>
      <c r="D7" s="353"/>
      <c r="E7" s="354"/>
      <c r="F7" s="46"/>
      <c r="G7" s="44">
        <v>3250</v>
      </c>
      <c r="H7" s="47" t="s">
        <v>4</v>
      </c>
    </row>
    <row r="8" spans="1:9" ht="20.100000000000001" customHeight="1" x14ac:dyDescent="0.3">
      <c r="A8" s="326" t="s">
        <v>5</v>
      </c>
      <c r="B8" s="341"/>
      <c r="C8" s="326" t="s">
        <v>6</v>
      </c>
      <c r="D8" s="341"/>
      <c r="E8" s="326" t="s">
        <v>7</v>
      </c>
      <c r="F8" s="327"/>
      <c r="G8" s="342" t="s">
        <v>8</v>
      </c>
      <c r="H8" s="343"/>
    </row>
    <row r="9" spans="1:9" ht="16.95" customHeight="1" x14ac:dyDescent="0.3">
      <c r="A9" s="344">
        <f>+F20</f>
        <v>81.25</v>
      </c>
      <c r="B9" s="345"/>
      <c r="C9" s="346">
        <f>+G20</f>
        <v>8.8000000000000007</v>
      </c>
      <c r="D9" s="345"/>
      <c r="E9" s="347">
        <f>470+100</f>
        <v>570</v>
      </c>
      <c r="F9" s="348"/>
      <c r="G9" s="349">
        <f>+C9*E9</f>
        <v>5016</v>
      </c>
      <c r="H9" s="350"/>
    </row>
    <row r="10" spans="1:9" ht="16.2" customHeight="1" x14ac:dyDescent="0.3">
      <c r="A10" s="326"/>
      <c r="B10" s="327"/>
      <c r="C10" s="328"/>
      <c r="D10" s="327"/>
      <c r="E10" s="329"/>
      <c r="F10" s="330"/>
      <c r="G10" s="331" t="s">
        <v>9</v>
      </c>
      <c r="H10" s="332"/>
    </row>
    <row r="11" spans="1:9" ht="19.2" customHeight="1" thickBot="1" x14ac:dyDescent="0.35">
      <c r="A11" s="333"/>
      <c r="B11" s="334"/>
      <c r="C11" s="335"/>
      <c r="D11" s="336"/>
      <c r="E11" s="337"/>
      <c r="F11" s="338"/>
      <c r="G11" s="372">
        <f>+G9+E11+H20-H21</f>
        <v>47266</v>
      </c>
      <c r="H11" s="373"/>
    </row>
    <row r="12" spans="1:9" s="9" customFormat="1" ht="29.25" customHeight="1" thickBot="1" x14ac:dyDescent="0.35">
      <c r="A12" s="6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7" t="s">
        <v>15</v>
      </c>
      <c r="G12" s="7" t="s">
        <v>16</v>
      </c>
      <c r="H12" s="8" t="s">
        <v>17</v>
      </c>
    </row>
    <row r="13" spans="1:9" x14ac:dyDescent="0.3">
      <c r="A13" s="42"/>
      <c r="B13" s="11" t="s">
        <v>24</v>
      </c>
      <c r="C13" s="29">
        <v>45106</v>
      </c>
      <c r="D13" s="18">
        <v>0.29166666666666669</v>
      </c>
      <c r="E13" s="20">
        <v>0.84375</v>
      </c>
      <c r="F13" s="28">
        <f t="shared" ref="F13:F19" si="0">(IF(D13&gt;E13,E13+1-D13,E13-D13))*24</f>
        <v>13.249999999999998</v>
      </c>
      <c r="G13" s="21">
        <v>1.25</v>
      </c>
      <c r="H13" s="22">
        <v>6500</v>
      </c>
      <c r="I13" s="38"/>
    </row>
    <row r="14" spans="1:9" x14ac:dyDescent="0.3">
      <c r="A14" s="10"/>
      <c r="B14" s="11" t="s">
        <v>25</v>
      </c>
      <c r="C14" s="29">
        <v>45107</v>
      </c>
      <c r="D14" s="12">
        <v>0.3034722222222222</v>
      </c>
      <c r="E14" s="13">
        <v>0.80625000000000002</v>
      </c>
      <c r="F14" s="28">
        <f t="shared" si="0"/>
        <v>12.066666666666666</v>
      </c>
      <c r="G14" s="14">
        <v>7.0000000000000007E-2</v>
      </c>
      <c r="H14" s="15">
        <v>6500</v>
      </c>
      <c r="I14" s="38"/>
    </row>
    <row r="15" spans="1:9" x14ac:dyDescent="0.3">
      <c r="A15" s="10"/>
      <c r="B15" s="11" t="s">
        <v>18</v>
      </c>
      <c r="C15" s="29">
        <v>45108</v>
      </c>
      <c r="D15" s="12">
        <v>0.32847222222222222</v>
      </c>
      <c r="E15" s="13">
        <v>0.68263888888888891</v>
      </c>
      <c r="F15" s="28">
        <f t="shared" si="0"/>
        <v>8.5</v>
      </c>
      <c r="G15" s="21">
        <v>0</v>
      </c>
      <c r="H15" s="22">
        <v>6500</v>
      </c>
      <c r="I15" s="38"/>
    </row>
    <row r="16" spans="1:9" x14ac:dyDescent="0.3">
      <c r="A16" s="23"/>
      <c r="B16" s="24" t="s">
        <v>19</v>
      </c>
      <c r="C16" s="29">
        <v>45109</v>
      </c>
      <c r="D16" s="25">
        <v>0.72499999999999998</v>
      </c>
      <c r="E16" s="26">
        <v>0.88958333333333339</v>
      </c>
      <c r="F16" s="28">
        <f t="shared" si="0"/>
        <v>3.950000000000002</v>
      </c>
      <c r="G16" s="31">
        <v>0</v>
      </c>
      <c r="H16" s="27">
        <v>3250</v>
      </c>
      <c r="I16" s="38"/>
    </row>
    <row r="17" spans="1:9" x14ac:dyDescent="0.3">
      <c r="A17" s="10"/>
      <c r="B17" s="11" t="s">
        <v>20</v>
      </c>
      <c r="C17" s="29">
        <v>45110</v>
      </c>
      <c r="D17" s="18">
        <v>0.20833333333333334</v>
      </c>
      <c r="E17" s="20">
        <v>0.79583333333333339</v>
      </c>
      <c r="F17" s="28">
        <f t="shared" si="0"/>
        <v>14.100000000000001</v>
      </c>
      <c r="G17" s="21">
        <v>2.1</v>
      </c>
      <c r="H17" s="22">
        <v>6500</v>
      </c>
      <c r="I17" s="38"/>
    </row>
    <row r="18" spans="1:9" x14ac:dyDescent="0.3">
      <c r="A18" s="10"/>
      <c r="B18" s="16" t="s">
        <v>21</v>
      </c>
      <c r="C18" s="29">
        <v>45111</v>
      </c>
      <c r="D18" s="12">
        <v>0.26666666666666666</v>
      </c>
      <c r="E18" s="13">
        <v>0.89513888888888893</v>
      </c>
      <c r="F18" s="28">
        <f t="shared" si="0"/>
        <v>15.083333333333336</v>
      </c>
      <c r="G18" s="14">
        <v>3.08</v>
      </c>
      <c r="H18" s="15">
        <v>6500</v>
      </c>
      <c r="I18" s="38"/>
    </row>
    <row r="19" spans="1:9" x14ac:dyDescent="0.3">
      <c r="A19" s="10"/>
      <c r="B19" s="16" t="s">
        <v>22</v>
      </c>
      <c r="C19" s="29">
        <v>45112</v>
      </c>
      <c r="D19" s="12">
        <v>0.20416666666666669</v>
      </c>
      <c r="E19" s="13">
        <v>0.79999999999999993</v>
      </c>
      <c r="F19" s="28">
        <f t="shared" si="0"/>
        <v>14.299999999999997</v>
      </c>
      <c r="G19" s="14">
        <v>2.2999999999999998</v>
      </c>
      <c r="H19" s="15">
        <v>6500</v>
      </c>
      <c r="I19" s="38"/>
    </row>
    <row r="20" spans="1:9" x14ac:dyDescent="0.3">
      <c r="A20" s="370"/>
      <c r="B20" s="371"/>
      <c r="C20" s="17"/>
      <c r="E20" s="32" t="s">
        <v>23</v>
      </c>
      <c r="F20" s="33">
        <f>SUM(F13:F19)</f>
        <v>81.25</v>
      </c>
      <c r="G20" s="33">
        <f>SUM(G13:G19)</f>
        <v>8.8000000000000007</v>
      </c>
      <c r="H20" s="34">
        <f>SUM(H13:H19)</f>
        <v>42250</v>
      </c>
    </row>
    <row r="21" spans="1:9" ht="19.2" customHeight="1" x14ac:dyDescent="0.3">
      <c r="A21" s="368"/>
      <c r="B21" s="369"/>
      <c r="C21" s="17"/>
      <c r="E21" s="365" t="s">
        <v>26</v>
      </c>
      <c r="F21" s="366"/>
      <c r="G21" s="367"/>
      <c r="H21" s="37"/>
    </row>
    <row r="22" spans="1:9" ht="19.2" customHeight="1" thickBot="1" x14ac:dyDescent="0.35">
      <c r="A22" s="316" t="s">
        <v>27</v>
      </c>
      <c r="B22" s="317"/>
      <c r="C22" s="318"/>
      <c r="D22" s="319"/>
      <c r="E22" s="319"/>
      <c r="F22" s="319"/>
      <c r="G22" s="319"/>
      <c r="H22" s="320"/>
    </row>
    <row r="23" spans="1:9" ht="24" customHeight="1" x14ac:dyDescent="0.3">
      <c r="A23" s="324" t="s">
        <v>28</v>
      </c>
      <c r="B23" s="325"/>
      <c r="C23" s="321"/>
      <c r="D23" s="322"/>
      <c r="E23" s="322"/>
      <c r="F23" s="322"/>
      <c r="G23" s="322"/>
      <c r="H23" s="323"/>
    </row>
    <row r="24" spans="1:9" ht="24" customHeight="1" x14ac:dyDescent="0.3">
      <c r="A24" s="48"/>
      <c r="B24" s="48"/>
      <c r="C24" s="49"/>
      <c r="D24" s="49"/>
      <c r="E24" s="49"/>
      <c r="F24" s="49"/>
      <c r="G24" s="49"/>
      <c r="H24" s="49"/>
    </row>
    <row r="25" spans="1:9" ht="15" thickBot="1" x14ac:dyDescent="0.35">
      <c r="A25" s="374" t="s">
        <v>0</v>
      </c>
      <c r="B25" s="375"/>
      <c r="C25" s="351" t="s">
        <v>29</v>
      </c>
      <c r="D25" s="352"/>
      <c r="E25" s="376"/>
      <c r="F25" s="43" t="s">
        <v>1</v>
      </c>
      <c r="G25" s="44">
        <f>5500+1000</f>
        <v>6500</v>
      </c>
      <c r="H25" s="50" t="s">
        <v>2</v>
      </c>
    </row>
    <row r="26" spans="1:9" ht="15" thickBot="1" x14ac:dyDescent="0.35">
      <c r="A26" s="374" t="s">
        <v>3</v>
      </c>
      <c r="B26" s="352"/>
      <c r="C26" s="353">
        <v>39623762</v>
      </c>
      <c r="D26" s="353"/>
      <c r="E26" s="354"/>
      <c r="F26" s="46"/>
      <c r="G26" s="44">
        <v>3250</v>
      </c>
      <c r="H26" s="51" t="s">
        <v>4</v>
      </c>
    </row>
    <row r="27" spans="1:9" x14ac:dyDescent="0.3">
      <c r="A27" s="328" t="s">
        <v>5</v>
      </c>
      <c r="B27" s="341"/>
      <c r="C27" s="326" t="s">
        <v>6</v>
      </c>
      <c r="D27" s="341"/>
      <c r="E27" s="326" t="s">
        <v>7</v>
      </c>
      <c r="F27" s="327"/>
      <c r="G27" s="342" t="s">
        <v>8</v>
      </c>
      <c r="H27" s="377"/>
    </row>
    <row r="28" spans="1:9" x14ac:dyDescent="0.3">
      <c r="A28" s="346">
        <f>+F46</f>
        <v>167.73333333333332</v>
      </c>
      <c r="B28" s="345"/>
      <c r="C28" s="346">
        <f>+G46</f>
        <v>21.266666666666659</v>
      </c>
      <c r="D28" s="345"/>
      <c r="E28" s="347">
        <f>470+100</f>
        <v>570</v>
      </c>
      <c r="F28" s="348"/>
      <c r="G28" s="349">
        <f>+C28*E28</f>
        <v>12121.999999999995</v>
      </c>
      <c r="H28" s="378"/>
    </row>
    <row r="29" spans="1:9" x14ac:dyDescent="0.3">
      <c r="A29" s="328"/>
      <c r="B29" s="327"/>
      <c r="C29" s="328"/>
      <c r="D29" s="327"/>
      <c r="E29" s="329"/>
      <c r="F29" s="330"/>
      <c r="G29" s="331" t="s">
        <v>9</v>
      </c>
      <c r="H29" s="379"/>
    </row>
    <row r="30" spans="1:9" ht="16.2" thickBot="1" x14ac:dyDescent="0.35">
      <c r="A30" s="380"/>
      <c r="B30" s="334"/>
      <c r="C30" s="335"/>
      <c r="D30" s="336"/>
      <c r="E30" s="337"/>
      <c r="F30" s="338"/>
      <c r="G30" s="372">
        <f>+G28+E30+H46-H47</f>
        <v>93372</v>
      </c>
      <c r="H30" s="381"/>
    </row>
    <row r="31" spans="1:9" ht="29.4" thickBot="1" x14ac:dyDescent="0.35">
      <c r="A31" s="7" t="s">
        <v>10</v>
      </c>
      <c r="B31" s="7" t="s">
        <v>11</v>
      </c>
      <c r="C31" s="7" t="s">
        <v>12</v>
      </c>
      <c r="D31" s="7" t="s">
        <v>13</v>
      </c>
      <c r="E31" s="7" t="s">
        <v>14</v>
      </c>
      <c r="F31" s="7" t="s">
        <v>15</v>
      </c>
      <c r="G31" s="7" t="s">
        <v>16</v>
      </c>
      <c r="H31" s="7" t="s">
        <v>17</v>
      </c>
    </row>
    <row r="32" spans="1:9" x14ac:dyDescent="0.3">
      <c r="A32" s="11"/>
      <c r="B32" s="11" t="s">
        <v>24</v>
      </c>
      <c r="C32" s="29">
        <v>45113</v>
      </c>
      <c r="D32" s="18">
        <v>0.19791666666666666</v>
      </c>
      <c r="E32" s="20">
        <v>0.99861111111111101</v>
      </c>
      <c r="F32" s="28">
        <f t="shared" ref="F32:F38" si="1">(IF(D32&gt;E32,E32+1-D32,E32-D32))*24</f>
        <v>19.216666666666665</v>
      </c>
      <c r="G32" s="21">
        <f>+F32-12</f>
        <v>7.216666666666665</v>
      </c>
      <c r="H32" s="52">
        <v>6500</v>
      </c>
    </row>
    <row r="33" spans="1:8" x14ac:dyDescent="0.3">
      <c r="A33" s="19"/>
      <c r="B33" s="11" t="s">
        <v>25</v>
      </c>
      <c r="C33" s="29">
        <v>45114</v>
      </c>
      <c r="D33" s="12">
        <v>0.30902777777777779</v>
      </c>
      <c r="E33" s="13">
        <v>0.81041666666666667</v>
      </c>
      <c r="F33" s="28">
        <f t="shared" si="1"/>
        <v>12.033333333333333</v>
      </c>
      <c r="G33" s="21">
        <f>+F33-12</f>
        <v>3.3333333333333215E-2</v>
      </c>
      <c r="H33" s="52">
        <v>6500</v>
      </c>
    </row>
    <row r="34" spans="1:8" x14ac:dyDescent="0.3">
      <c r="A34" s="19"/>
      <c r="B34" s="11" t="s">
        <v>18</v>
      </c>
      <c r="C34" s="29">
        <v>45115</v>
      </c>
      <c r="D34" s="12">
        <v>0.28333333333333333</v>
      </c>
      <c r="E34" s="13">
        <v>0.81458333333333333</v>
      </c>
      <c r="F34" s="28">
        <f t="shared" si="1"/>
        <v>12.75</v>
      </c>
      <c r="G34" s="21">
        <f>+F34-12</f>
        <v>0.75</v>
      </c>
      <c r="H34" s="52">
        <v>6500</v>
      </c>
    </row>
    <row r="35" spans="1:8" x14ac:dyDescent="0.3">
      <c r="A35" s="30"/>
      <c r="B35" s="24" t="s">
        <v>19</v>
      </c>
      <c r="C35" s="29">
        <v>45116</v>
      </c>
      <c r="D35" s="25">
        <v>0.72361111111111109</v>
      </c>
      <c r="E35" s="26">
        <v>0.95486111111111116</v>
      </c>
      <c r="F35" s="28">
        <f t="shared" si="1"/>
        <v>5.5500000000000016</v>
      </c>
      <c r="G35" s="31">
        <v>0</v>
      </c>
      <c r="H35" s="53">
        <v>3250</v>
      </c>
    </row>
    <row r="36" spans="1:8" x14ac:dyDescent="0.3">
      <c r="A36" s="19"/>
      <c r="B36" s="11" t="s">
        <v>20</v>
      </c>
      <c r="C36" s="29">
        <v>45117</v>
      </c>
      <c r="D36" s="18">
        <v>0.26805555555555555</v>
      </c>
      <c r="E36" s="20">
        <v>0.7583333333333333</v>
      </c>
      <c r="F36" s="28">
        <f t="shared" si="1"/>
        <v>11.766666666666666</v>
      </c>
      <c r="G36" s="21">
        <v>0</v>
      </c>
      <c r="H36" s="52">
        <v>6500</v>
      </c>
    </row>
    <row r="37" spans="1:8" x14ac:dyDescent="0.3">
      <c r="A37" s="19"/>
      <c r="B37" s="16" t="s">
        <v>21</v>
      </c>
      <c r="C37" s="29">
        <v>45118</v>
      </c>
      <c r="D37" s="12">
        <v>0.30416666666666664</v>
      </c>
      <c r="E37" s="13">
        <v>0.81111111111111101</v>
      </c>
      <c r="F37" s="28">
        <f t="shared" si="1"/>
        <v>12.166666666666666</v>
      </c>
      <c r="G37" s="21">
        <f>+F37-12</f>
        <v>0.16666666666666607</v>
      </c>
      <c r="H37" s="54">
        <v>6500</v>
      </c>
    </row>
    <row r="38" spans="1:8" x14ac:dyDescent="0.3">
      <c r="A38" s="19"/>
      <c r="B38" s="16" t="s">
        <v>22</v>
      </c>
      <c r="C38" s="29">
        <v>45119</v>
      </c>
      <c r="D38" s="12">
        <v>0.27083333333333331</v>
      </c>
      <c r="E38" s="13">
        <v>0.8965277777777777</v>
      </c>
      <c r="F38" s="28">
        <f t="shared" si="1"/>
        <v>15.016666666666664</v>
      </c>
      <c r="G38" s="21">
        <f>+F38-12</f>
        <v>3.0166666666666639</v>
      </c>
      <c r="H38" s="54">
        <v>6500</v>
      </c>
    </row>
    <row r="39" spans="1:8" x14ac:dyDescent="0.3">
      <c r="A39" s="11"/>
      <c r="B39" s="11" t="s">
        <v>24</v>
      </c>
      <c r="C39" s="29">
        <v>45120</v>
      </c>
      <c r="D39" s="18">
        <v>0.2638888888888889</v>
      </c>
      <c r="E39" s="20">
        <v>0.83611111111111114</v>
      </c>
      <c r="F39" s="28">
        <f t="shared" ref="F39:F45" si="2">(IF(D39&gt;E39,E39+1-D39,E39-D39))*24</f>
        <v>13.733333333333333</v>
      </c>
      <c r="G39" s="21">
        <f t="shared" ref="G39:G45" si="3">+F39-12</f>
        <v>1.7333333333333325</v>
      </c>
      <c r="H39" s="52">
        <v>6500</v>
      </c>
    </row>
    <row r="40" spans="1:8" x14ac:dyDescent="0.3">
      <c r="A40" s="19"/>
      <c r="B40" s="11" t="s">
        <v>25</v>
      </c>
      <c r="C40" s="29">
        <v>45121</v>
      </c>
      <c r="D40" s="12">
        <v>0.2722222222222222</v>
      </c>
      <c r="E40" s="13">
        <v>0.79166666666666663</v>
      </c>
      <c r="F40" s="28">
        <f t="shared" si="2"/>
        <v>12.466666666666665</v>
      </c>
      <c r="G40" s="21">
        <f t="shared" si="3"/>
        <v>0.46666666666666501</v>
      </c>
      <c r="H40" s="52">
        <v>6500</v>
      </c>
    </row>
    <row r="41" spans="1:8" x14ac:dyDescent="0.3">
      <c r="A41" s="19"/>
      <c r="B41" s="11" t="s">
        <v>18</v>
      </c>
      <c r="C41" s="29">
        <v>45122</v>
      </c>
      <c r="D41" s="12">
        <v>0.27777777777777779</v>
      </c>
      <c r="E41" s="13">
        <v>0.66805555555555562</v>
      </c>
      <c r="F41" s="28">
        <f t="shared" si="2"/>
        <v>9.3666666666666671</v>
      </c>
      <c r="G41" s="21">
        <v>0</v>
      </c>
      <c r="H41" s="52">
        <v>6500</v>
      </c>
    </row>
    <row r="42" spans="1:8" x14ac:dyDescent="0.3">
      <c r="A42" s="30"/>
      <c r="B42" s="24" t="s">
        <v>19</v>
      </c>
      <c r="C42" s="29">
        <v>45123</v>
      </c>
      <c r="D42" s="25"/>
      <c r="E42" s="26"/>
      <c r="F42" s="28">
        <f t="shared" si="2"/>
        <v>0</v>
      </c>
      <c r="G42" s="31">
        <v>0</v>
      </c>
      <c r="H42" s="53">
        <v>0</v>
      </c>
    </row>
    <row r="43" spans="1:8" x14ac:dyDescent="0.3">
      <c r="A43" s="19"/>
      <c r="B43" s="11" t="s">
        <v>20</v>
      </c>
      <c r="C43" s="29">
        <v>45124</v>
      </c>
      <c r="D43" s="18">
        <v>0.27013888888888887</v>
      </c>
      <c r="E43" s="20">
        <v>0.76111111111111107</v>
      </c>
      <c r="F43" s="28">
        <f t="shared" si="2"/>
        <v>11.783333333333333</v>
      </c>
      <c r="G43" s="21">
        <v>0</v>
      </c>
      <c r="H43" s="52">
        <v>6500</v>
      </c>
    </row>
    <row r="44" spans="1:8" x14ac:dyDescent="0.3">
      <c r="A44" s="19"/>
      <c r="B44" s="16" t="s">
        <v>21</v>
      </c>
      <c r="C44" s="29">
        <v>45125</v>
      </c>
      <c r="D44" s="12">
        <v>0.27013888888888887</v>
      </c>
      <c r="E44" s="13">
        <v>0.8833333333333333</v>
      </c>
      <c r="F44" s="28">
        <f t="shared" si="2"/>
        <v>14.716666666666665</v>
      </c>
      <c r="G44" s="21">
        <f t="shared" si="3"/>
        <v>2.716666666666665</v>
      </c>
      <c r="H44" s="54">
        <v>6500</v>
      </c>
    </row>
    <row r="45" spans="1:8" x14ac:dyDescent="0.3">
      <c r="A45" s="19"/>
      <c r="B45" s="16" t="s">
        <v>22</v>
      </c>
      <c r="C45" s="29">
        <v>45126</v>
      </c>
      <c r="D45" s="12">
        <v>0.28472222222222221</v>
      </c>
      <c r="E45" s="13"/>
      <c r="F45" s="28">
        <f t="shared" si="2"/>
        <v>17.166666666666668</v>
      </c>
      <c r="G45" s="21">
        <f t="shared" si="3"/>
        <v>5.1666666666666679</v>
      </c>
      <c r="H45" s="54">
        <v>6500</v>
      </c>
    </row>
    <row r="46" spans="1:8" x14ac:dyDescent="0.3">
      <c r="A46" s="382"/>
      <c r="B46" s="310"/>
      <c r="C46" s="17"/>
      <c r="E46" s="32" t="s">
        <v>23</v>
      </c>
      <c r="F46" s="33">
        <f>SUM(F32:F45)</f>
        <v>167.73333333333332</v>
      </c>
      <c r="G46" s="33">
        <f>SUM(G32:G45)</f>
        <v>21.266666666666659</v>
      </c>
      <c r="H46" s="55">
        <f>SUM(H32:H45)</f>
        <v>81250</v>
      </c>
    </row>
    <row r="47" spans="1:8" ht="15" thickBot="1" x14ac:dyDescent="0.35">
      <c r="A47" s="383"/>
      <c r="B47" s="312"/>
      <c r="C47" s="17"/>
      <c r="E47" s="313" t="s">
        <v>26</v>
      </c>
      <c r="F47" s="314"/>
      <c r="G47" s="315"/>
      <c r="H47" s="56"/>
    </row>
    <row r="48" spans="1:8" ht="24" customHeight="1" thickBot="1" x14ac:dyDescent="0.35">
      <c r="A48" s="384" t="s">
        <v>27</v>
      </c>
      <c r="B48" s="385"/>
      <c r="C48" s="318"/>
      <c r="D48" s="319"/>
      <c r="E48" s="319"/>
      <c r="F48" s="319"/>
      <c r="G48" s="319"/>
      <c r="H48" s="320"/>
    </row>
    <row r="49" spans="1:8" ht="23.4" customHeight="1" x14ac:dyDescent="0.3">
      <c r="A49" s="324" t="s">
        <v>28</v>
      </c>
      <c r="B49" s="325"/>
      <c r="C49" s="321"/>
      <c r="D49" s="322"/>
      <c r="E49" s="322"/>
      <c r="F49" s="322"/>
      <c r="G49" s="322"/>
      <c r="H49" s="323"/>
    </row>
  </sheetData>
  <mergeCells count="54">
    <mergeCell ref="A46:B46"/>
    <mergeCell ref="A47:B47"/>
    <mergeCell ref="E47:G47"/>
    <mergeCell ref="A48:B48"/>
    <mergeCell ref="C48:H49"/>
    <mergeCell ref="A49:B49"/>
    <mergeCell ref="A29:B29"/>
    <mergeCell ref="C29:D29"/>
    <mergeCell ref="E29:F29"/>
    <mergeCell ref="G29:H29"/>
    <mergeCell ref="A30:B30"/>
    <mergeCell ref="C30:D30"/>
    <mergeCell ref="E30:F30"/>
    <mergeCell ref="G30:H30"/>
    <mergeCell ref="G27:H27"/>
    <mergeCell ref="A28:B28"/>
    <mergeCell ref="C28:D28"/>
    <mergeCell ref="E28:F28"/>
    <mergeCell ref="G28:H28"/>
    <mergeCell ref="A25:B25"/>
    <mergeCell ref="C25:E25"/>
    <mergeCell ref="A26:B26"/>
    <mergeCell ref="C26:E26"/>
    <mergeCell ref="A27:B27"/>
    <mergeCell ref="C27:D27"/>
    <mergeCell ref="E27:F27"/>
    <mergeCell ref="A8:B8"/>
    <mergeCell ref="C8:D8"/>
    <mergeCell ref="E8:F8"/>
    <mergeCell ref="G8:H8"/>
    <mergeCell ref="A9:B9"/>
    <mergeCell ref="C9:D9"/>
    <mergeCell ref="A5:E5"/>
    <mergeCell ref="F5:H5"/>
    <mergeCell ref="A6:B6"/>
    <mergeCell ref="C6:E6"/>
    <mergeCell ref="A7:B7"/>
    <mergeCell ref="C7:E7"/>
    <mergeCell ref="A20:B20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23:B23"/>
    <mergeCell ref="C22:H23"/>
    <mergeCell ref="A22:B22"/>
    <mergeCell ref="E21:G21"/>
    <mergeCell ref="A21:B21"/>
  </mergeCells>
  <pageMargins left="0.70866141732283472" right="0.70866141732283472" top="0.74803149606299213" bottom="0.74803149606299213" header="0.31496062992125984" footer="0.31496062992125984"/>
  <pageSetup scale="3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97"/>
  <sheetViews>
    <sheetView topLeftCell="A25" workbookViewId="0">
      <selection activeCell="G49" sqref="G49"/>
    </sheetView>
  </sheetViews>
  <sheetFormatPr baseColWidth="10" defaultRowHeight="14.4" x14ac:dyDescent="0.3"/>
  <cols>
    <col min="1" max="4" width="13.6640625" customWidth="1"/>
    <col min="5" max="5" width="15.6640625" customWidth="1"/>
    <col min="6" max="7" width="13.6640625" customWidth="1"/>
    <col min="8" max="8" width="15.6640625" customWidth="1"/>
    <col min="10" max="10" width="7.33203125" customWidth="1"/>
  </cols>
  <sheetData>
    <row r="4" spans="1:9" ht="15" thickBot="1" x14ac:dyDescent="0.35"/>
    <row r="5" spans="1:9" ht="20.100000000000001" customHeight="1" thickBot="1" x14ac:dyDescent="0.35">
      <c r="A5" s="359" t="s">
        <v>35</v>
      </c>
      <c r="B5" s="360"/>
      <c r="C5" s="360"/>
      <c r="D5" s="360"/>
      <c r="E5" s="361"/>
      <c r="F5" s="362" t="s">
        <v>36</v>
      </c>
      <c r="G5" s="363"/>
      <c r="H5" s="364"/>
    </row>
    <row r="6" spans="1:9" ht="17.399999999999999" customHeight="1" thickBot="1" x14ac:dyDescent="0.35">
      <c r="A6" s="355" t="s">
        <v>0</v>
      </c>
      <c r="B6" s="356"/>
      <c r="C6" s="355" t="s">
        <v>40</v>
      </c>
      <c r="D6" s="357"/>
      <c r="E6" s="358"/>
      <c r="F6" s="43" t="s">
        <v>1</v>
      </c>
      <c r="G6" s="44">
        <f>5500+1000</f>
        <v>6500</v>
      </c>
      <c r="H6" s="45" t="s">
        <v>2</v>
      </c>
    </row>
    <row r="7" spans="1:9" ht="18.600000000000001" customHeight="1" thickBot="1" x14ac:dyDescent="0.35">
      <c r="A7" s="351" t="s">
        <v>3</v>
      </c>
      <c r="B7" s="352"/>
      <c r="C7" s="353">
        <v>41993007</v>
      </c>
      <c r="D7" s="353"/>
      <c r="E7" s="354"/>
      <c r="F7" s="46"/>
      <c r="G7" s="44">
        <v>3250</v>
      </c>
      <c r="H7" s="47" t="s">
        <v>4</v>
      </c>
    </row>
    <row r="8" spans="1:9" ht="20.100000000000001" customHeight="1" x14ac:dyDescent="0.3">
      <c r="A8" s="326" t="s">
        <v>5</v>
      </c>
      <c r="B8" s="341"/>
      <c r="C8" s="326" t="s">
        <v>6</v>
      </c>
      <c r="D8" s="341"/>
      <c r="E8" s="326" t="s">
        <v>7</v>
      </c>
      <c r="F8" s="327"/>
      <c r="G8" s="342" t="s">
        <v>8</v>
      </c>
      <c r="H8" s="343"/>
    </row>
    <row r="9" spans="1:9" ht="20.100000000000001" customHeight="1" x14ac:dyDescent="0.3">
      <c r="A9" s="344">
        <f>+F18</f>
        <v>28.65</v>
      </c>
      <c r="B9" s="345"/>
      <c r="C9" s="346">
        <f>+G18</f>
        <v>0</v>
      </c>
      <c r="D9" s="345"/>
      <c r="E9" s="347">
        <f>470+100</f>
        <v>570</v>
      </c>
      <c r="F9" s="348"/>
      <c r="G9" s="349">
        <f>+C9*E9</f>
        <v>0</v>
      </c>
      <c r="H9" s="350"/>
    </row>
    <row r="10" spans="1:9" ht="14.4" customHeight="1" x14ac:dyDescent="0.3">
      <c r="A10" s="326"/>
      <c r="B10" s="327"/>
      <c r="C10" s="328"/>
      <c r="D10" s="327"/>
      <c r="E10" s="329"/>
      <c r="F10" s="330"/>
      <c r="G10" s="331" t="s">
        <v>9</v>
      </c>
      <c r="H10" s="332"/>
    </row>
    <row r="11" spans="1:9" ht="19.95" customHeight="1" thickBot="1" x14ac:dyDescent="0.35">
      <c r="A11" s="393"/>
      <c r="B11" s="394"/>
      <c r="C11" s="335"/>
      <c r="D11" s="336"/>
      <c r="E11" s="337">
        <f>+A11*C11</f>
        <v>0</v>
      </c>
      <c r="F11" s="338"/>
      <c r="G11" s="397">
        <f>+G9+E11+H18-H19</f>
        <v>19500</v>
      </c>
      <c r="H11" s="398"/>
      <c r="I11" s="35"/>
    </row>
    <row r="12" spans="1:9" s="9" customFormat="1" ht="29.25" customHeight="1" thickBot="1" x14ac:dyDescent="0.35">
      <c r="A12" s="6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36" t="s">
        <v>15</v>
      </c>
      <c r="G12" s="7" t="s">
        <v>16</v>
      </c>
      <c r="H12" s="8" t="s">
        <v>17</v>
      </c>
    </row>
    <row r="13" spans="1:9" x14ac:dyDescent="0.3">
      <c r="A13" s="23"/>
      <c r="B13" s="24" t="s">
        <v>18</v>
      </c>
      <c r="C13" s="29">
        <v>45108</v>
      </c>
      <c r="D13" s="25"/>
      <c r="E13" s="26"/>
      <c r="F13" s="28">
        <f>(IF(D13&gt;E13,E13+1-D13,E13-D13))*24</f>
        <v>0</v>
      </c>
      <c r="G13" s="31"/>
      <c r="H13" s="27">
        <v>0</v>
      </c>
    </row>
    <row r="14" spans="1:9" x14ac:dyDescent="0.3">
      <c r="A14" s="23"/>
      <c r="B14" s="24" t="s">
        <v>19</v>
      </c>
      <c r="C14" s="29">
        <v>45109</v>
      </c>
      <c r="D14" s="25"/>
      <c r="E14" s="26"/>
      <c r="F14" s="28">
        <f>(IF(D14&gt;E14,E14+1-D14,E14-D14))*24</f>
        <v>0</v>
      </c>
      <c r="G14" s="31">
        <v>0</v>
      </c>
      <c r="H14" s="27"/>
    </row>
    <row r="15" spans="1:9" x14ac:dyDescent="0.3">
      <c r="A15" s="10"/>
      <c r="B15" s="11" t="s">
        <v>20</v>
      </c>
      <c r="C15" s="29">
        <v>45110</v>
      </c>
      <c r="D15" s="18">
        <v>0.36180555555555555</v>
      </c>
      <c r="E15" s="20">
        <v>0.71319444444444446</v>
      </c>
      <c r="F15" s="28">
        <f>(IF(D15&gt;E15,E15+1-D15,E15-D15))*24</f>
        <v>8.4333333333333336</v>
      </c>
      <c r="G15" s="21">
        <v>0</v>
      </c>
      <c r="H15" s="22">
        <v>6500</v>
      </c>
    </row>
    <row r="16" spans="1:9" x14ac:dyDescent="0.3">
      <c r="A16" s="10"/>
      <c r="B16" s="11" t="s">
        <v>21</v>
      </c>
      <c r="C16" s="29">
        <v>45111</v>
      </c>
      <c r="D16" s="18">
        <v>0.36458333333333331</v>
      </c>
      <c r="E16" s="20">
        <v>0.77708333333333324</v>
      </c>
      <c r="F16" s="28">
        <f>(IF(D16&gt;E16,E16+1-D16,E16-D16))*24</f>
        <v>9.8999999999999986</v>
      </c>
      <c r="G16" s="21">
        <v>0</v>
      </c>
      <c r="H16" s="22">
        <v>6500</v>
      </c>
    </row>
    <row r="17" spans="1:8" x14ac:dyDescent="0.3">
      <c r="A17" s="10"/>
      <c r="B17" s="11" t="s">
        <v>22</v>
      </c>
      <c r="C17" s="29">
        <v>45112</v>
      </c>
      <c r="D17" s="18">
        <v>0.35347222222222219</v>
      </c>
      <c r="E17" s="20">
        <v>0.78333333333333333</v>
      </c>
      <c r="F17" s="28">
        <f>(IF(D17&gt;E17,E17+1-D17,E17-D17))*24</f>
        <v>10.316666666666666</v>
      </c>
      <c r="G17" s="21">
        <v>0</v>
      </c>
      <c r="H17" s="22">
        <v>6500</v>
      </c>
    </row>
    <row r="18" spans="1:8" x14ac:dyDescent="0.3">
      <c r="A18" s="309"/>
      <c r="B18" s="310"/>
      <c r="C18" s="17"/>
      <c r="E18" s="32" t="s">
        <v>23</v>
      </c>
      <c r="F18" s="33">
        <f>SUM(F13:F17)</f>
        <v>28.65</v>
      </c>
      <c r="G18" s="33">
        <f>SUM(G13:G17)</f>
        <v>0</v>
      </c>
      <c r="H18" s="34">
        <f>SUM(H13:H17)</f>
        <v>19500</v>
      </c>
    </row>
    <row r="19" spans="1:8" ht="15" thickBot="1" x14ac:dyDescent="0.35">
      <c r="A19" s="311"/>
      <c r="B19" s="312"/>
      <c r="C19" s="17"/>
      <c r="E19" s="313" t="s">
        <v>26</v>
      </c>
      <c r="F19" s="314"/>
      <c r="G19" s="315"/>
      <c r="H19" s="37"/>
    </row>
    <row r="20" spans="1:8" ht="15.6" customHeight="1" thickBot="1" x14ac:dyDescent="0.35">
      <c r="A20" s="386" t="s">
        <v>27</v>
      </c>
      <c r="B20" s="385"/>
      <c r="C20" s="387"/>
      <c r="D20" s="388"/>
      <c r="E20" s="388"/>
      <c r="F20" s="388"/>
      <c r="G20" s="388"/>
      <c r="H20" s="389"/>
    </row>
    <row r="21" spans="1:8" ht="14.4" customHeight="1" thickBot="1" x14ac:dyDescent="0.35">
      <c r="A21" s="386" t="s">
        <v>28</v>
      </c>
      <c r="B21" s="385"/>
      <c r="C21" s="390"/>
      <c r="D21" s="391"/>
      <c r="E21" s="391"/>
      <c r="F21" s="391"/>
      <c r="G21" s="391"/>
      <c r="H21" s="392"/>
    </row>
    <row r="22" spans="1:8" ht="20.399999999999999" customHeight="1" thickBot="1" x14ac:dyDescent="0.35">
      <c r="A22" s="355" t="s">
        <v>0</v>
      </c>
      <c r="B22" s="356"/>
      <c r="C22" s="355" t="s">
        <v>40</v>
      </c>
      <c r="D22" s="357"/>
      <c r="E22" s="358"/>
      <c r="F22" s="43" t="s">
        <v>1</v>
      </c>
      <c r="G22" s="44">
        <f>5500+1000</f>
        <v>6500</v>
      </c>
      <c r="H22" s="45" t="s">
        <v>2</v>
      </c>
    </row>
    <row r="23" spans="1:8" ht="15" thickBot="1" x14ac:dyDescent="0.35">
      <c r="A23" s="351" t="s">
        <v>3</v>
      </c>
      <c r="B23" s="352"/>
      <c r="C23" s="353">
        <v>41993007</v>
      </c>
      <c r="D23" s="353"/>
      <c r="E23" s="354"/>
      <c r="F23" s="46"/>
      <c r="G23" s="44">
        <v>3250</v>
      </c>
      <c r="H23" s="47" t="s">
        <v>4</v>
      </c>
    </row>
    <row r="24" spans="1:8" x14ac:dyDescent="0.3">
      <c r="A24" s="326" t="s">
        <v>5</v>
      </c>
      <c r="B24" s="341"/>
      <c r="C24" s="326" t="s">
        <v>6</v>
      </c>
      <c r="D24" s="341"/>
      <c r="E24" s="326" t="s">
        <v>7</v>
      </c>
      <c r="F24" s="327"/>
      <c r="G24" s="342" t="s">
        <v>8</v>
      </c>
      <c r="H24" s="343"/>
    </row>
    <row r="25" spans="1:8" x14ac:dyDescent="0.3">
      <c r="A25" s="344">
        <f>+F36</f>
        <v>50.38333333333334</v>
      </c>
      <c r="B25" s="345"/>
      <c r="C25" s="346">
        <f>+G36</f>
        <v>0</v>
      </c>
      <c r="D25" s="345"/>
      <c r="E25" s="347">
        <f>470+100</f>
        <v>570</v>
      </c>
      <c r="F25" s="348"/>
      <c r="G25" s="349">
        <f>+C25*E25</f>
        <v>0</v>
      </c>
      <c r="H25" s="350"/>
    </row>
    <row r="26" spans="1:8" x14ac:dyDescent="0.3">
      <c r="A26" s="326"/>
      <c r="B26" s="327"/>
      <c r="C26" s="328"/>
      <c r="D26" s="327"/>
      <c r="E26" s="329"/>
      <c r="F26" s="330"/>
      <c r="G26" s="331" t="s">
        <v>31</v>
      </c>
      <c r="H26" s="332"/>
    </row>
    <row r="27" spans="1:8" ht="15" thickBot="1" x14ac:dyDescent="0.35">
      <c r="A27" s="393"/>
      <c r="B27" s="394"/>
      <c r="C27" s="335"/>
      <c r="D27" s="336"/>
      <c r="E27" s="337">
        <f>+A27*C27</f>
        <v>0</v>
      </c>
      <c r="F27" s="338"/>
      <c r="G27" s="397">
        <f>+G25+E27+H36-H37</f>
        <v>32500</v>
      </c>
      <c r="H27" s="398"/>
    </row>
    <row r="28" spans="1:8" ht="29.4" thickBot="1" x14ac:dyDescent="0.35">
      <c r="A28" s="6" t="s">
        <v>10</v>
      </c>
      <c r="B28" s="7" t="s">
        <v>11</v>
      </c>
      <c r="C28" s="7" t="s">
        <v>12</v>
      </c>
      <c r="D28" s="7" t="s">
        <v>13</v>
      </c>
      <c r="E28" s="7" t="s">
        <v>14</v>
      </c>
      <c r="F28" s="36" t="s">
        <v>15</v>
      </c>
      <c r="G28" s="7" t="s">
        <v>16</v>
      </c>
      <c r="H28" s="8" t="s">
        <v>17</v>
      </c>
    </row>
    <row r="29" spans="1:8" x14ac:dyDescent="0.3">
      <c r="A29" s="10"/>
      <c r="B29" s="11" t="s">
        <v>24</v>
      </c>
      <c r="C29" s="29">
        <v>45113</v>
      </c>
      <c r="D29" s="18">
        <v>0.35347222222222219</v>
      </c>
      <c r="E29" s="20">
        <v>0.78333333333333333</v>
      </c>
      <c r="F29" s="28">
        <f t="shared" ref="F29:F35" si="0">(IF(D29&gt;E29,E29+1-D29,E29-D29))*24</f>
        <v>10.316666666666666</v>
      </c>
      <c r="G29" s="21">
        <v>0</v>
      </c>
      <c r="H29" s="22">
        <v>6500</v>
      </c>
    </row>
    <row r="30" spans="1:8" x14ac:dyDescent="0.3">
      <c r="A30" s="10"/>
      <c r="B30" s="11" t="s">
        <v>25</v>
      </c>
      <c r="C30" s="29">
        <v>45114</v>
      </c>
      <c r="D30" s="18">
        <v>0.3</v>
      </c>
      <c r="E30" s="20">
        <v>0.74722222222222223</v>
      </c>
      <c r="F30" s="28">
        <f t="shared" si="0"/>
        <v>10.733333333333334</v>
      </c>
      <c r="G30" s="21">
        <v>0</v>
      </c>
      <c r="H30" s="22">
        <v>6500</v>
      </c>
    </row>
    <row r="31" spans="1:8" x14ac:dyDescent="0.3">
      <c r="A31" s="23"/>
      <c r="B31" s="24" t="s">
        <v>18</v>
      </c>
      <c r="C31" s="29">
        <v>45115</v>
      </c>
      <c r="D31" s="25"/>
      <c r="E31" s="26"/>
      <c r="F31" s="28">
        <f t="shared" si="0"/>
        <v>0</v>
      </c>
      <c r="G31" s="31">
        <v>0</v>
      </c>
      <c r="H31" s="27">
        <v>0</v>
      </c>
    </row>
    <row r="32" spans="1:8" x14ac:dyDescent="0.3">
      <c r="A32" s="23"/>
      <c r="B32" s="24" t="s">
        <v>19</v>
      </c>
      <c r="C32" s="29">
        <v>45116</v>
      </c>
      <c r="D32" s="25"/>
      <c r="E32" s="26"/>
      <c r="F32" s="28">
        <f t="shared" si="0"/>
        <v>0</v>
      </c>
      <c r="G32" s="31">
        <v>0</v>
      </c>
      <c r="H32" s="27">
        <v>0</v>
      </c>
    </row>
    <row r="33" spans="1:8" x14ac:dyDescent="0.3">
      <c r="A33" s="10"/>
      <c r="B33" s="11" t="s">
        <v>20</v>
      </c>
      <c r="C33" s="29">
        <v>45117</v>
      </c>
      <c r="D33" s="18">
        <v>0.34930555555555554</v>
      </c>
      <c r="E33" s="20">
        <v>0.75763888888888886</v>
      </c>
      <c r="F33" s="28">
        <f t="shared" si="0"/>
        <v>9.8000000000000007</v>
      </c>
      <c r="G33" s="21">
        <v>0</v>
      </c>
      <c r="H33" s="22">
        <v>6500</v>
      </c>
    </row>
    <row r="34" spans="1:8" x14ac:dyDescent="0.3">
      <c r="A34" s="10"/>
      <c r="B34" s="11" t="s">
        <v>21</v>
      </c>
      <c r="C34" s="29">
        <v>45118</v>
      </c>
      <c r="D34" s="18">
        <v>0.34791666666666665</v>
      </c>
      <c r="E34" s="20">
        <v>0.74861111111111101</v>
      </c>
      <c r="F34" s="28">
        <f t="shared" si="0"/>
        <v>9.6166666666666636</v>
      </c>
      <c r="G34" s="21">
        <v>0</v>
      </c>
      <c r="H34" s="22">
        <v>6500</v>
      </c>
    </row>
    <row r="35" spans="1:8" x14ac:dyDescent="0.3">
      <c r="A35" s="10"/>
      <c r="B35" s="11" t="s">
        <v>22</v>
      </c>
      <c r="C35" s="29">
        <v>45119</v>
      </c>
      <c r="D35" s="18">
        <v>0.3430555555555555</v>
      </c>
      <c r="E35" s="20">
        <v>0.75624999999999998</v>
      </c>
      <c r="F35" s="28">
        <f t="shared" si="0"/>
        <v>9.9166666666666679</v>
      </c>
      <c r="G35" s="21">
        <v>0</v>
      </c>
      <c r="H35" s="22">
        <v>6500</v>
      </c>
    </row>
    <row r="36" spans="1:8" x14ac:dyDescent="0.3">
      <c r="A36" s="309"/>
      <c r="B36" s="310"/>
      <c r="C36" s="17"/>
      <c r="E36" s="32" t="s">
        <v>23</v>
      </c>
      <c r="F36" s="33">
        <f>SUM(F29:F35)</f>
        <v>50.38333333333334</v>
      </c>
      <c r="G36" s="33">
        <f>SUM(G29:G35)</f>
        <v>0</v>
      </c>
      <c r="H36" s="34">
        <f>SUM(H29:H35)</f>
        <v>32500</v>
      </c>
    </row>
    <row r="37" spans="1:8" ht="15" thickBot="1" x14ac:dyDescent="0.35">
      <c r="A37" s="311"/>
      <c r="B37" s="312"/>
      <c r="C37" s="17"/>
      <c r="E37" s="313" t="s">
        <v>26</v>
      </c>
      <c r="F37" s="314"/>
      <c r="G37" s="315"/>
      <c r="H37" s="37"/>
    </row>
    <row r="38" spans="1:8" ht="16.2" customHeight="1" thickBot="1" x14ac:dyDescent="0.35">
      <c r="A38" s="386" t="s">
        <v>27</v>
      </c>
      <c r="B38" s="385"/>
      <c r="C38" s="387"/>
      <c r="D38" s="388"/>
      <c r="E38" s="388"/>
      <c r="F38" s="388"/>
      <c r="G38" s="388"/>
      <c r="H38" s="389"/>
    </row>
    <row r="39" spans="1:8" ht="16.2" customHeight="1" thickBot="1" x14ac:dyDescent="0.35">
      <c r="A39" s="386" t="s">
        <v>28</v>
      </c>
      <c r="B39" s="385"/>
      <c r="C39" s="390"/>
      <c r="D39" s="391"/>
      <c r="E39" s="391"/>
      <c r="F39" s="391"/>
      <c r="G39" s="391"/>
      <c r="H39" s="392"/>
    </row>
    <row r="40" spans="1:8" ht="16.2" thickBot="1" x14ac:dyDescent="0.35">
      <c r="A40" s="359" t="s">
        <v>35</v>
      </c>
      <c r="B40" s="360"/>
      <c r="C40" s="360"/>
      <c r="D40" s="360"/>
      <c r="E40" s="361"/>
      <c r="F40" s="362" t="s">
        <v>30</v>
      </c>
      <c r="G40" s="363"/>
      <c r="H40" s="364"/>
    </row>
    <row r="41" spans="1:8" ht="15" thickBot="1" x14ac:dyDescent="0.35">
      <c r="A41" s="355" t="s">
        <v>0</v>
      </c>
      <c r="B41" s="356"/>
      <c r="C41" s="355" t="s">
        <v>40</v>
      </c>
      <c r="D41" s="357"/>
      <c r="E41" s="358"/>
      <c r="F41" s="43" t="s">
        <v>1</v>
      </c>
      <c r="G41" s="44">
        <f>5500+1000</f>
        <v>6500</v>
      </c>
      <c r="H41" s="45" t="s">
        <v>2</v>
      </c>
    </row>
    <row r="42" spans="1:8" ht="15" thickBot="1" x14ac:dyDescent="0.35">
      <c r="A42" s="351" t="s">
        <v>3</v>
      </c>
      <c r="B42" s="352"/>
      <c r="C42" s="353">
        <v>41993007</v>
      </c>
      <c r="D42" s="353"/>
      <c r="E42" s="354"/>
      <c r="F42" s="46"/>
      <c r="G42" s="44">
        <v>3250</v>
      </c>
      <c r="H42" s="47" t="s">
        <v>4</v>
      </c>
    </row>
    <row r="43" spans="1:8" x14ac:dyDescent="0.3">
      <c r="A43" s="326" t="s">
        <v>5</v>
      </c>
      <c r="B43" s="341"/>
      <c r="C43" s="326" t="s">
        <v>6</v>
      </c>
      <c r="D43" s="341"/>
      <c r="E43" s="326" t="s">
        <v>7</v>
      </c>
      <c r="F43" s="327"/>
      <c r="G43" s="342" t="s">
        <v>8</v>
      </c>
      <c r="H43" s="343"/>
    </row>
    <row r="44" spans="1:8" x14ac:dyDescent="0.3">
      <c r="A44" s="344">
        <f>+F55</f>
        <v>49.716666666666669</v>
      </c>
      <c r="B44" s="345"/>
      <c r="C44" s="346">
        <f>+G55</f>
        <v>0</v>
      </c>
      <c r="D44" s="345"/>
      <c r="E44" s="347">
        <f>470+100</f>
        <v>570</v>
      </c>
      <c r="F44" s="348"/>
      <c r="G44" s="349">
        <f>+C44*E44</f>
        <v>0</v>
      </c>
      <c r="H44" s="350"/>
    </row>
    <row r="45" spans="1:8" x14ac:dyDescent="0.3">
      <c r="A45" s="326"/>
      <c r="B45" s="327"/>
      <c r="C45" s="328"/>
      <c r="D45" s="327"/>
      <c r="E45" s="329"/>
      <c r="F45" s="330"/>
      <c r="G45" s="331" t="s">
        <v>34</v>
      </c>
      <c r="H45" s="332"/>
    </row>
    <row r="46" spans="1:8" ht="15" thickBot="1" x14ac:dyDescent="0.35">
      <c r="A46" s="393"/>
      <c r="B46" s="394"/>
      <c r="C46" s="335"/>
      <c r="D46" s="336"/>
      <c r="E46" s="337">
        <f>+A46*C46</f>
        <v>0</v>
      </c>
      <c r="F46" s="338"/>
      <c r="G46" s="397">
        <f>+G44+E46+H55-H56</f>
        <v>32500</v>
      </c>
      <c r="H46" s="398"/>
    </row>
    <row r="47" spans="1:8" ht="29.4" thickBot="1" x14ac:dyDescent="0.35">
      <c r="A47" s="6" t="s">
        <v>10</v>
      </c>
      <c r="B47" s="7" t="s">
        <v>11</v>
      </c>
      <c r="C47" s="7" t="s">
        <v>12</v>
      </c>
      <c r="D47" s="7" t="s">
        <v>13</v>
      </c>
      <c r="E47" s="7" t="s">
        <v>14</v>
      </c>
      <c r="F47" s="36" t="s">
        <v>15</v>
      </c>
      <c r="G47" s="7" t="s">
        <v>16</v>
      </c>
      <c r="H47" s="8" t="s">
        <v>17</v>
      </c>
    </row>
    <row r="48" spans="1:8" x14ac:dyDescent="0.3">
      <c r="A48" s="10"/>
      <c r="B48" s="11" t="s">
        <v>24</v>
      </c>
      <c r="C48" s="29">
        <v>45120</v>
      </c>
      <c r="D48" s="18">
        <v>0.35000000000000003</v>
      </c>
      <c r="E48" s="20">
        <v>0.74861111111111101</v>
      </c>
      <c r="F48" s="28">
        <f t="shared" ref="F48:F54" si="1">(IF(D48&gt;E48,E48+1-D48,E48-D48))*24</f>
        <v>9.5666666666666629</v>
      </c>
      <c r="G48" s="21">
        <v>0</v>
      </c>
      <c r="H48" s="22">
        <v>6500</v>
      </c>
    </row>
    <row r="49" spans="1:8" x14ac:dyDescent="0.3">
      <c r="A49" s="10"/>
      <c r="B49" s="11" t="s">
        <v>25</v>
      </c>
      <c r="C49" s="29">
        <v>45121</v>
      </c>
      <c r="D49" s="18">
        <v>0.35486111111111113</v>
      </c>
      <c r="E49" s="20">
        <v>0.75763888888888886</v>
      </c>
      <c r="F49" s="28">
        <f t="shared" si="1"/>
        <v>9.6666666666666661</v>
      </c>
      <c r="G49" s="21">
        <v>0</v>
      </c>
      <c r="H49" s="22">
        <v>6500</v>
      </c>
    </row>
    <row r="50" spans="1:8" x14ac:dyDescent="0.3">
      <c r="A50" s="23"/>
      <c r="B50" s="24" t="s">
        <v>18</v>
      </c>
      <c r="C50" s="29">
        <v>45122</v>
      </c>
      <c r="D50" s="25"/>
      <c r="E50" s="26"/>
      <c r="F50" s="28">
        <f t="shared" si="1"/>
        <v>0</v>
      </c>
      <c r="G50" s="31">
        <v>0</v>
      </c>
      <c r="H50" s="27">
        <v>0</v>
      </c>
    </row>
    <row r="51" spans="1:8" x14ac:dyDescent="0.3">
      <c r="A51" s="23"/>
      <c r="B51" s="24" t="s">
        <v>19</v>
      </c>
      <c r="C51" s="29">
        <v>45123</v>
      </c>
      <c r="D51" s="25"/>
      <c r="E51" s="26"/>
      <c r="F51" s="28">
        <f t="shared" si="1"/>
        <v>0</v>
      </c>
      <c r="G51" s="31">
        <v>0</v>
      </c>
      <c r="H51" s="27">
        <v>0</v>
      </c>
    </row>
    <row r="52" spans="1:8" x14ac:dyDescent="0.3">
      <c r="A52" s="10"/>
      <c r="B52" s="11" t="s">
        <v>20</v>
      </c>
      <c r="C52" s="29">
        <v>45124</v>
      </c>
      <c r="D52" s="18">
        <v>0.3666666666666667</v>
      </c>
      <c r="E52" s="20">
        <v>0.75069444444444444</v>
      </c>
      <c r="F52" s="28">
        <f t="shared" si="1"/>
        <v>9.216666666666665</v>
      </c>
      <c r="G52" s="21">
        <v>0</v>
      </c>
      <c r="H52" s="22">
        <v>6500</v>
      </c>
    </row>
    <row r="53" spans="1:8" x14ac:dyDescent="0.3">
      <c r="A53" s="10"/>
      <c r="B53" s="11" t="s">
        <v>21</v>
      </c>
      <c r="C53" s="29">
        <v>45125</v>
      </c>
      <c r="D53" s="18">
        <v>0.35000000000000003</v>
      </c>
      <c r="E53" s="20">
        <v>0.79861111111111116</v>
      </c>
      <c r="F53" s="28">
        <f t="shared" si="1"/>
        <v>10.766666666666667</v>
      </c>
      <c r="G53" s="21">
        <v>0</v>
      </c>
      <c r="H53" s="22">
        <v>6500</v>
      </c>
    </row>
    <row r="54" spans="1:8" x14ac:dyDescent="0.3">
      <c r="A54" s="10"/>
      <c r="B54" s="11" t="s">
        <v>22</v>
      </c>
      <c r="C54" s="29">
        <v>45126</v>
      </c>
      <c r="D54" s="18">
        <v>0.35069444444444442</v>
      </c>
      <c r="E54" s="20">
        <v>0.78819444444444453</v>
      </c>
      <c r="F54" s="28">
        <f t="shared" si="1"/>
        <v>10.500000000000004</v>
      </c>
      <c r="G54" s="21">
        <v>0</v>
      </c>
      <c r="H54" s="22">
        <v>6500</v>
      </c>
    </row>
    <row r="55" spans="1:8" x14ac:dyDescent="0.3">
      <c r="A55" s="309"/>
      <c r="B55" s="310"/>
      <c r="C55" s="17"/>
      <c r="E55" s="32" t="s">
        <v>23</v>
      </c>
      <c r="F55" s="33">
        <f>SUM(F48:F54)</f>
        <v>49.716666666666669</v>
      </c>
      <c r="G55" s="33">
        <f>SUM(G48:G54)</f>
        <v>0</v>
      </c>
      <c r="H55" s="34">
        <f>SUM(H48:H54)</f>
        <v>32500</v>
      </c>
    </row>
    <row r="56" spans="1:8" ht="14.4" customHeight="1" thickBot="1" x14ac:dyDescent="0.35">
      <c r="A56" s="311"/>
      <c r="B56" s="312"/>
      <c r="C56" s="17"/>
      <c r="E56" s="313" t="s">
        <v>26</v>
      </c>
      <c r="F56" s="314"/>
      <c r="G56" s="315"/>
      <c r="H56" s="37"/>
    </row>
    <row r="57" spans="1:8" ht="15" thickBot="1" x14ac:dyDescent="0.35">
      <c r="A57" s="386" t="s">
        <v>27</v>
      </c>
      <c r="B57" s="385"/>
      <c r="C57" s="387"/>
      <c r="D57" s="388"/>
      <c r="E57" s="388"/>
      <c r="F57" s="388"/>
      <c r="G57" s="388"/>
      <c r="H57" s="389"/>
    </row>
    <row r="58" spans="1:8" ht="15" thickBot="1" x14ac:dyDescent="0.35">
      <c r="A58" s="386" t="s">
        <v>28</v>
      </c>
      <c r="B58" s="385"/>
      <c r="C58" s="390"/>
      <c r="D58" s="391"/>
      <c r="E58" s="391"/>
      <c r="F58" s="391"/>
      <c r="G58" s="391"/>
      <c r="H58" s="392"/>
    </row>
    <row r="59" spans="1:8" ht="15" thickBot="1" x14ac:dyDescent="0.35">
      <c r="A59" s="64"/>
      <c r="B59" s="65"/>
      <c r="C59" s="66"/>
      <c r="D59" s="49"/>
      <c r="E59" s="49"/>
      <c r="F59" s="57"/>
      <c r="G59" s="57"/>
      <c r="H59" s="58"/>
    </row>
    <row r="60" spans="1:8" ht="15" thickBot="1" x14ac:dyDescent="0.35">
      <c r="A60" s="355" t="s">
        <v>0</v>
      </c>
      <c r="B60" s="356"/>
      <c r="C60" s="355" t="s">
        <v>40</v>
      </c>
      <c r="D60" s="357"/>
      <c r="E60" s="358"/>
      <c r="F60" s="43" t="s">
        <v>1</v>
      </c>
      <c r="G60" s="44">
        <f>5500+1000</f>
        <v>6500</v>
      </c>
      <c r="H60" s="45" t="s">
        <v>2</v>
      </c>
    </row>
    <row r="61" spans="1:8" ht="15" thickBot="1" x14ac:dyDescent="0.35">
      <c r="A61" s="351" t="s">
        <v>3</v>
      </c>
      <c r="B61" s="352"/>
      <c r="C61" s="353">
        <v>41993007</v>
      </c>
      <c r="D61" s="353"/>
      <c r="E61" s="354"/>
      <c r="F61" s="46"/>
      <c r="G61" s="44">
        <v>3250</v>
      </c>
      <c r="H61" s="47" t="s">
        <v>4</v>
      </c>
    </row>
    <row r="62" spans="1:8" x14ac:dyDescent="0.3">
      <c r="A62" s="326" t="s">
        <v>5</v>
      </c>
      <c r="B62" s="341"/>
      <c r="C62" s="326" t="s">
        <v>6</v>
      </c>
      <c r="D62" s="341"/>
      <c r="E62" s="326" t="s">
        <v>7</v>
      </c>
      <c r="F62" s="327"/>
      <c r="G62" s="342" t="s">
        <v>8</v>
      </c>
      <c r="H62" s="343"/>
    </row>
    <row r="63" spans="1:8" x14ac:dyDescent="0.3">
      <c r="A63" s="344">
        <f>+F74</f>
        <v>0</v>
      </c>
      <c r="B63" s="345"/>
      <c r="C63" s="346">
        <f>+G74</f>
        <v>0</v>
      </c>
      <c r="D63" s="345"/>
      <c r="E63" s="347">
        <f>470+100</f>
        <v>570</v>
      </c>
      <c r="F63" s="348"/>
      <c r="G63" s="349">
        <f>+C63*E63</f>
        <v>0</v>
      </c>
      <c r="H63" s="350"/>
    </row>
    <row r="64" spans="1:8" x14ac:dyDescent="0.3">
      <c r="A64" s="326"/>
      <c r="B64" s="327"/>
      <c r="C64" s="328"/>
      <c r="D64" s="327"/>
      <c r="E64" s="329"/>
      <c r="F64" s="330"/>
      <c r="G64" s="331" t="s">
        <v>38</v>
      </c>
      <c r="H64" s="332"/>
    </row>
    <row r="65" spans="1:8" ht="15" thickBot="1" x14ac:dyDescent="0.35">
      <c r="A65" s="393"/>
      <c r="B65" s="394"/>
      <c r="C65" s="335"/>
      <c r="D65" s="336"/>
      <c r="E65" s="337">
        <f>+A65*C65</f>
        <v>0</v>
      </c>
      <c r="F65" s="338"/>
      <c r="G65" s="395">
        <f>+G63+E65+H74-H75</f>
        <v>0</v>
      </c>
      <c r="H65" s="396"/>
    </row>
    <row r="66" spans="1:8" ht="29.4" thickBot="1" x14ac:dyDescent="0.35">
      <c r="A66" s="6" t="s">
        <v>10</v>
      </c>
      <c r="B66" s="7" t="s">
        <v>11</v>
      </c>
      <c r="C66" s="7" t="s">
        <v>12</v>
      </c>
      <c r="D66" s="7" t="s">
        <v>13</v>
      </c>
      <c r="E66" s="7" t="s">
        <v>14</v>
      </c>
      <c r="F66" s="36" t="s">
        <v>15</v>
      </c>
      <c r="G66" s="7" t="s">
        <v>16</v>
      </c>
      <c r="H66" s="8" t="s">
        <v>17</v>
      </c>
    </row>
    <row r="67" spans="1:8" x14ac:dyDescent="0.3">
      <c r="A67" s="10"/>
      <c r="B67" s="11" t="s">
        <v>24</v>
      </c>
      <c r="C67" s="29">
        <v>45127</v>
      </c>
      <c r="D67" s="18"/>
      <c r="E67" s="20"/>
      <c r="F67" s="28">
        <f t="shared" ref="F67:F73" si="2">(IF(D67&gt;E67,E67+1-D67,E67-D67))*24</f>
        <v>0</v>
      </c>
      <c r="G67" s="21">
        <v>0</v>
      </c>
      <c r="H67" s="22"/>
    </row>
    <row r="68" spans="1:8" x14ac:dyDescent="0.3">
      <c r="A68" s="10"/>
      <c r="B68" s="11" t="s">
        <v>25</v>
      </c>
      <c r="C68" s="29">
        <v>45128</v>
      </c>
      <c r="D68" s="18"/>
      <c r="E68" s="20"/>
      <c r="F68" s="28">
        <f t="shared" si="2"/>
        <v>0</v>
      </c>
      <c r="G68" s="21">
        <v>0</v>
      </c>
      <c r="H68" s="22"/>
    </row>
    <row r="69" spans="1:8" x14ac:dyDescent="0.3">
      <c r="A69" s="10"/>
      <c r="B69" s="11" t="s">
        <v>18</v>
      </c>
      <c r="C69" s="29">
        <v>45129</v>
      </c>
      <c r="D69" s="18"/>
      <c r="E69" s="20"/>
      <c r="F69" s="28">
        <f t="shared" si="2"/>
        <v>0</v>
      </c>
      <c r="G69" s="21">
        <v>0</v>
      </c>
      <c r="H69" s="22"/>
    </row>
    <row r="70" spans="1:8" x14ac:dyDescent="0.3">
      <c r="A70" s="10"/>
      <c r="B70" s="11" t="s">
        <v>19</v>
      </c>
      <c r="C70" s="29">
        <v>45130</v>
      </c>
      <c r="D70" s="18"/>
      <c r="E70" s="20"/>
      <c r="F70" s="28">
        <f t="shared" si="2"/>
        <v>0</v>
      </c>
      <c r="G70" s="21">
        <v>0</v>
      </c>
      <c r="H70" s="22"/>
    </row>
    <row r="71" spans="1:8" x14ac:dyDescent="0.3">
      <c r="A71" s="10"/>
      <c r="B71" s="11" t="s">
        <v>20</v>
      </c>
      <c r="C71" s="29">
        <v>45131</v>
      </c>
      <c r="D71" s="18"/>
      <c r="E71" s="20"/>
      <c r="F71" s="28">
        <f t="shared" si="2"/>
        <v>0</v>
      </c>
      <c r="G71" s="21">
        <v>0</v>
      </c>
      <c r="H71" s="22"/>
    </row>
    <row r="72" spans="1:8" x14ac:dyDescent="0.3">
      <c r="A72" s="10"/>
      <c r="B72" s="11" t="s">
        <v>21</v>
      </c>
      <c r="C72" s="29">
        <v>45132</v>
      </c>
      <c r="D72" s="18"/>
      <c r="E72" s="20"/>
      <c r="F72" s="28">
        <f t="shared" si="2"/>
        <v>0</v>
      </c>
      <c r="G72" s="21">
        <v>0</v>
      </c>
      <c r="H72" s="22"/>
    </row>
    <row r="73" spans="1:8" x14ac:dyDescent="0.3">
      <c r="A73" s="10"/>
      <c r="B73" s="11" t="s">
        <v>22</v>
      </c>
      <c r="C73" s="29">
        <v>45133</v>
      </c>
      <c r="D73" s="18"/>
      <c r="E73" s="20"/>
      <c r="F73" s="28">
        <f t="shared" si="2"/>
        <v>0</v>
      </c>
      <c r="G73" s="21">
        <v>0</v>
      </c>
      <c r="H73" s="22"/>
    </row>
    <row r="74" spans="1:8" x14ac:dyDescent="0.3">
      <c r="A74" s="309"/>
      <c r="B74" s="310"/>
      <c r="C74" s="17"/>
      <c r="E74" s="32" t="s">
        <v>23</v>
      </c>
      <c r="F74" s="33">
        <f>SUM(F67:F73)</f>
        <v>0</v>
      </c>
      <c r="G74" s="33">
        <f>SUM(G67:G73)</f>
        <v>0</v>
      </c>
      <c r="H74" s="34">
        <f>SUM(H67:H73)</f>
        <v>0</v>
      </c>
    </row>
    <row r="75" spans="1:8" ht="15" thickBot="1" x14ac:dyDescent="0.35">
      <c r="A75" s="311"/>
      <c r="B75" s="312"/>
      <c r="C75" s="17"/>
      <c r="E75" s="313" t="s">
        <v>26</v>
      </c>
      <c r="F75" s="314"/>
      <c r="G75" s="315"/>
      <c r="H75" s="37"/>
    </row>
    <row r="76" spans="1:8" ht="15" thickBot="1" x14ac:dyDescent="0.35">
      <c r="A76" s="386" t="s">
        <v>27</v>
      </c>
      <c r="B76" s="385"/>
      <c r="C76" s="387"/>
      <c r="D76" s="388"/>
      <c r="E76" s="388"/>
      <c r="F76" s="388"/>
      <c r="G76" s="388"/>
      <c r="H76" s="389"/>
    </row>
    <row r="77" spans="1:8" ht="15" thickBot="1" x14ac:dyDescent="0.35">
      <c r="A77" s="386" t="s">
        <v>28</v>
      </c>
      <c r="B77" s="385"/>
      <c r="C77" s="390"/>
      <c r="D77" s="391"/>
      <c r="E77" s="391"/>
      <c r="F77" s="391"/>
      <c r="G77" s="391"/>
      <c r="H77" s="392"/>
    </row>
    <row r="79" spans="1:8" ht="15" thickBot="1" x14ac:dyDescent="0.35"/>
    <row r="80" spans="1:8" ht="15" thickBot="1" x14ac:dyDescent="0.35">
      <c r="A80" s="355" t="s">
        <v>0</v>
      </c>
      <c r="B80" s="356"/>
      <c r="C80" s="355" t="s">
        <v>40</v>
      </c>
      <c r="D80" s="357"/>
      <c r="E80" s="358"/>
      <c r="F80" s="43" t="s">
        <v>1</v>
      </c>
      <c r="G80" s="44">
        <f>5500+1000</f>
        <v>6500</v>
      </c>
      <c r="H80" s="45" t="s">
        <v>2</v>
      </c>
    </row>
    <row r="81" spans="1:8" ht="15" thickBot="1" x14ac:dyDescent="0.35">
      <c r="A81" s="351" t="s">
        <v>3</v>
      </c>
      <c r="B81" s="352"/>
      <c r="C81" s="353">
        <v>41993007</v>
      </c>
      <c r="D81" s="353"/>
      <c r="E81" s="354"/>
      <c r="F81" s="46"/>
      <c r="G81" s="44">
        <v>3250</v>
      </c>
      <c r="H81" s="47" t="s">
        <v>4</v>
      </c>
    </row>
    <row r="82" spans="1:8" x14ac:dyDescent="0.3">
      <c r="A82" s="326" t="s">
        <v>5</v>
      </c>
      <c r="B82" s="341"/>
      <c r="C82" s="326" t="s">
        <v>6</v>
      </c>
      <c r="D82" s="341"/>
      <c r="E82" s="326" t="s">
        <v>7</v>
      </c>
      <c r="F82" s="327"/>
      <c r="G82" s="342" t="s">
        <v>8</v>
      </c>
      <c r="H82" s="343"/>
    </row>
    <row r="83" spans="1:8" x14ac:dyDescent="0.3">
      <c r="A83" s="344">
        <f>+F94</f>
        <v>0</v>
      </c>
      <c r="B83" s="345"/>
      <c r="C83" s="346">
        <f>+G94</f>
        <v>0</v>
      </c>
      <c r="D83" s="345"/>
      <c r="E83" s="347">
        <f>470+100</f>
        <v>570</v>
      </c>
      <c r="F83" s="348"/>
      <c r="G83" s="349">
        <f>+C83*E83</f>
        <v>0</v>
      </c>
      <c r="H83" s="350"/>
    </row>
    <row r="84" spans="1:8" x14ac:dyDescent="0.3">
      <c r="A84" s="326"/>
      <c r="B84" s="327"/>
      <c r="C84" s="328"/>
      <c r="D84" s="327"/>
      <c r="E84" s="329"/>
      <c r="F84" s="330"/>
      <c r="G84" s="331" t="s">
        <v>39</v>
      </c>
      <c r="H84" s="332"/>
    </row>
    <row r="85" spans="1:8" ht="15" thickBot="1" x14ac:dyDescent="0.35">
      <c r="A85" s="393"/>
      <c r="B85" s="394"/>
      <c r="C85" s="335"/>
      <c r="D85" s="336"/>
      <c r="E85" s="337">
        <f>+A85*C85</f>
        <v>0</v>
      </c>
      <c r="F85" s="338"/>
      <c r="G85" s="395">
        <f>+G83+E85+H94-H95</f>
        <v>0</v>
      </c>
      <c r="H85" s="396"/>
    </row>
    <row r="86" spans="1:8" ht="29.4" thickBot="1" x14ac:dyDescent="0.35">
      <c r="A86" s="6" t="s">
        <v>10</v>
      </c>
      <c r="B86" s="7" t="s">
        <v>11</v>
      </c>
      <c r="C86" s="7" t="s">
        <v>12</v>
      </c>
      <c r="D86" s="7" t="s">
        <v>13</v>
      </c>
      <c r="E86" s="7" t="s">
        <v>14</v>
      </c>
      <c r="F86" s="36" t="s">
        <v>15</v>
      </c>
      <c r="G86" s="7" t="s">
        <v>16</v>
      </c>
      <c r="H86" s="8" t="s">
        <v>17</v>
      </c>
    </row>
    <row r="87" spans="1:8" x14ac:dyDescent="0.3">
      <c r="A87" s="10"/>
      <c r="B87" s="11" t="s">
        <v>24</v>
      </c>
      <c r="C87" s="29">
        <v>45134</v>
      </c>
      <c r="D87" s="18"/>
      <c r="E87" s="20"/>
      <c r="F87" s="28">
        <f t="shared" ref="F87:F93" si="3">(IF(D87&gt;E87,E87+1-D87,E87-D87))*24</f>
        <v>0</v>
      </c>
      <c r="G87" s="21">
        <v>0</v>
      </c>
      <c r="H87" s="22"/>
    </row>
    <row r="88" spans="1:8" x14ac:dyDescent="0.3">
      <c r="A88" s="10"/>
      <c r="B88" s="11" t="s">
        <v>25</v>
      </c>
      <c r="C88" s="29">
        <v>45135</v>
      </c>
      <c r="D88" s="18"/>
      <c r="E88" s="20"/>
      <c r="F88" s="28">
        <f t="shared" si="3"/>
        <v>0</v>
      </c>
      <c r="G88" s="21">
        <v>0</v>
      </c>
      <c r="H88" s="22"/>
    </row>
    <row r="89" spans="1:8" x14ac:dyDescent="0.3">
      <c r="A89" s="10"/>
      <c r="B89" s="11" t="s">
        <v>18</v>
      </c>
      <c r="C89" s="29">
        <v>45136</v>
      </c>
      <c r="D89" s="18"/>
      <c r="E89" s="20"/>
      <c r="F89" s="28">
        <f t="shared" si="3"/>
        <v>0</v>
      </c>
      <c r="G89" s="21">
        <v>0</v>
      </c>
      <c r="H89" s="22"/>
    </row>
    <row r="90" spans="1:8" x14ac:dyDescent="0.3">
      <c r="A90" s="10"/>
      <c r="B90" s="11" t="s">
        <v>19</v>
      </c>
      <c r="C90" s="29">
        <v>45137</v>
      </c>
      <c r="D90" s="18"/>
      <c r="E90" s="20"/>
      <c r="F90" s="28">
        <f t="shared" si="3"/>
        <v>0</v>
      </c>
      <c r="G90" s="21">
        <v>0</v>
      </c>
      <c r="H90" s="22"/>
    </row>
    <row r="91" spans="1:8" x14ac:dyDescent="0.3">
      <c r="A91" s="10"/>
      <c r="B91" s="11" t="s">
        <v>20</v>
      </c>
      <c r="C91" s="29">
        <v>45138</v>
      </c>
      <c r="D91" s="18"/>
      <c r="E91" s="20"/>
      <c r="F91" s="28">
        <f t="shared" si="3"/>
        <v>0</v>
      </c>
      <c r="G91" s="21">
        <v>0</v>
      </c>
      <c r="H91" s="22"/>
    </row>
    <row r="92" spans="1:8" x14ac:dyDescent="0.3">
      <c r="A92" s="10"/>
      <c r="B92" s="11" t="s">
        <v>21</v>
      </c>
      <c r="C92" s="29">
        <v>45139</v>
      </c>
      <c r="D92" s="18"/>
      <c r="E92" s="20"/>
      <c r="F92" s="28">
        <f t="shared" si="3"/>
        <v>0</v>
      </c>
      <c r="G92" s="21">
        <v>0</v>
      </c>
      <c r="H92" s="22"/>
    </row>
    <row r="93" spans="1:8" x14ac:dyDescent="0.3">
      <c r="A93" s="10"/>
      <c r="B93" s="11" t="s">
        <v>22</v>
      </c>
      <c r="C93" s="29">
        <v>45140</v>
      </c>
      <c r="D93" s="18"/>
      <c r="E93" s="20"/>
      <c r="F93" s="28">
        <f t="shared" si="3"/>
        <v>0</v>
      </c>
      <c r="G93" s="21">
        <v>0</v>
      </c>
      <c r="H93" s="22"/>
    </row>
    <row r="94" spans="1:8" x14ac:dyDescent="0.3">
      <c r="A94" s="309"/>
      <c r="B94" s="310"/>
      <c r="C94" s="17"/>
      <c r="E94" s="32" t="s">
        <v>23</v>
      </c>
      <c r="F94" s="33">
        <f>SUM(F87:F93)</f>
        <v>0</v>
      </c>
      <c r="G94" s="33">
        <f>SUM(G87:G93)</f>
        <v>0</v>
      </c>
      <c r="H94" s="34">
        <f>SUM(H87:H93)</f>
        <v>0</v>
      </c>
    </row>
    <row r="95" spans="1:8" ht="15" thickBot="1" x14ac:dyDescent="0.35">
      <c r="A95" s="311"/>
      <c r="B95" s="312"/>
      <c r="C95" s="17"/>
      <c r="E95" s="313" t="s">
        <v>26</v>
      </c>
      <c r="F95" s="314"/>
      <c r="G95" s="315"/>
      <c r="H95" s="37"/>
    </row>
    <row r="96" spans="1:8" ht="15" thickBot="1" x14ac:dyDescent="0.35">
      <c r="A96" s="386" t="s">
        <v>27</v>
      </c>
      <c r="B96" s="385"/>
      <c r="C96" s="387"/>
      <c r="D96" s="388"/>
      <c r="E96" s="388"/>
      <c r="F96" s="388"/>
      <c r="G96" s="388"/>
      <c r="H96" s="389"/>
    </row>
    <row r="97" spans="1:8" ht="15" thickBot="1" x14ac:dyDescent="0.35">
      <c r="A97" s="386" t="s">
        <v>28</v>
      </c>
      <c r="B97" s="385"/>
      <c r="C97" s="390"/>
      <c r="D97" s="391"/>
      <c r="E97" s="391"/>
      <c r="F97" s="391"/>
      <c r="G97" s="391"/>
      <c r="H97" s="392"/>
    </row>
  </sheetData>
  <mergeCells count="134">
    <mergeCell ref="A8:B8"/>
    <mergeCell ref="C8:D8"/>
    <mergeCell ref="E8:F8"/>
    <mergeCell ref="G8:H8"/>
    <mergeCell ref="A9:B9"/>
    <mergeCell ref="C9:D9"/>
    <mergeCell ref="E9:F9"/>
    <mergeCell ref="G9:H9"/>
    <mergeCell ref="A5:E5"/>
    <mergeCell ref="F5:H5"/>
    <mergeCell ref="A6:B6"/>
    <mergeCell ref="C6:E6"/>
    <mergeCell ref="A7:B7"/>
    <mergeCell ref="C7:E7"/>
    <mergeCell ref="A18:B18"/>
    <mergeCell ref="A19:B19"/>
    <mergeCell ref="E19:G19"/>
    <mergeCell ref="A20:B20"/>
    <mergeCell ref="C20:H21"/>
    <mergeCell ref="A21:B21"/>
    <mergeCell ref="A10:B10"/>
    <mergeCell ref="C10:D10"/>
    <mergeCell ref="E10:F10"/>
    <mergeCell ref="G10:H10"/>
    <mergeCell ref="A11:B11"/>
    <mergeCell ref="C11:D11"/>
    <mergeCell ref="E11:F11"/>
    <mergeCell ref="G11:H11"/>
    <mergeCell ref="A26:B26"/>
    <mergeCell ref="C26:D26"/>
    <mergeCell ref="E26:F26"/>
    <mergeCell ref="G26:H26"/>
    <mergeCell ref="A23:B23"/>
    <mergeCell ref="C23:E23"/>
    <mergeCell ref="A24:B24"/>
    <mergeCell ref="A22:B22"/>
    <mergeCell ref="C22:E22"/>
    <mergeCell ref="C24:D24"/>
    <mergeCell ref="E24:F24"/>
    <mergeCell ref="A41:B41"/>
    <mergeCell ref="C41:E41"/>
    <mergeCell ref="A42:B42"/>
    <mergeCell ref="C42:E42"/>
    <mergeCell ref="A43:B43"/>
    <mergeCell ref="C43:D43"/>
    <mergeCell ref="E43:F43"/>
    <mergeCell ref="G24:H24"/>
    <mergeCell ref="A36:B36"/>
    <mergeCell ref="E37:G37"/>
    <mergeCell ref="C38:H39"/>
    <mergeCell ref="A40:E40"/>
    <mergeCell ref="F40:H40"/>
    <mergeCell ref="A37:B37"/>
    <mergeCell ref="A38:B38"/>
    <mergeCell ref="A39:B39"/>
    <mergeCell ref="A27:B27"/>
    <mergeCell ref="C27:D27"/>
    <mergeCell ref="E27:F27"/>
    <mergeCell ref="G27:H27"/>
    <mergeCell ref="A25:B25"/>
    <mergeCell ref="C25:D25"/>
    <mergeCell ref="E25:F25"/>
    <mergeCell ref="G25:H25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57:B57"/>
    <mergeCell ref="C57:H58"/>
    <mergeCell ref="A58:B58"/>
    <mergeCell ref="A60:B60"/>
    <mergeCell ref="C60:E60"/>
    <mergeCell ref="A61:B61"/>
    <mergeCell ref="C61:E61"/>
    <mergeCell ref="A46:B46"/>
    <mergeCell ref="C46:D46"/>
    <mergeCell ref="E46:F46"/>
    <mergeCell ref="G46:H46"/>
    <mergeCell ref="A55:B55"/>
    <mergeCell ref="A56:B56"/>
    <mergeCell ref="E56:G56"/>
    <mergeCell ref="A64:B64"/>
    <mergeCell ref="C64:D64"/>
    <mergeCell ref="E64:F64"/>
    <mergeCell ref="G64:H64"/>
    <mergeCell ref="A65:B65"/>
    <mergeCell ref="C65:D65"/>
    <mergeCell ref="E65:F65"/>
    <mergeCell ref="G65:H65"/>
    <mergeCell ref="A62:B62"/>
    <mergeCell ref="C62:D62"/>
    <mergeCell ref="E62:F62"/>
    <mergeCell ref="G62:H62"/>
    <mergeCell ref="A63:B63"/>
    <mergeCell ref="C63:D63"/>
    <mergeCell ref="E63:F63"/>
    <mergeCell ref="G63:H63"/>
    <mergeCell ref="A80:B80"/>
    <mergeCell ref="C80:E80"/>
    <mergeCell ref="A81:B81"/>
    <mergeCell ref="C81:E81"/>
    <mergeCell ref="A82:B82"/>
    <mergeCell ref="C82:D82"/>
    <mergeCell ref="E82:F82"/>
    <mergeCell ref="A74:B74"/>
    <mergeCell ref="A75:B75"/>
    <mergeCell ref="E75:G75"/>
    <mergeCell ref="A76:B76"/>
    <mergeCell ref="C76:H77"/>
    <mergeCell ref="A77:B77"/>
    <mergeCell ref="G82:H82"/>
    <mergeCell ref="A83:B83"/>
    <mergeCell ref="C83:D83"/>
    <mergeCell ref="E83:F83"/>
    <mergeCell ref="G83:H83"/>
    <mergeCell ref="A84:B84"/>
    <mergeCell ref="C84:D84"/>
    <mergeCell ref="E84:F84"/>
    <mergeCell ref="G84:H84"/>
    <mergeCell ref="A96:B96"/>
    <mergeCell ref="C96:H97"/>
    <mergeCell ref="A97:B97"/>
    <mergeCell ref="A85:B85"/>
    <mergeCell ref="C85:D85"/>
    <mergeCell ref="E85:F85"/>
    <mergeCell ref="G85:H85"/>
    <mergeCell ref="A94:B94"/>
    <mergeCell ref="A95:B95"/>
    <mergeCell ref="E95:G95"/>
  </mergeCells>
  <pageMargins left="0.70866141732283472" right="0.70866141732283472" top="0.74803149606299213" bottom="0.74803149606299213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TOTALES</vt:lpstr>
      <vt:lpstr>BENJAMIN</vt:lpstr>
      <vt:lpstr>LISANDRO</vt:lpstr>
      <vt:lpstr>PATRICIO O.</vt:lpstr>
      <vt:lpstr>DAVID</vt:lpstr>
      <vt:lpstr>LEONEL RODRIGUEZ</vt:lpstr>
      <vt:lpstr>MAXI-ACUÑA</vt:lpstr>
      <vt:lpstr>JAIR</vt:lpstr>
      <vt:lpstr>MAURO MASSIMINO</vt:lpstr>
      <vt:lpstr>URIEL</vt:lpstr>
      <vt:lpstr>DANIEL CBA-FAUSTERA</vt:lpstr>
      <vt:lpstr>MARCOS-FAUSTERA</vt:lpstr>
      <vt:lpstr>FORMATO</vt:lpstr>
      <vt:lpstr>CHAVEZ-CARREÑO-PEREZ</vt:lpstr>
      <vt:lpstr>JONATHAN</vt:lpstr>
      <vt:lpstr>LEANDRO,1</vt:lpstr>
      <vt:lpstr>JAZ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 HP</dc:creator>
  <cp:lastModifiedBy>Notebook HP</cp:lastModifiedBy>
  <cp:lastPrinted>2026-07-27T19:50:11Z</cp:lastPrinted>
  <dcterms:created xsi:type="dcterms:W3CDTF">2023-05-04T15:47:58Z</dcterms:created>
  <dcterms:modified xsi:type="dcterms:W3CDTF">2026-07-28T14:57:15Z</dcterms:modified>
</cp:coreProperties>
</file>