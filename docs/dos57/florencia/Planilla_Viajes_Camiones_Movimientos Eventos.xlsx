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lor Gomez\Downloads\"/>
    </mc:Choice>
  </mc:AlternateContent>
  <xr:revisionPtr revIDLastSave="0" documentId="13_ncr:1_{6A5955C0-E09D-4E94-9362-0C2780B0BA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MIONES TUCUMAN ROCK" sheetId="1" r:id="rId1"/>
    <sheet name="LOGÍSTICA DIARIA" sheetId="4" r:id="rId2"/>
    <sheet name="CAMION MIGUEL - LA RENGA" sheetId="6" r:id="rId3"/>
    <sheet name="CAMION LUIS - LA RENGA" sheetId="7" r:id="rId4"/>
    <sheet name="VIAJES CAMIONES SANTIAGO DEL ES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WTVSf6iSWKu3XQ8WQL0z7bLseUGgGdeFOwYCk7zgV/k="/>
    </ext>
  </extLst>
</workbook>
</file>

<file path=xl/calcChain.xml><?xml version="1.0" encoding="utf-8"?>
<calcChain xmlns="http://schemas.openxmlformats.org/spreadsheetml/2006/main">
  <c r="J9" i="6" l="1"/>
  <c r="J10" i="6" s="1"/>
  <c r="I24" i="11"/>
  <c r="H24" i="11"/>
  <c r="J12" i="7"/>
  <c r="K11" i="7"/>
  <c r="J11" i="7"/>
  <c r="H10" i="7"/>
  <c r="H9" i="7"/>
  <c r="H8" i="7"/>
  <c r="H7" i="7"/>
  <c r="H6" i="7"/>
  <c r="H5" i="7"/>
  <c r="K9" i="6"/>
  <c r="H8" i="6"/>
  <c r="H7" i="6"/>
  <c r="H6" i="6"/>
  <c r="H5" i="6"/>
  <c r="I19" i="4"/>
  <c r="I18" i="4"/>
  <c r="I13" i="4"/>
  <c r="I12" i="4"/>
  <c r="I11" i="4"/>
  <c r="I10" i="4"/>
  <c r="I9" i="4"/>
  <c r="I8" i="4"/>
  <c r="I7" i="4"/>
  <c r="I6" i="4"/>
  <c r="I5" i="4"/>
  <c r="I4" i="4"/>
  <c r="K31" i="1"/>
  <c r="H31" i="1"/>
  <c r="H30" i="1"/>
  <c r="K30" i="1" s="1"/>
  <c r="H29" i="1"/>
  <c r="K29" i="1" s="1"/>
  <c r="K28" i="1"/>
  <c r="H28" i="1"/>
  <c r="K27" i="1"/>
  <c r="I27" i="1"/>
  <c r="H27" i="1"/>
  <c r="H26" i="1"/>
  <c r="I26" i="1" s="1"/>
  <c r="K26" i="1" s="1"/>
  <c r="K25" i="1"/>
  <c r="H25" i="1"/>
  <c r="K24" i="1"/>
  <c r="H24" i="1"/>
  <c r="H23" i="1"/>
  <c r="I23" i="1" s="1"/>
  <c r="K23" i="1" s="1"/>
  <c r="K22" i="1"/>
  <c r="H22" i="1"/>
  <c r="I21" i="1"/>
  <c r="K21" i="1" s="1"/>
  <c r="H21" i="1"/>
  <c r="H20" i="1"/>
  <c r="I20" i="1" s="1"/>
  <c r="K20" i="1" s="1"/>
  <c r="K16" i="1"/>
  <c r="H16" i="1"/>
  <c r="H15" i="1"/>
  <c r="K15" i="1" s="1"/>
  <c r="G14" i="1"/>
  <c r="H14" i="1" s="1"/>
  <c r="K14" i="1" s="1"/>
  <c r="H13" i="1"/>
  <c r="K13" i="1" s="1"/>
  <c r="K12" i="1"/>
  <c r="H12" i="1"/>
  <c r="K11" i="1"/>
  <c r="H11" i="1"/>
  <c r="H10" i="1"/>
  <c r="K10" i="1" s="1"/>
  <c r="H9" i="1"/>
  <c r="K9" i="1" s="1"/>
  <c r="H8" i="1"/>
  <c r="K8" i="1" s="1"/>
  <c r="K7" i="1"/>
  <c r="H7" i="1"/>
  <c r="H6" i="1"/>
  <c r="K6" i="1" s="1"/>
  <c r="H5" i="1"/>
  <c r="K5" i="1" s="1"/>
  <c r="H4" i="1"/>
  <c r="K4" i="1" s="1"/>
</calcChain>
</file>

<file path=xl/sharedStrings.xml><?xml version="1.0" encoding="utf-8"?>
<sst xmlns="http://schemas.openxmlformats.org/spreadsheetml/2006/main" count="322" uniqueCount="93">
  <si>
    <t>CONSUMO_CAMIONES_ARMADO_GIRA LA RENGA_TUCUMÁN_2026</t>
  </si>
  <si>
    <t>PLANILLA DE VIAJES CAMIONES - LA RENGA</t>
  </si>
  <si>
    <t>FECHA</t>
  </si>
  <si>
    <t>CAMIÓN</t>
  </si>
  <si>
    <t>EVENTO</t>
  </si>
  <si>
    <t>CHOFER</t>
  </si>
  <si>
    <t>TRAMO</t>
  </si>
  <si>
    <t>KM INICIALES</t>
  </si>
  <si>
    <t>KM FINALES</t>
  </si>
  <si>
    <t>KM CONSUMIDOS</t>
  </si>
  <si>
    <t>CARGA DE COMBUSTIBLE</t>
  </si>
  <si>
    <t>CANTIDAD DE LITROS CARGADOS</t>
  </si>
  <si>
    <t>CANTIDAD DE LITROS QUE CONSUMIO</t>
  </si>
  <si>
    <t>OBSERVACIONES</t>
  </si>
  <si>
    <t>CARGAS DE COMBUSTIBLE</t>
  </si>
  <si>
    <t>CANT.DE L. CARGADOS</t>
  </si>
  <si>
    <t xml:space="preserve">MONTO DE CAJA ENTREGADA </t>
  </si>
  <si>
    <t>CANT. DE L. CONSUMIDOS</t>
  </si>
  <si>
    <t>CANT. DE KM x L</t>
  </si>
  <si>
    <t>C1</t>
  </si>
  <si>
    <t>JUJUY - LA RENGA</t>
  </si>
  <si>
    <t>LUIS</t>
  </si>
  <si>
    <t>HKQ 258 / P.N / C1</t>
  </si>
  <si>
    <t>COR - TUCUMAN</t>
  </si>
  <si>
    <t>COR - JUJUY</t>
  </si>
  <si>
    <t>898.919</t>
  </si>
  <si>
    <t>904868</t>
  </si>
  <si>
    <t>340.660</t>
  </si>
  <si>
    <t>354,64</t>
  </si>
  <si>
    <t>C2</t>
  </si>
  <si>
    <t>TATI</t>
  </si>
  <si>
    <t>160412</t>
  </si>
  <si>
    <t>AG 768 OI / M.B / C2</t>
  </si>
  <si>
    <t>MIGUEL</t>
  </si>
  <si>
    <t>155.855</t>
  </si>
  <si>
    <t>C3</t>
  </si>
  <si>
    <t>CARLOS</t>
  </si>
  <si>
    <t>781.09</t>
  </si>
  <si>
    <t>345,93</t>
  </si>
  <si>
    <t>1294909</t>
  </si>
  <si>
    <t>Se Quedó en Jujuy</t>
  </si>
  <si>
    <t>TUCUMAN - COR</t>
  </si>
  <si>
    <t>905462</t>
  </si>
  <si>
    <t>JUJUY - COR</t>
  </si>
  <si>
    <t>160997</t>
  </si>
  <si>
    <t>HKQ 258 / P.N / C4</t>
  </si>
  <si>
    <t>297.38</t>
  </si>
  <si>
    <t>$1.117.003</t>
  </si>
  <si>
    <t>432.44</t>
  </si>
  <si>
    <t>HKQ 258 / P.N / C3</t>
  </si>
  <si>
    <t>$990.000</t>
  </si>
  <si>
    <t>294.71</t>
  </si>
  <si>
    <t>C4</t>
  </si>
  <si>
    <t>C5</t>
  </si>
  <si>
    <t>SIN CARGA</t>
  </si>
  <si>
    <t>C6</t>
  </si>
  <si>
    <t>AG 768 OI / M.B / C4</t>
  </si>
  <si>
    <t>PLANILLA DE VIAJES CAMIONES - MENSUAL - DEPO</t>
  </si>
  <si>
    <t>RESCOLDO</t>
  </si>
  <si>
    <t>FTL 303 / Volvo</t>
  </si>
  <si>
    <t>Hizo 2 Viajes</t>
  </si>
  <si>
    <t>RESCOLDO/KEMPES</t>
  </si>
  <si>
    <t>PLANCHA</t>
  </si>
  <si>
    <t>MACHADO</t>
  </si>
  <si>
    <t>RESCOLDO / KEMPES</t>
  </si>
  <si>
    <t>63.320</t>
  </si>
  <si>
    <t>C7</t>
  </si>
  <si>
    <t>3 Viajes a Rescoldo - 1 Kempes</t>
  </si>
  <si>
    <t>CONSUMO_CAMIONES_DESARME_GIRA LA RENGA_TUCUMÁN_2026</t>
  </si>
  <si>
    <t>KM CONSUMIDOS TUCUMAN ROCK</t>
  </si>
  <si>
    <t>163706</t>
  </si>
  <si>
    <t>LANCIONI</t>
  </si>
  <si>
    <t>CONSUMO_VOLSKVAGEN_GIRA LA RENGA_JUJUY_2026</t>
  </si>
  <si>
    <t>COMB.INICIAL</t>
  </si>
  <si>
    <t>TOTAL:</t>
  </si>
  <si>
    <t xml:space="preserve">COMBUSTIBLE ACTUAL </t>
  </si>
  <si>
    <t>CONSUMO_PERLA NEGRA_GIRA LA RENGA_JUJUY_2026</t>
  </si>
  <si>
    <t>PLANILLA DE VIAJES CAMIONES - ANIVERSARIO SGO DEL ESTERO</t>
  </si>
  <si>
    <t>VIAJE</t>
  </si>
  <si>
    <t>CAMION</t>
  </si>
  <si>
    <t>FECHA DE VIAJE</t>
  </si>
  <si>
    <t>HORARIO SALIDA</t>
  </si>
  <si>
    <t>HORARIO LLEGADA</t>
  </si>
  <si>
    <t>CANT. DE LITROS CARGADOS</t>
  </si>
  <si>
    <t>Cordoba - Santiago</t>
  </si>
  <si>
    <t>Luis</t>
  </si>
  <si>
    <t>Santiago - Cordoba</t>
  </si>
  <si>
    <t xml:space="preserve">Miguel </t>
  </si>
  <si>
    <t>Quedó en Sgo</t>
  </si>
  <si>
    <t>Miguel</t>
  </si>
  <si>
    <t>Estaba en Sgo</t>
  </si>
  <si>
    <t>66,33</t>
  </si>
  <si>
    <t>Transf. Pollo, Carga 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</si>
</sst>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6" formatCode="&quot;$&quot;#,##0.00"/>
  </numFmts>
  <fonts count="12">
    <font>
      <sz val="11"/>
      <color theme="1"/>
      <name val="Calibri"/>
      <scheme val="minor"/>
    </font>
    <font>
      <b/>
      <sz val="18"/>
      <color rgb="FFBAD612"/>
      <name val="Trebuchet MS"/>
    </font>
    <font>
      <sz val="11"/>
      <name val="Calibri"/>
    </font>
    <font>
      <b/>
      <sz val="12"/>
      <color rgb="FF15233E"/>
      <name val="Trebuchet MS"/>
    </font>
    <font>
      <b/>
      <sz val="11"/>
      <color rgb="FF15233E"/>
      <name val="Trebuchet MS"/>
    </font>
    <font>
      <sz val="12"/>
      <color theme="1"/>
      <name val="Trebuchet MS"/>
    </font>
    <font>
      <sz val="11"/>
      <color theme="1"/>
      <name val="Trebuchet MS"/>
    </font>
    <font>
      <b/>
      <sz val="12"/>
      <color theme="1"/>
      <name val="Arial"/>
    </font>
    <font>
      <b/>
      <sz val="11"/>
      <color theme="1"/>
      <name val="Arial"/>
    </font>
    <font>
      <sz val="12"/>
      <color theme="1"/>
      <name val="Calibri"/>
      <scheme val="minor"/>
    </font>
    <font>
      <b/>
      <sz val="12"/>
      <color theme="1"/>
      <name val="Trebuchet MS"/>
    </font>
    <font>
      <b/>
      <sz val="12"/>
      <color theme="1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rgb="FF15233E"/>
        <bgColor rgb="FF15233E"/>
      </patternFill>
    </fill>
    <fill>
      <patternFill patternType="solid">
        <fgColor rgb="FFBAD612"/>
        <bgColor rgb="FFBAD612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D5A6BD"/>
        <bgColor rgb="FFD5A6BD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3" fillId="3" borderId="5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3" fillId="3" borderId="7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164" fontId="5" fillId="0" borderId="6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4" borderId="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4" fontId="5" fillId="5" borderId="8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4" fontId="5" fillId="8" borderId="8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/>
    <xf numFmtId="49" fontId="5" fillId="0" borderId="1" xfId="0" applyNumberFormat="1" applyFont="1" applyBorder="1" applyAlignment="1">
      <alignment horizontal="center" vertical="center"/>
    </xf>
    <xf numFmtId="4" fontId="5" fillId="9" borderId="8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49" fontId="5" fillId="10" borderId="8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" fontId="5" fillId="11" borderId="8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 wrapText="1"/>
    </xf>
    <xf numFmtId="49" fontId="5" fillId="12" borderId="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6" fillId="16" borderId="1" xfId="0" applyFont="1" applyFill="1" applyBorder="1" applyAlignment="1">
      <alignment horizontal="center" wrapText="1"/>
    </xf>
    <xf numFmtId="16" fontId="6" fillId="0" borderId="1" xfId="0" applyNumberFormat="1" applyFont="1" applyBorder="1" applyAlignment="1">
      <alignment horizontal="center"/>
    </xf>
    <xf numFmtId="16" fontId="6" fillId="0" borderId="8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readingOrder="1"/>
    </xf>
    <xf numFmtId="0" fontId="2" fillId="0" borderId="3" xfId="0" applyFont="1" applyBorder="1"/>
    <xf numFmtId="0" fontId="2" fillId="0" borderId="4" xfId="0" applyFont="1" applyBorder="1"/>
    <xf numFmtId="166" fontId="6" fillId="0" borderId="8" xfId="0" applyNumberFormat="1" applyFont="1" applyBorder="1" applyAlignment="1">
      <alignment horizontal="center" vertical="center"/>
    </xf>
    <xf numFmtId="0" fontId="2" fillId="0" borderId="10" xfId="0" applyFont="1" applyBorder="1"/>
    <xf numFmtId="0" fontId="5" fillId="0" borderId="8" xfId="0" applyFont="1" applyBorder="1" applyAlignment="1">
      <alignment horizontal="center" vertical="center" wrapText="1"/>
    </xf>
    <xf numFmtId="0" fontId="2" fillId="0" borderId="12" xfId="0" applyFont="1" applyBorder="1"/>
    <xf numFmtId="0" fontId="5" fillId="0" borderId="6" xfId="0" applyFont="1" applyBorder="1" applyAlignment="1">
      <alignment horizontal="center" wrapText="1"/>
    </xf>
    <xf numFmtId="0" fontId="2" fillId="0" borderId="7" xfId="0" applyFont="1" applyBorder="1"/>
    <xf numFmtId="0" fontId="2" fillId="0" borderId="14" xfId="0" applyFont="1" applyBorder="1"/>
    <xf numFmtId="0" fontId="2" fillId="0" borderId="15" xfId="0" applyFont="1" applyBorder="1"/>
    <xf numFmtId="3" fontId="10" fillId="14" borderId="11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3" fontId="10" fillId="15" borderId="11" xfId="0" applyNumberFormat="1" applyFont="1" applyFill="1" applyBorder="1" applyAlignment="1">
      <alignment horizontal="center" vertical="center"/>
    </xf>
    <xf numFmtId="4" fontId="10" fillId="0" borderId="11" xfId="0" applyNumberFormat="1" applyFont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 wrapText="1"/>
    </xf>
    <xf numFmtId="16" fontId="6" fillId="0" borderId="8" xfId="0" applyNumberFormat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91"/>
  <sheetViews>
    <sheetView tabSelected="1" workbookViewId="0">
      <selection activeCell="F6" sqref="F6"/>
    </sheetView>
  </sheetViews>
  <sheetFormatPr baseColWidth="10" defaultColWidth="14.42578125" defaultRowHeight="15" customHeight="1"/>
  <cols>
    <col min="1" max="1" width="11.42578125" customWidth="1"/>
    <col min="2" max="2" width="9.7109375" customWidth="1"/>
    <col min="3" max="3" width="9.42578125" customWidth="1"/>
    <col min="4" max="4" width="12.140625" customWidth="1"/>
    <col min="5" max="5" width="13" customWidth="1"/>
    <col min="6" max="6" width="13.140625" customWidth="1"/>
    <col min="7" max="7" width="13" customWidth="1"/>
    <col min="8" max="8" width="15" customWidth="1"/>
    <col min="9" max="9" width="24.28515625" customWidth="1"/>
    <col min="10" max="10" width="13" customWidth="1"/>
    <col min="11" max="11" width="15" customWidth="1"/>
    <col min="12" max="12" width="23.5703125" hidden="1" customWidth="1"/>
    <col min="13" max="32" width="11.42578125" customWidth="1"/>
  </cols>
  <sheetData>
    <row r="2" spans="2:13" ht="23.25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3" ht="28.5" customHeight="1">
      <c r="B3" s="1" t="s">
        <v>2</v>
      </c>
      <c r="C3" s="2" t="s">
        <v>3</v>
      </c>
      <c r="D3" s="4" t="s">
        <v>5</v>
      </c>
      <c r="E3" s="2" t="s">
        <v>6</v>
      </c>
      <c r="F3" s="5" t="s">
        <v>7</v>
      </c>
      <c r="G3" s="5" t="s">
        <v>8</v>
      </c>
      <c r="H3" s="6" t="s">
        <v>9</v>
      </c>
      <c r="I3" s="6" t="s">
        <v>14</v>
      </c>
      <c r="J3" s="6" t="s">
        <v>15</v>
      </c>
      <c r="K3" s="6" t="s">
        <v>17</v>
      </c>
      <c r="L3" s="6" t="s">
        <v>17</v>
      </c>
      <c r="M3" s="5" t="s">
        <v>18</v>
      </c>
    </row>
    <row r="4" spans="2:13" ht="36">
      <c r="B4" s="8">
        <v>46267</v>
      </c>
      <c r="C4" s="10" t="s">
        <v>19</v>
      </c>
      <c r="D4" s="12" t="s">
        <v>21</v>
      </c>
      <c r="E4" s="17" t="s">
        <v>23</v>
      </c>
      <c r="F4" s="18" t="s">
        <v>26</v>
      </c>
      <c r="G4" s="17">
        <v>905462</v>
      </c>
      <c r="H4" s="19">
        <f t="shared" ref="H4:H16" si="0">G4-F4</f>
        <v>594</v>
      </c>
      <c r="I4" s="25"/>
      <c r="J4" s="21"/>
      <c r="K4" s="29">
        <f>H4/2.8</f>
        <v>212.14285714285717</v>
      </c>
      <c r="L4" s="22"/>
      <c r="M4" s="21"/>
    </row>
    <row r="5" spans="2:13" ht="36">
      <c r="B5" s="8">
        <v>46267</v>
      </c>
      <c r="C5" s="30" t="s">
        <v>29</v>
      </c>
      <c r="D5" s="31" t="s">
        <v>30</v>
      </c>
      <c r="E5" s="17" t="s">
        <v>23</v>
      </c>
      <c r="F5" s="18" t="s">
        <v>31</v>
      </c>
      <c r="G5" s="17">
        <v>160997</v>
      </c>
      <c r="H5" s="19">
        <f t="shared" si="0"/>
        <v>585</v>
      </c>
      <c r="I5" s="20"/>
      <c r="J5" s="21"/>
      <c r="K5" s="29">
        <f>H5/2.7</f>
        <v>216.66666666666666</v>
      </c>
      <c r="L5" s="22"/>
      <c r="M5" s="21"/>
    </row>
    <row r="6" spans="2:13" ht="36">
      <c r="B6" s="8">
        <v>46267</v>
      </c>
      <c r="C6" s="37" t="s">
        <v>35</v>
      </c>
      <c r="D6" s="39" t="s">
        <v>36</v>
      </c>
      <c r="E6" s="17" t="s">
        <v>23</v>
      </c>
      <c r="F6" s="18" t="s">
        <v>39</v>
      </c>
      <c r="G6" s="17">
        <v>1295540</v>
      </c>
      <c r="H6" s="19">
        <f t="shared" si="0"/>
        <v>631</v>
      </c>
      <c r="I6" s="20"/>
      <c r="J6" s="21"/>
      <c r="K6" s="29">
        <f>H6/2.8</f>
        <v>225.35714285714286</v>
      </c>
      <c r="L6" s="22"/>
      <c r="M6" s="21"/>
    </row>
    <row r="7" spans="2:13" ht="36">
      <c r="B7" s="8">
        <v>46268</v>
      </c>
      <c r="C7" s="10" t="s">
        <v>19</v>
      </c>
      <c r="D7" s="12" t="s">
        <v>21</v>
      </c>
      <c r="E7" s="17" t="s">
        <v>41</v>
      </c>
      <c r="F7" s="18" t="s">
        <v>42</v>
      </c>
      <c r="G7" s="17">
        <v>906058</v>
      </c>
      <c r="H7" s="19">
        <f t="shared" si="0"/>
        <v>596</v>
      </c>
      <c r="I7" s="20"/>
      <c r="J7" s="21"/>
      <c r="K7" s="42">
        <f>H7/3.7</f>
        <v>161.08108108108107</v>
      </c>
      <c r="L7" s="22"/>
      <c r="M7" s="21"/>
    </row>
    <row r="8" spans="2:13" ht="36">
      <c r="B8" s="8">
        <v>46268</v>
      </c>
      <c r="C8" s="30" t="s">
        <v>29</v>
      </c>
      <c r="D8" s="31" t="s">
        <v>30</v>
      </c>
      <c r="E8" s="17" t="s">
        <v>41</v>
      </c>
      <c r="F8" s="18" t="s">
        <v>44</v>
      </c>
      <c r="G8" s="17">
        <v>161581</v>
      </c>
      <c r="H8" s="19">
        <f t="shared" si="0"/>
        <v>584</v>
      </c>
      <c r="I8" s="20"/>
      <c r="J8" s="21"/>
      <c r="K8" s="42">
        <f>H8/3.16</f>
        <v>184.81012658227849</v>
      </c>
      <c r="L8" s="22"/>
      <c r="M8" s="21"/>
    </row>
    <row r="9" spans="2:13" ht="36">
      <c r="B9" s="8">
        <v>46268</v>
      </c>
      <c r="C9" s="37" t="s">
        <v>35</v>
      </c>
      <c r="D9" s="39" t="s">
        <v>36</v>
      </c>
      <c r="E9" s="17" t="s">
        <v>41</v>
      </c>
      <c r="F9" s="17">
        <v>1295540</v>
      </c>
      <c r="G9" s="17">
        <v>1296123</v>
      </c>
      <c r="H9" s="19">
        <f t="shared" si="0"/>
        <v>583</v>
      </c>
      <c r="I9" s="47"/>
      <c r="J9" s="21"/>
      <c r="K9" s="42">
        <f>H9/3.5</f>
        <v>166.57142857142858</v>
      </c>
      <c r="L9" s="46"/>
      <c r="M9" s="21"/>
    </row>
    <row r="10" spans="2:13" ht="36">
      <c r="B10" s="49"/>
      <c r="C10" s="10" t="s">
        <v>52</v>
      </c>
      <c r="D10" s="12" t="s">
        <v>21</v>
      </c>
      <c r="E10" s="17" t="s">
        <v>23</v>
      </c>
      <c r="F10" s="17">
        <v>906060</v>
      </c>
      <c r="G10" s="17">
        <v>906652</v>
      </c>
      <c r="H10" s="19">
        <f t="shared" si="0"/>
        <v>592</v>
      </c>
      <c r="I10" s="47"/>
      <c r="J10" s="21"/>
      <c r="K10" s="29">
        <f>H10/2.8</f>
        <v>211.42857142857144</v>
      </c>
      <c r="L10" s="46"/>
      <c r="M10" s="21"/>
    </row>
    <row r="11" spans="2:13" ht="36">
      <c r="B11" s="49"/>
      <c r="C11" s="30" t="s">
        <v>53</v>
      </c>
      <c r="D11" s="31" t="s">
        <v>30</v>
      </c>
      <c r="E11" s="17" t="s">
        <v>23</v>
      </c>
      <c r="F11" s="17">
        <v>161581</v>
      </c>
      <c r="G11" s="17">
        <v>162201</v>
      </c>
      <c r="H11" s="19">
        <f t="shared" si="0"/>
        <v>620</v>
      </c>
      <c r="I11" s="47"/>
      <c r="J11" s="21"/>
      <c r="K11" s="29">
        <f>H11/2.7</f>
        <v>229.62962962962962</v>
      </c>
      <c r="L11" s="46"/>
      <c r="M11" s="21"/>
    </row>
    <row r="12" spans="2:13" ht="36">
      <c r="B12" s="49"/>
      <c r="C12" s="37" t="s">
        <v>55</v>
      </c>
      <c r="D12" s="39" t="s">
        <v>36</v>
      </c>
      <c r="E12" s="17" t="s">
        <v>23</v>
      </c>
      <c r="F12" s="17">
        <v>1296128</v>
      </c>
      <c r="G12" s="17">
        <v>1296710</v>
      </c>
      <c r="H12" s="19">
        <f t="shared" si="0"/>
        <v>582</v>
      </c>
      <c r="I12" s="47"/>
      <c r="J12" s="21"/>
      <c r="K12" s="29">
        <f>H12/2.8</f>
        <v>207.85714285714286</v>
      </c>
      <c r="L12" s="46"/>
      <c r="M12" s="21"/>
    </row>
    <row r="13" spans="2:13" ht="36">
      <c r="B13" s="49"/>
      <c r="C13" s="10" t="s">
        <v>52</v>
      </c>
      <c r="D13" s="12" t="s">
        <v>21</v>
      </c>
      <c r="E13" s="17" t="s">
        <v>41</v>
      </c>
      <c r="F13" s="17">
        <v>906652</v>
      </c>
      <c r="G13" s="17">
        <v>907249</v>
      </c>
      <c r="H13" s="19">
        <f t="shared" si="0"/>
        <v>597</v>
      </c>
      <c r="I13" s="47"/>
      <c r="J13" s="21"/>
      <c r="K13" s="42">
        <f>H13/3.7</f>
        <v>161.35135135135135</v>
      </c>
      <c r="L13" s="46"/>
      <c r="M13" s="21"/>
    </row>
    <row r="14" spans="2:13" ht="36">
      <c r="B14" s="49"/>
      <c r="C14" s="30" t="s">
        <v>53</v>
      </c>
      <c r="D14" s="31" t="s">
        <v>30</v>
      </c>
      <c r="E14" s="17" t="s">
        <v>41</v>
      </c>
      <c r="F14" s="17">
        <v>162201</v>
      </c>
      <c r="G14" s="17">
        <f>F14+605</f>
        <v>162806</v>
      </c>
      <c r="H14" s="19">
        <f t="shared" si="0"/>
        <v>605</v>
      </c>
      <c r="I14" s="55"/>
      <c r="J14" s="21"/>
      <c r="K14" s="56">
        <f>H14/3.16</f>
        <v>191.45569620253164</v>
      </c>
      <c r="L14" s="91"/>
      <c r="M14" s="21"/>
    </row>
    <row r="15" spans="2:13" ht="36">
      <c r="B15" s="49"/>
      <c r="C15" s="37" t="s">
        <v>55</v>
      </c>
      <c r="D15" s="39" t="s">
        <v>36</v>
      </c>
      <c r="E15" s="17" t="s">
        <v>41</v>
      </c>
      <c r="F15" s="17">
        <v>1296710</v>
      </c>
      <c r="G15" s="17">
        <v>1297293</v>
      </c>
      <c r="H15" s="19">
        <f t="shared" si="0"/>
        <v>583</v>
      </c>
      <c r="I15" s="55"/>
      <c r="J15" s="21"/>
      <c r="K15" s="42">
        <f>H15/3.5</f>
        <v>166.57142857142858</v>
      </c>
      <c r="L15" s="92"/>
      <c r="M15" s="21"/>
    </row>
    <row r="16" spans="2:13" ht="36">
      <c r="B16" s="49"/>
      <c r="C16" s="37" t="s">
        <v>66</v>
      </c>
      <c r="D16" s="37" t="s">
        <v>36</v>
      </c>
      <c r="E16" s="17" t="s">
        <v>23</v>
      </c>
      <c r="F16" s="17">
        <v>163093</v>
      </c>
      <c r="G16" s="17">
        <v>163706</v>
      </c>
      <c r="H16" s="55">
        <f t="shared" si="0"/>
        <v>613</v>
      </c>
      <c r="I16" s="47"/>
      <c r="J16" s="58"/>
      <c r="K16" s="59">
        <f>H16/2.7</f>
        <v>227.03703703703701</v>
      </c>
      <c r="L16" s="46"/>
      <c r="M16" s="58"/>
    </row>
    <row r="17" spans="2:13" ht="15.75" customHeight="1"/>
    <row r="18" spans="2:13" ht="23.25">
      <c r="B18" s="88" t="s">
        <v>68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90"/>
    </row>
    <row r="19" spans="2:13" ht="54">
      <c r="B19" s="1" t="s">
        <v>2</v>
      </c>
      <c r="C19" s="2" t="s">
        <v>3</v>
      </c>
      <c r="D19" s="4" t="s">
        <v>5</v>
      </c>
      <c r="E19" s="2" t="s">
        <v>6</v>
      </c>
      <c r="F19" s="5" t="s">
        <v>7</v>
      </c>
      <c r="G19" s="5" t="s">
        <v>8</v>
      </c>
      <c r="H19" s="6" t="s">
        <v>9</v>
      </c>
      <c r="I19" s="6" t="s">
        <v>69</v>
      </c>
      <c r="J19" s="6" t="s">
        <v>15</v>
      </c>
      <c r="K19" s="6" t="s">
        <v>17</v>
      </c>
      <c r="L19" s="6" t="s">
        <v>17</v>
      </c>
      <c r="M19" s="5" t="s">
        <v>18</v>
      </c>
    </row>
    <row r="20" spans="2:13" ht="36">
      <c r="B20" s="8">
        <v>46278</v>
      </c>
      <c r="C20" s="37" t="s">
        <v>19</v>
      </c>
      <c r="D20" s="39" t="s">
        <v>36</v>
      </c>
      <c r="E20" s="17" t="s">
        <v>41</v>
      </c>
      <c r="F20" s="18" t="s">
        <v>70</v>
      </c>
      <c r="G20" s="17">
        <v>164421</v>
      </c>
      <c r="H20" s="60">
        <f t="shared" ref="H20:H31" si="1">G20-F20</f>
        <v>715</v>
      </c>
      <c r="I20" s="19">
        <f>H20-120</f>
        <v>595</v>
      </c>
      <c r="J20" s="19"/>
      <c r="K20" s="29">
        <f>I20/2.7</f>
        <v>220.37037037037035</v>
      </c>
      <c r="L20" s="22"/>
      <c r="M20" s="61">
        <v>2.7</v>
      </c>
    </row>
    <row r="21" spans="2:13" ht="36">
      <c r="B21" s="8">
        <v>46279</v>
      </c>
      <c r="C21" s="30" t="s">
        <v>29</v>
      </c>
      <c r="D21" s="31" t="s">
        <v>30</v>
      </c>
      <c r="E21" s="17" t="s">
        <v>23</v>
      </c>
      <c r="F21" s="17">
        <v>1299139</v>
      </c>
      <c r="G21" s="17">
        <v>1299970</v>
      </c>
      <c r="H21" s="60">
        <f t="shared" si="1"/>
        <v>831</v>
      </c>
      <c r="I21" s="19">
        <f>H21-120-100</f>
        <v>611</v>
      </c>
      <c r="J21" s="19"/>
      <c r="K21" s="62">
        <f>I21/3.5</f>
        <v>174.57142857142858</v>
      </c>
      <c r="L21" s="22"/>
      <c r="M21" s="61">
        <v>3.5</v>
      </c>
    </row>
    <row r="22" spans="2:13" ht="36">
      <c r="B22" s="8">
        <v>46279</v>
      </c>
      <c r="C22" s="63" t="s">
        <v>35</v>
      </c>
      <c r="D22" s="64" t="s">
        <v>71</v>
      </c>
      <c r="E22" s="65" t="s">
        <v>41</v>
      </c>
      <c r="F22" s="66"/>
      <c r="G22" s="65"/>
      <c r="H22" s="67">
        <f t="shared" si="1"/>
        <v>0</v>
      </c>
      <c r="I22" s="19"/>
      <c r="J22" s="19"/>
      <c r="K22" s="21">
        <f>H22/2.8</f>
        <v>0</v>
      </c>
      <c r="L22" s="22"/>
      <c r="M22" s="61"/>
    </row>
    <row r="23" spans="2:13" ht="36">
      <c r="B23" s="68"/>
      <c r="C23" s="37" t="s">
        <v>52</v>
      </c>
      <c r="D23" s="39" t="s">
        <v>36</v>
      </c>
      <c r="E23" s="17" t="s">
        <v>23</v>
      </c>
      <c r="F23" s="17">
        <v>164421</v>
      </c>
      <c r="G23" s="17">
        <v>165190</v>
      </c>
      <c r="H23" s="60">
        <f t="shared" si="1"/>
        <v>769</v>
      </c>
      <c r="I23" s="19">
        <f>H23-170</f>
        <v>599</v>
      </c>
      <c r="J23" s="19"/>
      <c r="K23" s="62">
        <f>I23/3.16</f>
        <v>189.55696202531644</v>
      </c>
      <c r="L23" s="22"/>
      <c r="M23" s="61">
        <v>3.16</v>
      </c>
    </row>
    <row r="24" spans="2:13" ht="36">
      <c r="B24" s="68"/>
      <c r="C24" s="30" t="s">
        <v>29</v>
      </c>
      <c r="D24" s="31" t="s">
        <v>30</v>
      </c>
      <c r="E24" s="17" t="s">
        <v>41</v>
      </c>
      <c r="F24" s="17">
        <v>1299970</v>
      </c>
      <c r="G24" s="17">
        <v>1300560</v>
      </c>
      <c r="H24" s="19">
        <f t="shared" si="1"/>
        <v>590</v>
      </c>
      <c r="I24" s="19"/>
      <c r="J24" s="19"/>
      <c r="K24" s="29">
        <f>H24/2.8</f>
        <v>210.71428571428572</v>
      </c>
      <c r="L24" s="22"/>
      <c r="M24" s="61">
        <v>2.8</v>
      </c>
    </row>
    <row r="25" spans="2:13" ht="36">
      <c r="B25" s="68"/>
      <c r="C25" s="37" t="s">
        <v>52</v>
      </c>
      <c r="D25" s="39" t="s">
        <v>36</v>
      </c>
      <c r="E25" s="17" t="s">
        <v>41</v>
      </c>
      <c r="F25" s="17">
        <v>165190</v>
      </c>
      <c r="G25" s="17">
        <v>165782</v>
      </c>
      <c r="H25" s="19">
        <f t="shared" si="1"/>
        <v>592</v>
      </c>
      <c r="I25" s="19"/>
      <c r="J25" s="19"/>
      <c r="K25" s="29">
        <f>H25/2.7</f>
        <v>219.25925925925924</v>
      </c>
      <c r="L25" s="22"/>
      <c r="M25" s="61">
        <v>2.7</v>
      </c>
    </row>
    <row r="26" spans="2:13" ht="36">
      <c r="B26" s="68"/>
      <c r="C26" s="30" t="s">
        <v>53</v>
      </c>
      <c r="D26" s="31" t="s">
        <v>30</v>
      </c>
      <c r="E26" s="17" t="s">
        <v>23</v>
      </c>
      <c r="F26" s="17">
        <v>1300560</v>
      </c>
      <c r="G26" s="17">
        <v>1301406</v>
      </c>
      <c r="H26" s="60">
        <f t="shared" si="1"/>
        <v>846</v>
      </c>
      <c r="I26" s="19">
        <f>H26-240</f>
        <v>606</v>
      </c>
      <c r="J26" s="19"/>
      <c r="K26" s="62">
        <f>I26/3.5</f>
        <v>173.14285714285714</v>
      </c>
      <c r="L26" s="46"/>
      <c r="M26" s="61">
        <v>3.5</v>
      </c>
    </row>
    <row r="27" spans="2:13" ht="36">
      <c r="B27" s="68"/>
      <c r="C27" s="30" t="s">
        <v>53</v>
      </c>
      <c r="D27" s="31" t="s">
        <v>30</v>
      </c>
      <c r="E27" s="17" t="s">
        <v>41</v>
      </c>
      <c r="F27" s="17">
        <v>1301406</v>
      </c>
      <c r="G27" s="17">
        <v>1302149</v>
      </c>
      <c r="H27" s="60">
        <f t="shared" si="1"/>
        <v>743</v>
      </c>
      <c r="I27" s="19">
        <f>H27-120</f>
        <v>623</v>
      </c>
      <c r="J27" s="19"/>
      <c r="K27" s="29">
        <f>I27/2.8</f>
        <v>222.5</v>
      </c>
      <c r="L27" s="46"/>
      <c r="M27" s="61">
        <v>2.8</v>
      </c>
    </row>
    <row r="28" spans="2:13" ht="36">
      <c r="B28" s="49"/>
      <c r="C28" s="10" t="s">
        <v>55</v>
      </c>
      <c r="D28" s="12" t="s">
        <v>21</v>
      </c>
      <c r="E28" s="17" t="s">
        <v>23</v>
      </c>
      <c r="F28" s="17">
        <v>909184</v>
      </c>
      <c r="G28" s="17">
        <v>909781</v>
      </c>
      <c r="H28" s="19">
        <f t="shared" si="1"/>
        <v>597</v>
      </c>
      <c r="I28" s="47"/>
      <c r="J28" s="19"/>
      <c r="K28" s="62">
        <f>H28/3.7</f>
        <v>161.35135135135135</v>
      </c>
      <c r="L28" s="46"/>
      <c r="M28" s="61">
        <v>3.7</v>
      </c>
    </row>
    <row r="29" spans="2:13" ht="36">
      <c r="B29" s="49"/>
      <c r="C29" s="10" t="s">
        <v>55</v>
      </c>
      <c r="D29" s="12" t="s">
        <v>21</v>
      </c>
      <c r="E29" s="17" t="s">
        <v>41</v>
      </c>
      <c r="F29" s="17">
        <v>909781</v>
      </c>
      <c r="G29" s="17">
        <v>910401</v>
      </c>
      <c r="H29" s="19">
        <f t="shared" si="1"/>
        <v>620</v>
      </c>
      <c r="I29" s="47"/>
      <c r="J29" s="19"/>
      <c r="K29" s="29">
        <f>H29/2.8</f>
        <v>221.42857142857144</v>
      </c>
      <c r="L29" s="46"/>
      <c r="M29" s="61">
        <v>2.8</v>
      </c>
    </row>
    <row r="30" spans="2:13" ht="36">
      <c r="B30" s="49"/>
      <c r="C30" s="37" t="s">
        <v>66</v>
      </c>
      <c r="D30" s="39" t="s">
        <v>36</v>
      </c>
      <c r="E30" s="17" t="s">
        <v>23</v>
      </c>
      <c r="F30" s="17">
        <v>165781</v>
      </c>
      <c r="G30" s="17">
        <v>166359</v>
      </c>
      <c r="H30" s="19">
        <f t="shared" si="1"/>
        <v>578</v>
      </c>
      <c r="I30" s="47"/>
      <c r="J30" s="19"/>
      <c r="K30" s="62">
        <f>H30/3.16</f>
        <v>182.91139240506328</v>
      </c>
      <c r="L30" s="46"/>
      <c r="M30" s="61">
        <v>3.16</v>
      </c>
    </row>
    <row r="31" spans="2:13" ht="36">
      <c r="B31" s="49"/>
      <c r="C31" s="37" t="s">
        <v>66</v>
      </c>
      <c r="D31" s="37" t="s">
        <v>36</v>
      </c>
      <c r="E31" s="17" t="s">
        <v>41</v>
      </c>
      <c r="F31" s="17">
        <v>166359</v>
      </c>
      <c r="G31" s="17">
        <v>166938</v>
      </c>
      <c r="H31" s="55">
        <f t="shared" si="1"/>
        <v>579</v>
      </c>
      <c r="I31" s="55"/>
      <c r="J31" s="55"/>
      <c r="K31" s="59">
        <f>H31/2.7</f>
        <v>214.44444444444443</v>
      </c>
      <c r="L31" s="46"/>
      <c r="M31" s="61">
        <v>2.7</v>
      </c>
    </row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B2:M2"/>
    <mergeCell ref="L14:L15"/>
    <mergeCell ref="B18:M18"/>
  </mergeCells>
  <printOptions horizontalCentered="1"/>
  <pageMargins left="0.25" right="0.25" top="0.75" bottom="0.75" header="0" footer="0"/>
  <pageSetup paperSize="8" scale="15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N1001"/>
  <sheetViews>
    <sheetView topLeftCell="A10" workbookViewId="0"/>
  </sheetViews>
  <sheetFormatPr baseColWidth="10" defaultColWidth="14.42578125" defaultRowHeight="15" customHeight="1"/>
  <cols>
    <col min="1" max="1" width="11.42578125" customWidth="1"/>
    <col min="2" max="2" width="16" customWidth="1"/>
    <col min="3" max="3" width="19.5703125" customWidth="1"/>
    <col min="4" max="4" width="21.140625" customWidth="1"/>
    <col min="5" max="5" width="17.5703125" customWidth="1"/>
    <col min="6" max="6" width="20.42578125" customWidth="1"/>
    <col min="7" max="7" width="16.85546875" customWidth="1"/>
    <col min="8" max="9" width="16.42578125" customWidth="1"/>
    <col min="10" max="11" width="23.5703125" customWidth="1"/>
    <col min="12" max="13" width="30" customWidth="1"/>
    <col min="14" max="14" width="23.5703125" hidden="1" customWidth="1"/>
    <col min="15" max="34" width="11.42578125" customWidth="1"/>
  </cols>
  <sheetData>
    <row r="2" spans="2:14" ht="23.25">
      <c r="B2" s="88" t="s">
        <v>1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3" spans="2:14" ht="28.5" customHeight="1">
      <c r="B3" s="1" t="s">
        <v>2</v>
      </c>
      <c r="C3" s="3" t="s">
        <v>4</v>
      </c>
      <c r="D3" s="2" t="s">
        <v>3</v>
      </c>
      <c r="E3" s="4" t="s">
        <v>5</v>
      </c>
      <c r="F3" s="2" t="s">
        <v>6</v>
      </c>
      <c r="G3" s="2" t="s">
        <v>7</v>
      </c>
      <c r="H3" s="2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16</v>
      </c>
    </row>
    <row r="4" spans="2:14" ht="16.5">
      <c r="B4" s="9">
        <v>46241</v>
      </c>
      <c r="C4" s="11" t="s">
        <v>20</v>
      </c>
      <c r="D4" s="13" t="s">
        <v>22</v>
      </c>
      <c r="E4" s="11" t="s">
        <v>21</v>
      </c>
      <c r="F4" s="11" t="s">
        <v>24</v>
      </c>
      <c r="G4" s="15" t="s">
        <v>25</v>
      </c>
      <c r="H4" s="11">
        <v>899.91200000000003</v>
      </c>
      <c r="I4" s="24">
        <f t="shared" ref="I4:I13" si="0">H4-G4</f>
        <v>-898019.08799999999</v>
      </c>
      <c r="J4" s="26">
        <v>823375</v>
      </c>
      <c r="K4" s="27" t="s">
        <v>27</v>
      </c>
      <c r="L4" s="28" t="s">
        <v>28</v>
      </c>
      <c r="M4" s="28"/>
      <c r="N4" s="22"/>
    </row>
    <row r="5" spans="2:14" ht="16.5">
      <c r="B5" s="32">
        <v>46241</v>
      </c>
      <c r="C5" s="33" t="s">
        <v>20</v>
      </c>
      <c r="D5" s="34" t="s">
        <v>32</v>
      </c>
      <c r="E5" s="33" t="s">
        <v>33</v>
      </c>
      <c r="F5" s="33" t="s">
        <v>24</v>
      </c>
      <c r="G5" s="35" t="s">
        <v>34</v>
      </c>
      <c r="H5" s="33">
        <v>156.78700000000001</v>
      </c>
      <c r="I5" s="36">
        <f t="shared" si="0"/>
        <v>-155698.21299999999</v>
      </c>
      <c r="J5" s="38">
        <v>1887925.95</v>
      </c>
      <c r="K5" s="36" t="s">
        <v>37</v>
      </c>
      <c r="L5" s="40" t="s">
        <v>38</v>
      </c>
      <c r="M5" s="41" t="s">
        <v>40</v>
      </c>
      <c r="N5" s="91">
        <v>100000</v>
      </c>
    </row>
    <row r="6" spans="2:14" ht="16.5">
      <c r="B6" s="9">
        <v>46242</v>
      </c>
      <c r="C6" s="11" t="s">
        <v>20</v>
      </c>
      <c r="D6" s="13" t="s">
        <v>22</v>
      </c>
      <c r="E6" s="11" t="s">
        <v>21</v>
      </c>
      <c r="F6" s="11" t="s">
        <v>43</v>
      </c>
      <c r="G6" s="11">
        <v>899.91200000000003</v>
      </c>
      <c r="H6" s="11">
        <v>900.84900000000005</v>
      </c>
      <c r="I6" s="24">
        <f t="shared" si="0"/>
        <v>0.93700000000001182</v>
      </c>
      <c r="J6" s="43">
        <v>1116009</v>
      </c>
      <c r="K6" s="24">
        <v>440.24</v>
      </c>
      <c r="L6" s="44">
        <v>334.6</v>
      </c>
      <c r="M6" s="45"/>
      <c r="N6" s="92"/>
    </row>
    <row r="7" spans="2:14" ht="16.5">
      <c r="B7" s="9">
        <v>46244</v>
      </c>
      <c r="C7" s="11" t="s">
        <v>20</v>
      </c>
      <c r="D7" s="13" t="s">
        <v>45</v>
      </c>
      <c r="E7" s="11" t="s">
        <v>21</v>
      </c>
      <c r="F7" s="11" t="s">
        <v>24</v>
      </c>
      <c r="G7" s="11">
        <v>900.84900000000005</v>
      </c>
      <c r="H7" s="11">
        <v>901.846</v>
      </c>
      <c r="I7" s="24">
        <f t="shared" si="0"/>
        <v>0.99699999999995725</v>
      </c>
      <c r="J7" s="43">
        <v>724120</v>
      </c>
      <c r="K7" s="27" t="s">
        <v>46</v>
      </c>
      <c r="L7" s="44">
        <v>356.01</v>
      </c>
      <c r="M7" s="45" t="s">
        <v>40</v>
      </c>
      <c r="N7" s="46">
        <v>100000</v>
      </c>
    </row>
    <row r="8" spans="2:14" ht="16.5">
      <c r="B8" s="9">
        <v>46250</v>
      </c>
      <c r="C8" s="11" t="s">
        <v>20</v>
      </c>
      <c r="D8" s="13" t="s">
        <v>22</v>
      </c>
      <c r="E8" s="11" t="s">
        <v>21</v>
      </c>
      <c r="F8" s="11" t="s">
        <v>43</v>
      </c>
      <c r="G8" s="11">
        <v>901.86500000000001</v>
      </c>
      <c r="H8" s="11">
        <v>902.82100000000003</v>
      </c>
      <c r="I8" s="24">
        <f t="shared" si="0"/>
        <v>0.95600000000001728</v>
      </c>
      <c r="J8" s="24" t="s">
        <v>47</v>
      </c>
      <c r="K8" s="27" t="s">
        <v>48</v>
      </c>
      <c r="L8" s="48">
        <v>341.42</v>
      </c>
      <c r="M8" s="45"/>
      <c r="N8" s="91">
        <v>100000</v>
      </c>
    </row>
    <row r="9" spans="2:14" ht="16.5">
      <c r="B9" s="9">
        <v>46251</v>
      </c>
      <c r="C9" s="11" t="s">
        <v>20</v>
      </c>
      <c r="D9" s="13" t="s">
        <v>49</v>
      </c>
      <c r="E9" s="11" t="s">
        <v>21</v>
      </c>
      <c r="F9" s="11" t="s">
        <v>24</v>
      </c>
      <c r="G9" s="11">
        <v>902.82100000000003</v>
      </c>
      <c r="H9" s="11">
        <v>903.84699999999998</v>
      </c>
      <c r="I9" s="24">
        <f t="shared" si="0"/>
        <v>1.0259999999999536</v>
      </c>
      <c r="J9" s="24" t="s">
        <v>50</v>
      </c>
      <c r="K9" s="27" t="s">
        <v>51</v>
      </c>
      <c r="L9" s="48">
        <v>366.42</v>
      </c>
      <c r="M9" s="45"/>
      <c r="N9" s="92"/>
    </row>
    <row r="10" spans="2:14" ht="16.5">
      <c r="B10" s="9">
        <v>46252</v>
      </c>
      <c r="C10" s="11" t="s">
        <v>20</v>
      </c>
      <c r="D10" s="13" t="s">
        <v>49</v>
      </c>
      <c r="E10" s="11" t="s">
        <v>21</v>
      </c>
      <c r="F10" s="11" t="s">
        <v>43</v>
      </c>
      <c r="G10" s="11">
        <v>903.84699999999998</v>
      </c>
      <c r="H10" s="11">
        <v>904.774</v>
      </c>
      <c r="I10" s="24">
        <f t="shared" si="0"/>
        <v>0.92700000000002092</v>
      </c>
      <c r="J10" s="43">
        <v>755051</v>
      </c>
      <c r="K10" s="27" t="s">
        <v>51</v>
      </c>
      <c r="L10" s="48">
        <v>331.07100000000003</v>
      </c>
      <c r="M10" s="45"/>
      <c r="N10" s="91">
        <v>100000</v>
      </c>
    </row>
    <row r="11" spans="2:14" ht="16.5">
      <c r="B11" s="32">
        <v>46251</v>
      </c>
      <c r="C11" s="33" t="s">
        <v>20</v>
      </c>
      <c r="D11" s="34" t="s">
        <v>32</v>
      </c>
      <c r="E11" s="33" t="s">
        <v>33</v>
      </c>
      <c r="F11" s="33" t="s">
        <v>43</v>
      </c>
      <c r="G11" s="33">
        <v>156.78800000000001</v>
      </c>
      <c r="H11" s="33">
        <v>157.744</v>
      </c>
      <c r="I11" s="36">
        <f t="shared" si="0"/>
        <v>0.95599999999998886</v>
      </c>
      <c r="J11" s="41" t="s">
        <v>54</v>
      </c>
      <c r="K11" s="50"/>
      <c r="L11" s="51">
        <v>357.4</v>
      </c>
      <c r="M11" s="45"/>
      <c r="N11" s="92"/>
    </row>
    <row r="12" spans="2:14" ht="16.5">
      <c r="B12" s="32">
        <v>46252</v>
      </c>
      <c r="C12" s="33" t="s">
        <v>20</v>
      </c>
      <c r="D12" s="34" t="s">
        <v>56</v>
      </c>
      <c r="E12" s="33" t="s">
        <v>33</v>
      </c>
      <c r="F12" s="33" t="s">
        <v>24</v>
      </c>
      <c r="G12" s="33">
        <v>157.79499999999999</v>
      </c>
      <c r="H12" s="33">
        <v>158.69399999999999</v>
      </c>
      <c r="I12" s="36">
        <f t="shared" si="0"/>
        <v>0.89900000000000091</v>
      </c>
      <c r="J12" s="36" t="s">
        <v>50</v>
      </c>
      <c r="K12" s="52">
        <v>406.57</v>
      </c>
      <c r="L12" s="53">
        <v>332.96</v>
      </c>
      <c r="M12" s="45"/>
      <c r="N12" s="91">
        <v>100000</v>
      </c>
    </row>
    <row r="13" spans="2:14" ht="16.5">
      <c r="B13" s="32">
        <v>46254</v>
      </c>
      <c r="C13" s="33" t="s">
        <v>20</v>
      </c>
      <c r="D13" s="34" t="s">
        <v>56</v>
      </c>
      <c r="E13" s="33" t="s">
        <v>33</v>
      </c>
      <c r="F13" s="33" t="s">
        <v>43</v>
      </c>
      <c r="G13" s="33">
        <v>158.69399999999999</v>
      </c>
      <c r="H13" s="33">
        <v>159.62100000000001</v>
      </c>
      <c r="I13" s="36">
        <f t="shared" si="0"/>
        <v>0.92700000000002092</v>
      </c>
      <c r="J13" s="38">
        <v>400000</v>
      </c>
      <c r="K13" s="52">
        <v>161.63999999999999</v>
      </c>
      <c r="L13" s="52">
        <v>343.33</v>
      </c>
      <c r="M13" s="45"/>
      <c r="N13" s="92"/>
    </row>
    <row r="14" spans="2:14" ht="16.5">
      <c r="B14" s="11"/>
      <c r="C14" s="11"/>
      <c r="D14" s="11"/>
      <c r="E14" s="11"/>
      <c r="F14" s="11"/>
      <c r="G14" s="15"/>
      <c r="H14" s="11"/>
      <c r="I14" s="24"/>
      <c r="J14" s="45"/>
      <c r="K14" s="45"/>
      <c r="L14" s="45"/>
      <c r="M14" s="45"/>
      <c r="N14" s="46">
        <v>100000</v>
      </c>
    </row>
    <row r="15" spans="2:14" ht="16.5"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</row>
    <row r="16" spans="2:14" ht="23.25">
      <c r="B16" s="88" t="s">
        <v>57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90"/>
    </row>
    <row r="17" spans="2:14" ht="36">
      <c r="B17" s="1" t="s">
        <v>2</v>
      </c>
      <c r="C17" s="3" t="s">
        <v>4</v>
      </c>
      <c r="D17" s="2" t="s">
        <v>3</v>
      </c>
      <c r="E17" s="4" t="s">
        <v>5</v>
      </c>
      <c r="F17" s="2" t="s">
        <v>6</v>
      </c>
      <c r="G17" s="2" t="s">
        <v>7</v>
      </c>
      <c r="H17" s="2" t="s">
        <v>8</v>
      </c>
      <c r="I17" s="6" t="s">
        <v>9</v>
      </c>
      <c r="J17" s="6" t="s">
        <v>10</v>
      </c>
      <c r="K17" s="6" t="s">
        <v>11</v>
      </c>
      <c r="L17" s="6" t="s">
        <v>12</v>
      </c>
      <c r="M17" s="6" t="s">
        <v>13</v>
      </c>
      <c r="N17" s="7" t="s">
        <v>16</v>
      </c>
    </row>
    <row r="18" spans="2:14" ht="15.75" customHeight="1">
      <c r="B18" s="9">
        <v>46245</v>
      </c>
      <c r="C18" s="57" t="s">
        <v>58</v>
      </c>
      <c r="D18" s="13" t="s">
        <v>59</v>
      </c>
      <c r="E18" s="11" t="s">
        <v>33</v>
      </c>
      <c r="F18" s="11" t="s">
        <v>58</v>
      </c>
      <c r="G18" s="11">
        <v>1294691</v>
      </c>
      <c r="H18" s="11">
        <v>1294806</v>
      </c>
      <c r="I18" s="24">
        <f t="shared" ref="I18:I19" si="1">H18-G18</f>
        <v>115</v>
      </c>
      <c r="J18" s="43"/>
      <c r="K18" s="27"/>
      <c r="L18" s="28"/>
      <c r="M18" s="45" t="s">
        <v>60</v>
      </c>
    </row>
    <row r="19" spans="2:14" ht="15.75" customHeight="1">
      <c r="B19" s="9">
        <v>46246</v>
      </c>
      <c r="C19" s="57" t="s">
        <v>61</v>
      </c>
      <c r="D19" s="13" t="s">
        <v>62</v>
      </c>
      <c r="E19" s="11" t="s">
        <v>63</v>
      </c>
      <c r="F19" s="11" t="s">
        <v>64</v>
      </c>
      <c r="G19" s="15" t="s">
        <v>65</v>
      </c>
      <c r="H19" s="11">
        <v>63.465000000000003</v>
      </c>
      <c r="I19" s="24">
        <f t="shared" si="1"/>
        <v>-63256.535000000003</v>
      </c>
      <c r="J19" s="43"/>
      <c r="K19" s="27"/>
      <c r="L19" s="28"/>
      <c r="M19" s="45" t="s">
        <v>67</v>
      </c>
    </row>
    <row r="20" spans="2:14" ht="15.75" customHeight="1">
      <c r="B20" s="9">
        <v>46247</v>
      </c>
      <c r="C20" s="57" t="s">
        <v>61</v>
      </c>
      <c r="D20" s="13" t="s">
        <v>62</v>
      </c>
      <c r="E20" s="11" t="s">
        <v>63</v>
      </c>
      <c r="F20" s="11" t="s">
        <v>64</v>
      </c>
      <c r="G20" s="11">
        <v>63.465000000000003</v>
      </c>
      <c r="H20" s="11"/>
      <c r="I20" s="24"/>
      <c r="J20" s="43"/>
      <c r="K20" s="27"/>
      <c r="L20" s="28"/>
      <c r="M20" s="45"/>
    </row>
    <row r="21" spans="2:14" ht="15.75" customHeight="1">
      <c r="B21" s="9"/>
      <c r="C21" s="57"/>
      <c r="D21" s="13"/>
      <c r="E21" s="11"/>
      <c r="F21" s="11"/>
      <c r="G21" s="11"/>
      <c r="H21" s="11"/>
      <c r="I21" s="24"/>
      <c r="J21" s="43"/>
      <c r="K21" s="27"/>
      <c r="L21" s="28"/>
      <c r="M21" s="45"/>
    </row>
    <row r="22" spans="2:14" ht="15.75" customHeight="1">
      <c r="B22" s="9"/>
      <c r="C22" s="57"/>
      <c r="D22" s="13"/>
      <c r="E22" s="11"/>
      <c r="F22" s="11"/>
      <c r="G22" s="11"/>
      <c r="H22" s="11"/>
      <c r="I22" s="24"/>
      <c r="J22" s="43"/>
      <c r="K22" s="27"/>
      <c r="L22" s="28"/>
      <c r="M22" s="45"/>
    </row>
    <row r="23" spans="2:14" ht="15.75" customHeight="1">
      <c r="B23" s="9"/>
      <c r="C23" s="57"/>
      <c r="D23" s="13"/>
      <c r="E23" s="11"/>
      <c r="F23" s="11"/>
      <c r="G23" s="11"/>
      <c r="H23" s="11"/>
      <c r="I23" s="24"/>
      <c r="J23" s="43"/>
      <c r="K23" s="27"/>
      <c r="L23" s="28"/>
      <c r="M23" s="45"/>
    </row>
    <row r="24" spans="2:14" ht="15.75" customHeight="1">
      <c r="B24" s="9"/>
      <c r="C24" s="57"/>
      <c r="D24" s="13"/>
      <c r="E24" s="11"/>
      <c r="F24" s="11"/>
      <c r="G24" s="11"/>
      <c r="H24" s="11"/>
      <c r="I24" s="24"/>
      <c r="J24" s="43"/>
      <c r="K24" s="27"/>
      <c r="L24" s="28"/>
      <c r="M24" s="45"/>
    </row>
    <row r="25" spans="2:14" ht="15.75" customHeight="1"/>
    <row r="26" spans="2:14" ht="15.75" customHeight="1"/>
    <row r="27" spans="2:14" ht="15.75" customHeight="1"/>
    <row r="28" spans="2:14" ht="15.75" customHeight="1"/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B16:N16"/>
    <mergeCell ref="B2:N2"/>
    <mergeCell ref="N5:N6"/>
    <mergeCell ref="N8:N9"/>
    <mergeCell ref="N10:N11"/>
    <mergeCell ref="N12:N1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M987"/>
  <sheetViews>
    <sheetView workbookViewId="0">
      <selection activeCell="D13" sqref="D13"/>
    </sheetView>
  </sheetViews>
  <sheetFormatPr baseColWidth="10" defaultColWidth="14.42578125" defaultRowHeight="15" customHeight="1"/>
  <cols>
    <col min="1" max="1" width="11.42578125" customWidth="1"/>
    <col min="2" max="2" width="9.7109375" customWidth="1"/>
    <col min="3" max="3" width="9.42578125" customWidth="1"/>
    <col min="4" max="4" width="9.7109375" customWidth="1"/>
    <col min="5" max="5" width="13" customWidth="1"/>
    <col min="6" max="6" width="13.140625" customWidth="1"/>
    <col min="7" max="7" width="9.7109375" customWidth="1"/>
    <col min="8" max="8" width="15" customWidth="1"/>
    <col min="9" max="9" width="17.140625" customWidth="1"/>
    <col min="10" max="10" width="13" customWidth="1"/>
    <col min="11" max="11" width="15" customWidth="1"/>
    <col min="12" max="12" width="23.5703125" hidden="1" customWidth="1"/>
    <col min="13" max="32" width="11.42578125" customWidth="1"/>
  </cols>
  <sheetData>
    <row r="2" spans="2:13" ht="23.25">
      <c r="B2" s="88" t="s">
        <v>72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3" ht="28.5" customHeight="1">
      <c r="B3" s="1" t="s">
        <v>2</v>
      </c>
      <c r="C3" s="2" t="s">
        <v>3</v>
      </c>
      <c r="D3" s="4" t="s">
        <v>5</v>
      </c>
      <c r="E3" s="2" t="s">
        <v>6</v>
      </c>
      <c r="F3" s="5" t="s">
        <v>7</v>
      </c>
      <c r="G3" s="5" t="s">
        <v>8</v>
      </c>
      <c r="H3" s="6" t="s">
        <v>9</v>
      </c>
      <c r="I3" s="6" t="s">
        <v>14</v>
      </c>
      <c r="J3" s="6" t="s">
        <v>15</v>
      </c>
      <c r="K3" s="6" t="s">
        <v>17</v>
      </c>
      <c r="L3" s="6" t="s">
        <v>17</v>
      </c>
      <c r="M3" s="5" t="s">
        <v>18</v>
      </c>
    </row>
    <row r="4" spans="2:13" ht="18">
      <c r="B4" s="8"/>
      <c r="C4" s="14"/>
      <c r="D4" s="16"/>
      <c r="E4" s="17"/>
      <c r="F4" s="17" t="s">
        <v>34</v>
      </c>
      <c r="G4" s="17"/>
      <c r="H4" s="19"/>
      <c r="I4" s="20" t="s">
        <v>73</v>
      </c>
      <c r="J4" s="21">
        <v>83.91</v>
      </c>
      <c r="K4" s="21"/>
      <c r="L4" s="22"/>
      <c r="M4" s="23"/>
    </row>
    <row r="5" spans="2:13" ht="36">
      <c r="B5" s="69">
        <v>46241</v>
      </c>
      <c r="C5" s="14" t="s">
        <v>29</v>
      </c>
      <c r="D5" s="93" t="s">
        <v>33</v>
      </c>
      <c r="E5" s="17" t="s">
        <v>24</v>
      </c>
      <c r="F5" s="17" t="s">
        <v>34</v>
      </c>
      <c r="G5" s="17">
        <v>156.78700000000001</v>
      </c>
      <c r="H5" s="17">
        <f t="shared" ref="H5:H8" si="0">G5-F5</f>
        <v>-155698.21299999999</v>
      </c>
      <c r="I5" s="47">
        <v>1887925.95</v>
      </c>
      <c r="J5" s="109">
        <v>781.09</v>
      </c>
      <c r="K5" s="21">
        <v>345.18</v>
      </c>
      <c r="L5" s="22"/>
      <c r="M5" s="21">
        <v>2.7</v>
      </c>
    </row>
    <row r="6" spans="2:13" ht="36">
      <c r="B6" s="49">
        <v>46251</v>
      </c>
      <c r="C6" s="14" t="s">
        <v>29</v>
      </c>
      <c r="D6" s="94"/>
      <c r="E6" s="17" t="s">
        <v>43</v>
      </c>
      <c r="F6" s="17">
        <v>156.78800000000001</v>
      </c>
      <c r="G6" s="17">
        <v>157.744</v>
      </c>
      <c r="H6" s="17">
        <f t="shared" si="0"/>
        <v>0.95599999999998886</v>
      </c>
      <c r="I6" s="70" t="s">
        <v>54</v>
      </c>
      <c r="J6" s="21">
        <v>0</v>
      </c>
      <c r="K6" s="21">
        <v>354.07</v>
      </c>
      <c r="L6" s="46"/>
      <c r="M6" s="21">
        <v>2.7</v>
      </c>
    </row>
    <row r="7" spans="2:13" ht="36">
      <c r="B7" s="49">
        <v>46252</v>
      </c>
      <c r="C7" s="14" t="s">
        <v>52</v>
      </c>
      <c r="D7" s="94"/>
      <c r="E7" s="17" t="s">
        <v>24</v>
      </c>
      <c r="F7" s="17">
        <v>157.79499999999999</v>
      </c>
      <c r="G7" s="17">
        <v>158.69399999999999</v>
      </c>
      <c r="H7" s="17">
        <f t="shared" si="0"/>
        <v>0.89900000000000091</v>
      </c>
      <c r="I7" s="55" t="s">
        <v>50</v>
      </c>
      <c r="J7" s="21">
        <v>406.57</v>
      </c>
      <c r="K7" s="71">
        <v>284.49</v>
      </c>
      <c r="L7" s="46"/>
      <c r="M7" s="21">
        <v>3.16</v>
      </c>
    </row>
    <row r="8" spans="2:13" ht="36">
      <c r="B8" s="49">
        <v>46254</v>
      </c>
      <c r="C8" s="14" t="s">
        <v>52</v>
      </c>
      <c r="D8" s="94"/>
      <c r="E8" s="17" t="s">
        <v>43</v>
      </c>
      <c r="F8" s="17">
        <v>158.69399999999999</v>
      </c>
      <c r="G8" s="17">
        <v>159.62100000000001</v>
      </c>
      <c r="H8" s="17">
        <f t="shared" si="0"/>
        <v>0.92700000000002092</v>
      </c>
      <c r="I8" s="47">
        <v>400000</v>
      </c>
      <c r="J8" s="21">
        <v>161.63999999999999</v>
      </c>
      <c r="K8" s="58">
        <v>403.33</v>
      </c>
      <c r="L8" s="46"/>
      <c r="M8" s="58">
        <v>2.2999999999999998</v>
      </c>
    </row>
    <row r="9" spans="2:13" ht="21.75" customHeight="1">
      <c r="B9" s="95"/>
      <c r="C9" s="96"/>
      <c r="D9" s="96"/>
      <c r="E9" s="96"/>
      <c r="F9" s="96"/>
      <c r="G9" s="96"/>
      <c r="H9" s="99" t="s">
        <v>74</v>
      </c>
      <c r="I9" s="100"/>
      <c r="J9" s="110">
        <f>SUM(J4:J8)</f>
        <v>1433.21</v>
      </c>
      <c r="K9" s="72">
        <f t="shared" ref="J9:K9" si="1">K5+K6+K7+K8+K4</f>
        <v>1387.07</v>
      </c>
      <c r="L9" s="91">
        <v>100000</v>
      </c>
    </row>
    <row r="10" spans="2:13" ht="21.75" customHeight="1">
      <c r="B10" s="97"/>
      <c r="C10" s="98"/>
      <c r="D10" s="98"/>
      <c r="E10" s="98"/>
      <c r="F10" s="98"/>
      <c r="G10" s="98"/>
      <c r="H10" s="101" t="s">
        <v>75</v>
      </c>
      <c r="I10" s="100"/>
      <c r="J10" s="102">
        <f>K9-J9</f>
        <v>-46.1400000000001</v>
      </c>
      <c r="K10" s="100"/>
      <c r="L10" s="92"/>
    </row>
    <row r="11" spans="2:13" ht="15.75" customHeight="1"/>
    <row r="12" spans="2:13" ht="15.75" customHeight="1"/>
    <row r="13" spans="2:13" ht="15.75" customHeight="1"/>
    <row r="14" spans="2:13" ht="15.75" customHeight="1"/>
    <row r="15" spans="2:13" ht="15.75" customHeight="1"/>
    <row r="16" spans="2:1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7">
    <mergeCell ref="B2:M2"/>
    <mergeCell ref="D5:D8"/>
    <mergeCell ref="B9:G10"/>
    <mergeCell ref="H9:I9"/>
    <mergeCell ref="L9:L10"/>
    <mergeCell ref="H10:I10"/>
    <mergeCell ref="J10:K10"/>
  </mergeCells>
  <printOptions horizontalCentered="1"/>
  <pageMargins left="0.25" right="0.25" top="0.75" bottom="0.75" header="0" footer="0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989"/>
  <sheetViews>
    <sheetView workbookViewId="0"/>
  </sheetViews>
  <sheetFormatPr baseColWidth="10" defaultColWidth="14.42578125" defaultRowHeight="15" customHeight="1"/>
  <cols>
    <col min="1" max="1" width="11.42578125" customWidth="1"/>
    <col min="2" max="2" width="9.7109375" customWidth="1"/>
    <col min="3" max="3" width="9.42578125" customWidth="1"/>
    <col min="4" max="4" width="9.7109375" customWidth="1"/>
    <col min="5" max="5" width="13" customWidth="1"/>
    <col min="6" max="6" width="13.140625" customWidth="1"/>
    <col min="7" max="7" width="9.7109375" customWidth="1"/>
    <col min="8" max="8" width="15" customWidth="1"/>
    <col min="9" max="9" width="17.140625" customWidth="1"/>
    <col min="10" max="10" width="13" customWidth="1"/>
    <col min="11" max="11" width="15" customWidth="1"/>
    <col min="12" max="12" width="23.5703125" hidden="1" customWidth="1"/>
    <col min="13" max="32" width="11.42578125" customWidth="1"/>
  </cols>
  <sheetData>
    <row r="2" spans="2:13" ht="23.25">
      <c r="B2" s="88" t="s">
        <v>76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3" ht="28.5" customHeight="1">
      <c r="B3" s="1" t="s">
        <v>2</v>
      </c>
      <c r="C3" s="2" t="s">
        <v>3</v>
      </c>
      <c r="D3" s="4" t="s">
        <v>5</v>
      </c>
      <c r="E3" s="2" t="s">
        <v>6</v>
      </c>
      <c r="F3" s="5" t="s">
        <v>7</v>
      </c>
      <c r="G3" s="5" t="s">
        <v>8</v>
      </c>
      <c r="H3" s="6" t="s">
        <v>9</v>
      </c>
      <c r="I3" s="6" t="s">
        <v>14</v>
      </c>
      <c r="J3" s="6" t="s">
        <v>15</v>
      </c>
      <c r="K3" s="6" t="s">
        <v>17</v>
      </c>
      <c r="L3" s="6" t="s">
        <v>17</v>
      </c>
      <c r="M3" s="5" t="s">
        <v>18</v>
      </c>
    </row>
    <row r="4" spans="2:13" ht="18">
      <c r="B4" s="8"/>
      <c r="C4" s="14"/>
      <c r="D4" s="16"/>
      <c r="E4" s="17"/>
      <c r="F4" s="18" t="s">
        <v>25</v>
      </c>
      <c r="G4" s="17"/>
      <c r="H4" s="19"/>
      <c r="I4" s="20" t="s">
        <v>73</v>
      </c>
      <c r="J4" s="21">
        <v>139.34</v>
      </c>
      <c r="K4" s="21"/>
      <c r="L4" s="22"/>
      <c r="M4" s="23"/>
    </row>
    <row r="5" spans="2:13" ht="36">
      <c r="B5" s="49">
        <v>46241</v>
      </c>
      <c r="C5" s="14" t="s">
        <v>19</v>
      </c>
      <c r="D5" s="93" t="s">
        <v>21</v>
      </c>
      <c r="E5" s="17" t="s">
        <v>24</v>
      </c>
      <c r="F5" s="18" t="s">
        <v>25</v>
      </c>
      <c r="G5" s="17">
        <v>899.91200000000003</v>
      </c>
      <c r="H5" s="55">
        <f t="shared" ref="H5:H10" si="0">G5-F5</f>
        <v>-898019.08799999999</v>
      </c>
      <c r="I5" s="20">
        <v>823375</v>
      </c>
      <c r="J5" s="21">
        <v>340.66</v>
      </c>
      <c r="K5" s="21">
        <v>440.24</v>
      </c>
      <c r="L5" s="22"/>
      <c r="M5" s="21">
        <v>2.25</v>
      </c>
    </row>
    <row r="6" spans="2:13" ht="36">
      <c r="B6" s="49">
        <v>46242</v>
      </c>
      <c r="C6" s="14" t="s">
        <v>19</v>
      </c>
      <c r="D6" s="94"/>
      <c r="E6" s="17" t="s">
        <v>43</v>
      </c>
      <c r="F6" s="17">
        <v>899.91200000000003</v>
      </c>
      <c r="G6" s="17">
        <v>900.84900000000005</v>
      </c>
      <c r="H6" s="55">
        <f t="shared" si="0"/>
        <v>0.93700000000001182</v>
      </c>
      <c r="I6" s="47">
        <v>1116009</v>
      </c>
      <c r="J6" s="21">
        <v>440.24</v>
      </c>
      <c r="K6" s="21">
        <v>297.38</v>
      </c>
      <c r="L6" s="46"/>
      <c r="M6" s="21">
        <v>3.15</v>
      </c>
    </row>
    <row r="7" spans="2:13" ht="36">
      <c r="B7" s="49">
        <v>46244</v>
      </c>
      <c r="C7" s="14" t="s">
        <v>52</v>
      </c>
      <c r="D7" s="94"/>
      <c r="E7" s="17" t="s">
        <v>24</v>
      </c>
      <c r="F7" s="17">
        <v>900.84900000000005</v>
      </c>
      <c r="G7" s="17">
        <v>901.846</v>
      </c>
      <c r="H7" s="55">
        <f t="shared" si="0"/>
        <v>0.99699999999995725</v>
      </c>
      <c r="I7" s="47">
        <v>724120</v>
      </c>
      <c r="J7" s="21">
        <v>297.38</v>
      </c>
      <c r="K7" s="21">
        <v>432.44</v>
      </c>
      <c r="L7" s="46">
        <v>100000</v>
      </c>
      <c r="M7" s="21">
        <v>2.2999999999999998</v>
      </c>
    </row>
    <row r="8" spans="2:13" ht="36">
      <c r="B8" s="49">
        <v>46250</v>
      </c>
      <c r="C8" s="14" t="s">
        <v>19</v>
      </c>
      <c r="D8" s="94"/>
      <c r="E8" s="17" t="s">
        <v>43</v>
      </c>
      <c r="F8" s="17">
        <v>901.86500000000001</v>
      </c>
      <c r="G8" s="17">
        <v>902.82100000000003</v>
      </c>
      <c r="H8" s="55">
        <f t="shared" si="0"/>
        <v>0.95600000000001728</v>
      </c>
      <c r="I8" s="55" t="s">
        <v>47</v>
      </c>
      <c r="J8" s="21">
        <v>432.44</v>
      </c>
      <c r="K8" s="21">
        <v>406.73</v>
      </c>
      <c r="L8" s="91">
        <v>100000</v>
      </c>
      <c r="M8" s="21">
        <v>2.2999999999999998</v>
      </c>
    </row>
    <row r="9" spans="2:13" ht="36">
      <c r="B9" s="49">
        <v>46251</v>
      </c>
      <c r="C9" s="14" t="s">
        <v>35</v>
      </c>
      <c r="D9" s="94"/>
      <c r="E9" s="17" t="s">
        <v>24</v>
      </c>
      <c r="F9" s="17">
        <v>902.82100000000003</v>
      </c>
      <c r="G9" s="17">
        <v>903.84699999999998</v>
      </c>
      <c r="H9" s="55">
        <f t="shared" si="0"/>
        <v>1.0259999999999536</v>
      </c>
      <c r="I9" s="55" t="s">
        <v>50</v>
      </c>
      <c r="J9" s="21">
        <v>406.73</v>
      </c>
      <c r="K9" s="21">
        <v>294.70999999999998</v>
      </c>
      <c r="L9" s="92"/>
      <c r="M9" s="21">
        <v>3.48</v>
      </c>
    </row>
    <row r="10" spans="2:13" ht="36">
      <c r="B10" s="49">
        <v>46252</v>
      </c>
      <c r="C10" s="14" t="s">
        <v>35</v>
      </c>
      <c r="D10" s="92"/>
      <c r="E10" s="17" t="s">
        <v>43</v>
      </c>
      <c r="F10" s="17">
        <v>903.84699999999998</v>
      </c>
      <c r="G10" s="17">
        <v>904.774</v>
      </c>
      <c r="H10" s="55">
        <f t="shared" si="0"/>
        <v>0.92700000000002092</v>
      </c>
      <c r="I10" s="47">
        <v>755051</v>
      </c>
      <c r="J10" s="21">
        <v>294.70999999999998</v>
      </c>
      <c r="K10" s="21">
        <v>402</v>
      </c>
      <c r="L10" s="46">
        <v>100000</v>
      </c>
      <c r="M10" s="58">
        <v>2.2999999999999998</v>
      </c>
    </row>
    <row r="11" spans="2:13" ht="21.75" customHeight="1">
      <c r="B11" s="95"/>
      <c r="C11" s="96"/>
      <c r="D11" s="96"/>
      <c r="E11" s="96"/>
      <c r="F11" s="96"/>
      <c r="G11" s="96"/>
      <c r="H11" s="99" t="s">
        <v>74</v>
      </c>
      <c r="I11" s="100"/>
      <c r="J11" s="72">
        <f>J5+J6+J7+J8+J9+J10+J4</f>
        <v>2351.5000000000005</v>
      </c>
      <c r="K11" s="72">
        <f>K5+K6+K7+K8+K9+K10</f>
        <v>2273.5</v>
      </c>
      <c r="L11" s="91">
        <v>100000</v>
      </c>
    </row>
    <row r="12" spans="2:13" ht="21.75" customHeight="1">
      <c r="B12" s="97"/>
      <c r="C12" s="98"/>
      <c r="D12" s="98"/>
      <c r="E12" s="98"/>
      <c r="F12" s="98"/>
      <c r="G12" s="98"/>
      <c r="H12" s="101" t="s">
        <v>75</v>
      </c>
      <c r="I12" s="100"/>
      <c r="J12" s="102">
        <f>J11-K11</f>
        <v>78.000000000000455</v>
      </c>
      <c r="K12" s="100"/>
      <c r="L12" s="92"/>
    </row>
    <row r="13" spans="2:13" ht="15.75" customHeight="1"/>
    <row r="14" spans="2:13" ht="15.75" customHeight="1"/>
    <row r="15" spans="2:13" ht="15.75" customHeight="1"/>
    <row r="16" spans="2:1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8">
    <mergeCell ref="B2:M2"/>
    <mergeCell ref="D5:D10"/>
    <mergeCell ref="L8:L9"/>
    <mergeCell ref="B11:G12"/>
    <mergeCell ref="H11:I11"/>
    <mergeCell ref="L11:L12"/>
    <mergeCell ref="H12:I12"/>
    <mergeCell ref="J12:K12"/>
  </mergeCells>
  <printOptions horizontalCentered="1"/>
  <pageMargins left="0.25" right="0.25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I1007"/>
  <sheetViews>
    <sheetView topLeftCell="A13" workbookViewId="0"/>
  </sheetViews>
  <sheetFormatPr baseColWidth="10" defaultColWidth="14.42578125" defaultRowHeight="15" customHeight="1"/>
  <cols>
    <col min="1" max="1" width="11.42578125" customWidth="1"/>
    <col min="2" max="2" width="39" customWidth="1"/>
    <col min="3" max="3" width="16.42578125" customWidth="1"/>
    <col min="4" max="4" width="17.5703125" customWidth="1"/>
    <col min="5" max="5" width="16.85546875" customWidth="1"/>
    <col min="6" max="7" width="16.42578125" customWidth="1"/>
    <col min="8" max="8" width="23.5703125" customWidth="1"/>
    <col min="9" max="9" width="23.5703125" hidden="1" customWidth="1"/>
    <col min="10" max="29" width="11.42578125" customWidth="1"/>
  </cols>
  <sheetData>
    <row r="2" spans="2:9" ht="23.25">
      <c r="B2" s="88" t="s">
        <v>77</v>
      </c>
      <c r="C2" s="89"/>
      <c r="D2" s="89"/>
      <c r="E2" s="89"/>
      <c r="F2" s="89"/>
      <c r="G2" s="89"/>
      <c r="H2" s="89"/>
      <c r="I2" s="90"/>
    </row>
    <row r="3" spans="2:9" ht="28.5" customHeight="1">
      <c r="B3" s="75" t="s">
        <v>78</v>
      </c>
      <c r="C3" s="76" t="s">
        <v>79</v>
      </c>
      <c r="D3" s="77" t="s">
        <v>5</v>
      </c>
      <c r="E3" s="76" t="s">
        <v>80</v>
      </c>
      <c r="F3" s="78" t="s">
        <v>81</v>
      </c>
      <c r="G3" s="78" t="s">
        <v>82</v>
      </c>
      <c r="H3" s="78" t="s">
        <v>83</v>
      </c>
      <c r="I3" s="7" t="s">
        <v>16</v>
      </c>
    </row>
    <row r="4" spans="2:9" ht="16.5">
      <c r="B4" s="79" t="s">
        <v>84</v>
      </c>
      <c r="C4" s="103" t="s">
        <v>19</v>
      </c>
      <c r="D4" s="104" t="s">
        <v>85</v>
      </c>
      <c r="E4" s="80">
        <v>46220</v>
      </c>
      <c r="F4" s="73">
        <v>0.64583333333333337</v>
      </c>
      <c r="G4" s="73">
        <v>4.1666666666666664E-2</v>
      </c>
      <c r="H4" s="105">
        <v>363252</v>
      </c>
      <c r="I4" s="91">
        <v>100000</v>
      </c>
    </row>
    <row r="5" spans="2:9" ht="16.5">
      <c r="B5" s="79" t="s">
        <v>86</v>
      </c>
      <c r="C5" s="92"/>
      <c r="D5" s="92"/>
      <c r="E5" s="80">
        <v>46220</v>
      </c>
      <c r="F5" s="73">
        <v>0.41666666666666669</v>
      </c>
      <c r="G5" s="73">
        <v>0.75</v>
      </c>
      <c r="H5" s="92"/>
      <c r="I5" s="92"/>
    </row>
    <row r="6" spans="2:9" ht="16.5">
      <c r="B6" s="79" t="s">
        <v>84</v>
      </c>
      <c r="C6" s="103" t="s">
        <v>29</v>
      </c>
      <c r="D6" s="104" t="s">
        <v>87</v>
      </c>
      <c r="E6" s="80">
        <v>46220</v>
      </c>
      <c r="F6" s="73">
        <v>0.75</v>
      </c>
      <c r="G6" s="73">
        <v>0.125</v>
      </c>
      <c r="H6" s="105">
        <v>505145</v>
      </c>
      <c r="I6" s="91">
        <v>100000</v>
      </c>
    </row>
    <row r="7" spans="2:9" ht="16.5">
      <c r="B7" s="79" t="s">
        <v>86</v>
      </c>
      <c r="C7" s="92"/>
      <c r="D7" s="92"/>
      <c r="E7" s="80">
        <v>46221</v>
      </c>
      <c r="F7" s="73">
        <v>0.41666666666666669</v>
      </c>
      <c r="G7" s="73">
        <v>0.75</v>
      </c>
      <c r="H7" s="92"/>
      <c r="I7" s="92"/>
    </row>
    <row r="8" spans="2:9" ht="16.5">
      <c r="B8" s="79" t="s">
        <v>84</v>
      </c>
      <c r="C8" s="103" t="s">
        <v>35</v>
      </c>
      <c r="D8" s="104" t="s">
        <v>85</v>
      </c>
      <c r="E8" s="80">
        <v>46222</v>
      </c>
      <c r="F8" s="73">
        <v>0.84027777777777779</v>
      </c>
      <c r="G8" s="73">
        <v>0.14930555555555555</v>
      </c>
      <c r="H8" s="105">
        <v>124172</v>
      </c>
      <c r="I8" s="91">
        <v>100000</v>
      </c>
    </row>
    <row r="9" spans="2:9" ht="16.5">
      <c r="B9" s="79" t="s">
        <v>86</v>
      </c>
      <c r="C9" s="92"/>
      <c r="D9" s="92"/>
      <c r="E9" s="80">
        <v>46223</v>
      </c>
      <c r="F9" s="73">
        <v>0.3125</v>
      </c>
      <c r="G9" s="73">
        <v>0.75069444444444444</v>
      </c>
      <c r="H9" s="92"/>
      <c r="I9" s="92"/>
    </row>
    <row r="10" spans="2:9" ht="16.5">
      <c r="B10" s="79" t="s">
        <v>84</v>
      </c>
      <c r="C10" s="103" t="s">
        <v>52</v>
      </c>
      <c r="D10" s="104" t="s">
        <v>87</v>
      </c>
      <c r="E10" s="80">
        <v>46224</v>
      </c>
      <c r="F10" s="73">
        <v>0.8125</v>
      </c>
      <c r="G10" s="73">
        <v>0.20833333333333334</v>
      </c>
      <c r="H10" s="105">
        <v>348045</v>
      </c>
      <c r="I10" s="91">
        <v>100000</v>
      </c>
    </row>
    <row r="11" spans="2:9" ht="16.5">
      <c r="B11" s="79" t="s">
        <v>86</v>
      </c>
      <c r="C11" s="92"/>
      <c r="D11" s="92"/>
      <c r="E11" s="80">
        <v>46224</v>
      </c>
      <c r="F11" s="73">
        <v>0.40277777777777779</v>
      </c>
      <c r="G11" s="73">
        <v>0.6958333333333333</v>
      </c>
      <c r="H11" s="92"/>
      <c r="I11" s="92"/>
    </row>
    <row r="12" spans="2:9" ht="16.5">
      <c r="B12" s="106" t="s">
        <v>84</v>
      </c>
      <c r="C12" s="103" t="s">
        <v>53</v>
      </c>
      <c r="D12" s="104" t="s">
        <v>85</v>
      </c>
      <c r="E12" s="107">
        <v>46225</v>
      </c>
      <c r="F12" s="73">
        <v>0.54166666666666663</v>
      </c>
      <c r="G12" s="73">
        <v>0.83333333333333337</v>
      </c>
      <c r="H12" s="105">
        <v>391107</v>
      </c>
      <c r="I12" s="91">
        <v>100000</v>
      </c>
    </row>
    <row r="13" spans="2:9" ht="16.5">
      <c r="B13" s="92"/>
      <c r="C13" s="92"/>
      <c r="D13" s="92"/>
      <c r="E13" s="92"/>
      <c r="F13" s="82" t="s">
        <v>88</v>
      </c>
      <c r="G13" s="82" t="s">
        <v>88</v>
      </c>
      <c r="H13" s="92"/>
      <c r="I13" s="92"/>
    </row>
    <row r="14" spans="2:9" ht="16.5">
      <c r="B14" s="79" t="s">
        <v>84</v>
      </c>
      <c r="C14" s="108" t="s">
        <v>19</v>
      </c>
      <c r="D14" s="104" t="s">
        <v>89</v>
      </c>
      <c r="E14" s="81">
        <v>46229</v>
      </c>
      <c r="F14" s="73">
        <v>0.25</v>
      </c>
      <c r="G14" s="73">
        <v>0.58333333333333337</v>
      </c>
      <c r="H14" s="45">
        <v>207383</v>
      </c>
      <c r="I14" s="91">
        <v>100000</v>
      </c>
    </row>
    <row r="15" spans="2:9" ht="16.5">
      <c r="B15" s="79" t="s">
        <v>86</v>
      </c>
      <c r="C15" s="92"/>
      <c r="D15" s="92"/>
      <c r="E15" s="81">
        <v>46229</v>
      </c>
      <c r="F15" s="73">
        <v>0.44444444444444442</v>
      </c>
      <c r="G15" s="73">
        <v>0.75</v>
      </c>
      <c r="H15" s="45">
        <v>262000</v>
      </c>
      <c r="I15" s="92"/>
    </row>
    <row r="16" spans="2:9" ht="16.5">
      <c r="B16" s="106" t="s">
        <v>86</v>
      </c>
      <c r="C16" s="108" t="s">
        <v>29</v>
      </c>
      <c r="D16" s="104" t="s">
        <v>85</v>
      </c>
      <c r="E16" s="107">
        <v>46229</v>
      </c>
      <c r="F16" s="82" t="s">
        <v>90</v>
      </c>
      <c r="G16" s="82" t="s">
        <v>90</v>
      </c>
      <c r="H16" s="28" t="s">
        <v>91</v>
      </c>
      <c r="I16" s="91">
        <v>100000</v>
      </c>
    </row>
    <row r="17" spans="2:9" ht="16.5">
      <c r="B17" s="92"/>
      <c r="C17" s="92"/>
      <c r="D17" s="92"/>
      <c r="E17" s="92"/>
      <c r="F17" s="73">
        <v>0.26874999999999999</v>
      </c>
      <c r="G17" s="73">
        <v>0.625</v>
      </c>
      <c r="H17" s="83" t="s">
        <v>92</v>
      </c>
      <c r="I17" s="92"/>
    </row>
    <row r="18" spans="2:9" ht="16.5">
      <c r="B18" s="79" t="s">
        <v>84</v>
      </c>
      <c r="C18" s="108" t="s">
        <v>35</v>
      </c>
      <c r="D18" s="104" t="s">
        <v>85</v>
      </c>
      <c r="E18" s="48">
        <v>27</v>
      </c>
      <c r="F18" s="73">
        <v>0.32430555555555557</v>
      </c>
      <c r="G18" s="73">
        <v>0.66666666666666663</v>
      </c>
      <c r="H18" s="105">
        <v>322477</v>
      </c>
      <c r="I18" s="91"/>
    </row>
    <row r="19" spans="2:9" ht="16.5">
      <c r="B19" s="79" t="s">
        <v>86</v>
      </c>
      <c r="C19" s="92"/>
      <c r="D19" s="92"/>
      <c r="E19" s="48">
        <v>27</v>
      </c>
      <c r="F19" s="73">
        <v>0.76875000000000004</v>
      </c>
      <c r="G19" s="73">
        <v>6.5277777777777782E-2</v>
      </c>
      <c r="H19" s="92"/>
      <c r="I19" s="92"/>
    </row>
    <row r="20" spans="2:9" ht="16.5">
      <c r="B20" s="79" t="s">
        <v>84</v>
      </c>
      <c r="C20" s="108" t="s">
        <v>52</v>
      </c>
      <c r="D20" s="104" t="s">
        <v>87</v>
      </c>
      <c r="E20" s="84">
        <v>46230</v>
      </c>
      <c r="F20" s="73">
        <v>0.83194444444444449</v>
      </c>
      <c r="G20" s="73">
        <v>0.12083333333333333</v>
      </c>
      <c r="H20" s="105">
        <v>200</v>
      </c>
      <c r="I20" s="91">
        <v>50000</v>
      </c>
    </row>
    <row r="21" spans="2:9" ht="16.5">
      <c r="B21" s="79" t="s">
        <v>86</v>
      </c>
      <c r="C21" s="92"/>
      <c r="D21" s="92"/>
      <c r="E21" s="81">
        <v>46231</v>
      </c>
      <c r="F21" s="73">
        <v>0.55902777777777779</v>
      </c>
      <c r="G21" s="73">
        <v>0.95347222222222228</v>
      </c>
      <c r="H21" s="92"/>
      <c r="I21" s="92"/>
    </row>
    <row r="22" spans="2:9" ht="16.5">
      <c r="B22" s="79" t="s">
        <v>84</v>
      </c>
      <c r="C22" s="108" t="s">
        <v>53</v>
      </c>
      <c r="D22" s="104" t="s">
        <v>85</v>
      </c>
      <c r="E22" s="81">
        <v>46231</v>
      </c>
      <c r="F22" s="73">
        <v>0.35902777777777778</v>
      </c>
      <c r="G22" s="73">
        <v>0.72916666666666663</v>
      </c>
      <c r="H22" s="105">
        <v>314531</v>
      </c>
      <c r="I22" s="91">
        <v>50000</v>
      </c>
    </row>
    <row r="23" spans="2:9" ht="16.5">
      <c r="B23" s="79" t="s">
        <v>86</v>
      </c>
      <c r="C23" s="92"/>
      <c r="D23" s="92"/>
      <c r="E23" s="84">
        <v>46263</v>
      </c>
      <c r="F23" s="73">
        <v>0.70833333333333337</v>
      </c>
      <c r="G23" s="73">
        <v>2.7777777777777776E-2</v>
      </c>
      <c r="H23" s="92"/>
      <c r="I23" s="92"/>
    </row>
    <row r="24" spans="2:9" ht="18">
      <c r="B24" s="85" t="s">
        <v>74</v>
      </c>
      <c r="C24" s="86"/>
      <c r="D24" s="86"/>
      <c r="E24" s="86"/>
      <c r="F24" s="86"/>
      <c r="G24" s="86"/>
      <c r="H24" s="87">
        <f t="shared" ref="H24:I24" si="0">SUM(H4:H23)</f>
        <v>2838312</v>
      </c>
      <c r="I24" s="74">
        <f t="shared" si="0"/>
        <v>800000</v>
      </c>
    </row>
    <row r="25" spans="2:9" ht="16.5">
      <c r="C25" s="54"/>
      <c r="D25" s="54"/>
      <c r="E25" s="54"/>
      <c r="F25" s="54"/>
      <c r="G25" s="54"/>
      <c r="H25" s="54"/>
      <c r="I25" s="54"/>
    </row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43">
    <mergeCell ref="C22:C23"/>
    <mergeCell ref="D22:D23"/>
    <mergeCell ref="H22:H23"/>
    <mergeCell ref="I22:I23"/>
    <mergeCell ref="C18:C19"/>
    <mergeCell ref="D18:D19"/>
    <mergeCell ref="H18:H19"/>
    <mergeCell ref="I18:I19"/>
    <mergeCell ref="D20:D21"/>
    <mergeCell ref="H20:H21"/>
    <mergeCell ref="I20:I21"/>
    <mergeCell ref="B16:B17"/>
    <mergeCell ref="C16:C17"/>
    <mergeCell ref="D16:D17"/>
    <mergeCell ref="E16:E17"/>
    <mergeCell ref="C20:C21"/>
    <mergeCell ref="I16:I17"/>
    <mergeCell ref="H6:H7"/>
    <mergeCell ref="I6:I7"/>
    <mergeCell ref="H8:H9"/>
    <mergeCell ref="I8:I9"/>
    <mergeCell ref="H10:H11"/>
    <mergeCell ref="I10:I11"/>
    <mergeCell ref="H12:H13"/>
    <mergeCell ref="B12:B13"/>
    <mergeCell ref="D12:D13"/>
    <mergeCell ref="E12:E13"/>
    <mergeCell ref="I12:I13"/>
    <mergeCell ref="I14:I15"/>
    <mergeCell ref="C12:C13"/>
    <mergeCell ref="C14:C15"/>
    <mergeCell ref="D14:D15"/>
    <mergeCell ref="C6:C7"/>
    <mergeCell ref="D6:D7"/>
    <mergeCell ref="C8:C9"/>
    <mergeCell ref="D8:D9"/>
    <mergeCell ref="C10:C11"/>
    <mergeCell ref="D10:D11"/>
    <mergeCell ref="B2:I2"/>
    <mergeCell ref="C4:C5"/>
    <mergeCell ref="D4:D5"/>
    <mergeCell ref="H4:H5"/>
    <mergeCell ref="I4:I5"/>
  </mergeCells>
  <pageMargins left="0.25" right="0.25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CAMIONES TUCUMAN ROCK</vt:lpstr>
      <vt:lpstr>LOGÍSTICA DIARIA</vt:lpstr>
      <vt:lpstr>CAMION MIGUEL - LA RENGA</vt:lpstr>
      <vt:lpstr>CAMION LUIS - LA RENGA</vt:lpstr>
      <vt:lpstr>VIAJES CAMIONES SANTIAGO DEL 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 Gomez</cp:lastModifiedBy>
  <dcterms:created xsi:type="dcterms:W3CDTF">2026-01-12T14:35:17Z</dcterms:created>
  <dcterms:modified xsi:type="dcterms:W3CDTF">2026-10-02T15:14:39Z</dcterms:modified>
</cp:coreProperties>
</file>