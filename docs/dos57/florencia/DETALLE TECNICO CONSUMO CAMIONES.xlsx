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lor Gomez\Downloads\"/>
    </mc:Choice>
  </mc:AlternateContent>
  <xr:revisionPtr revIDLastSave="0" documentId="13_ncr:1_{E87F3CB0-7554-4CDE-9175-C64C843B2F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TALLE TECNICO CONSUMO CAMION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2" l="1"/>
  <c r="F18" i="2"/>
  <c r="G14" i="2"/>
  <c r="F14" i="2"/>
  <c r="G10" i="2"/>
  <c r="F10" i="2"/>
  <c r="G6" i="2"/>
  <c r="F6" i="2"/>
</calcChain>
</file>

<file path=xl/sharedStrings.xml><?xml version="1.0" encoding="utf-8"?>
<sst xmlns="http://schemas.openxmlformats.org/spreadsheetml/2006/main" count="48" uniqueCount="29">
  <si>
    <t xml:space="preserve"> </t>
  </si>
  <si>
    <t>DETALLE TÉCNICO CONSUMO CAMIONES</t>
  </si>
  <si>
    <t xml:space="preserve">CAMIÓN PLANCHA </t>
  </si>
  <si>
    <t>PATENTE</t>
  </si>
  <si>
    <t>CAPACIDAD DE COMBUSTIBLE</t>
  </si>
  <si>
    <t>CONSUMO DE KM X LITRO SIN CARGA</t>
  </si>
  <si>
    <t>CONSUMO DE KM X LITRO CON CARGA</t>
  </si>
  <si>
    <t>AUTONOMÍA KM CON TANQUE LLENO / SIN CARGA</t>
  </si>
  <si>
    <t>AUTONOMÍA KM CON TANQUE LLENO / CON CARGA</t>
  </si>
  <si>
    <t>AG 958 JV</t>
  </si>
  <si>
    <t>210L</t>
  </si>
  <si>
    <t>4,92 KM/L</t>
  </si>
  <si>
    <t>3,8 KM/L</t>
  </si>
  <si>
    <t>CAMIÓN MERCEDES BENZ</t>
  </si>
  <si>
    <t>AG 768 OI</t>
  </si>
  <si>
    <t>315L TANQUE</t>
  </si>
  <si>
    <t>3,16 KM/L</t>
  </si>
  <si>
    <t>2,7 KM/L</t>
  </si>
  <si>
    <t>550L MOCHILA</t>
  </si>
  <si>
    <t>CAMIÓN VOLSKWAGEN NEGRO</t>
  </si>
  <si>
    <t>HKQ 258</t>
  </si>
  <si>
    <t>480 L</t>
  </si>
  <si>
    <t>3,7 KM/L</t>
  </si>
  <si>
    <t>2,8 KM/L</t>
  </si>
  <si>
    <t>CAMIÓN VOLVO</t>
  </si>
  <si>
    <t>FTL 303</t>
  </si>
  <si>
    <t>320L - TANQUE 1</t>
  </si>
  <si>
    <t>3,5 KM/L</t>
  </si>
  <si>
    <t>320L - TANQUE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</si>
</sst>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theme="1"/>
      <name val="Arial"/>
    </font>
    <font>
      <sz val="30"/>
      <color rgb="FFBAD612"/>
      <name val="Bebas Neue"/>
    </font>
    <font>
      <sz val="10"/>
      <name val="Arial"/>
    </font>
    <font>
      <sz val="16"/>
      <color rgb="FF15233E"/>
      <name val="Arial"/>
    </font>
    <font>
      <b/>
      <sz val="16"/>
      <color rgb="FF15233E"/>
      <name val="Arial"/>
    </font>
    <font>
      <sz val="12"/>
      <color rgb="FFBAD612"/>
      <name val="Arial"/>
    </font>
    <font>
      <b/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15233E"/>
        <bgColor rgb="FF15233E"/>
      </patternFill>
    </fill>
    <fill>
      <patternFill patternType="solid">
        <fgColor rgb="FFFFFFFF"/>
        <bgColor rgb="FFFFFFFF"/>
      </patternFill>
    </fill>
    <fill>
      <patternFill patternType="solid">
        <fgColor rgb="FFBAD612"/>
        <bgColor rgb="FFBAD612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2" fillId="2" borderId="1" xfId="0" applyFont="1" applyFill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3" fillId="0" borderId="18" xfId="0" applyFont="1" applyBorder="1"/>
    <xf numFmtId="0" fontId="4" fillId="3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5" fillId="4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7" fillId="0" borderId="11" xfId="0" applyFont="1" applyBorder="1" applyAlignment="1">
      <alignment horizontal="center" vertical="center"/>
    </xf>
    <xf numFmtId="0" fontId="3" fillId="0" borderId="17" xfId="0" applyFont="1" applyBorder="1"/>
    <xf numFmtId="0" fontId="7" fillId="0" borderId="14" xfId="0" applyFont="1" applyBorder="1" applyAlignment="1">
      <alignment horizontal="center" vertical="center"/>
    </xf>
    <xf numFmtId="0" fontId="3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A991"/>
  <sheetViews>
    <sheetView tabSelected="1" workbookViewId="0"/>
  </sheetViews>
  <sheetFormatPr baseColWidth="10" defaultColWidth="12.5703125" defaultRowHeight="15.75" customHeight="1"/>
  <cols>
    <col min="2" max="2" width="18.28515625" customWidth="1"/>
    <col min="3" max="3" width="22.140625" customWidth="1"/>
    <col min="4" max="4" width="29" customWidth="1"/>
    <col min="5" max="6" width="30.140625" customWidth="1"/>
    <col min="7" max="7" width="32.7109375" customWidth="1"/>
  </cols>
  <sheetData>
    <row r="1" spans="1:27" ht="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37.5">
      <c r="A2" s="2"/>
      <c r="B2" s="10" t="s">
        <v>1</v>
      </c>
      <c r="C2" s="8"/>
      <c r="D2" s="8"/>
      <c r="E2" s="8"/>
      <c r="F2" s="8"/>
      <c r="G2" s="9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8.25" customHeight="1">
      <c r="A3" s="2"/>
      <c r="B3" s="13"/>
      <c r="C3" s="14"/>
      <c r="D3" s="14"/>
      <c r="E3" s="14"/>
      <c r="F3" s="14"/>
      <c r="G3" s="1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0.25">
      <c r="A4" s="2"/>
      <c r="B4" s="16" t="s">
        <v>2</v>
      </c>
      <c r="C4" s="17"/>
      <c r="D4" s="17"/>
      <c r="E4" s="17"/>
      <c r="F4" s="17"/>
      <c r="G4" s="18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45">
      <c r="A5" s="2"/>
      <c r="B5" s="3" t="s">
        <v>3</v>
      </c>
      <c r="C5" s="4" t="s">
        <v>4</v>
      </c>
      <c r="D5" s="4" t="s">
        <v>5</v>
      </c>
      <c r="E5" s="5" t="s">
        <v>6</v>
      </c>
      <c r="F5" s="5" t="s">
        <v>7</v>
      </c>
      <c r="G5" s="5" t="s">
        <v>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>
      <c r="A6" s="2"/>
      <c r="B6" s="21" t="s">
        <v>9</v>
      </c>
      <c r="C6" s="19" t="s">
        <v>10</v>
      </c>
      <c r="D6" s="19" t="s">
        <v>11</v>
      </c>
      <c r="E6" s="11" t="s">
        <v>12</v>
      </c>
      <c r="F6" s="11">
        <f>210*4.92</f>
        <v>1033.2</v>
      </c>
      <c r="G6" s="11">
        <f>210*3.8</f>
        <v>798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>
      <c r="A7" s="2"/>
      <c r="B7" s="22"/>
      <c r="C7" s="20"/>
      <c r="D7" s="20"/>
      <c r="E7" s="12"/>
      <c r="F7" s="12"/>
      <c r="G7" s="1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0.25">
      <c r="A8" s="2"/>
      <c r="B8" s="16" t="s">
        <v>13</v>
      </c>
      <c r="C8" s="17"/>
      <c r="D8" s="17"/>
      <c r="E8" s="17"/>
      <c r="F8" s="17"/>
      <c r="G8" s="18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45">
      <c r="A9" s="2"/>
      <c r="B9" s="3" t="s">
        <v>3</v>
      </c>
      <c r="C9" s="4" t="s">
        <v>4</v>
      </c>
      <c r="D9" s="4" t="s">
        <v>5</v>
      </c>
      <c r="E9" s="5" t="s">
        <v>6</v>
      </c>
      <c r="F9" s="5" t="s">
        <v>7</v>
      </c>
      <c r="G9" s="5" t="s">
        <v>8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2"/>
      <c r="B10" s="21" t="s">
        <v>14</v>
      </c>
      <c r="C10" s="6" t="s">
        <v>15</v>
      </c>
      <c r="D10" s="19" t="s">
        <v>16</v>
      </c>
      <c r="E10" s="11" t="s">
        <v>17</v>
      </c>
      <c r="F10" s="11">
        <f>865*3.16</f>
        <v>2733.4</v>
      </c>
      <c r="G10" s="11">
        <f>865*2.7</f>
        <v>2335.5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>
      <c r="A11" s="2"/>
      <c r="B11" s="22"/>
      <c r="C11" s="7" t="s">
        <v>18</v>
      </c>
      <c r="D11" s="20"/>
      <c r="E11" s="12"/>
      <c r="F11" s="12"/>
      <c r="G11" s="1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0.25">
      <c r="A12" s="2"/>
      <c r="B12" s="16" t="s">
        <v>19</v>
      </c>
      <c r="C12" s="17"/>
      <c r="D12" s="17"/>
      <c r="E12" s="17"/>
      <c r="F12" s="17"/>
      <c r="G12" s="1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45">
      <c r="A13" s="2"/>
      <c r="B13" s="3" t="s">
        <v>3</v>
      </c>
      <c r="C13" s="4" t="s">
        <v>4</v>
      </c>
      <c r="D13" s="4" t="s">
        <v>5</v>
      </c>
      <c r="E13" s="5" t="s">
        <v>6</v>
      </c>
      <c r="F13" s="5" t="s">
        <v>7</v>
      </c>
      <c r="G13" s="5" t="s">
        <v>8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">
      <c r="A14" s="2"/>
      <c r="B14" s="21" t="s">
        <v>20</v>
      </c>
      <c r="C14" s="19" t="s">
        <v>21</v>
      </c>
      <c r="D14" s="19" t="s">
        <v>22</v>
      </c>
      <c r="E14" s="11" t="s">
        <v>23</v>
      </c>
      <c r="F14" s="11">
        <f>480*3.7</f>
        <v>1776</v>
      </c>
      <c r="G14" s="11">
        <f>480*2.8</f>
        <v>1344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">
      <c r="A15" s="2"/>
      <c r="B15" s="22"/>
      <c r="C15" s="20"/>
      <c r="D15" s="20"/>
      <c r="E15" s="12"/>
      <c r="F15" s="12"/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0.25">
      <c r="A16" s="2"/>
      <c r="B16" s="16" t="s">
        <v>24</v>
      </c>
      <c r="C16" s="17"/>
      <c r="D16" s="17"/>
      <c r="E16" s="17"/>
      <c r="F16" s="17"/>
      <c r="G16" s="1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45">
      <c r="A17" s="2"/>
      <c r="B17" s="3" t="s">
        <v>3</v>
      </c>
      <c r="C17" s="4" t="s">
        <v>4</v>
      </c>
      <c r="D17" s="4" t="s">
        <v>5</v>
      </c>
      <c r="E17" s="5" t="s">
        <v>6</v>
      </c>
      <c r="F17" s="5" t="s">
        <v>7</v>
      </c>
      <c r="G17" s="5" t="s">
        <v>8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2"/>
      <c r="B18" s="21" t="s">
        <v>25</v>
      </c>
      <c r="C18" s="6" t="s">
        <v>26</v>
      </c>
      <c r="D18" s="19" t="s">
        <v>27</v>
      </c>
      <c r="E18" s="11" t="s">
        <v>23</v>
      </c>
      <c r="F18" s="11">
        <f>640*3.5</f>
        <v>2240</v>
      </c>
      <c r="G18" s="11">
        <f>640*2.8</f>
        <v>1792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>
      <c r="A19" s="2"/>
      <c r="B19" s="22"/>
      <c r="C19" s="7" t="s">
        <v>28</v>
      </c>
      <c r="D19" s="20"/>
      <c r="E19" s="12"/>
      <c r="F19" s="12"/>
      <c r="G19" s="1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</sheetData>
  <mergeCells count="28">
    <mergeCell ref="B12:G12"/>
    <mergeCell ref="B18:B19"/>
    <mergeCell ref="D18:D19"/>
    <mergeCell ref="E18:E19"/>
    <mergeCell ref="F18:F19"/>
    <mergeCell ref="G18:G19"/>
    <mergeCell ref="B14:B15"/>
    <mergeCell ref="C14:C15"/>
    <mergeCell ref="D14:D15"/>
    <mergeCell ref="E14:E15"/>
    <mergeCell ref="F14:F15"/>
    <mergeCell ref="G14:G15"/>
    <mergeCell ref="B16:G16"/>
    <mergeCell ref="B8:G8"/>
    <mergeCell ref="B6:B7"/>
    <mergeCell ref="B10:B11"/>
    <mergeCell ref="D10:D11"/>
    <mergeCell ref="E10:E11"/>
    <mergeCell ref="F10:F11"/>
    <mergeCell ref="G10:G11"/>
    <mergeCell ref="F6:F7"/>
    <mergeCell ref="G6:G7"/>
    <mergeCell ref="B2:G2"/>
    <mergeCell ref="B3:G3"/>
    <mergeCell ref="B4:G4"/>
    <mergeCell ref="C6:C7"/>
    <mergeCell ref="D6:D7"/>
    <mergeCell ref="E6:E7"/>
  </mergeCells>
  <printOptions horizontalCentered="1" verticalCentered="1"/>
  <pageMargins left="0.25" right="0.25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 TECNICO CONSUMO CAMIONE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 Gomez</cp:lastModifiedBy>
  <dcterms:modified xsi:type="dcterms:W3CDTF">2026-10-02T15:18:16Z</dcterms:modified>
</cp:coreProperties>
</file>