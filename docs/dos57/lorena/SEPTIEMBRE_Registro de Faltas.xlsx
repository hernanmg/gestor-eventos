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drawings/drawing17.xml" ContentType="application/vnd.openxmlformats-officedocument.drawing+xml"/>
  <Override PartName="/xl/tables/table17.xml" ContentType="application/vnd.openxmlformats-officedocument.spreadsheetml.table+xml"/>
  <Override PartName="/xl/drawings/drawing18.xml" ContentType="application/vnd.openxmlformats-officedocument.drawing+xml"/>
  <Override PartName="/xl/tables/table18.xml" ContentType="application/vnd.openxmlformats-officedocument.spreadsheetml.table+xml"/>
  <Override PartName="/xl/drawings/drawing19.xml" ContentType="application/vnd.openxmlformats-officedocument.drawing+xml"/>
  <Override PartName="/xl/tables/table19.xml" ContentType="application/vnd.openxmlformats-officedocument.spreadsheetml.table+xml"/>
  <Override PartName="/xl/drawings/drawing20.xml" ContentType="application/vnd.openxmlformats-officedocument.drawing+xml"/>
  <Override PartName="/xl/tables/table20.xml" ContentType="application/vnd.openxmlformats-officedocument.spreadsheetml.table+xml"/>
  <Override PartName="/xl/drawings/drawing21.xml" ContentType="application/vnd.openxmlformats-officedocument.drawing+xml"/>
  <Override PartName="/xl/tables/table21.xml" ContentType="application/vnd.openxmlformats-officedocument.spreadsheetml.table+xml"/>
  <Override PartName="/xl/drawings/drawing22.xml" ContentType="application/vnd.openxmlformats-officedocument.drawing+xml"/>
  <Override PartName="/xl/tables/table22.xml" ContentType="application/vnd.openxmlformats-officedocument.spreadsheetml.table+xml"/>
  <Override PartName="/xl/drawings/drawing23.xml" ContentType="application/vnd.openxmlformats-officedocument.drawing+xml"/>
  <Override PartName="/xl/tables/table23.xml" ContentType="application/vnd.openxmlformats-officedocument.spreadsheetml.table+xml"/>
  <Override PartName="/xl/drawings/drawing24.xml" ContentType="application/vnd.openxmlformats-officedocument.drawing+xml"/>
  <Override PartName="/xl/tables/table24.xml" ContentType="application/vnd.openxmlformats-officedocument.spreadsheetml.table+xml"/>
  <Override PartName="/xl/drawings/drawing25.xml" ContentType="application/vnd.openxmlformats-officedocument.drawing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ASISTENCIA PERSONAL\"/>
    </mc:Choice>
  </mc:AlternateContent>
  <xr:revisionPtr revIDLastSave="0" documentId="13_ncr:1_{5F6F4209-9DD6-45C4-9A43-30471D38FA93}" xr6:coauthVersionLast="47" xr6:coauthVersionMax="47" xr10:uidLastSave="{00000000-0000-0000-0000-000000000000}"/>
  <bookViews>
    <workbookView xWindow="-120" yWindow="-120" windowWidth="20730" windowHeight="11040" firstSheet="18" activeTab="25" xr2:uid="{BB9EA0A9-5459-422A-A3D5-057709D5A1B6}"/>
  </bookViews>
  <sheets>
    <sheet name="GRAFICO" sheetId="46" r:id="rId1"/>
    <sheet name="Informe Septiembre" sheetId="43" r:id="rId2"/>
    <sheet name="ANDRE" sheetId="2" r:id="rId3"/>
    <sheet name="MAY" sheetId="34" r:id="rId4"/>
    <sheet name="LORE" sheetId="3" r:id="rId5"/>
    <sheet name="FURIA" sheetId="4" r:id="rId6"/>
    <sheet name="MARIO" sheetId="5" r:id="rId7"/>
    <sheet name="FAUSTO" sheetId="8" r:id="rId8"/>
    <sheet name="TONI" sheetId="7" r:id="rId9"/>
    <sheet name="DAVID" sheetId="10" r:id="rId10"/>
    <sheet name="JAZ" sheetId="12" r:id="rId11"/>
    <sheet name="GERARDO" sheetId="11" r:id="rId12"/>
    <sheet name="POLA" sheetId="13" r:id="rId13"/>
    <sheet name="MILTON" sheetId="14" r:id="rId14"/>
    <sheet name="CHARA" sheetId="16" r:id="rId15"/>
    <sheet name="CHOLI" sheetId="17" r:id="rId16"/>
    <sheet name="CARLOS" sheetId="19" r:id="rId17"/>
    <sheet name="GONZALO" sheetId="22" r:id="rId18"/>
    <sheet name="LUIS" sheetId="36" r:id="rId19"/>
    <sheet name="FLOR" sheetId="41" r:id="rId20"/>
    <sheet name="PABLO" sheetId="40" r:id="rId21"/>
    <sheet name="SANTI" sheetId="32" r:id="rId22"/>
    <sheet name="BENJA" sheetId="28" r:id="rId23"/>
    <sheet name="LISANDRO" sheetId="29" r:id="rId24"/>
    <sheet name="PATRICIO" sheetId="33" r:id="rId25"/>
    <sheet name="BICHITO" sheetId="42" r:id="rId26"/>
  </sheets>
  <calcPr calcId="191029"/>
  <pivotCaches>
    <pivotCache cacheId="0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43" l="1"/>
  <c r="J22" i="43"/>
  <c r="I22" i="43"/>
  <c r="H22" i="43"/>
  <c r="G22" i="43"/>
  <c r="F22" i="43"/>
  <c r="E22" i="43"/>
  <c r="D22" i="43"/>
  <c r="C22" i="43"/>
  <c r="J19" i="43"/>
  <c r="I19" i="43"/>
  <c r="H19" i="43"/>
  <c r="G19" i="43"/>
  <c r="F19" i="43"/>
  <c r="E19" i="43"/>
  <c r="D19" i="43"/>
  <c r="C19" i="43"/>
  <c r="J18" i="43"/>
  <c r="I18" i="43"/>
  <c r="H18" i="43"/>
  <c r="G18" i="43"/>
  <c r="F18" i="43"/>
  <c r="E18" i="43"/>
  <c r="D18" i="43"/>
  <c r="C18" i="43"/>
  <c r="J17" i="43"/>
  <c r="I17" i="43"/>
  <c r="H17" i="43"/>
  <c r="G17" i="43"/>
  <c r="F17" i="43"/>
  <c r="E17" i="43"/>
  <c r="D17" i="43"/>
  <c r="C17" i="43"/>
  <c r="J14" i="43"/>
  <c r="I14" i="43"/>
  <c r="H14" i="43"/>
  <c r="G14" i="43"/>
  <c r="F14" i="43"/>
  <c r="E14" i="43"/>
  <c r="D14" i="43"/>
  <c r="C14" i="43"/>
  <c r="J12" i="43"/>
  <c r="I12" i="43"/>
  <c r="H12" i="43"/>
  <c r="G12" i="43"/>
  <c r="F12" i="43"/>
  <c r="E12" i="43"/>
  <c r="D12" i="43"/>
  <c r="C12" i="43"/>
  <c r="J10" i="43"/>
  <c r="I10" i="43"/>
  <c r="H10" i="43"/>
  <c r="G10" i="43"/>
  <c r="F10" i="43"/>
  <c r="E10" i="43"/>
  <c r="D10" i="43"/>
  <c r="C10" i="43"/>
  <c r="J9" i="43"/>
  <c r="I9" i="43"/>
  <c r="H9" i="43"/>
  <c r="G9" i="43"/>
  <c r="F9" i="43"/>
  <c r="E9" i="43"/>
  <c r="D9" i="43"/>
  <c r="C9" i="43"/>
  <c r="J8" i="43"/>
  <c r="I8" i="43"/>
  <c r="H8" i="43"/>
  <c r="G8" i="43"/>
  <c r="F8" i="43"/>
  <c r="E8" i="43"/>
  <c r="D8" i="43"/>
  <c r="C8" i="43"/>
  <c r="J6" i="43"/>
  <c r="I6" i="43"/>
  <c r="H6" i="43"/>
  <c r="G6" i="43"/>
  <c r="F6" i="43"/>
  <c r="E6" i="43"/>
  <c r="D6" i="43"/>
  <c r="C6" i="43"/>
  <c r="J5" i="43"/>
  <c r="I5" i="43"/>
  <c r="H5" i="43"/>
  <c r="G5" i="43"/>
  <c r="F5" i="43"/>
  <c r="E5" i="43"/>
  <c r="D5" i="43"/>
  <c r="C5" i="43"/>
  <c r="J4" i="43"/>
  <c r="I4" i="43"/>
  <c r="H4" i="43"/>
  <c r="G4" i="43"/>
  <c r="F4" i="43"/>
  <c r="E4" i="43"/>
  <c r="D4" i="43"/>
  <c r="C4" i="43"/>
  <c r="J3" i="43"/>
  <c r="I3" i="43"/>
  <c r="H3" i="43"/>
  <c r="G3" i="43"/>
  <c r="F3" i="43"/>
  <c r="E3" i="43"/>
  <c r="D3" i="43"/>
  <c r="C3" i="43"/>
  <c r="F37" i="10"/>
  <c r="G37" i="10"/>
  <c r="H37" i="10"/>
  <c r="I37" i="10"/>
  <c r="J37" i="10"/>
  <c r="K37" i="10"/>
  <c r="L37" i="10"/>
  <c r="M37" i="10"/>
  <c r="J20" i="43"/>
  <c r="I20" i="43"/>
  <c r="H20" i="43"/>
  <c r="G20" i="43"/>
  <c r="F20" i="43"/>
  <c r="E20" i="43"/>
  <c r="D20" i="43"/>
  <c r="C20" i="43"/>
  <c r="J7" i="43"/>
  <c r="I7" i="43"/>
  <c r="H7" i="43"/>
  <c r="G7" i="43"/>
  <c r="F7" i="43"/>
  <c r="E7" i="43"/>
  <c r="D7" i="43"/>
  <c r="C7" i="43"/>
  <c r="J13" i="43"/>
  <c r="I13" i="43"/>
  <c r="H13" i="43"/>
  <c r="G13" i="43"/>
  <c r="F13" i="43"/>
  <c r="E13" i="43"/>
  <c r="D13" i="43"/>
  <c r="C13" i="43"/>
  <c r="F37" i="5"/>
  <c r="G37" i="5"/>
  <c r="H37" i="5"/>
  <c r="I37" i="5"/>
  <c r="J37" i="5"/>
  <c r="K37" i="5"/>
  <c r="L37" i="5"/>
  <c r="M37" i="5"/>
  <c r="J21" i="43"/>
  <c r="I21" i="43"/>
  <c r="H21" i="43"/>
  <c r="G21" i="43"/>
  <c r="F21" i="43"/>
  <c r="E21" i="43"/>
  <c r="D21" i="43"/>
  <c r="C21" i="43"/>
  <c r="J11" i="43"/>
  <c r="I11" i="43"/>
  <c r="H11" i="43"/>
  <c r="G11" i="43"/>
  <c r="F11" i="43"/>
  <c r="E11" i="43"/>
  <c r="D11" i="43"/>
  <c r="C11" i="43"/>
  <c r="J16" i="43"/>
  <c r="I16" i="43"/>
  <c r="H16" i="43"/>
  <c r="G16" i="43"/>
  <c r="F16" i="43"/>
  <c r="E16" i="43"/>
  <c r="D16" i="43"/>
  <c r="C16" i="43"/>
  <c r="J15" i="43"/>
  <c r="I15" i="43"/>
  <c r="H15" i="43"/>
  <c r="G15" i="43"/>
  <c r="F15" i="43"/>
  <c r="E15" i="43"/>
  <c r="D15" i="43"/>
  <c r="C15" i="43"/>
  <c r="G37" i="22"/>
  <c r="G36" i="2"/>
  <c r="M36" i="34"/>
  <c r="L36" i="34"/>
  <c r="J36" i="34"/>
  <c r="H36" i="34"/>
  <c r="G36" i="34"/>
  <c r="G36" i="3"/>
  <c r="G37" i="4"/>
  <c r="G37" i="8"/>
  <c r="G37" i="7"/>
  <c r="M37" i="12"/>
  <c r="K37" i="12"/>
  <c r="J37" i="12"/>
  <c r="G37" i="12"/>
  <c r="G37" i="11"/>
  <c r="M37" i="13"/>
  <c r="L37" i="13"/>
  <c r="K37" i="13"/>
  <c r="J37" i="13"/>
  <c r="G37" i="13"/>
  <c r="M37" i="16"/>
  <c r="L37" i="16"/>
  <c r="M37" i="17"/>
  <c r="K37" i="17"/>
  <c r="J37" i="17"/>
  <c r="G37" i="19"/>
  <c r="M37" i="40"/>
  <c r="L37" i="40"/>
  <c r="K37" i="40"/>
  <c r="G37" i="40"/>
  <c r="G37" i="28"/>
  <c r="M37" i="28"/>
  <c r="L37" i="28"/>
  <c r="M37" i="29"/>
  <c r="L37" i="29"/>
  <c r="K37" i="29"/>
  <c r="G37" i="29"/>
  <c r="G37" i="33"/>
  <c r="G37" i="42"/>
  <c r="G37" i="14"/>
  <c r="K37" i="16"/>
  <c r="J37" i="16"/>
  <c r="I37" i="16"/>
  <c r="H37" i="16"/>
  <c r="G37" i="16"/>
  <c r="F37" i="16"/>
  <c r="H37" i="17"/>
  <c r="G37" i="17"/>
  <c r="G37" i="36"/>
  <c r="G37" i="41"/>
  <c r="G37" i="32"/>
  <c r="I37" i="17"/>
  <c r="F37" i="17"/>
  <c r="L37" i="17"/>
  <c r="L37" i="12"/>
  <c r="F37" i="7"/>
  <c r="L37" i="8"/>
  <c r="J36" i="2"/>
  <c r="M36" i="2"/>
  <c r="L36" i="2"/>
  <c r="K36" i="2"/>
  <c r="H36" i="2"/>
  <c r="M37" i="42"/>
  <c r="L37" i="42"/>
  <c r="K37" i="42"/>
  <c r="J37" i="42"/>
  <c r="I37" i="42"/>
  <c r="H37" i="42"/>
  <c r="F37" i="42"/>
  <c r="M37" i="41"/>
  <c r="L37" i="41"/>
  <c r="K37" i="41"/>
  <c r="J37" i="41"/>
  <c r="I37" i="41"/>
  <c r="H37" i="41"/>
  <c r="F37" i="41"/>
  <c r="J37" i="40"/>
  <c r="I37" i="40"/>
  <c r="H37" i="40"/>
  <c r="F37" i="40"/>
  <c r="K36" i="34"/>
  <c r="K37" i="28"/>
  <c r="J37" i="28"/>
  <c r="I37" i="28"/>
  <c r="H37" i="28"/>
  <c r="F37" i="28"/>
  <c r="J37" i="29"/>
  <c r="I37" i="29"/>
  <c r="H37" i="29"/>
  <c r="F37" i="29"/>
  <c r="H37" i="13"/>
  <c r="I37" i="13"/>
  <c r="F37" i="13"/>
  <c r="I37" i="12"/>
  <c r="H37" i="12"/>
  <c r="F37" i="12"/>
  <c r="M37" i="36"/>
  <c r="L37" i="36"/>
  <c r="K37" i="36"/>
  <c r="J37" i="36"/>
  <c r="I37" i="36"/>
  <c r="H37" i="36"/>
  <c r="F37" i="36"/>
  <c r="I36" i="34"/>
  <c r="F36" i="34"/>
  <c r="M37" i="32"/>
  <c r="L37" i="32"/>
  <c r="K37" i="32"/>
  <c r="J37" i="32"/>
  <c r="I37" i="32"/>
  <c r="H37" i="32"/>
  <c r="F37" i="32"/>
  <c r="M37" i="22"/>
  <c r="L37" i="22"/>
  <c r="K37" i="22"/>
  <c r="J37" i="22"/>
  <c r="I37" i="22"/>
  <c r="H37" i="22"/>
  <c r="F37" i="22"/>
  <c r="M37" i="19"/>
  <c r="L37" i="19"/>
  <c r="K37" i="19"/>
  <c r="J37" i="19"/>
  <c r="H37" i="19"/>
  <c r="M37" i="14"/>
  <c r="L37" i="14"/>
  <c r="K37" i="14"/>
  <c r="J37" i="14"/>
  <c r="I37" i="14"/>
  <c r="H37" i="14"/>
  <c r="F37" i="14"/>
  <c r="M37" i="33"/>
  <c r="L37" i="33"/>
  <c r="K37" i="33"/>
  <c r="J37" i="33"/>
  <c r="I37" i="33"/>
  <c r="H37" i="33"/>
  <c r="F37" i="33"/>
  <c r="M37" i="11"/>
  <c r="L37" i="11"/>
  <c r="K37" i="11"/>
  <c r="J37" i="11"/>
  <c r="I37" i="11"/>
  <c r="H37" i="11"/>
  <c r="F37" i="11"/>
  <c r="M37" i="8"/>
  <c r="K37" i="8"/>
  <c r="J37" i="8"/>
  <c r="I37" i="8"/>
  <c r="H37" i="8"/>
  <c r="F37" i="8"/>
  <c r="M37" i="7"/>
  <c r="L37" i="7"/>
  <c r="K37" i="7"/>
  <c r="J37" i="7"/>
  <c r="I37" i="7"/>
  <c r="H37" i="7"/>
  <c r="M36" i="3"/>
  <c r="L36" i="3"/>
  <c r="K36" i="3"/>
  <c r="J36" i="3"/>
  <c r="I36" i="3"/>
  <c r="H36" i="3"/>
  <c r="F36" i="3"/>
  <c r="M37" i="4"/>
  <c r="L37" i="4"/>
  <c r="K37" i="4"/>
  <c r="J37" i="4"/>
  <c r="I37" i="4"/>
  <c r="H37" i="4"/>
  <c r="F37" i="4"/>
  <c r="I37" i="19"/>
  <c r="F37" i="19"/>
  <c r="I36" i="2"/>
  <c r="F36" i="2"/>
  <c r="C23" i="43" l="1"/>
</calcChain>
</file>

<file path=xl/sharedStrings.xml><?xml version="1.0" encoding="utf-8"?>
<sst xmlns="http://schemas.openxmlformats.org/spreadsheetml/2006/main" count="1327" uniqueCount="78">
  <si>
    <t>Total</t>
  </si>
  <si>
    <t>ITEM</t>
  </si>
  <si>
    <t>DIA</t>
  </si>
  <si>
    <t>FECHA</t>
  </si>
  <si>
    <t>OBSERVACION</t>
  </si>
  <si>
    <t>SI</t>
  </si>
  <si>
    <t>LLEGADA TARDE</t>
  </si>
  <si>
    <t>NO CONVOCADO</t>
  </si>
  <si>
    <t>MEDICA</t>
  </si>
  <si>
    <t>VACACIONES</t>
  </si>
  <si>
    <t>FRANCO POR DOMINGO</t>
  </si>
  <si>
    <t>FALTO</t>
  </si>
  <si>
    <t>CONVOCATORIA</t>
  </si>
  <si>
    <t>HORARIO</t>
  </si>
  <si>
    <t>MES</t>
  </si>
  <si>
    <t>NOMBRE</t>
  </si>
  <si>
    <t>OLIVETTO ANDREA</t>
  </si>
  <si>
    <t>LOPEZ MARIO</t>
  </si>
  <si>
    <t>HERRERA LORENA</t>
  </si>
  <si>
    <t>VESSONI JUAN MATIAS</t>
  </si>
  <si>
    <t>VELEZ ANTONIO</t>
  </si>
  <si>
    <t>CELIZ DENIS</t>
  </si>
  <si>
    <t>MACHADO GERARDO</t>
  </si>
  <si>
    <t>VALDIVIA JAZMIN</t>
  </si>
  <si>
    <t>SANTILLAN DAMIAN</t>
  </si>
  <si>
    <t>DIAZ MILTON</t>
  </si>
  <si>
    <t>SOSA FABRIZIO</t>
  </si>
  <si>
    <t>FERNANDEZ RODRIGO</t>
  </si>
  <si>
    <t>CARRIZO CARLOS</t>
  </si>
  <si>
    <t>CATALANO GONZALO</t>
  </si>
  <si>
    <t>BIBILONI SANTIAGO</t>
  </si>
  <si>
    <t>GASCO BENJAMIN</t>
  </si>
  <si>
    <t>ROMERO LISANDRO</t>
  </si>
  <si>
    <t>ORTOLANIS PATRICIO</t>
  </si>
  <si>
    <t>AGUIRRE DAVID</t>
  </si>
  <si>
    <t>ONTIVERO MAYRA</t>
  </si>
  <si>
    <t>LEDESMA LUIS</t>
  </si>
  <si>
    <t>VESSONI PABLO</t>
  </si>
  <si>
    <t>LIBRE</t>
  </si>
  <si>
    <t>FLORENCIA GOMEZ</t>
  </si>
  <si>
    <t>PUCHETA DAVID</t>
  </si>
  <si>
    <t>DEMORA</t>
  </si>
  <si>
    <t>FRANCO</t>
  </si>
  <si>
    <t>EMPLEADO</t>
  </si>
  <si>
    <t>ASISTENCIA</t>
  </si>
  <si>
    <t>DEMORAS</t>
  </si>
  <si>
    <t>FALTAS</t>
  </si>
  <si>
    <t>CELIS DENIS</t>
  </si>
  <si>
    <t>GOMEZ FLORENCIA</t>
  </si>
  <si>
    <t>SEMAFORO</t>
  </si>
  <si>
    <t>Excelente</t>
  </si>
  <si>
    <t>Seguimiento</t>
  </si>
  <si>
    <t>Atencion</t>
  </si>
  <si>
    <t>Cuenta de SEMAFORO</t>
  </si>
  <si>
    <t>REFEFRENCIAS</t>
  </si>
  <si>
    <t>LLEGADAS TARDES</t>
  </si>
  <si>
    <t>FALTA</t>
  </si>
  <si>
    <t>0 A 2</t>
  </si>
  <si>
    <t>3 A 4</t>
  </si>
  <si>
    <t>2 A 3</t>
  </si>
  <si>
    <t>4 o mas</t>
  </si>
  <si>
    <t>2 o mas</t>
  </si>
  <si>
    <t>5 o mas</t>
  </si>
  <si>
    <t>AGOSTO</t>
  </si>
  <si>
    <t>0 A 1</t>
  </si>
  <si>
    <t>SEPTIEMBRE</t>
  </si>
  <si>
    <t>MARTES</t>
  </si>
  <si>
    <t>MIÉRCOLES</t>
  </si>
  <si>
    <t>JUEVES</t>
  </si>
  <si>
    <t>VIERNES</t>
  </si>
  <si>
    <t>SÁBADO</t>
  </si>
  <si>
    <t>DOMINGO</t>
  </si>
  <si>
    <t>LUNES</t>
  </si>
  <si>
    <t>PERMISO</t>
  </si>
  <si>
    <t>X</t>
  </si>
  <si>
    <t>LICENCIA MATERNIDAD</t>
  </si>
  <si>
    <t>Viaje Sprinter</t>
  </si>
  <si>
    <t>Dio aviso que le entraron a robar a su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</si>
</sst>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 tint="4.9989318521683403E-2"/>
      <name val="Calibri"/>
      <family val="2"/>
    </font>
    <font>
      <sz val="9"/>
      <color theme="1" tint="4.9989318521683403E-2"/>
      <name val="Calibri"/>
      <family val="2"/>
    </font>
    <font>
      <sz val="10"/>
      <color theme="1" tint="4.9989318521683403E-2"/>
      <name val="Calibri"/>
      <family val="2"/>
    </font>
    <font>
      <b/>
      <sz val="9"/>
      <color theme="1" tint="4.9989318521683403E-2"/>
      <name val="Calibri"/>
      <family val="2"/>
    </font>
    <font>
      <b/>
      <sz val="8"/>
      <color theme="1" tint="4.9989318521683403E-2"/>
      <name val="Calibri"/>
      <family val="2"/>
    </font>
    <font>
      <b/>
      <sz val="9"/>
      <color theme="1" tint="4.9989318521683403E-2"/>
      <name val="Aptos Narrow"/>
      <family val="2"/>
      <scheme val="minor"/>
    </font>
    <font>
      <b/>
      <sz val="10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 tint="4.9989318521683403E-2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8" tint="0.59999389629810485"/>
        <bgColor theme="0" tint="-0.14999847407452621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18" fontId="3" fillId="11" borderId="7" xfId="0" applyNumberFormat="1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 vertical="center"/>
    </xf>
    <xf numFmtId="18" fontId="3" fillId="11" borderId="10" xfId="0" applyNumberFormat="1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/>
    </xf>
    <xf numFmtId="18" fontId="3" fillId="11" borderId="14" xfId="0" applyNumberFormat="1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3" fillId="11" borderId="16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 vertical="center" wrapText="1"/>
    </xf>
    <xf numFmtId="18" fontId="3" fillId="11" borderId="10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7" fillId="11" borderId="18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 vertical="center" wrapText="1"/>
    </xf>
    <xf numFmtId="0" fontId="0" fillId="11" borderId="0" xfId="0" applyFill="1"/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6" fillId="0" borderId="0" xfId="0" applyFont="1"/>
    <xf numFmtId="0" fontId="10" fillId="3" borderId="14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6" fillId="0" borderId="10" xfId="0" applyFont="1" applyBorder="1" applyAlignment="1">
      <alignment vertical="center"/>
    </xf>
    <xf numFmtId="18" fontId="3" fillId="11" borderId="18" xfId="0" applyNumberFormat="1" applyFont="1" applyFill="1" applyBorder="1" applyAlignment="1">
      <alignment horizontal="center"/>
    </xf>
    <xf numFmtId="0" fontId="17" fillId="2" borderId="1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14" fontId="18" fillId="11" borderId="7" xfId="0" applyNumberFormat="1" applyFont="1" applyFill="1" applyBorder="1" applyAlignment="1">
      <alignment horizontal="center"/>
    </xf>
    <xf numFmtId="14" fontId="18" fillId="12" borderId="10" xfId="0" applyNumberFormat="1" applyFont="1" applyFill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3" fillId="0" borderId="0" xfId="0" applyFont="1"/>
    <xf numFmtId="0" fontId="3" fillId="0" borderId="10" xfId="0" applyFont="1" applyBorder="1" applyAlignment="1">
      <alignment vertical="center"/>
    </xf>
    <xf numFmtId="0" fontId="11" fillId="14" borderId="5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 vertical="center"/>
    </xf>
    <xf numFmtId="0" fontId="11" fillId="14" borderId="21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0" fontId="13" fillId="10" borderId="21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0" fillId="0" borderId="10" xfId="0" applyBorder="1"/>
    <xf numFmtId="0" fontId="18" fillId="11" borderId="10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5" fillId="11" borderId="15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5" borderId="24" xfId="0" applyFont="1" applyFill="1" applyBorder="1" applyAlignment="1">
      <alignment horizontal="center" vertical="center"/>
    </xf>
    <xf numFmtId="0" fontId="5" fillId="11" borderId="25" xfId="0" applyFont="1" applyFill="1" applyBorder="1" applyAlignment="1">
      <alignment horizontal="center"/>
    </xf>
    <xf numFmtId="0" fontId="3" fillId="15" borderId="10" xfId="0" applyFont="1" applyFill="1" applyBorder="1" applyAlignment="1">
      <alignment horizontal="center"/>
    </xf>
    <xf numFmtId="0" fontId="5" fillId="11" borderId="26" xfId="0" applyFont="1" applyFill="1" applyBorder="1" applyAlignment="1">
      <alignment horizontal="center"/>
    </xf>
    <xf numFmtId="0" fontId="5" fillId="11" borderId="27" xfId="0" applyFont="1" applyFill="1" applyBorder="1" applyAlignment="1">
      <alignment horizontal="center"/>
    </xf>
    <xf numFmtId="0" fontId="3" fillId="11" borderId="27" xfId="0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11" fillId="15" borderId="2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/>
    </xf>
    <xf numFmtId="0" fontId="6" fillId="17" borderId="10" xfId="0" applyFont="1" applyFill="1" applyBorder="1" applyAlignment="1">
      <alignment horizontal="center"/>
    </xf>
    <xf numFmtId="0" fontId="3" fillId="15" borderId="18" xfId="0" applyFont="1" applyFill="1" applyBorder="1" applyAlignment="1">
      <alignment horizontal="center"/>
    </xf>
    <xf numFmtId="0" fontId="3" fillId="14" borderId="1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6" fillId="17" borderId="18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16" borderId="10" xfId="0" applyFont="1" applyFill="1" applyBorder="1" applyAlignment="1">
      <alignment horizontal="center"/>
    </xf>
    <xf numFmtId="0" fontId="13" fillId="18" borderId="5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/>
    </xf>
    <xf numFmtId="0" fontId="6" fillId="18" borderId="18" xfId="0" applyFont="1" applyFill="1" applyBorder="1" applyAlignment="1">
      <alignment horizontal="center"/>
    </xf>
    <xf numFmtId="0" fontId="6" fillId="20" borderId="18" xfId="0" applyFont="1" applyFill="1" applyBorder="1" applyAlignment="1">
      <alignment horizontal="center"/>
    </xf>
    <xf numFmtId="0" fontId="6" fillId="18" borderId="10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6" fillId="20" borderId="10" xfId="0" applyFont="1" applyFill="1" applyBorder="1" applyAlignment="1">
      <alignment horizontal="center"/>
    </xf>
    <xf numFmtId="0" fontId="3" fillId="21" borderId="10" xfId="0" applyFont="1" applyFill="1" applyBorder="1" applyAlignment="1">
      <alignment horizontal="center"/>
    </xf>
    <xf numFmtId="0" fontId="6" fillId="22" borderId="10" xfId="0" applyFont="1" applyFill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18" fontId="3" fillId="11" borderId="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15" borderId="10" xfId="0" applyFont="1" applyFill="1" applyBorder="1" applyAlignment="1">
      <alignment horizontal="center"/>
    </xf>
    <xf numFmtId="0" fontId="18" fillId="14" borderId="10" xfId="0" applyFont="1" applyFill="1" applyBorder="1" applyAlignment="1">
      <alignment horizontal="center"/>
    </xf>
    <xf numFmtId="0" fontId="18" fillId="7" borderId="10" xfId="0" applyFont="1" applyFill="1" applyBorder="1" applyAlignment="1">
      <alignment horizontal="center"/>
    </xf>
    <xf numFmtId="0" fontId="21" fillId="17" borderId="10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23" borderId="10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/>
    </xf>
    <xf numFmtId="0" fontId="1" fillId="23" borderId="14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/>
    </xf>
    <xf numFmtId="0" fontId="21" fillId="16" borderId="10" xfId="0" applyFont="1" applyFill="1" applyBorder="1" applyAlignment="1">
      <alignment horizontal="center"/>
    </xf>
    <xf numFmtId="0" fontId="0" fillId="0" borderId="0" xfId="0" pivotButton="1"/>
    <xf numFmtId="0" fontId="3" fillId="25" borderId="10" xfId="0" applyFont="1" applyFill="1" applyBorder="1" applyAlignment="1">
      <alignment horizontal="center"/>
    </xf>
    <xf numFmtId="0" fontId="3" fillId="25" borderId="18" xfId="0" applyFont="1" applyFill="1" applyBorder="1" applyAlignment="1">
      <alignment horizontal="center"/>
    </xf>
    <xf numFmtId="0" fontId="11" fillId="25" borderId="4" xfId="0" applyFont="1" applyFill="1" applyBorder="1" applyAlignment="1">
      <alignment horizontal="center" vertical="center"/>
    </xf>
    <xf numFmtId="0" fontId="11" fillId="25" borderId="2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8" fillId="25" borderId="10" xfId="0" applyFont="1" applyFill="1" applyBorder="1" applyAlignment="1">
      <alignment horizontal="center"/>
    </xf>
    <xf numFmtId="0" fontId="24" fillId="0" borderId="0" xfId="0" applyFont="1"/>
    <xf numFmtId="0" fontId="0" fillId="0" borderId="10" xfId="0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23" fillId="11" borderId="12" xfId="0" applyFont="1" applyFill="1" applyBorder="1" applyAlignment="1">
      <alignment horizontal="center" vertical="center"/>
    </xf>
    <xf numFmtId="0" fontId="22" fillId="11" borderId="16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6" borderId="14" xfId="0" applyFont="1" applyFill="1" applyBorder="1" applyAlignment="1">
      <alignment horizontal="center" vertical="center"/>
    </xf>
    <xf numFmtId="0" fontId="22" fillId="11" borderId="28" xfId="0" applyFont="1" applyFill="1" applyBorder="1" applyAlignment="1">
      <alignment horizontal="center" vertical="center"/>
    </xf>
    <xf numFmtId="0" fontId="7" fillId="25" borderId="10" xfId="0" applyFont="1" applyFill="1" applyBorder="1" applyAlignment="1">
      <alignment horizontal="center" vertical="center"/>
    </xf>
    <xf numFmtId="0" fontId="7" fillId="15" borderId="10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7" fillId="19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17" borderId="10" xfId="0" applyFont="1" applyFill="1" applyBorder="1" applyAlignment="1">
      <alignment horizontal="center" vertical="center"/>
    </xf>
    <xf numFmtId="0" fontId="7" fillId="16" borderId="10" xfId="0" applyFont="1" applyFill="1" applyBorder="1" applyAlignment="1">
      <alignment horizontal="center" vertical="center"/>
    </xf>
    <xf numFmtId="14" fontId="18" fillId="12" borderId="7" xfId="0" applyNumberFormat="1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3" fillId="11" borderId="17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18" fontId="3" fillId="11" borderId="14" xfId="0" applyNumberFormat="1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5" fillId="11" borderId="22" xfId="0" applyFont="1" applyFill="1" applyBorder="1" applyAlignment="1">
      <alignment horizontal="center"/>
    </xf>
    <xf numFmtId="0" fontId="3" fillId="11" borderId="11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16" fillId="13" borderId="10" xfId="0" applyFont="1" applyFill="1" applyBorder="1" applyAlignment="1">
      <alignment horizontal="center" vertical="center"/>
    </xf>
    <xf numFmtId="18" fontId="3" fillId="6" borderId="7" xfId="0" applyNumberFormat="1" applyFont="1" applyFill="1" applyBorder="1" applyAlignment="1">
      <alignment horizontal="center"/>
    </xf>
    <xf numFmtId="14" fontId="18" fillId="6" borderId="7" xfId="0" applyNumberFormat="1" applyFont="1" applyFill="1" applyBorder="1" applyAlignment="1">
      <alignment horizontal="center"/>
    </xf>
    <xf numFmtId="14" fontId="18" fillId="27" borderId="7" xfId="0" applyNumberFormat="1" applyFont="1" applyFill="1" applyBorder="1" applyAlignment="1">
      <alignment horizontal="center"/>
    </xf>
    <xf numFmtId="18" fontId="3" fillId="6" borderId="10" xfId="0" applyNumberFormat="1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18" fontId="3" fillId="15" borderId="7" xfId="0" applyNumberFormat="1" applyFont="1" applyFill="1" applyBorder="1" applyAlignment="1">
      <alignment horizontal="center"/>
    </xf>
    <xf numFmtId="14" fontId="18" fillId="15" borderId="7" xfId="0" applyNumberFormat="1" applyFont="1" applyFill="1" applyBorder="1" applyAlignment="1">
      <alignment horizontal="center"/>
    </xf>
    <xf numFmtId="14" fontId="18" fillId="28" borderId="7" xfId="0" applyNumberFormat="1" applyFont="1" applyFill="1" applyBorder="1" applyAlignment="1">
      <alignment horizontal="center"/>
    </xf>
    <xf numFmtId="18" fontId="3" fillId="15" borderId="10" xfId="0" applyNumberFormat="1" applyFont="1" applyFill="1" applyBorder="1" applyAlignment="1">
      <alignment horizontal="center"/>
    </xf>
    <xf numFmtId="0" fontId="5" fillId="15" borderId="11" xfId="0" applyFont="1" applyFill="1" applyBorder="1" applyAlignment="1">
      <alignment horizontal="center"/>
    </xf>
    <xf numFmtId="0" fontId="3" fillId="15" borderId="12" xfId="0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/>
    </xf>
    <xf numFmtId="18" fontId="3" fillId="14" borderId="7" xfId="0" applyNumberFormat="1" applyFont="1" applyFill="1" applyBorder="1" applyAlignment="1">
      <alignment horizontal="center"/>
    </xf>
    <xf numFmtId="14" fontId="18" fillId="14" borderId="7" xfId="0" applyNumberFormat="1" applyFont="1" applyFill="1" applyBorder="1" applyAlignment="1">
      <alignment horizontal="center"/>
    </xf>
    <xf numFmtId="14" fontId="18" fillId="29" borderId="7" xfId="0" applyNumberFormat="1" applyFont="1" applyFill="1" applyBorder="1" applyAlignment="1">
      <alignment horizontal="center"/>
    </xf>
    <xf numFmtId="18" fontId="3" fillId="14" borderId="10" xfId="0" applyNumberFormat="1" applyFont="1" applyFill="1" applyBorder="1" applyAlignment="1">
      <alignment horizontal="center"/>
    </xf>
    <xf numFmtId="0" fontId="5" fillId="14" borderId="25" xfId="0" applyFont="1" applyFill="1" applyBorder="1" applyAlignment="1">
      <alignment horizontal="center"/>
    </xf>
    <xf numFmtId="0" fontId="5" fillId="14" borderId="10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/>
    </xf>
    <xf numFmtId="0" fontId="6" fillId="14" borderId="10" xfId="0" applyFont="1" applyFill="1" applyBorder="1" applyAlignment="1">
      <alignment horizontal="center"/>
    </xf>
    <xf numFmtId="0" fontId="6" fillId="14" borderId="10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3" fillId="15" borderId="7" xfId="0" applyFont="1" applyFill="1" applyBorder="1" applyAlignment="1">
      <alignment horizontal="center"/>
    </xf>
    <xf numFmtId="0" fontId="3" fillId="15" borderId="8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 vertical="center"/>
    </xf>
    <xf numFmtId="0" fontId="5" fillId="15" borderId="25" xfId="0" applyFont="1" applyFill="1" applyBorder="1" applyAlignment="1">
      <alignment horizontal="center"/>
    </xf>
    <xf numFmtId="0" fontId="5" fillId="15" borderId="10" xfId="0" applyFont="1" applyFill="1" applyBorder="1" applyAlignment="1">
      <alignment horizontal="center"/>
    </xf>
    <xf numFmtId="18" fontId="3" fillId="11" borderId="7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7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3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23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h:mm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4.9989318521683403E-2"/>
      </font>
      <alignment horizontal="center" textRotation="0" indent="0" justifyLastLine="0" shrinkToFit="0" readingOrder="0"/>
    </dxf>
  </dxfs>
  <tableStyles count="0" defaultTableStyle="TableStyleMedium2" defaultPivotStyle="PivotStyleLight16"/>
  <colors>
    <mruColors>
      <color rgb="FF00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[SEPTIEMBRE_Registro de Faltas.xlsx]GRAFICO!TablaDinámica10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Cuenta de SEMAFORO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803149606299218E-2"/>
          <c:y val="0.23550707203266255"/>
          <c:w val="0.90297462817147855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GRAFICO!$A$2:$A$4</c:f>
              <c:strCache>
                <c:ptCount val="3"/>
                <c:pt idx="0">
                  <c:v>Atencion</c:v>
                </c:pt>
                <c:pt idx="1">
                  <c:v>Excelente</c:v>
                </c:pt>
                <c:pt idx="2">
                  <c:v>Seguimiento</c:v>
                </c:pt>
              </c:strCache>
            </c:strRef>
          </c:cat>
          <c:val>
            <c:numRef>
              <c:f>GRAFICO!$B$2:$B$4</c:f>
              <c:numCache>
                <c:formatCode>General</c:formatCode>
                <c:ptCount val="3"/>
                <c:pt idx="0">
                  <c:v>3</c:v>
                </c:pt>
                <c:pt idx="1">
                  <c:v>14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5-4BF7-B4F9-E49A3FFC8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480112"/>
        <c:axId val="1120877520"/>
      </c:barChart>
      <c:catAx>
        <c:axId val="106748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20877520"/>
        <c:crosses val="autoZero"/>
        <c:auto val="1"/>
        <c:lblAlgn val="ctr"/>
        <c:lblOffset val="100"/>
        <c:noMultiLvlLbl val="0"/>
      </c:catAx>
      <c:valAx>
        <c:axId val="112087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748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71437</xdr:rowOff>
    </xdr:from>
    <xdr:to>
      <xdr:col>9</xdr:col>
      <xdr:colOff>219075</xdr:colOff>
      <xdr:row>14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0A3127-D43F-2885-C2CD-91B1CC96C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13</xdr:row>
      <xdr:rowOff>28576</xdr:rowOff>
    </xdr:from>
    <xdr:ext cx="1800225" cy="438148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247A726E-31D1-4A0B-AD8A-C24B4B040A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382905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704850</xdr:colOff>
      <xdr:row>1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723732-B261-DC43-4A5B-F4F897845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9705974" cy="647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13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ECFFFE0A-A988-4E42-97DD-3265242FA90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67899" y="3619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704850</xdr:colOff>
      <xdr:row>1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2D80CD-87BC-400E-A46A-20E759B6E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9705974" cy="6476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13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4976EA20-1192-413A-8B24-A2E3D51FC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28577</xdr:rowOff>
    </xdr:from>
    <xdr:to>
      <xdr:col>13</xdr:col>
      <xdr:colOff>714374</xdr:colOff>
      <xdr:row>0</xdr:row>
      <xdr:rowOff>566485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456797-566E-4EE9-ACEE-C84EC0B2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7"/>
          <a:ext cx="10144124" cy="5379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609599</xdr:colOff>
      <xdr:row>13</xdr:row>
      <xdr:rowOff>1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B23C468B-E5A8-4ACB-995C-53255DF80A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44274" y="3590926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47625</xdr:colOff>
      <xdr:row>0</xdr:row>
      <xdr:rowOff>1</xdr:rowOff>
    </xdr:from>
    <xdr:to>
      <xdr:col>13</xdr:col>
      <xdr:colOff>876300</xdr:colOff>
      <xdr:row>1</xdr:row>
      <xdr:rowOff>323851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636916-9C5E-4429-BCB0-E96916AB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1"/>
          <a:ext cx="10134600" cy="8001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13</xdr:col>
      <xdr:colOff>790575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199CEE-24E5-4B2F-B1DE-FA6A583D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0220325" cy="800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58CFCE5-55C3-4835-81E9-027634E9E6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723901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F497AC-E897-4DCF-A135-C964C3C95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53650" cy="800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6667C1E-5EE0-4D1C-BBC2-59D5FE5235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714375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20A2CE-0BC1-45A5-8F1A-B110DE055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44125" cy="800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B518750E-81E7-40DA-B67B-60CDC29A71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723900</xdr:colOff>
      <xdr:row>2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567609-38F3-48A6-A08F-A39B10BC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53649" cy="800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63906C0-E85B-4AA5-B69D-8D16FBD509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15</xdr:col>
      <xdr:colOff>47625</xdr:colOff>
      <xdr:row>2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2B0255-D604-4F42-BA6E-97D4B1029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1210925" cy="800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61FA6F4-C21A-482B-B448-FFFBEA0454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733425</xdr:colOff>
      <xdr:row>2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AEAFB2-0CAE-4E27-9ED9-D42C53F89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63175" cy="800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FEE5EF3F-4D8A-447F-A316-F93D340D8B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714375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92DD0-0B2C-40D2-A2C6-CC79524E1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44125" cy="8001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F2DACBC7-C33C-43E9-99C1-1311442F840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723901</xdr:colOff>
      <xdr:row>2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2C62D6-58EB-45A8-8728-8476494F4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53650" cy="8001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AA1630D1-19D5-4743-A5F5-7DD5185F09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723901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C78FAC-15A9-4F39-8E5D-4DF49F998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53650" cy="8001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F17F05DC-FDB0-4BB8-9427-3E1725A9FC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14</xdr:col>
      <xdr:colOff>219075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D18506-D3FA-48DD-B785-0F9E36C7E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1210925" cy="8001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47CFC05-B9E6-472B-9831-99D32412E8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714375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806B93-FD88-400A-84DF-EE1CB3255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44125" cy="8001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E2012515-BBE5-4B67-920C-24EF800C6F2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714375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E7D75-95AE-4115-B8BF-15421D03C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44125" cy="8001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7FE7BA2-A41D-4912-902E-8CCA98110C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6999" y="38100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742951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370FF8-86B3-4E55-868E-354D83C9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72700" cy="8001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DD283BF-29F7-4C48-8154-D589AB84E4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6999" y="38100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742951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F665EB-2969-451A-834A-F735D2A85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72700" cy="8001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6D0A8001-0220-4D1E-A571-074080E117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6999" y="3819526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695325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C2D1BD-B0D8-4C1C-AA9C-23FA5B12F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25075" cy="8001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447A6917-A608-43A8-8B8D-C03D997A9E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699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742951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41E6A6-16E7-4266-8BDD-3FA72CBC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72700" cy="8001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B79D0D2-5576-49BC-877F-F7712A3DF3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14</xdr:col>
      <xdr:colOff>400050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84E1A8-5863-4908-BE77-F1F23BE3B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1210925" cy="8001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416470B3-AD8F-43B8-8A72-07FE395049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49" y="40005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0</xdr:row>
      <xdr:rowOff>1</xdr:rowOff>
    </xdr:from>
    <xdr:to>
      <xdr:col>13</xdr:col>
      <xdr:colOff>742951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707601-59DE-4BC4-B9BA-93EAD6C1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10172700" cy="8001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E40AA238-60DF-4AC3-8EDC-07419D667F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6999" y="38481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695325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0F9F43-63EB-4035-8504-DC114DD8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25075" cy="8001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190499</xdr:colOff>
      <xdr:row>14</xdr:row>
      <xdr:rowOff>28576</xdr:rowOff>
    </xdr:from>
    <xdr:ext cx="1800225" cy="438148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BC45438-31DC-4921-B8BA-8C961CB4EF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286999" y="3848101"/>
          <a:ext cx="1800225" cy="43814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1</xdr:rowOff>
    </xdr:from>
    <xdr:to>
      <xdr:col>13</xdr:col>
      <xdr:colOff>695325</xdr:colOff>
      <xdr:row>1</xdr:row>
      <xdr:rowOff>171451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A9CCA-53D1-4FBC-A609-FF6BB4F8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10125075" cy="800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3.672586805558" createdVersion="8" refreshedVersion="8" minRefreshableVersion="3" recordCount="22" xr:uid="{421017F7-0FFC-4EF8-8945-0CE7525A9BFF}">
  <cacheSource type="worksheet">
    <worksheetSource name="Tabla5"/>
  </cacheSource>
  <cacheFields count="11">
    <cacheField name="ITEM" numFmtId="0">
      <sharedItems containsSemiMixedTypes="0" containsString="0" containsNumber="1" containsInteger="1" minValue="1" maxValue="23"/>
    </cacheField>
    <cacheField name="EMPLEADO" numFmtId="0">
      <sharedItems/>
    </cacheField>
    <cacheField name="ASISTENCIA" numFmtId="0">
      <sharedItems containsSemiMixedTypes="0" containsString="0" containsNumber="1" containsInteger="1" minValue="1" maxValue="25"/>
    </cacheField>
    <cacheField name="TARDANZAS" numFmtId="0">
      <sharedItems containsSemiMixedTypes="0" containsString="0" containsNumber="1" containsInteger="1" minValue="0" maxValue="12"/>
    </cacheField>
    <cacheField name="DEMORAS" numFmtId="0">
      <sharedItems containsSemiMixedTypes="0" containsString="0" containsNumber="1" containsInteger="1" minValue="0" maxValue="16"/>
    </cacheField>
    <cacheField name="LIBRE" numFmtId="0">
      <sharedItems containsSemiMixedTypes="0" containsString="0" containsNumber="1" containsInteger="1" minValue="1" maxValue="11"/>
    </cacheField>
    <cacheField name="FALTAS" numFmtId="0">
      <sharedItems containsSemiMixedTypes="0" containsString="0" containsNumber="1" containsInteger="1" minValue="0" maxValue="0"/>
    </cacheField>
    <cacheField name="MEDICA" numFmtId="0">
      <sharedItems containsSemiMixedTypes="0" containsString="0" containsNumber="1" containsInteger="1" minValue="0" maxValue="2"/>
    </cacheField>
    <cacheField name="VACACIONES" numFmtId="0">
      <sharedItems containsSemiMixedTypes="0" containsString="0" containsNumber="1" containsInteger="1" minValue="0" maxValue="19"/>
    </cacheField>
    <cacheField name="FRANCO" numFmtId="0">
      <sharedItems containsSemiMixedTypes="0" containsString="0" containsNumber="1" containsInteger="1" minValue="0" maxValue="5"/>
    </cacheField>
    <cacheField name="SEMAFORO" numFmtId="0">
      <sharedItems count="3">
        <s v="Excelente"/>
        <s v="Seguimiento"/>
        <s v="Atenc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s v="AGUIRRE DAVID"/>
    <n v="18"/>
    <n v="1"/>
    <n v="0"/>
    <n v="4"/>
    <n v="0"/>
    <n v="0"/>
    <n v="7"/>
    <n v="0"/>
    <x v="0"/>
  </r>
  <r>
    <n v="3"/>
    <s v="BIBILONI SANTIAGO"/>
    <n v="11"/>
    <n v="1"/>
    <n v="0"/>
    <n v="11"/>
    <n v="0"/>
    <n v="0"/>
    <n v="7"/>
    <n v="0"/>
    <x v="0"/>
  </r>
  <r>
    <n v="4"/>
    <s v="CARRIZO CARLOS"/>
    <n v="12"/>
    <n v="1"/>
    <n v="0"/>
    <n v="3"/>
    <n v="0"/>
    <n v="0"/>
    <n v="14"/>
    <n v="0"/>
    <x v="0"/>
  </r>
  <r>
    <n v="5"/>
    <s v="CATALANO GONZALO"/>
    <n v="1"/>
    <n v="1"/>
    <n v="16"/>
    <n v="2"/>
    <n v="0"/>
    <n v="0"/>
    <n v="7"/>
    <n v="3"/>
    <x v="1"/>
  </r>
  <r>
    <n v="6"/>
    <s v="CELIS DENIS"/>
    <n v="11"/>
    <n v="7"/>
    <n v="7"/>
    <n v="4"/>
    <n v="0"/>
    <n v="0"/>
    <n v="0"/>
    <n v="2"/>
    <x v="1"/>
  </r>
  <r>
    <n v="7"/>
    <s v="DIAZ MILTON"/>
    <n v="16"/>
    <n v="3"/>
    <n v="0"/>
    <n v="2"/>
    <n v="0"/>
    <n v="0"/>
    <n v="7"/>
    <n v="3"/>
    <x v="0"/>
  </r>
  <r>
    <n v="8"/>
    <s v="FERNANDEZ RODRIGO"/>
    <n v="25"/>
    <n v="1"/>
    <n v="0"/>
    <n v="4"/>
    <n v="0"/>
    <n v="0"/>
    <n v="0"/>
    <n v="0"/>
    <x v="0"/>
  </r>
  <r>
    <n v="9"/>
    <s v="GOMEZ FLORENCIA"/>
    <n v="8"/>
    <n v="2"/>
    <n v="11"/>
    <n v="9"/>
    <n v="0"/>
    <n v="0"/>
    <n v="0"/>
    <n v="0"/>
    <x v="1"/>
  </r>
  <r>
    <n v="10"/>
    <s v="HERRERA LORENA"/>
    <n v="11"/>
    <n v="1"/>
    <n v="0"/>
    <n v="4"/>
    <n v="0"/>
    <n v="0"/>
    <n v="12"/>
    <n v="0"/>
    <x v="0"/>
  </r>
  <r>
    <n v="11"/>
    <s v="LEDESMA LUIS"/>
    <n v="18"/>
    <n v="1"/>
    <n v="0"/>
    <n v="5"/>
    <n v="0"/>
    <n v="2"/>
    <n v="5"/>
    <n v="0"/>
    <x v="0"/>
  </r>
  <r>
    <n v="12"/>
    <s v="LOPEZ MARIO"/>
    <n v="18"/>
    <n v="0"/>
    <n v="0"/>
    <n v="1"/>
    <n v="0"/>
    <n v="0"/>
    <n v="11"/>
    <n v="0"/>
    <x v="0"/>
  </r>
  <r>
    <n v="13"/>
    <s v="MACHADO GERARDO"/>
    <n v="22"/>
    <n v="0"/>
    <n v="0"/>
    <n v="6"/>
    <n v="0"/>
    <n v="0"/>
    <n v="0"/>
    <n v="1"/>
    <x v="0"/>
  </r>
  <r>
    <n v="14"/>
    <s v="NAVARRO LEANDRO"/>
    <n v="15"/>
    <n v="1"/>
    <n v="0"/>
    <n v="3"/>
    <n v="0"/>
    <n v="0"/>
    <n v="7"/>
    <n v="5"/>
    <x v="0"/>
  </r>
  <r>
    <n v="15"/>
    <s v="OLIVETTO ANDREA"/>
    <n v="15"/>
    <n v="2"/>
    <n v="0"/>
    <n v="6"/>
    <n v="0"/>
    <n v="0"/>
    <n v="7"/>
    <n v="0"/>
    <x v="0"/>
  </r>
  <r>
    <n v="16"/>
    <s v="ONTIVERO MAYRA"/>
    <n v="6"/>
    <n v="6"/>
    <n v="1"/>
    <n v="8"/>
    <n v="0"/>
    <n v="0"/>
    <n v="7"/>
    <n v="0"/>
    <x v="2"/>
  </r>
  <r>
    <n v="17"/>
    <s v="PEREZ JOSE LUIS"/>
    <n v="20"/>
    <n v="3"/>
    <n v="0"/>
    <n v="2"/>
    <n v="0"/>
    <n v="0"/>
    <n v="5"/>
    <n v="0"/>
    <x v="0"/>
  </r>
  <r>
    <n v="18"/>
    <s v="SANTILLAN DAMIAN"/>
    <n v="14"/>
    <n v="8"/>
    <n v="1"/>
    <n v="7"/>
    <n v="0"/>
    <n v="0"/>
    <n v="0"/>
    <n v="0"/>
    <x v="2"/>
  </r>
  <r>
    <n v="19"/>
    <s v="SOSA FABRIZIO"/>
    <n v="2"/>
    <n v="12"/>
    <n v="5"/>
    <n v="4"/>
    <n v="0"/>
    <n v="0"/>
    <n v="7"/>
    <n v="0"/>
    <x v="1"/>
  </r>
  <r>
    <n v="20"/>
    <s v="VALDIVIA JAZMIN"/>
    <n v="8"/>
    <n v="3"/>
    <n v="2"/>
    <n v="7"/>
    <n v="0"/>
    <n v="0"/>
    <n v="10"/>
    <n v="0"/>
    <x v="2"/>
  </r>
  <r>
    <n v="21"/>
    <s v="VELEZ ANTONIO"/>
    <n v="8"/>
    <n v="1"/>
    <n v="0"/>
    <n v="3"/>
    <n v="0"/>
    <n v="0"/>
    <n v="19"/>
    <n v="0"/>
    <x v="0"/>
  </r>
  <r>
    <n v="22"/>
    <s v="VESSONI JUAN MATIAS"/>
    <n v="9"/>
    <n v="3"/>
    <n v="6"/>
    <n v="5"/>
    <n v="0"/>
    <n v="0"/>
    <n v="7"/>
    <n v="0"/>
    <x v="1"/>
  </r>
  <r>
    <n v="23"/>
    <s v="VESSONI PABLO"/>
    <n v="24"/>
    <n v="0"/>
    <n v="0"/>
    <n v="6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37257-E601-4431-9A3A-5A7833748F5E}" name="TablaDinámica1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1:B4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Cuenta de SEMAFORO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A4CAE0-B8F9-4161-B55E-28D3A922DD12}" name="Tabla5" displayName="Tabla5" ref="A2:K23" totalsRowCount="1" headerRowDxfId="738" dataDxfId="736" headerRowBorderDxfId="737" tableBorderDxfId="735" totalsRowBorderDxfId="734">
  <autoFilter ref="A2:K22" xr:uid="{F2A4CAE0-B8F9-4161-B55E-28D3A922DD12}"/>
  <tableColumns count="11">
    <tableColumn id="1" xr3:uid="{EA9C5BE9-FCE3-4E44-B780-8060387DC35A}" name="ITEM" totalsRowLabel="Total" dataDxfId="733" totalsRowDxfId="732"/>
    <tableColumn id="2" xr3:uid="{ED776B2C-A514-49B9-99EF-905CA771F136}" name="EMPLEADO" dataDxfId="731" totalsRowDxfId="730"/>
    <tableColumn id="3" xr3:uid="{9E32C7D7-6C5F-44C6-AC9B-F2CFC8663726}" name="ASISTENCIA" totalsRowFunction="sum" dataDxfId="729" totalsRowDxfId="728"/>
    <tableColumn id="4" xr3:uid="{CAEBDF52-05FF-4D34-B104-77D101DB8887}" name="DEMORAS" dataDxfId="727" totalsRowDxfId="726"/>
    <tableColumn id="5" xr3:uid="{6AF4A569-DAC7-4547-A4AB-00A839002EF6}" name="LLEGADA TARDE" dataDxfId="725" totalsRowDxfId="724"/>
    <tableColumn id="6" xr3:uid="{7457CB26-A289-4A6D-82AC-FD63CDBB2648}" name="LIBRE" dataDxfId="723" totalsRowDxfId="722"/>
    <tableColumn id="7" xr3:uid="{015B06C2-602D-4CBC-9E2C-310F9FD66DF5}" name="FALTAS" dataDxfId="721" totalsRowDxfId="720"/>
    <tableColumn id="8" xr3:uid="{C5A594B4-A8CD-4E79-96F6-CF416236471D}" name="MEDICA" dataDxfId="719" totalsRowDxfId="718"/>
    <tableColumn id="9" xr3:uid="{31516351-7B79-4DF4-9D00-18EBBF0A0ED2}" name="VACACIONES" dataDxfId="717" totalsRowDxfId="716"/>
    <tableColumn id="10" xr3:uid="{BE5A1D08-DD71-468D-A470-21DC73E6D48A}" name="FRANCO" dataDxfId="715" totalsRowDxfId="714"/>
    <tableColumn id="11" xr3:uid="{3E212A81-44BA-4E03-A32F-3FB1A088C88C}" name="SEMAFORO" totalsRowFunction="count" dataDxfId="713" totalsRowDxfId="7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339E81-1CB0-44D8-AE6C-C7C537B8139D}" name="Tabla3" displayName="Tabla3" ref="A4:N36" totalsRowCount="1" headerRowDxfId="711" dataDxfId="710" totalsRowDxfId="709" totalsRowBorderDxfId="708">
  <autoFilter ref="A4:N35" xr:uid="{66339E81-1CB0-44D8-AE6C-C7C537B8139D}"/>
  <tableColumns count="14">
    <tableColumn id="1" xr3:uid="{C23E0506-6EAA-41E1-8C8F-10A11F866F6C}" name="ITEM" totalsRowLabel="Total" dataDxfId="707" totalsRowDxfId="419"/>
    <tableColumn id="2" xr3:uid="{AA3686DA-6C6E-43BC-B0DE-BEF05E16073C}" name="CONVOCATORIA" dataDxfId="706" totalsRowDxfId="418"/>
    <tableColumn id="3" xr3:uid="{4CD59991-A06B-4C23-A569-842C3EF70F5C}" name="DIA" dataDxfId="705" totalsRowDxfId="417"/>
    <tableColumn id="4" xr3:uid="{F03F6E2C-E5E7-48E7-BE9B-8A4AB48F8958}" name="FECHA" dataDxfId="704" totalsRowDxfId="416"/>
    <tableColumn id="5" xr3:uid="{EF7D765E-6021-4225-8A36-D83BD531D70E}" name="HORARIO" dataDxfId="703" totalsRowDxfId="415"/>
    <tableColumn id="6" xr3:uid="{1B0A575E-56B7-43CE-A888-39414959D476}" name="SI" totalsRowFunction="sum" dataDxfId="702" totalsRowDxfId="414"/>
    <tableColumn id="14" xr3:uid="{944DD486-12B4-4C38-8F37-F62F3F73EE46}" name="DEMORA" totalsRowFunction="sum" dataDxfId="701" totalsRowDxfId="413"/>
    <tableColumn id="7" xr3:uid="{03DA706E-B951-4BEA-B7B1-6545EC50C873}" name="LLEGADA TARDE" totalsRowFunction="sum" dataDxfId="700" totalsRowDxfId="412"/>
    <tableColumn id="8" xr3:uid="{B5C0BB13-A77D-426A-9CB6-3ED176B18821}" name="NO CONVOCADO" totalsRowFunction="sum" dataDxfId="699" totalsRowDxfId="411"/>
    <tableColumn id="9" xr3:uid="{0BCF0EC0-A2B2-4AF4-AB76-CBC1FED65517}" name="FALTO" totalsRowFunction="sum" dataDxfId="698" totalsRowDxfId="410"/>
    <tableColumn id="10" xr3:uid="{C4885EC7-0D78-466A-A060-EF90B3BDB363}" name="MEDICA" totalsRowFunction="sum" dataDxfId="697" totalsRowDxfId="409"/>
    <tableColumn id="11" xr3:uid="{61D6C78A-40C6-48B0-9581-06CAE342872D}" name="VACACIONES" totalsRowFunction="sum" dataDxfId="696" totalsRowDxfId="408"/>
    <tableColumn id="12" xr3:uid="{824DB409-3B5C-46D8-9618-F573E5822A71}" name="FRANCO POR DOMINGO" totalsRowFunction="sum" dataDxfId="695" totalsRowDxfId="407"/>
    <tableColumn id="13" xr3:uid="{AE1F64E8-D0B1-4CF2-858A-D90414BCED60}" name="OBSERVACION" dataDxfId="694" totalsRowDxfId="40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53B06F6-073B-4B8A-A206-7F76EDD9C0E4}" name="Tabla315" displayName="Tabla315" ref="A4:N36" totalsRowCount="1" headerRowDxfId="693" dataDxfId="692">
  <autoFilter ref="A4:N35" xr:uid="{66339E81-1CB0-44D8-AE6C-C7C537B8139D}"/>
  <tableColumns count="14">
    <tableColumn id="1" xr3:uid="{408D5E08-DA11-4437-865F-F353434A4B6C}" name="ITEM" totalsRowLabel="Total" dataDxfId="691" totalsRowDxfId="405"/>
    <tableColumn id="2" xr3:uid="{3D0A9FB6-F64D-4A34-BABA-63AAC901E210}" name="CONVOCATORIA" dataDxfId="690" totalsRowDxfId="404"/>
    <tableColumn id="3" xr3:uid="{58D183B5-D779-4E6C-9A00-8851FEBA0E18}" name="DIA" dataDxfId="689" totalsRowDxfId="403"/>
    <tableColumn id="4" xr3:uid="{4ADBB5B5-AE3D-474D-9904-478D449102C9}" name="FECHA" dataDxfId="688" totalsRowDxfId="402"/>
    <tableColumn id="5" xr3:uid="{A44A2326-35A8-4CBB-AB3B-0F5D5D7E9B5B}" name="HORARIO" dataDxfId="687" totalsRowDxfId="401"/>
    <tableColumn id="6" xr3:uid="{267C449D-D93D-4297-8993-713D60E815FD}" name="SI" totalsRowFunction="sum" dataDxfId="686" totalsRowDxfId="400"/>
    <tableColumn id="14" xr3:uid="{32B4EBDA-D565-47D1-B13C-BDF0F0E2A218}" name="DEMORA" totalsRowFunction="sum" dataDxfId="685" totalsRowDxfId="399"/>
    <tableColumn id="7" xr3:uid="{929469CC-6271-45EC-BCF3-7AA6AC1DC3F7}" name="LLEGADA TARDE" totalsRowFunction="sum" dataDxfId="684" totalsRowDxfId="398"/>
    <tableColumn id="8" xr3:uid="{141D1B37-8B47-4C22-B795-480A82C85341}" name="NO CONVOCADO" totalsRowFunction="sum" dataDxfId="683" totalsRowDxfId="397"/>
    <tableColumn id="9" xr3:uid="{45216E0E-0F7D-4998-AFCD-E0F96A490126}" name="FALTO" totalsRowFunction="sum" dataDxfId="682" totalsRowDxfId="396"/>
    <tableColumn id="10" xr3:uid="{67413B21-806B-4F03-819E-22B431FA2842}" name="MEDICA" totalsRowFunction="sum" dataDxfId="681" totalsRowDxfId="395"/>
    <tableColumn id="11" xr3:uid="{41A4CF8B-AA9B-4F06-839B-8E3DD519134E}" name="VACACIONES" totalsRowFunction="sum" dataDxfId="680" totalsRowDxfId="394"/>
    <tableColumn id="12" xr3:uid="{74B70291-F896-46ED-8473-5BBCAED6241A}" name="FRANCO POR DOMINGO" totalsRowFunction="sum" dataDxfId="679" totalsRowDxfId="393"/>
    <tableColumn id="13" xr3:uid="{5214DED8-5A91-4863-B431-EEE24A62C969}" name="OBSERVACION" dataDxfId="678" totalsRowDxfId="3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6CFFF-C60E-4F74-B17E-8ED23F2F6E15}" name="Tabla32" displayName="Tabla32" ref="A4:N36" totalsRowCount="1" headerRowDxfId="677" dataDxfId="676" totalsRowDxfId="675" totalsRowBorderDxfId="674">
  <autoFilter ref="A4:N35" xr:uid="{66339E81-1CB0-44D8-AE6C-C7C537B8139D}"/>
  <tableColumns count="14">
    <tableColumn id="1" xr3:uid="{CE7A663F-EAE9-47DB-AE0A-65C4C41EC9FD}" name="ITEM" totalsRowLabel="Total" dataDxfId="391" totalsRowDxfId="377"/>
    <tableColumn id="2" xr3:uid="{3F085984-362A-4FAB-A97D-6E8BDBB8F2A9}" name="CONVOCATORIA" dataDxfId="390" totalsRowDxfId="376"/>
    <tableColumn id="3" xr3:uid="{C573AC1A-F70F-4411-B77C-DC6AE177FB38}" name="DIA" dataDxfId="389" totalsRowDxfId="375"/>
    <tableColumn id="4" xr3:uid="{0EE8D76D-4712-48C9-B12B-7FAE1743820A}" name="FECHA" dataDxfId="388" totalsRowDxfId="374"/>
    <tableColumn id="5" xr3:uid="{B9BC6E15-4D13-4FA6-ACE6-1A36C0783E0D}" name="HORARIO" dataDxfId="387" totalsRowDxfId="373"/>
    <tableColumn id="6" xr3:uid="{BDD24B2E-1C25-46CE-8768-3B12CB5DE87A}" name="SI" totalsRowFunction="sum" dataDxfId="386" totalsRowDxfId="372"/>
    <tableColumn id="14" xr3:uid="{F3A2001C-8E66-43F6-9946-7E514ADA6EF2}" name="DEMORA" totalsRowFunction="sum" dataDxfId="385" totalsRowDxfId="371"/>
    <tableColumn id="7" xr3:uid="{858DAA77-49ED-4B5F-AEC4-2CB114ADD3BC}" name="LLEGADA TARDE" totalsRowFunction="sum" dataDxfId="384" totalsRowDxfId="370"/>
    <tableColumn id="8" xr3:uid="{CBCFF5D4-B5C4-4BC0-B70B-49AA712AE07B}" name="NO CONVOCADO" totalsRowFunction="sum" dataDxfId="383" totalsRowDxfId="369"/>
    <tableColumn id="9" xr3:uid="{20CD5792-0A12-4908-B3DC-28CAE16184A0}" name="FALTO" totalsRowFunction="sum" dataDxfId="382" totalsRowDxfId="368"/>
    <tableColumn id="10" xr3:uid="{45405604-CFF3-40D5-9E37-C3B9175847E0}" name="MEDICA" totalsRowFunction="sum" dataDxfId="381" totalsRowDxfId="367"/>
    <tableColumn id="11" xr3:uid="{B892142B-4388-416A-ADC0-9BD23F5B68FD}" name="VACACIONES" totalsRowFunction="sum" dataDxfId="380" totalsRowDxfId="366"/>
    <tableColumn id="12" xr3:uid="{B46846CB-88F1-42D8-86CD-19B381341EC9}" name="FRANCO POR DOMINGO" totalsRowFunction="sum" dataDxfId="379" totalsRowDxfId="365"/>
    <tableColumn id="13" xr3:uid="{10F49D60-DC3F-463C-BF16-8D75BBAA6AC4}" name="OBSERVACION" dataDxfId="378" totalsRowDxfId="3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85113-FC60-4A2E-B4F8-CB1BBC86D8C0}" name="Tabla323" displayName="Tabla323" ref="A5:N37" totalsRowCount="1" headerRowDxfId="673" dataDxfId="672">
  <autoFilter ref="A5:N36" xr:uid="{66339E81-1CB0-44D8-AE6C-C7C537B8139D}"/>
  <tableColumns count="14">
    <tableColumn id="1" xr3:uid="{DBDDDD2F-B82B-40BC-A738-5A195897391D}" name="ITEM" totalsRowLabel="Total" dataDxfId="671" totalsRowDxfId="363"/>
    <tableColumn id="2" xr3:uid="{82CDF565-3249-4AA1-9411-6890346A23DC}" name="CONVOCATORIA" dataDxfId="670" totalsRowDxfId="362"/>
    <tableColumn id="3" xr3:uid="{E1B9F01F-473D-4507-B83A-FA4B1AE717AA}" name="DIA" dataDxfId="669" totalsRowDxfId="361"/>
    <tableColumn id="4" xr3:uid="{2BC2A76B-52E2-48F7-BA65-9540A848D4B6}" name="FECHA" dataDxfId="668" totalsRowDxfId="360"/>
    <tableColumn id="5" xr3:uid="{031B15D7-6C00-4977-B2C5-D867EEA156A5}" name="HORARIO" dataDxfId="667" totalsRowDxfId="359"/>
    <tableColumn id="6" xr3:uid="{12CAB951-4DFF-4032-BE3F-0C25F6BA2089}" name="SI" totalsRowFunction="sum" dataDxfId="666" totalsRowDxfId="358"/>
    <tableColumn id="14" xr3:uid="{4E127029-F98A-460B-9666-9ECD7B711805}" name="DEMORA" totalsRowFunction="sum" dataDxfId="665" totalsRowDxfId="357"/>
    <tableColumn id="7" xr3:uid="{CD99CBCE-2414-4F63-B9E4-355AEDBEBBBC}" name="LLEGADA TARDE" totalsRowFunction="sum" dataDxfId="664" totalsRowDxfId="356"/>
    <tableColumn id="8" xr3:uid="{7411F276-3F1D-4029-B96F-FC0043D0B333}" name="NO CONVOCADO" totalsRowFunction="sum" dataDxfId="663" totalsRowDxfId="355"/>
    <tableColumn id="9" xr3:uid="{362CFA3B-EB64-45D0-AB6A-2EA94DFE4378}" name="FALTO" totalsRowFunction="sum" dataDxfId="662" totalsRowDxfId="354"/>
    <tableColumn id="10" xr3:uid="{DEFC6732-816A-4E21-A31D-AB1B61D6E62E}" name="MEDICA" totalsRowFunction="sum" dataDxfId="661" totalsRowDxfId="353"/>
    <tableColumn id="11" xr3:uid="{976F8065-53B1-4060-9B87-486E28535222}" name="VACACIONES" totalsRowFunction="sum" dataDxfId="660" totalsRowDxfId="352"/>
    <tableColumn id="12" xr3:uid="{B0428B8B-81A7-4118-881A-4A22E55388E8}" name="FRANCO POR DOMINGO" totalsRowFunction="sum" dataDxfId="659" totalsRowDxfId="351"/>
    <tableColumn id="13" xr3:uid="{F52DEBA4-7F64-4C50-AC78-6FAFA46515C1}" name="OBSERVACION" dataDxfId="658" totalsRowDxfId="3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D48832-E688-4099-8AF5-FFBC47B331B1}" name="Tabla3235" displayName="Tabla3235" ref="A5:N37" totalsRowCount="1" headerRowDxfId="657" dataDxfId="656">
  <autoFilter ref="A5:N36" xr:uid="{66339E81-1CB0-44D8-AE6C-C7C537B8139D}"/>
  <tableColumns count="14">
    <tableColumn id="1" xr3:uid="{FAAF86C0-CFA9-4743-A684-DFF487D4D10E}" name="ITEM" totalsRowLabel="Total" dataDxfId="655" totalsRowDxfId="349"/>
    <tableColumn id="2" xr3:uid="{EF9DEE35-8635-4F8C-B2DA-0BBE95DAFFB7}" name="CONVOCATORIA" dataDxfId="654" totalsRowDxfId="348"/>
    <tableColumn id="3" xr3:uid="{983E2489-28AE-42C9-A19F-FDD2D896D87C}" name="DIA" dataDxfId="653" totalsRowDxfId="347"/>
    <tableColumn id="4" xr3:uid="{23BB2A7B-38E6-444A-8B70-E692D94DBF86}" name="FECHA" dataDxfId="652" totalsRowDxfId="346"/>
    <tableColumn id="5" xr3:uid="{E1EEC2E8-2FF1-43AC-A606-76C457AA0FE5}" name="HORARIO" dataDxfId="651" totalsRowDxfId="345"/>
    <tableColumn id="6" xr3:uid="{7C2F7DB0-A0B2-4C1B-9F40-6D39D2833513}" name="SI" totalsRowFunction="sum" dataDxfId="650" totalsRowDxfId="344"/>
    <tableColumn id="14" xr3:uid="{E8A6E64A-53D8-4008-B084-F51A3ECB9FB4}" name="DEMORA" totalsRowFunction="sum" dataDxfId="649" totalsRowDxfId="343"/>
    <tableColumn id="7" xr3:uid="{DC676037-4E79-4553-8CA9-6677C2301FDE}" name="LLEGADA TARDE" totalsRowFunction="sum" dataDxfId="648" totalsRowDxfId="342"/>
    <tableColumn id="8" xr3:uid="{1EEE0033-85A8-49EE-A44D-BFD183C977A5}" name="NO CONVOCADO" totalsRowFunction="sum" dataDxfId="647" totalsRowDxfId="341"/>
    <tableColumn id="9" xr3:uid="{EC6F1F70-4974-438B-8C4A-F0608FB5D160}" name="FALTO" totalsRowFunction="sum" dataDxfId="646" totalsRowDxfId="340"/>
    <tableColumn id="10" xr3:uid="{E0DBD074-6CA1-4826-9F56-10B31E5F2ECB}" name="MEDICA" totalsRowFunction="sum" dataDxfId="645" totalsRowDxfId="339"/>
    <tableColumn id="11" xr3:uid="{5F08667A-FA9A-4E4A-A03B-B1CF3BD665C6}" name="VACACIONES" totalsRowFunction="sum" dataDxfId="644" totalsRowDxfId="338"/>
    <tableColumn id="12" xr3:uid="{7609419F-4DA6-48CA-B589-EBBDB899D422}" name="FRANCO POR DOMINGO" totalsRowFunction="sum" dataDxfId="643" totalsRowDxfId="337"/>
    <tableColumn id="13" xr3:uid="{27D854EF-B294-4E18-969F-0537334D2C8E}" name="OBSERVACION" dataDxfId="642" totalsRowDxfId="3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0415C9-FA1E-4746-8760-038A7D964419}" name="Tabla3235678" displayName="Tabla3235678" ref="A5:N37" totalsRowCount="1" headerRowDxfId="641" dataDxfId="640">
  <autoFilter ref="A5:N36" xr:uid="{66339E81-1CB0-44D8-AE6C-C7C537B8139D}"/>
  <tableColumns count="14">
    <tableColumn id="1" xr3:uid="{D066E22D-9E57-4F73-8890-802E09205AC2}" name="ITEM" totalsRowLabel="Total" dataDxfId="639" totalsRowDxfId="335"/>
    <tableColumn id="2" xr3:uid="{E60078D3-8BB6-4A45-851B-9773693D1BD5}" name="CONVOCATORIA" dataDxfId="638" totalsRowDxfId="334"/>
    <tableColumn id="3" xr3:uid="{E1AD031D-83EE-49BD-85FA-7F9B1B154AFB}" name="DIA" dataDxfId="637" totalsRowDxfId="333"/>
    <tableColumn id="4" xr3:uid="{F1F207E4-5EF8-4733-924F-5F54D163EC10}" name="FECHA" dataDxfId="636" totalsRowDxfId="332"/>
    <tableColumn id="5" xr3:uid="{05A1C75D-5ACD-4EDB-82B2-27DF93953654}" name="HORARIO" dataDxfId="635" totalsRowDxfId="331"/>
    <tableColumn id="6" xr3:uid="{0C71382C-EC99-4B5C-9958-2D0E3117B725}" name="SI" totalsRowFunction="sum" dataDxfId="634" totalsRowDxfId="330"/>
    <tableColumn id="14" xr3:uid="{90F35862-A716-4431-A2B7-F006E6561D3E}" name="DEMORA" totalsRowFunction="sum" dataDxfId="633" totalsRowDxfId="329"/>
    <tableColumn id="7" xr3:uid="{8DB4F6AF-DE73-4163-9F09-615CDFC38AEF}" name="LLEGADA TARDE" totalsRowFunction="sum" dataDxfId="632" totalsRowDxfId="328"/>
    <tableColumn id="8" xr3:uid="{FBD714BA-3750-44BA-8F92-0BD665FE0207}" name="NO CONVOCADO" totalsRowFunction="sum" dataDxfId="631" totalsRowDxfId="327"/>
    <tableColumn id="9" xr3:uid="{B2D8A1F4-8881-4938-BECC-6E945FED9550}" name="FALTO" totalsRowFunction="sum" dataDxfId="630" totalsRowDxfId="326"/>
    <tableColumn id="10" xr3:uid="{EA60672E-B851-40D0-ABC8-67A5ECFF00D1}" name="MEDICA" totalsRowFunction="sum" dataDxfId="629" totalsRowDxfId="325"/>
    <tableColumn id="11" xr3:uid="{C145E9AB-E955-497C-AFC0-3902751FB032}" name="VACACIONES" totalsRowFunction="sum" dataDxfId="628" totalsRowDxfId="324"/>
    <tableColumn id="12" xr3:uid="{53781EBE-DCC1-4B31-98E6-77764FA4EAE9}" name="FRANCO POR DOMINGO" totalsRowFunction="sum" dataDxfId="627" totalsRowDxfId="323"/>
    <tableColumn id="13" xr3:uid="{805EE659-AE7B-4A12-A652-2157DA5E7F10}" name="OBSERVACION" dataDxfId="626" totalsRowDxfId="3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228AE2-A065-4EF9-9B91-7C4846C96CB2}" name="Tabla323567" displayName="Tabla323567" ref="A5:N37" totalsRowCount="1" headerRowDxfId="625" dataDxfId="624">
  <autoFilter ref="A5:N36" xr:uid="{66339E81-1CB0-44D8-AE6C-C7C537B8139D}"/>
  <tableColumns count="14">
    <tableColumn id="1" xr3:uid="{409C7966-76FD-412E-A2F6-B80EFB3AEFED}" name="ITEM" totalsRowLabel="Total" dataDxfId="623" totalsRowDxfId="321"/>
    <tableColumn id="2" xr3:uid="{CF436167-240E-4094-8286-59B4722D8CDC}" name="CONVOCATORIA" dataDxfId="622" totalsRowDxfId="320"/>
    <tableColumn id="3" xr3:uid="{937FB794-694B-427E-A17A-2E2AB308629F}" name="DIA" dataDxfId="621" totalsRowDxfId="319"/>
    <tableColumn id="4" xr3:uid="{2A9B47A2-EC3E-4F70-A1F4-581CB78B0883}" name="FECHA" dataDxfId="620" totalsRowDxfId="318"/>
    <tableColumn id="5" xr3:uid="{6D554554-0E05-4B0E-8EA7-A3A31D12AEC3}" name="HORARIO" dataDxfId="619" totalsRowDxfId="317"/>
    <tableColumn id="6" xr3:uid="{66612A0B-04BD-43A3-859D-6B617764CBF3}" name="SI" totalsRowFunction="sum" dataDxfId="618" totalsRowDxfId="316"/>
    <tableColumn id="14" xr3:uid="{0DA84596-4A18-48CC-83C7-7E79E8411236}" name="DEMORA" totalsRowFunction="sum" dataDxfId="617" totalsRowDxfId="315"/>
    <tableColumn id="7" xr3:uid="{B98AB12D-8493-42D9-813C-39B75FAFBA3C}" name="LLEGADA TARDE" totalsRowFunction="sum" dataDxfId="616" totalsRowDxfId="314"/>
    <tableColumn id="8" xr3:uid="{8477D09B-2C2C-4AEF-BBBC-B5AACAF43AB4}" name="NO CONVOCADO" totalsRowFunction="sum" dataDxfId="615" totalsRowDxfId="313"/>
    <tableColumn id="9" xr3:uid="{23C14E83-AF17-4E45-8D6A-A1BEB7DD071A}" name="FALTO" totalsRowFunction="sum" dataDxfId="614" totalsRowDxfId="312"/>
    <tableColumn id="10" xr3:uid="{4D8F6EAC-2157-4629-8B0F-84754A252575}" name="MEDICA" totalsRowFunction="sum" dataDxfId="613" totalsRowDxfId="311"/>
    <tableColumn id="11" xr3:uid="{F591A6B9-42F7-431B-B034-2C9C4B19B9E7}" name="VACACIONES" totalsRowFunction="sum" dataDxfId="612" totalsRowDxfId="310"/>
    <tableColumn id="12" xr3:uid="{B8D63D70-1B77-4D29-B148-0B61AAB06F65}" name="FRANCO POR DOMINGO" totalsRowFunction="sum" dataDxfId="611" totalsRowDxfId="309"/>
    <tableColumn id="13" xr3:uid="{DA35B961-C8C4-4A9F-BC96-0263CD737CA9}" name="OBSERVACION" dataDxfId="610" totalsRowDxfId="3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9C2EA7-E1E0-431E-913A-AD3CAD01F8BE}" name="Tabla3235678910" displayName="Tabla3235678910" ref="A5:N37" totalsRowCount="1" headerRowDxfId="609" dataDxfId="608">
  <autoFilter ref="A5:N36" xr:uid="{66339E81-1CB0-44D8-AE6C-C7C537B8139D}"/>
  <tableColumns count="14">
    <tableColumn id="1" xr3:uid="{F603F754-D242-4360-A020-4C4567F528F5}" name="ITEM" totalsRowLabel="Total" dataDxfId="307" totalsRowDxfId="293"/>
    <tableColumn id="2" xr3:uid="{D540C6A5-8AFF-4D29-AD6A-EE960C7B4876}" name="CONVOCATORIA" dataDxfId="306" totalsRowDxfId="292"/>
    <tableColumn id="3" xr3:uid="{A2A5BD58-2592-4E6B-872A-E1750733E620}" name="DIA" dataDxfId="305" totalsRowDxfId="291"/>
    <tableColumn id="4" xr3:uid="{D4058C75-4D64-4B8E-BD64-6F38AD99B6C8}" name="FECHA" dataDxfId="304" totalsRowDxfId="290"/>
    <tableColumn id="5" xr3:uid="{2EE85F90-FD26-43F9-BD47-19D4A34F471F}" name="HORARIO" dataDxfId="303" totalsRowDxfId="289"/>
    <tableColumn id="6" xr3:uid="{982BC134-65A3-4456-B42D-74454E1BC144}" name="SI" totalsRowFunction="sum" dataDxfId="302" totalsRowDxfId="288"/>
    <tableColumn id="14" xr3:uid="{E5BF6CA2-A4CD-45E3-917C-1238F7313F9C}" name="DEMORA" totalsRowFunction="sum" dataDxfId="301" totalsRowDxfId="287"/>
    <tableColumn id="7" xr3:uid="{32198614-5F7D-47EA-BEFE-18CC078B7E1D}" name="LLEGADA TARDE" totalsRowFunction="sum" dataDxfId="300" totalsRowDxfId="286"/>
    <tableColumn id="8" xr3:uid="{0C39E1DC-467E-43E5-BBD9-DEB185ED8BB5}" name="NO CONVOCADO" totalsRowFunction="sum" dataDxfId="299" totalsRowDxfId="285"/>
    <tableColumn id="9" xr3:uid="{2EE9F370-3C4E-45FD-B88A-B0999554C8C3}" name="FALTO" totalsRowFunction="sum" dataDxfId="298" totalsRowDxfId="284"/>
    <tableColumn id="10" xr3:uid="{AC068252-6228-4B96-B64E-66ACC01A860D}" name="MEDICA" totalsRowFunction="sum" dataDxfId="297" totalsRowDxfId="283"/>
    <tableColumn id="11" xr3:uid="{87927E89-E97B-41C4-9AA6-0643C11B2629}" name="VACACIONES" totalsRowFunction="sum" dataDxfId="296" totalsRowDxfId="282"/>
    <tableColumn id="12" xr3:uid="{CEAFF142-A107-46E1-9E11-91CACD760B59}" name="FRANCO POR DOMINGO" totalsRowFunction="sum" dataDxfId="295" totalsRowDxfId="281"/>
    <tableColumn id="13" xr3:uid="{C25092A9-3A3E-4413-B6CC-F95168B6E2F2}" name="OBSERVACION" dataDxfId="294" totalsRowDxfId="28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692006-2096-4FEF-9CA9-664372092016}" name="Tabla32356789101112" displayName="Tabla32356789101112" ref="A5:N37" totalsRowCount="1" headerRowDxfId="607" dataDxfId="606">
  <autoFilter ref="A5:N36" xr:uid="{66339E81-1CB0-44D8-AE6C-C7C537B8139D}"/>
  <tableColumns count="14">
    <tableColumn id="1" xr3:uid="{B49A0B3D-EFC8-4C11-B178-8159A95FA1E2}" name="ITEM" totalsRowLabel="Total" dataDxfId="605" totalsRowDxfId="279"/>
    <tableColumn id="2" xr3:uid="{56B5C989-06E9-4D97-BFF9-90D294BBFFB8}" name="CONVOCATORIA" dataDxfId="604" totalsRowDxfId="278"/>
    <tableColumn id="3" xr3:uid="{745100CD-FE18-4FD6-9437-9C14AF4ECFC0}" name="DIA" dataDxfId="603" totalsRowDxfId="277"/>
    <tableColumn id="4" xr3:uid="{FAC95783-135F-47BE-984D-098939F95B40}" name="FECHA" dataDxfId="602" totalsRowDxfId="276"/>
    <tableColumn id="5" xr3:uid="{A584AA21-C282-4784-BBB9-36022278CA8C}" name="HORARIO" dataDxfId="601" totalsRowDxfId="275"/>
    <tableColumn id="6" xr3:uid="{A98C5BE0-A9AE-4A50-BB0A-B8C3B1DE3C07}" name="SI" totalsRowFunction="sum" dataDxfId="600" totalsRowDxfId="274"/>
    <tableColumn id="14" xr3:uid="{CD6E887B-6BB3-4E04-A44F-A0FE1B2050BB}" name="DEMORA" totalsRowFunction="sum" dataDxfId="599" totalsRowDxfId="273"/>
    <tableColumn id="7" xr3:uid="{D5301C8B-C62F-4512-B4F9-D3AFDF720125}" name="LLEGADA TARDE" totalsRowFunction="sum" dataDxfId="598" totalsRowDxfId="272"/>
    <tableColumn id="8" xr3:uid="{0D89F66B-FC82-4BE5-8DB0-5A8A0664D995}" name="NO CONVOCADO" totalsRowFunction="sum" dataDxfId="597" totalsRowDxfId="271"/>
    <tableColumn id="9" xr3:uid="{F995504A-BCAF-472D-9CB3-1246F6630D5E}" name="FALTO" totalsRowFunction="sum" dataDxfId="596" totalsRowDxfId="270"/>
    <tableColumn id="10" xr3:uid="{F2F2E574-112B-4505-A4B7-F48DB4CC5041}" name="MEDICA" totalsRowFunction="sum" dataDxfId="595" totalsRowDxfId="269"/>
    <tableColumn id="11" xr3:uid="{987F670B-D800-44A4-BB51-020939F22CD3}" name="VACACIONES" totalsRowFunction="sum" dataDxfId="594" totalsRowDxfId="268"/>
    <tableColumn id="12" xr3:uid="{46734418-8ADA-43ED-A04E-46387EEE3F4F}" name="FRANCO POR DOMINGO" totalsRowFunction="sum" dataDxfId="593" totalsRowDxfId="267"/>
    <tableColumn id="13" xr3:uid="{C4D23F73-F9EB-4573-970D-AA4C2B3588E7}" name="OBSERVACION" dataDxfId="592" totalsRowDxfId="2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164329-7514-4353-9A8A-40732CC7E4E4}" name="Tabla323567891011" displayName="Tabla323567891011" ref="A5:N37" totalsRowCount="1" headerRowDxfId="591" dataDxfId="590" totalsRowDxfId="589" totalsRowBorderDxfId="588">
  <autoFilter ref="A5:N36" xr:uid="{66339E81-1CB0-44D8-AE6C-C7C537B8139D}"/>
  <tableColumns count="14">
    <tableColumn id="1" xr3:uid="{2840C8F1-5B6F-4AC4-823F-A19F3C654AB0}" name="ITEM" totalsRowLabel="Total" dataDxfId="587" totalsRowDxfId="265"/>
    <tableColumn id="2" xr3:uid="{97563CB1-CB7B-4033-9626-F59835ACC0C4}" name="CONVOCATORIA" dataDxfId="586" totalsRowDxfId="264"/>
    <tableColumn id="3" xr3:uid="{40389E30-60D1-4EA0-9068-FFE2A8B31491}" name="DIA" dataDxfId="585" totalsRowDxfId="263"/>
    <tableColumn id="4" xr3:uid="{2DB0F69F-DDC2-4D96-92EA-C7E2173474E9}" name="FECHA" dataDxfId="584" totalsRowDxfId="262"/>
    <tableColumn id="5" xr3:uid="{7678EBA8-C328-4BA6-860C-0B3A462F1DFF}" name="HORARIO" dataDxfId="583" totalsRowDxfId="261"/>
    <tableColumn id="6" xr3:uid="{4E3C7E95-4058-453D-802F-71827D2E3178}" name="SI" totalsRowFunction="sum" dataDxfId="582" totalsRowDxfId="260"/>
    <tableColumn id="14" xr3:uid="{DDA2BB85-232D-4919-9055-BFBF6E0138F8}" name="DEMORA" totalsRowFunction="sum" dataDxfId="581" totalsRowDxfId="259"/>
    <tableColumn id="7" xr3:uid="{974CD1BD-3925-4023-9BB8-68CAF4702E1A}" name="LLEGADA TARDE" totalsRowFunction="sum" dataDxfId="580" totalsRowDxfId="258"/>
    <tableColumn id="8" xr3:uid="{DC6633F4-193C-4090-9271-8C9186B4E8FB}" name="NO CONVOCADO" totalsRowFunction="sum" dataDxfId="579" totalsRowDxfId="257"/>
    <tableColumn id="9" xr3:uid="{3D467E0B-FE6C-4FBD-8EB5-9DF82912660F}" name="FALTO" totalsRowFunction="sum" dataDxfId="578" totalsRowDxfId="256"/>
    <tableColumn id="10" xr3:uid="{E0C5F3DB-B9CA-406E-9301-EC37A4C98079}" name="MEDICA" totalsRowFunction="sum" dataDxfId="577" totalsRowDxfId="255"/>
    <tableColumn id="11" xr3:uid="{9324CA63-9802-45F4-B663-3037D76122B6}" name="VACACIONES" totalsRowFunction="sum" dataDxfId="576" totalsRowDxfId="254"/>
    <tableColumn id="12" xr3:uid="{31CA8999-7460-4DDE-9F26-1BF87432E991}" name="FRANCO POR DOMINGO" totalsRowFunction="sum" dataDxfId="575" totalsRowDxfId="253"/>
    <tableColumn id="13" xr3:uid="{8043A9D4-872C-41FF-BEE3-B42BBF6E06E9}" name="OBSERVACION" dataDxfId="574" totalsRowDxfId="2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424B9F-18BC-46BE-B43F-578F81C937A7}" name="Tabla3235678910111213" displayName="Tabla3235678910111213" ref="A5:N37" totalsRowCount="1" headerRowDxfId="573" dataDxfId="572">
  <autoFilter ref="A5:N36" xr:uid="{66339E81-1CB0-44D8-AE6C-C7C537B8139D}"/>
  <tableColumns count="14">
    <tableColumn id="1" xr3:uid="{8C4DB3D5-D457-4D13-B34B-56A199CADE2A}" name="ITEM" totalsRowLabel="Total" dataDxfId="571" totalsRowDxfId="251"/>
    <tableColumn id="2" xr3:uid="{9B240656-C02A-4942-96D5-084877BB9B0E}" name="CONVOCATORIA" dataDxfId="570" totalsRowDxfId="250"/>
    <tableColumn id="3" xr3:uid="{E4AAED9E-4A77-400B-8F31-B5503891E428}" name="DIA" dataDxfId="569" totalsRowDxfId="249"/>
    <tableColumn id="4" xr3:uid="{DFE3A978-59A5-482C-9436-4D825EC1A211}" name="FECHA" dataDxfId="568" totalsRowDxfId="248"/>
    <tableColumn id="5" xr3:uid="{73BBE9F3-28D5-4631-A4AC-650CC3AB064E}" name="HORARIO" dataDxfId="567" totalsRowDxfId="247"/>
    <tableColumn id="6" xr3:uid="{309E61F3-3AB1-4CCC-8782-4B6E5D20FC07}" name="SI" totalsRowFunction="sum" dataDxfId="566" totalsRowDxfId="246"/>
    <tableColumn id="14" xr3:uid="{D5796C9F-F585-466B-880D-DB8C2E215152}" name="DEMORA" totalsRowFunction="sum" dataDxfId="565" totalsRowDxfId="245"/>
    <tableColumn id="7" xr3:uid="{EB5FF12C-ADA5-453C-8564-3D6DE81BBB1C}" name="LLEGADA TARDE" totalsRowFunction="sum" dataDxfId="564" totalsRowDxfId="244"/>
    <tableColumn id="8" xr3:uid="{7531BF1F-9017-4593-9923-7296B7EF4A90}" name="NO CONVOCADO" totalsRowFunction="sum" dataDxfId="563" totalsRowDxfId="243"/>
    <tableColumn id="9" xr3:uid="{8F6A91B0-C5E8-401C-AF9D-C5E142E3726E}" name="FALTO" totalsRowFunction="sum" dataDxfId="562" totalsRowDxfId="242"/>
    <tableColumn id="10" xr3:uid="{19CE40C6-DEE4-4158-90A0-DFCBBAB7BA1A}" name="MEDICA" totalsRowFunction="sum" dataDxfId="561" totalsRowDxfId="241"/>
    <tableColumn id="11" xr3:uid="{2951F1FF-A671-45A4-BC5C-F49CF33FB629}" name="VACACIONES" totalsRowFunction="sum" dataDxfId="560" totalsRowDxfId="240"/>
    <tableColumn id="12" xr3:uid="{7129C6F4-8A70-4016-82E6-FEE38E3C3441}" name="FRANCO POR DOMINGO" totalsRowFunction="sum" dataDxfId="559" totalsRowDxfId="239"/>
    <tableColumn id="13" xr3:uid="{D0A0DDFA-158C-4EE8-BC19-97756700B867}" name="OBSERVACION" dataDxfId="558" totalsRowDxfId="23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81FFDF-1D6D-41E4-8981-6D76BD5C4DCC}" name="Tabla323567891011121314" displayName="Tabla323567891011121314" ref="A5:N37" totalsRowCount="1" headerRowDxfId="557" dataDxfId="556" totalsRowDxfId="555" totalsRowBorderDxfId="554">
  <autoFilter ref="A5:N36" xr:uid="{66339E81-1CB0-44D8-AE6C-C7C537B8139D}"/>
  <tableColumns count="14">
    <tableColumn id="1" xr3:uid="{9740196B-5F08-455E-8409-12419793BDC0}" name="ITEM" totalsRowLabel="Total" dataDxfId="237" totalsRowDxfId="223"/>
    <tableColumn id="2" xr3:uid="{01F0BB0F-B15B-4F5C-8241-7EFFCB923D42}" name="CONVOCATORIA" dataDxfId="236" totalsRowDxfId="222"/>
    <tableColumn id="3" xr3:uid="{ABE21CF8-018A-45CF-A1A3-B95076FED84B}" name="DIA" dataDxfId="235" totalsRowDxfId="221"/>
    <tableColumn id="4" xr3:uid="{2D551CAD-10F3-4FA2-86B7-B553EFAFA735}" name="FECHA" dataDxfId="234" totalsRowDxfId="220"/>
    <tableColumn id="5" xr3:uid="{2103CD0C-D2EF-4B4B-8B61-7E80A295B039}" name="HORARIO" dataDxfId="233" totalsRowDxfId="219"/>
    <tableColumn id="6" xr3:uid="{66564F00-F1BF-4071-B016-ECBF86C2F4AC}" name="SI" totalsRowFunction="sum" dataDxfId="232" totalsRowDxfId="218"/>
    <tableColumn id="14" xr3:uid="{576D2C8B-E970-487A-8751-7D2F6D7AFB0F}" name="DEMORA" totalsRowFunction="sum" dataDxfId="231" totalsRowDxfId="217"/>
    <tableColumn id="7" xr3:uid="{DE10FDBA-C6CB-447D-9377-A8989D6AC5B7}" name="LLEGADA TARDE" totalsRowFunction="sum" dataDxfId="230" totalsRowDxfId="216"/>
    <tableColumn id="8" xr3:uid="{7B690C0F-5168-4853-81EA-991CA78B4C8F}" name="NO CONVOCADO" totalsRowFunction="sum" dataDxfId="229" totalsRowDxfId="215"/>
    <tableColumn id="9" xr3:uid="{1122F3C9-97A4-4EAE-9DA3-663E34BA8C9C}" name="FALTO" totalsRowFunction="sum" dataDxfId="228" totalsRowDxfId="214"/>
    <tableColumn id="10" xr3:uid="{D4F0E120-D3BD-4C3F-BB78-87E86FE14D97}" name="MEDICA" totalsRowFunction="sum" dataDxfId="227" totalsRowDxfId="213"/>
    <tableColumn id="11" xr3:uid="{61FB63B3-0424-49CF-9461-E27F7ED3A74E}" name="VACACIONES" totalsRowFunction="sum" dataDxfId="226" totalsRowDxfId="212"/>
    <tableColumn id="12" xr3:uid="{07AB3631-35C2-4C69-A193-506201C79B32}" name="FRANCO POR DOMINGO" totalsRowFunction="sum" dataDxfId="225" totalsRowDxfId="211"/>
    <tableColumn id="13" xr3:uid="{0E58A925-2A7B-45C9-B127-E624766C84E3}" name="OBSERVACION" dataDxfId="224" totalsRowDxfId="2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B0355A-D7F8-4FB7-AF0B-2D0B8DBEBA45}" name="Tabla3235678910111213141516" displayName="Tabla3235678910111213141516" ref="A5:N37" totalsRowCount="1" headerRowDxfId="553" dataDxfId="552">
  <autoFilter ref="A5:N36" xr:uid="{66339E81-1CB0-44D8-AE6C-C7C537B8139D}"/>
  <tableColumns count="14">
    <tableColumn id="1" xr3:uid="{99D8E837-F844-428A-90B4-41722A582D67}" name="ITEM" totalsRowLabel="Total" dataDxfId="551" totalsRowDxfId="209"/>
    <tableColumn id="2" xr3:uid="{0B393781-0CAA-4416-9795-3F8FF16E82F7}" name="CONVOCATORIA" dataDxfId="550" totalsRowDxfId="208"/>
    <tableColumn id="3" xr3:uid="{97A141E5-0C94-4B10-8C76-E5928DA83B90}" name="DIA" dataDxfId="549" totalsRowDxfId="207"/>
    <tableColumn id="4" xr3:uid="{3C8D0A62-8C70-4737-ADB5-4706D70E5747}" name="FECHA" dataDxfId="548" totalsRowDxfId="206"/>
    <tableColumn id="5" xr3:uid="{62087F91-63B1-4877-A9FF-AC50C982558C}" name="HORARIO" dataDxfId="547" totalsRowDxfId="205"/>
    <tableColumn id="6" xr3:uid="{AE789279-23FE-4C6E-8A28-B147EBA9ACA7}" name="SI" totalsRowFunction="sum" dataDxfId="546" totalsRowDxfId="204"/>
    <tableColumn id="14" xr3:uid="{230B97A1-56FA-4BF4-B8B5-C88BBBF1A0FA}" name="DEMORA" totalsRowFunction="sum" dataDxfId="545" totalsRowDxfId="203"/>
    <tableColumn id="7" xr3:uid="{B647F7A5-BF7D-461A-AD93-1A685D07D68D}" name="LLEGADA TARDE" totalsRowFunction="sum" dataDxfId="544" totalsRowDxfId="202"/>
    <tableColumn id="8" xr3:uid="{82B7BA2F-187B-4190-9506-CE26D6DD3A6A}" name="NO CONVOCADO" totalsRowFunction="sum" dataDxfId="543" totalsRowDxfId="201"/>
    <tableColumn id="9" xr3:uid="{82234075-F62B-4BE7-9D52-2E2AC3E80F4A}" name="FALTO" totalsRowFunction="sum" dataDxfId="542" totalsRowDxfId="200"/>
    <tableColumn id="10" xr3:uid="{A11AF751-F367-4624-984E-7EA43BAED235}" name="MEDICA" totalsRowFunction="sum" dataDxfId="541" totalsRowDxfId="199"/>
    <tableColumn id="11" xr3:uid="{EFA76983-B332-4C9A-8FB4-C0586774C431}" name="VACACIONES" totalsRowFunction="sum" dataDxfId="540" totalsRowDxfId="198"/>
    <tableColumn id="12" xr3:uid="{A60033E5-4B02-4BF6-98A1-71848EBAAE07}" name="FRANCO POR DOMINGO" totalsRowFunction="sum" dataDxfId="539" totalsRowDxfId="197"/>
    <tableColumn id="13" xr3:uid="{A54F850D-6E7A-4824-B20A-D4D95D02D5BF}" name="OBSERVACION" dataDxfId="538" totalsRowDxfId="19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3FAA11-D3F9-495A-8BBF-39227CAAEA2E}" name="Tabla323567891011121314151617" displayName="Tabla323567891011121314151617" ref="A5:N37" totalsRowCount="1" headerRowDxfId="537" dataDxfId="536">
  <autoFilter ref="A5:N36" xr:uid="{66339E81-1CB0-44D8-AE6C-C7C537B8139D}"/>
  <tableColumns count="14">
    <tableColumn id="1" xr3:uid="{44BE3A57-6572-436D-BED6-E1DD907B37C2}" name="ITEM" totalsRowLabel="Total" dataDxfId="535" totalsRowDxfId="195"/>
    <tableColumn id="2" xr3:uid="{A21118FE-EA24-4330-B4F8-502D87BB44D5}" name="CONVOCATORIA" dataDxfId="534" totalsRowDxfId="194"/>
    <tableColumn id="3" xr3:uid="{568E6E8D-D21D-477C-B392-D27CA5B06A64}" name="DIA" dataDxfId="533" totalsRowDxfId="193"/>
    <tableColumn id="4" xr3:uid="{826EE59A-FFE1-4F7E-BB8C-1A4312713FE4}" name="FECHA" dataDxfId="532" totalsRowDxfId="192"/>
    <tableColumn id="5" xr3:uid="{FE2EC197-23A9-4CFD-80BE-26CF1D85B789}" name="HORARIO" dataDxfId="531" totalsRowDxfId="191"/>
    <tableColumn id="6" xr3:uid="{14430D67-972A-46DA-9078-961EDC5B1E44}" name="SI" totalsRowFunction="sum" dataDxfId="530" totalsRowDxfId="190"/>
    <tableColumn id="14" xr3:uid="{D86D222B-4BFA-4238-ABCC-FC9C73F5EE39}" name="DEMORA" totalsRowFunction="sum" dataDxfId="529" totalsRowDxfId="189"/>
    <tableColumn id="7" xr3:uid="{B101221B-6B59-4EB3-92E6-6EE28979A09E}" name="LLEGADA TARDE" totalsRowFunction="sum" dataDxfId="528" totalsRowDxfId="188"/>
    <tableColumn id="8" xr3:uid="{C254C73A-94D7-4CB4-A15D-55E3FED0C8E8}" name="NO CONVOCADO" totalsRowFunction="sum" dataDxfId="527" totalsRowDxfId="187"/>
    <tableColumn id="9" xr3:uid="{6A2F0D33-426A-408C-8585-25A139CDE559}" name="FALTO" totalsRowFunction="sum" dataDxfId="526" totalsRowDxfId="186"/>
    <tableColumn id="10" xr3:uid="{8A95BEF7-1109-4676-82CE-FB35D29D581E}" name="MEDICA" totalsRowFunction="sum" dataDxfId="525" totalsRowDxfId="185"/>
    <tableColumn id="11" xr3:uid="{23C2EE5D-E896-4464-8B1D-8A08B93C1724}" name="VACACIONES" totalsRowFunction="sum" dataDxfId="524" totalsRowDxfId="184"/>
    <tableColumn id="12" xr3:uid="{DC96D1D3-F8C3-4376-9B7E-4209ACC8970D}" name="FRANCO POR DOMINGO" totalsRowFunction="sum" dataDxfId="523" totalsRowDxfId="183"/>
    <tableColumn id="13" xr3:uid="{51B8C743-A08B-46C9-A91D-28D046C77822}" name="OBSERVACION" dataDxfId="522" totalsRowDxfId="18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149459-34E3-4F8C-AF01-A4ADE5439CBD}" name="Tabla3235678910111213141516171819" displayName="Tabla3235678910111213141516171819" ref="A5:N37" totalsRowCount="1" headerRowDxfId="521" dataDxfId="520">
  <autoFilter ref="A5:N36" xr:uid="{66339E81-1CB0-44D8-AE6C-C7C537B8139D}"/>
  <tableColumns count="14">
    <tableColumn id="1" xr3:uid="{6FBA69C3-AC19-4EAD-B395-18FBC464EE88}" name="ITEM" totalsRowLabel="Total" dataDxfId="519" totalsRowDxfId="181"/>
    <tableColumn id="2" xr3:uid="{68C38E74-5F95-4DAE-8514-9B98AF2FE8F6}" name="CONVOCATORIA" dataDxfId="518" totalsRowDxfId="180"/>
    <tableColumn id="3" xr3:uid="{21682447-1512-4B66-AE65-ACC6E2E4213B}" name="DIA" dataDxfId="517" totalsRowDxfId="179"/>
    <tableColumn id="4" xr3:uid="{7F55E384-A57F-49D1-8655-846BFF66C9CC}" name="FECHA" dataDxfId="516" totalsRowDxfId="178"/>
    <tableColumn id="5" xr3:uid="{9643FC48-3718-481D-BDC9-8575E101348B}" name="HORARIO" dataDxfId="515" totalsRowDxfId="177"/>
    <tableColumn id="6" xr3:uid="{8CA66B0E-3D47-4B08-A586-E137D48F18A5}" name="SI" totalsRowFunction="sum" dataDxfId="514" totalsRowDxfId="176"/>
    <tableColumn id="14" xr3:uid="{BD2E5BD7-4A48-44E4-81C7-FED62A352759}" name="DEMORA" totalsRowFunction="sum" dataDxfId="513" totalsRowDxfId="175"/>
    <tableColumn id="7" xr3:uid="{C6F25BC4-207D-46C9-8B87-9A5532E31F4D}" name="LLEGADA TARDE" totalsRowFunction="sum" dataDxfId="512" totalsRowDxfId="174"/>
    <tableColumn id="8" xr3:uid="{FA6E0C00-187C-4BC5-8F3D-33C718C030B9}" name="NO CONVOCADO" totalsRowFunction="sum" dataDxfId="511" totalsRowDxfId="173"/>
    <tableColumn id="9" xr3:uid="{81B99DA0-64B2-4B0E-A9DE-E3557AC0E407}" name="FALTO" totalsRowFunction="sum" dataDxfId="510" totalsRowDxfId="172"/>
    <tableColumn id="10" xr3:uid="{39FFC45E-7569-4334-A9D6-C59DFB947CD3}" name="MEDICA" totalsRowFunction="sum" dataDxfId="509" totalsRowDxfId="171"/>
    <tableColumn id="11" xr3:uid="{9DBB0DE6-0337-4B51-A6FE-4A370D7ABC72}" name="VACACIONES" totalsRowFunction="sum" dataDxfId="508" totalsRowDxfId="170"/>
    <tableColumn id="12" xr3:uid="{509F5263-DB6C-405F-B75B-1E4038EB74A7}" name="FRANCO POR DOMINGO" totalsRowFunction="sum" dataDxfId="507" totalsRowDxfId="169"/>
    <tableColumn id="13" xr3:uid="{FECAA4CB-4B78-4F95-BECF-89368E55F486}" name="OBSERVACION" dataDxfId="506" totalsRowDxfId="16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0757B0B-2A96-4907-A53E-5CC7800664D8}" name="Tabla32356789101112131415161718192021" displayName="Tabla32356789101112131415161718192021" ref="A5:N37" totalsRowCount="1" headerRowDxfId="505" dataDxfId="504">
  <autoFilter ref="A5:N36" xr:uid="{66339E81-1CB0-44D8-AE6C-C7C537B8139D}"/>
  <tableColumns count="14">
    <tableColumn id="1" xr3:uid="{EE3BC718-5133-476E-BC04-55B23DE0AD15}" name="ITEM" totalsRowLabel="Total" dataDxfId="503" totalsRowDxfId="167"/>
    <tableColumn id="2" xr3:uid="{4F9A8EE9-C1B7-4594-97F6-2C752CB5B3F7}" name="CONVOCATORIA" dataDxfId="502" totalsRowDxfId="166"/>
    <tableColumn id="3" xr3:uid="{9F340F51-9129-438B-9401-FDC473666581}" name="DIA" dataDxfId="501" totalsRowDxfId="165"/>
    <tableColumn id="4" xr3:uid="{57F91454-636A-4136-885E-F09D0F740636}" name="FECHA" dataDxfId="500" totalsRowDxfId="164"/>
    <tableColumn id="5" xr3:uid="{7C257943-4383-4DDB-BFA7-10C9FF0BE12D}" name="HORARIO" dataDxfId="499" totalsRowDxfId="163"/>
    <tableColumn id="6" xr3:uid="{06F9519B-4213-4E07-88B9-CB76933489BB}" name="SI" totalsRowFunction="sum" dataDxfId="498" totalsRowDxfId="162"/>
    <tableColumn id="14" xr3:uid="{4EDE977C-18BE-418F-8A92-C69413F8620C}" name="DEMORA" totalsRowFunction="sum" dataDxfId="497" totalsRowDxfId="161"/>
    <tableColumn id="7" xr3:uid="{0DF7F27D-7FBF-421D-9C95-C4453F6C01A1}" name="LLEGADA TARDE" totalsRowFunction="sum" dataDxfId="496" totalsRowDxfId="160"/>
    <tableColumn id="8" xr3:uid="{27D47CCD-9C63-4B42-9D32-F5C5B4B7CFA2}" name="NO CONVOCADO" totalsRowFunction="sum" dataDxfId="495" totalsRowDxfId="159"/>
    <tableColumn id="9" xr3:uid="{09677D47-6811-45DD-A1D1-39C1A5B837AB}" name="FALTO" totalsRowFunction="sum" dataDxfId="494" totalsRowDxfId="158"/>
    <tableColumn id="10" xr3:uid="{F7152AA1-F8AE-474A-AD9D-5CE71009588A}" name="MEDICA" totalsRowFunction="sum" dataDxfId="493" totalsRowDxfId="157"/>
    <tableColumn id="11" xr3:uid="{499043C8-B30F-4B9C-B12F-ADA6A9D62485}" name="VACACIONES" totalsRowFunction="sum" dataDxfId="492" totalsRowDxfId="156"/>
    <tableColumn id="12" xr3:uid="{EA177047-1C0F-48AC-B540-BB9C1DD1A029}" name="FRANCO POR DOMINGO" totalsRowFunction="sum" dataDxfId="491" totalsRowDxfId="155"/>
    <tableColumn id="13" xr3:uid="{AF8CC547-59B2-43FC-93FF-D37ADEFD5944}" name="OBSERVACION" dataDxfId="490" totalsRowDxfId="15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50FB6EE-2924-48F6-93AE-06D60AA7F48C}" name="Tabla323567891011121314151617181920212223243129" displayName="Tabla323567891011121314151617181920212223243129" ref="A5:N37" totalsRowCount="1" headerRowDxfId="489" dataDxfId="488">
  <autoFilter ref="A5:N36" xr:uid="{66339E81-1CB0-44D8-AE6C-C7C537B8139D}"/>
  <tableColumns count="14">
    <tableColumn id="1" xr3:uid="{2AA3CE31-2286-4A80-B7DD-C60912762D39}" name="ITEM" totalsRowLabel="Total" dataDxfId="487" totalsRowDxfId="153"/>
    <tableColumn id="2" xr3:uid="{0FE748E9-4C5B-45BA-9744-D25900757BFA}" name="CONVOCATORIA" dataDxfId="486" totalsRowDxfId="152"/>
    <tableColumn id="3" xr3:uid="{1AE8FF31-D67D-43A0-9AC3-A6A1D5854396}" name="DIA" dataDxfId="485" totalsRowDxfId="151"/>
    <tableColumn id="4" xr3:uid="{78DD61D8-F411-466C-85A9-970429953ED5}" name="FECHA" dataDxfId="484" totalsRowDxfId="150"/>
    <tableColumn id="5" xr3:uid="{277BA0E7-4E9B-48EE-9A38-BF9360D32DF4}" name="HORARIO" dataDxfId="483" totalsRowDxfId="149"/>
    <tableColumn id="6" xr3:uid="{D3209559-AFAB-4FA2-9020-8D0D8ABBC5D2}" name="SI" totalsRowFunction="sum" dataDxfId="482" totalsRowDxfId="148"/>
    <tableColumn id="14" xr3:uid="{A8310144-276B-403E-AF42-CDCEDED0A52F}" name="DEMORA" totalsRowFunction="sum" dataDxfId="481" totalsRowDxfId="147"/>
    <tableColumn id="7" xr3:uid="{66C511F4-AE8E-4116-8D34-A3AA151DF3F1}" name="LLEGADA TARDE" totalsRowFunction="sum" dataDxfId="480" totalsRowDxfId="146"/>
    <tableColumn id="8" xr3:uid="{9090C23D-9457-489F-8A62-CBCB7D1FA420}" name="NO CONVOCADO" totalsRowFunction="sum" dataDxfId="479" totalsRowDxfId="145"/>
    <tableColumn id="9" xr3:uid="{8538CA2D-8761-43D7-805A-4C4270393ADD}" name="FALTO" totalsRowFunction="sum" dataDxfId="478" totalsRowDxfId="144"/>
    <tableColumn id="10" xr3:uid="{8CC7605A-B9CF-4EDB-835A-EC5EC7ADD0DC}" name="MEDICA" totalsRowFunction="sum" dataDxfId="477" totalsRowDxfId="143"/>
    <tableColumn id="11" xr3:uid="{1CBDEC3F-E23E-4801-820B-31008E172D26}" name="VACACIONES" totalsRowFunction="sum" dataDxfId="476" totalsRowDxfId="142"/>
    <tableColumn id="12" xr3:uid="{255C5360-071C-4379-9777-F9C363285DD2}" name="FRANCO POR DOMINGO" totalsRowFunction="sum" dataDxfId="475" totalsRowDxfId="141"/>
    <tableColumn id="13" xr3:uid="{9B44C22D-87A3-4737-BCFB-3E0576EB6577}" name="OBSERVACION" dataDxfId="474" totalsRowDxfId="14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E4851C8-7E75-4033-8295-DA6F5D2D1B58}" name="Tabla323567891011121314151617181920212223243130" displayName="Tabla323567891011121314151617181920212223243130" ref="A5:N37" totalsRowCount="1" headerRowDxfId="473" dataDxfId="472">
  <autoFilter ref="A5:N36" xr:uid="{66339E81-1CB0-44D8-AE6C-C7C537B8139D}"/>
  <tableColumns count="14">
    <tableColumn id="1" xr3:uid="{2DDFCE1D-5544-4ACB-BC53-1D3655C4E358}" name="ITEM" totalsRowLabel="Total" dataDxfId="139" totalsRowDxfId="125"/>
    <tableColumn id="2" xr3:uid="{EAE8340A-B57C-4E2A-AB24-8E44C0B10AFE}" name="CONVOCATORIA" dataDxfId="138" totalsRowDxfId="124"/>
    <tableColumn id="3" xr3:uid="{9A04A2FD-28B1-40EF-81BD-1EC6269D1B6C}" name="DIA" dataDxfId="137" totalsRowDxfId="123"/>
    <tableColumn id="4" xr3:uid="{71AFB89F-CA43-4D5E-8004-7566DE34D8C3}" name="FECHA" dataDxfId="136" totalsRowDxfId="122"/>
    <tableColumn id="5" xr3:uid="{3C875824-4FD8-40E4-BD30-6EF097E7C12B}" name="HORARIO" dataDxfId="135" totalsRowDxfId="121"/>
    <tableColumn id="6" xr3:uid="{E24AE79F-F355-4ACB-B699-17994D84CE53}" name="SI" totalsRowFunction="sum" dataDxfId="134" totalsRowDxfId="120"/>
    <tableColumn id="14" xr3:uid="{8CE8C08D-BC2F-4258-B6B5-BD217358CE07}" name="DEMORA" totalsRowFunction="sum" dataDxfId="133" totalsRowDxfId="119"/>
    <tableColumn id="7" xr3:uid="{DF9BB50A-9129-4B04-B2C3-6142C17E86E8}" name="LLEGADA TARDE" totalsRowFunction="sum" dataDxfId="132" totalsRowDxfId="118"/>
    <tableColumn id="8" xr3:uid="{2D6BA4FF-B46A-4226-AF87-49C647A35233}" name="NO CONVOCADO" totalsRowFunction="sum" dataDxfId="131" totalsRowDxfId="117"/>
    <tableColumn id="9" xr3:uid="{8350D626-9BEB-492A-8FF3-0A84A8C70E72}" name="FALTO" totalsRowFunction="sum" dataDxfId="130" totalsRowDxfId="116"/>
    <tableColumn id="10" xr3:uid="{6B5CE3B7-9E04-4FB7-BFA4-BB062C93AA22}" name="MEDICA" totalsRowFunction="sum" dataDxfId="129" totalsRowDxfId="115"/>
    <tableColumn id="11" xr3:uid="{F6718FC5-B3EE-4433-B69F-DDFA5A5372A5}" name="VACACIONES" totalsRowFunction="sum" dataDxfId="128" totalsRowDxfId="114"/>
    <tableColumn id="12" xr3:uid="{1A800E1F-BEE4-4D89-AEFF-7D011B9AE205}" name="FRANCO POR DOMINGO" totalsRowFunction="sum" dataDxfId="127" totalsRowDxfId="113"/>
    <tableColumn id="13" xr3:uid="{990B5FF6-8787-468E-8E6E-EB9BD3463CDB}" name="OBSERVACION" dataDxfId="126" totalsRowDxfId="1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93C66FB-4594-4A84-B45C-68AD309196F1}" name="Tabla323567891011121314151617181920212223242535" displayName="Tabla323567891011121314151617181920212223242535" ref="A5:N37" totalsRowCount="1" headerRowDxfId="471" dataDxfId="470">
  <autoFilter ref="A5:N36" xr:uid="{66339E81-1CB0-44D8-AE6C-C7C537B8139D}"/>
  <tableColumns count="14">
    <tableColumn id="1" xr3:uid="{86DFD9D2-DA7C-4346-A399-C0F03E801C1C}" name="ITEM" totalsRowLabel="Total" dataDxfId="111" totalsRowDxfId="97"/>
    <tableColumn id="2" xr3:uid="{4FC2CBB6-42F3-4E29-BDD7-F15B172FE032}" name="CONVOCATORIA" dataDxfId="110" totalsRowDxfId="96"/>
    <tableColumn id="3" xr3:uid="{30B4D08A-0090-449C-BA42-27192E9A1457}" name="DIA" dataDxfId="109" totalsRowDxfId="95"/>
    <tableColumn id="4" xr3:uid="{57E0928D-5AC0-4EEC-A595-56A594B7B8B7}" name="FECHA" dataDxfId="108" totalsRowDxfId="94"/>
    <tableColumn id="5" xr3:uid="{E2E8B21A-11F6-40DD-B8D8-AACACD02E6F1}" name="HORARIO" dataDxfId="107" totalsRowDxfId="93"/>
    <tableColumn id="6" xr3:uid="{C616F3BC-042F-4EC5-9DA9-C122173EFBCE}" name="SI" totalsRowFunction="sum" dataDxfId="106" totalsRowDxfId="92"/>
    <tableColumn id="14" xr3:uid="{B998358F-3AC7-460C-9922-FE674B76F5BE}" name="DEMORA" totalsRowFunction="sum" dataDxfId="105" totalsRowDxfId="91"/>
    <tableColumn id="7" xr3:uid="{93CFD6DA-9605-43E4-96F0-F999EDC1B3C9}" name="LLEGADA TARDE" totalsRowFunction="sum" dataDxfId="104" totalsRowDxfId="90"/>
    <tableColumn id="8" xr3:uid="{55EADDAB-D939-47CE-8ACD-7557520D3300}" name="NO CONVOCADO" totalsRowFunction="sum" dataDxfId="103" totalsRowDxfId="89"/>
    <tableColumn id="9" xr3:uid="{D43F70FC-B664-49F0-875E-B53572CF3ACF}" name="FALTO" totalsRowFunction="sum" dataDxfId="102" totalsRowDxfId="88"/>
    <tableColumn id="10" xr3:uid="{EA96B244-4BD3-4123-A7E9-6B105A29D7CF}" name="MEDICA" totalsRowFunction="sum" dataDxfId="101" totalsRowDxfId="87"/>
    <tableColumn id="11" xr3:uid="{5FDC8FE8-7420-409B-8C53-4C2883DDC275}" name="VACACIONES" totalsRowFunction="sum" dataDxfId="100" totalsRowDxfId="86"/>
    <tableColumn id="12" xr3:uid="{116DD737-9F5B-4DA2-B57F-4611BE96994E}" name="FRANCO POR DOMINGO" totalsRowFunction="sum" dataDxfId="99" totalsRowDxfId="85"/>
    <tableColumn id="13" xr3:uid="{FCBE3A40-2157-4119-BD61-902B7B9514F7}" name="OBSERVACION" dataDxfId="98" totalsRowDxfId="8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09665D2-07D8-42D3-9316-7E2B2A985986}" name="Tabla3235678910111213141516171819202122232431" displayName="Tabla3235678910111213141516171819202122232431" ref="A5:N37" totalsRowCount="1" headerRowDxfId="469" dataDxfId="468">
  <autoFilter ref="A5:N36" xr:uid="{66339E81-1CB0-44D8-AE6C-C7C537B8139D}"/>
  <tableColumns count="14">
    <tableColumn id="1" xr3:uid="{250A0CF6-0FE3-4289-906F-158B9F7E1375}" name="ITEM" totalsRowLabel="Total" dataDxfId="83" totalsRowDxfId="69"/>
    <tableColumn id="2" xr3:uid="{FA5CD0A5-055C-4F20-BEEC-DA2BD8906EFA}" name="CONVOCATORIA" dataDxfId="82" totalsRowDxfId="68"/>
    <tableColumn id="3" xr3:uid="{2F6FCAC2-7B77-4FBA-A573-E1F4DEFFD844}" name="DIA" dataDxfId="81" totalsRowDxfId="67"/>
    <tableColumn id="4" xr3:uid="{7D8524AB-39BE-430B-84BC-39BA2A39B36F}" name="FECHA" dataDxfId="80" totalsRowDxfId="66"/>
    <tableColumn id="5" xr3:uid="{9D202349-73FC-482C-AEFA-DC1353FC95B9}" name="HORARIO" dataDxfId="79" totalsRowDxfId="65"/>
    <tableColumn id="6" xr3:uid="{B353155A-CE7A-43AD-B87F-66F15CED8CB2}" name="SI" totalsRowFunction="sum" dataDxfId="78" totalsRowDxfId="64"/>
    <tableColumn id="14" xr3:uid="{E88C8251-1C64-48F9-B729-A0AFACB236C4}" name="DEMORA" totalsRowFunction="sum" dataDxfId="77" totalsRowDxfId="63"/>
    <tableColumn id="7" xr3:uid="{9F1B85B1-419B-4109-85D2-E51485491203}" name="LLEGADA TARDE" totalsRowFunction="sum" dataDxfId="76" totalsRowDxfId="62"/>
    <tableColumn id="8" xr3:uid="{09623752-C98F-4D39-93F8-FAAAC0C7637A}" name="NO CONVOCADO" totalsRowFunction="sum" dataDxfId="75" totalsRowDxfId="61"/>
    <tableColumn id="9" xr3:uid="{564D935A-5A93-43C0-B493-DA65B36DDA15}" name="FALTO" totalsRowFunction="sum" dataDxfId="74" totalsRowDxfId="60"/>
    <tableColumn id="10" xr3:uid="{DC6C1232-1BB7-49DA-9EF3-8CDCB48F814F}" name="MEDICA" totalsRowFunction="sum" dataDxfId="73" totalsRowDxfId="59"/>
    <tableColumn id="11" xr3:uid="{AA81D6A6-F5BA-416D-951C-DEF45A6AF00E}" name="VACACIONES" totalsRowFunction="sum" dataDxfId="72" totalsRowDxfId="58"/>
    <tableColumn id="12" xr3:uid="{B6AC1D78-A592-4EDD-AD6B-F2332F5EDB9C}" name="FRANCO POR DOMINGO" totalsRowFunction="sum" dataDxfId="71" totalsRowDxfId="57"/>
    <tableColumn id="13" xr3:uid="{E6E53ED2-D4A4-4CA9-9204-38F0387872D6}" name="OBSERVACION" dataDxfId="70" totalsRowDxfId="5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5B8D7A3-4E0F-4139-83DE-614B4FEAD349}" name="Tabla32356789101112131415161718192021222324252627" displayName="Tabla32356789101112131415161718192021222324252627" ref="A5:N37" totalsRowCount="1" headerRowDxfId="467" dataDxfId="466">
  <autoFilter ref="A5:N36" xr:uid="{66339E81-1CB0-44D8-AE6C-C7C537B8139D}"/>
  <tableColumns count="14">
    <tableColumn id="1" xr3:uid="{D9AB22D5-817C-4001-82AB-88A4AC1700D9}" name="ITEM" totalsRowLabel="Total" dataDxfId="465" totalsRowDxfId="55"/>
    <tableColumn id="2" xr3:uid="{63D1146E-8B49-4CD4-B73E-EC4DC32204B4}" name="CONVOCATORIA" dataDxfId="464" totalsRowDxfId="54"/>
    <tableColumn id="3" xr3:uid="{FD830D48-20EC-43D4-80DF-D6880FA5F12B}" name="DIA" dataDxfId="463" totalsRowDxfId="53"/>
    <tableColumn id="4" xr3:uid="{BA5DC1FA-C57A-406C-811A-F5B9D0D893E7}" name="FECHA" dataDxfId="462" totalsRowDxfId="52"/>
    <tableColumn id="5" xr3:uid="{24E01883-B7EF-4643-AB3B-84926C681997}" name="HORARIO" dataDxfId="461" totalsRowDxfId="51"/>
    <tableColumn id="6" xr3:uid="{A3F94670-DF04-402B-B964-B6FD98845355}" name="SI" totalsRowFunction="sum" dataDxfId="460" totalsRowDxfId="50"/>
    <tableColumn id="14" xr3:uid="{2FC093A5-86C4-44C3-940A-BFD427969201}" name="DEMORA" totalsRowFunction="sum" dataDxfId="459" totalsRowDxfId="49"/>
    <tableColumn id="7" xr3:uid="{E57A1169-5C4F-4BBF-ACAB-C9CC87CB7C47}" name="LLEGADA TARDE" totalsRowFunction="sum" dataDxfId="458" totalsRowDxfId="48"/>
    <tableColumn id="8" xr3:uid="{77F89474-1349-4785-9A5D-3F8D55AF0B15}" name="NO CONVOCADO" totalsRowFunction="sum" dataDxfId="457" totalsRowDxfId="47"/>
    <tableColumn id="9" xr3:uid="{5C778059-9259-4430-AAA3-A3CAB2EE8EDE}" name="FALTO" totalsRowFunction="sum" dataDxfId="456" totalsRowDxfId="46"/>
    <tableColumn id="10" xr3:uid="{0FA6BD2F-B052-466F-B85D-C01253D93FDA}" name="MEDICA" totalsRowFunction="sum" dataDxfId="455" totalsRowDxfId="45"/>
    <tableColumn id="11" xr3:uid="{0001C8C4-CC52-499C-A341-8BF106DEA85E}" name="VACACIONES" totalsRowFunction="sum" dataDxfId="454" totalsRowDxfId="44"/>
    <tableColumn id="12" xr3:uid="{A3818C7D-1929-44A6-B2EF-800D5F7C6BF7}" name="FRANCO POR DOMINGO" totalsRowFunction="sum" dataDxfId="453" totalsRowDxfId="43"/>
    <tableColumn id="13" xr3:uid="{7384A555-7DD7-435D-800A-E086D0D99523}" name="OBSERVACION" dataDxfId="452" totalsRowDxfId="4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4586687-CE90-479A-A827-56ED1CB16081}" name="Tabla3235678910111213141516171819202122232425262728" displayName="Tabla3235678910111213141516171819202122232425262728" ref="A5:N37" totalsRowCount="1" headerRowDxfId="451" dataDxfId="450">
  <autoFilter ref="A5:N36" xr:uid="{66339E81-1CB0-44D8-AE6C-C7C537B8139D}"/>
  <tableColumns count="14">
    <tableColumn id="1" xr3:uid="{80649360-9C3A-4800-BB28-1923D3A2035C}" name="ITEM" totalsRowLabel="Total" dataDxfId="449" totalsRowDxfId="41"/>
    <tableColumn id="2" xr3:uid="{21141F57-3F88-46DB-9409-13A378312637}" name="CONVOCATORIA" dataDxfId="448" totalsRowDxfId="40"/>
    <tableColumn id="3" xr3:uid="{9B9213F2-B5E5-4A63-99F2-698731017007}" name="DIA" dataDxfId="447" totalsRowDxfId="39"/>
    <tableColumn id="4" xr3:uid="{D555D073-3A94-44D8-B1BD-D41345BA06CA}" name="FECHA" dataDxfId="446" totalsRowDxfId="38"/>
    <tableColumn id="5" xr3:uid="{B9879174-D3B9-421A-A06E-8C8EEC158B42}" name="HORARIO" dataDxfId="445" totalsRowDxfId="37"/>
    <tableColumn id="6" xr3:uid="{DA02780D-B3C5-412F-A05A-9B7D082A1B05}" name="SI" totalsRowFunction="sum" dataDxfId="444" totalsRowDxfId="36"/>
    <tableColumn id="14" xr3:uid="{DB4B5771-786F-4850-AACD-6D718BFC5702}" name="DEMORA" totalsRowFunction="sum" dataDxfId="443" totalsRowDxfId="35"/>
    <tableColumn id="7" xr3:uid="{AAC7A00F-E183-452A-B827-5F6DF9977A58}" name="LLEGADA TARDE" totalsRowFunction="sum" dataDxfId="442" totalsRowDxfId="34"/>
    <tableColumn id="8" xr3:uid="{BA1804D4-4BDD-4B9F-8C8C-6DCAE55E0F51}" name="NO CONVOCADO" totalsRowFunction="sum" dataDxfId="441" totalsRowDxfId="33"/>
    <tableColumn id="9" xr3:uid="{9249A009-05B7-44FE-9809-C33ED394F3B2}" name="FALTO" totalsRowFunction="sum" dataDxfId="440" totalsRowDxfId="32"/>
    <tableColumn id="10" xr3:uid="{C5137284-11C5-4CD8-B7C4-A2619B4F32AB}" name="MEDICA" totalsRowFunction="sum" dataDxfId="439" totalsRowDxfId="31"/>
    <tableColumn id="11" xr3:uid="{45695AB7-A7A7-4198-BCD3-67CC221493E4}" name="VACACIONES" totalsRowFunction="sum" dataDxfId="438" totalsRowDxfId="30"/>
    <tableColumn id="12" xr3:uid="{EC7F8B6A-41C5-42C6-AAD9-87CF29131FF1}" name="FRANCO POR DOMINGO" totalsRowFunction="sum" dataDxfId="437" totalsRowDxfId="29"/>
    <tableColumn id="13" xr3:uid="{742FE756-5A95-4AF1-A08B-1A2E7E1707ED}" name="OBSERVACION" dataDxfId="436" totalsRowDxfId="2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C12794-F443-4886-8D22-33D6107940C0}" name="Tabla3235678910111213141516171819202122232425262728293022" displayName="Tabla3235678910111213141516171819202122232425262728293022" ref="A5:N37" totalsRowCount="1" headerRowDxfId="435" dataDxfId="434">
  <autoFilter ref="A5:N36" xr:uid="{66339E81-1CB0-44D8-AE6C-C7C537B8139D}"/>
  <tableColumns count="14">
    <tableColumn id="1" xr3:uid="{99F2C1A1-EBFB-41A4-BBF8-44EEE8FB16CF}" name="ITEM" totalsRowLabel="Total" dataDxfId="433" totalsRowDxfId="27"/>
    <tableColumn id="2" xr3:uid="{C706C2CA-DFEF-4AF6-AF24-9410061F265C}" name="CONVOCATORIA" dataDxfId="432" totalsRowDxfId="26"/>
    <tableColumn id="3" xr3:uid="{15F7B944-964B-4783-A2E5-1D206F9E8223}" name="DIA" dataDxfId="431" totalsRowDxfId="25"/>
    <tableColumn id="4" xr3:uid="{5A131C82-ABE1-445E-946A-010390815EE1}" name="FECHA" dataDxfId="430" totalsRowDxfId="24"/>
    <tableColumn id="5" xr3:uid="{5573B4F2-1D3E-4E95-932F-6240B0642C5D}" name="HORARIO" dataDxfId="429" totalsRowDxfId="23"/>
    <tableColumn id="6" xr3:uid="{B3595CB0-B11D-477C-AF94-CB2BD5B72162}" name="SI" totalsRowFunction="sum" dataDxfId="428" totalsRowDxfId="22"/>
    <tableColumn id="14" xr3:uid="{4ED98B0C-C1C7-4A7C-95BB-B4345407C309}" name="DEMORA" totalsRowFunction="sum" dataDxfId="427" totalsRowDxfId="21"/>
    <tableColumn id="7" xr3:uid="{236606A0-EC7B-40FE-8EDC-470827ABC725}" name="LLEGADA TARDE" totalsRowFunction="sum" dataDxfId="426" totalsRowDxfId="20"/>
    <tableColumn id="8" xr3:uid="{532E5CCE-AA3C-46D4-BB3A-1EA851C6AC81}" name="NO CONVOCADO" totalsRowFunction="sum" dataDxfId="425" totalsRowDxfId="19"/>
    <tableColumn id="9" xr3:uid="{952F6A89-2F0B-4DB1-AD5A-FF7BC13D3903}" name="FALTO" totalsRowFunction="sum" dataDxfId="424" totalsRowDxfId="18"/>
    <tableColumn id="10" xr3:uid="{6BECDEC5-A6DC-4637-93CF-37193A1AAAC4}" name="MEDICA" totalsRowFunction="sum" dataDxfId="423" totalsRowDxfId="17"/>
    <tableColumn id="11" xr3:uid="{5EF475FA-6E7D-408C-893D-C451E4135A17}" name="VACACIONES" totalsRowFunction="sum" dataDxfId="422" totalsRowDxfId="16"/>
    <tableColumn id="12" xr3:uid="{FEBC3D9B-686E-4E25-829C-460AB915DF4C}" name="FRANCO POR DOMINGO" totalsRowFunction="sum" dataDxfId="421" totalsRowDxfId="15"/>
    <tableColumn id="13" xr3:uid="{1BD76AD6-0D63-4C08-A1A3-864813F93155}" name="OBSERVACION" dataDxfId="420" totalsRowDxfId="1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0F651D-AAAE-41A5-ABBB-763AA42D8215}" name="Tabla323567891011121314151617181920212223242526272829302233" displayName="Tabla323567891011121314151617181920212223242526272829302233" ref="A5:N37" totalsRowCount="1" headerRowDxfId="754" dataDxfId="753">
  <autoFilter ref="A5:N36" xr:uid="{66339E81-1CB0-44D8-AE6C-C7C537B8139D}"/>
  <tableColumns count="14">
    <tableColumn id="1" xr3:uid="{2620F9A0-EBEF-4D5E-991D-A213677DEB0C}" name="ITEM" totalsRowLabel="Total" dataDxfId="752" totalsRowDxfId="13"/>
    <tableColumn id="2" xr3:uid="{152CA989-77AD-4792-B8AE-4EE65DFAF922}" name="CONVOCATORIA" dataDxfId="751" totalsRowDxfId="12"/>
    <tableColumn id="3" xr3:uid="{FDC69A0B-90D0-4001-A338-89DB211F0BD2}" name="DIA" dataDxfId="750" totalsRowDxfId="11"/>
    <tableColumn id="4" xr3:uid="{D89D1C34-FA22-4353-8F5C-D2E991AA7447}" name="FECHA" dataDxfId="749" totalsRowDxfId="10"/>
    <tableColumn id="5" xr3:uid="{E7A53B98-BE37-4A0B-8D5C-05B69FA13E1B}" name="HORARIO" dataDxfId="748" totalsRowDxfId="9"/>
    <tableColumn id="6" xr3:uid="{EBB586BE-3160-4565-A345-2CDFBB34B90F}" name="SI" totalsRowFunction="sum" dataDxfId="747" totalsRowDxfId="8"/>
    <tableColumn id="14" xr3:uid="{BCB7C055-9C92-4D1F-8D31-3964B0007EE6}" name="DEMORA" totalsRowFunction="sum" dataDxfId="746" totalsRowDxfId="7"/>
    <tableColumn id="7" xr3:uid="{2CDC816F-26E6-44F1-9A8F-94D0889D40C9}" name="LLEGADA TARDE" totalsRowFunction="sum" dataDxfId="745" totalsRowDxfId="6"/>
    <tableColumn id="8" xr3:uid="{343FE381-6DCF-4503-B86A-E009E38A35DB}" name="NO CONVOCADO" totalsRowFunction="sum" dataDxfId="744" totalsRowDxfId="5"/>
    <tableColumn id="9" xr3:uid="{619BED55-01ED-4A05-8CC9-42F8557CA35D}" name="FALTO" totalsRowFunction="sum" dataDxfId="743" totalsRowDxfId="4"/>
    <tableColumn id="10" xr3:uid="{E5DA0B50-CD13-4577-8680-26D9804B98B9}" name="MEDICA" totalsRowFunction="sum" dataDxfId="742" totalsRowDxfId="3"/>
    <tableColumn id="11" xr3:uid="{65E2F93C-B9B0-455D-A864-6697EC840C9F}" name="VACACIONES" totalsRowFunction="sum" dataDxfId="741" totalsRowDxfId="2"/>
    <tableColumn id="12" xr3:uid="{7B7134B8-D4C0-421F-AAC5-A7A05D60528D}" name="FRANCO POR DOMINGO" totalsRowFunction="sum" dataDxfId="740" totalsRowDxfId="1"/>
    <tableColumn id="13" xr3:uid="{0D80C6DD-FC0E-4303-B7A0-C2519B695C98}" name="OBSERVACION" dataDxfId="73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98D7-42F9-4386-9222-EE21DC802A39}">
  <dimension ref="A1:B4"/>
  <sheetViews>
    <sheetView workbookViewId="0">
      <selection activeCell="F18" sqref="F18"/>
    </sheetView>
  </sheetViews>
  <sheetFormatPr baseColWidth="10" defaultRowHeight="15" x14ac:dyDescent="0.25"/>
  <cols>
    <col min="1" max="1" width="13.42578125" bestFit="1" customWidth="1"/>
    <col min="2" max="2" width="21" bestFit="1" customWidth="1"/>
  </cols>
  <sheetData>
    <row r="1" spans="1:2" x14ac:dyDescent="0.25">
      <c r="A1" s="128" t="s">
        <v>49</v>
      </c>
      <c r="B1" t="s">
        <v>53</v>
      </c>
    </row>
    <row r="2" spans="1:2" x14ac:dyDescent="0.25">
      <c r="A2" t="s">
        <v>52</v>
      </c>
      <c r="B2">
        <v>3</v>
      </c>
    </row>
    <row r="3" spans="1:2" x14ac:dyDescent="0.25">
      <c r="A3" t="s">
        <v>50</v>
      </c>
      <c r="B3">
        <v>14</v>
      </c>
    </row>
    <row r="4" spans="1:2" x14ac:dyDescent="0.25">
      <c r="A4" t="s">
        <v>51</v>
      </c>
      <c r="B4">
        <v>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BF9C-1AEA-42DB-8437-34E5400B3922}">
  <dimension ref="A2:L30"/>
  <sheetViews>
    <sheetView showGridLines="0" topLeftCell="A14" workbookViewId="0">
      <selection activeCell="C23" sqref="C23"/>
    </sheetView>
  </sheetViews>
  <sheetFormatPr baseColWidth="10" defaultRowHeight="15" x14ac:dyDescent="0.25"/>
  <cols>
    <col min="1" max="1" width="9.42578125" customWidth="1"/>
    <col min="2" max="2" width="23.28515625" customWidth="1"/>
    <col min="3" max="11" width="15.7109375" customWidth="1"/>
  </cols>
  <sheetData>
    <row r="2" spans="1:12" ht="33.75" customHeight="1" x14ac:dyDescent="0.25">
      <c r="A2" s="118" t="s">
        <v>1</v>
      </c>
      <c r="B2" s="119" t="s">
        <v>43</v>
      </c>
      <c r="C2" s="119" t="s">
        <v>44</v>
      </c>
      <c r="D2" s="119" t="s">
        <v>45</v>
      </c>
      <c r="E2" s="133" t="s">
        <v>6</v>
      </c>
      <c r="F2" s="119" t="s">
        <v>38</v>
      </c>
      <c r="G2" s="119" t="s">
        <v>46</v>
      </c>
      <c r="H2" s="119" t="s">
        <v>8</v>
      </c>
      <c r="I2" s="119" t="s">
        <v>9</v>
      </c>
      <c r="J2" s="119" t="s">
        <v>42</v>
      </c>
      <c r="K2" s="120" t="s">
        <v>49</v>
      </c>
      <c r="L2" s="113"/>
    </row>
    <row r="3" spans="1:12" x14ac:dyDescent="0.25">
      <c r="A3" s="121">
        <v>1</v>
      </c>
      <c r="B3" s="122" t="s">
        <v>34</v>
      </c>
      <c r="C3" s="134">
        <f>SUBTOTAL(109,Tabla3235678910[SI])</f>
        <v>0</v>
      </c>
      <c r="D3" s="114">
        <f>SUBTOTAL(109,Tabla3235678910[DEMORA])</f>
        <v>0</v>
      </c>
      <c r="E3" s="115">
        <f>SUBTOTAL(109,Tabla3235678910[LLEGADA TARDE])</f>
        <v>0</v>
      </c>
      <c r="F3" s="124">
        <f>SUBTOTAL(109,Tabla3235678910[NO CONVOCADO])</f>
        <v>0</v>
      </c>
      <c r="G3" s="116">
        <f>SUBTOTAL(109,Tabla3235678910[FALTO])</f>
        <v>0</v>
      </c>
      <c r="H3" s="126">
        <f>SUBTOTAL(109,Tabla3235678910[MEDICA])</f>
        <v>0</v>
      </c>
      <c r="I3" s="117">
        <f>SUBTOTAL(109,Tabla3235678910[VACACIONES])</f>
        <v>0</v>
      </c>
      <c r="J3" s="127">
        <f>SUBTOTAL(109,Tabla3235678910[FRANCO POR DOMINGO])</f>
        <v>0</v>
      </c>
      <c r="K3" s="143"/>
      <c r="L3" s="113"/>
    </row>
    <row r="4" spans="1:12" x14ac:dyDescent="0.25">
      <c r="A4" s="121">
        <v>3</v>
      </c>
      <c r="B4" s="122" t="s">
        <v>30</v>
      </c>
      <c r="C4" s="134">
        <f>SUBTOTAL(109,Tabla3235678910111213141516171819202122232431[SI])</f>
        <v>0</v>
      </c>
      <c r="D4" s="114">
        <f>SUBTOTAL(109,Tabla3235678910111213141516171819202122232431[DEMORA])</f>
        <v>0</v>
      </c>
      <c r="E4" s="115">
        <f>SUBTOTAL(109,Tabla3235678910111213141516171819202122232431[LLEGADA TARDE])</f>
        <v>0</v>
      </c>
      <c r="F4" s="124">
        <f>SUBTOTAL(109,Tabla3235678910111213141516171819202122232431[NO CONVOCADO])</f>
        <v>2</v>
      </c>
      <c r="G4" s="116">
        <f>SUBTOTAL(109,Tabla3235678910111213141516171819202122232431[FALTO])</f>
        <v>0</v>
      </c>
      <c r="H4" s="126">
        <f>SUBTOTAL(109,Tabla3235678910111213141516171819202122232431[MEDICA])</f>
        <v>0</v>
      </c>
      <c r="I4" s="117">
        <f>SUBTOTAL(109,Tabla3235678910111213141516171819202122232431[VACACIONES])</f>
        <v>0</v>
      </c>
      <c r="J4" s="127">
        <f>SUBTOTAL(109,Tabla3235678910111213141516171819202122232431[FRANCO POR DOMINGO])</f>
        <v>0</v>
      </c>
      <c r="K4" s="143"/>
      <c r="L4" s="113"/>
    </row>
    <row r="5" spans="1:12" x14ac:dyDescent="0.25">
      <c r="A5" s="121">
        <v>4</v>
      </c>
      <c r="B5" s="123" t="s">
        <v>28</v>
      </c>
      <c r="C5" s="134">
        <f>SUBTOTAL(109,Tabla3235678910111213141516171819[SI])</f>
        <v>0</v>
      </c>
      <c r="D5" s="114">
        <f>SUBTOTAL(109,Tabla3235678910111213141516171819[DEMORA])</f>
        <v>0</v>
      </c>
      <c r="E5" s="115">
        <f>SUBTOTAL(109,Tabla3235678910111213141516171819[LLEGADA TARDE])</f>
        <v>0</v>
      </c>
      <c r="F5" s="124">
        <f>SUBTOTAL(109,Tabla3235678910111213141516171819[NO CONVOCADO])</f>
        <v>0</v>
      </c>
      <c r="G5" s="116">
        <f>SUBTOTAL(109,Tabla3235678910111213141516171819[FALTO])</f>
        <v>0</v>
      </c>
      <c r="H5" s="126">
        <f>SUBTOTAL(109,Tabla3235678910111213141516171819[MEDICA])</f>
        <v>0</v>
      </c>
      <c r="I5" s="117">
        <f>SUBTOTAL(109,Tabla3235678910111213141516171819[VACACIONES])</f>
        <v>0</v>
      </c>
      <c r="J5" s="127">
        <f>SUBTOTAL(109,Tabla3235678910111213141516171819[FRANCO POR DOMINGO])</f>
        <v>0</v>
      </c>
      <c r="K5" s="143"/>
      <c r="L5" s="113"/>
    </row>
    <row r="6" spans="1:12" x14ac:dyDescent="0.25">
      <c r="A6" s="121">
        <v>5</v>
      </c>
      <c r="B6" s="122" t="s">
        <v>29</v>
      </c>
      <c r="C6" s="134">
        <f>SUBTOTAL(109,Tabla32356789101112131415161718192021[SI])</f>
        <v>0</v>
      </c>
      <c r="D6" s="114">
        <f>SUBTOTAL(109,Tabla32356789101112131415161718192021[DEMORA])</f>
        <v>0</v>
      </c>
      <c r="E6" s="115">
        <f>SUBTOTAL(109,Tabla32356789101112131415161718192021[LLEGADA TARDE])</f>
        <v>5</v>
      </c>
      <c r="F6" s="124">
        <f>SUBTOTAL(109,Tabla32356789101112131415161718192021[NO CONVOCADO])</f>
        <v>1</v>
      </c>
      <c r="G6" s="116">
        <f>SUBTOTAL(109,Tabla32356789101112131415161718192021[FALTO])</f>
        <v>0</v>
      </c>
      <c r="H6" s="126">
        <f>SUBTOTAL(109,Tabla32356789101112131415161718192021[MEDICA])</f>
        <v>0</v>
      </c>
      <c r="I6" s="117">
        <f>SUBTOTAL(109,Tabla32356789101112131415161718192021[VACACIONES])</f>
        <v>0</v>
      </c>
      <c r="J6" s="127">
        <f>SUBTOTAL(109,Tabla32356789101112131415161718192021[FRANCO POR DOMINGO])</f>
        <v>1</v>
      </c>
      <c r="K6" s="143"/>
      <c r="L6" s="113"/>
    </row>
    <row r="7" spans="1:12" x14ac:dyDescent="0.25">
      <c r="A7" s="121">
        <v>6</v>
      </c>
      <c r="B7" s="123" t="s">
        <v>47</v>
      </c>
      <c r="C7" s="134">
        <f>SUBTOTAL(109,Tabla3235678[SI])</f>
        <v>0</v>
      </c>
      <c r="D7" s="114">
        <f>SUBTOTAL(109,Tabla3235678[DEMORA])</f>
        <v>0</v>
      </c>
      <c r="E7" s="115">
        <f>SUBTOTAL(109,Tabla3235678[LLEGADA TARDE])</f>
        <v>0</v>
      </c>
      <c r="F7" s="124">
        <f>SUBTOTAL(109,Tabla3235678[NO CONVOCADO])</f>
        <v>0</v>
      </c>
      <c r="G7" s="116">
        <f>SUBTOTAL(109,Tabla3235678[FALTO])</f>
        <v>0</v>
      </c>
      <c r="H7" s="126">
        <f>SUBTOTAL(109,Tabla3235678[MEDICA])</f>
        <v>0</v>
      </c>
      <c r="I7" s="117">
        <f>SUBTOTAL(109,Tabla3235678[VACACIONES])</f>
        <v>0</v>
      </c>
      <c r="J7" s="127">
        <f>SUBTOTAL(109,Tabla3235678[FRANCO POR DOMINGO])</f>
        <v>0</v>
      </c>
      <c r="K7" s="143"/>
      <c r="L7" s="113"/>
    </row>
    <row r="8" spans="1:12" x14ac:dyDescent="0.25">
      <c r="A8" s="121">
        <v>7</v>
      </c>
      <c r="B8" s="122" t="s">
        <v>25</v>
      </c>
      <c r="C8" s="134">
        <f>SUBTOTAL(109,Tabla323567891011121314[SI])</f>
        <v>0</v>
      </c>
      <c r="D8" s="114">
        <f>SUBTOTAL(109,Tabla323567891011121314[DEMORA])</f>
        <v>0</v>
      </c>
      <c r="E8" s="115">
        <f>SUBTOTAL(109,Tabla323567891011121314[LLEGADA TARDE])</f>
        <v>0</v>
      </c>
      <c r="F8" s="124">
        <f>SUBTOTAL(109,Tabla323567891011121314[NO CONVOCADO])</f>
        <v>0</v>
      </c>
      <c r="G8" s="116">
        <f>SUBTOTAL(109,Tabla323567891011121314[FALTO])</f>
        <v>0</v>
      </c>
      <c r="H8" s="126">
        <f>SUBTOTAL(109,Tabla323567891011121314[MEDICA])</f>
        <v>0</v>
      </c>
      <c r="I8" s="117">
        <f>SUBTOTAL(109,Tabla323567891011121314[VACACIONES])</f>
        <v>0</v>
      </c>
      <c r="J8" s="127">
        <f>SUBTOTAL(109,Tabla323567891011121314[FRANCO POR DOMINGO])</f>
        <v>0</v>
      </c>
      <c r="K8" s="143"/>
      <c r="L8" s="113"/>
    </row>
    <row r="9" spans="1:12" x14ac:dyDescent="0.25">
      <c r="A9" s="121">
        <v>8</v>
      </c>
      <c r="B9" s="123" t="s">
        <v>27</v>
      </c>
      <c r="C9" s="134">
        <f>SUBTOTAL(109,Tabla323567891011121314151617[SI])</f>
        <v>0</v>
      </c>
      <c r="D9" s="114">
        <f>SUBTOTAL(109,Tabla323567891011121314151617[DEMORA])</f>
        <v>0</v>
      </c>
      <c r="E9" s="115">
        <f>SUBTOTAL(109,Tabla323567891011121314151617[LLEGADA TARDE])</f>
        <v>0</v>
      </c>
      <c r="F9" s="124">
        <f>SUBTOTAL(109,Tabla323567891011121314151617[NO CONVOCADO])</f>
        <v>0</v>
      </c>
      <c r="G9" s="116">
        <f>SUBTOTAL(109,Tabla323567891011121314151617[FALTO])</f>
        <v>0</v>
      </c>
      <c r="H9" s="126">
        <f>SUBTOTAL(109,Tabla323567891011121314151617[MEDICA])</f>
        <v>0</v>
      </c>
      <c r="I9" s="117">
        <f>SUBTOTAL(109,Tabla323567891011121314151617[VACACIONES])</f>
        <v>0</v>
      </c>
      <c r="J9" s="127">
        <f>SUBTOTAL(109,Tabla323567891011121314151617[FRANCO POR DOMINGO])</f>
        <v>0</v>
      </c>
      <c r="K9" s="143"/>
      <c r="L9" s="113"/>
    </row>
    <row r="10" spans="1:12" x14ac:dyDescent="0.25">
      <c r="A10" s="121">
        <v>9</v>
      </c>
      <c r="B10" s="122" t="s">
        <v>48</v>
      </c>
      <c r="C10" s="134">
        <f>SUBTOTAL(109,Tabla323567891011121314151617181920212223243130[SI])</f>
        <v>1</v>
      </c>
      <c r="D10" s="114">
        <f>SUBTOTAL(109,Tabla323567891011121314151617181920212223243130[DEMORA])</f>
        <v>0</v>
      </c>
      <c r="E10" s="115">
        <f>SUBTOTAL(109,Tabla323567891011121314151617181920212223243130[LLEGADA TARDE])</f>
        <v>0</v>
      </c>
      <c r="F10" s="124">
        <f>SUBTOTAL(109,Tabla323567891011121314151617181920212223243130[NO CONVOCADO])</f>
        <v>2</v>
      </c>
      <c r="G10" s="116">
        <f>SUBTOTAL(109,Tabla323567891011121314151617181920212223243130[FALTO])</f>
        <v>0</v>
      </c>
      <c r="H10" s="126">
        <f>SUBTOTAL(109,Tabla323567891011121314151617181920212223243130[MEDICA])</f>
        <v>0</v>
      </c>
      <c r="I10" s="117">
        <f>SUBTOTAL(109,Tabla323567891011121314151617181920212223243130[VACACIONES])</f>
        <v>0</v>
      </c>
      <c r="J10" s="127">
        <f>SUBTOTAL(109,Tabla323567891011121314151617181920212223243130[FRANCO POR DOMINGO])</f>
        <v>0</v>
      </c>
      <c r="K10" s="143"/>
      <c r="L10" s="113"/>
    </row>
    <row r="11" spans="1:12" x14ac:dyDescent="0.25">
      <c r="A11" s="121">
        <v>10</v>
      </c>
      <c r="B11" s="123" t="s">
        <v>18</v>
      </c>
      <c r="C11" s="134">
        <f>SUBTOTAL(109,Tabla32[SI])</f>
        <v>5</v>
      </c>
      <c r="D11" s="114">
        <f>SUBTOTAL(109,Tabla32[DEMORA])</f>
        <v>0</v>
      </c>
      <c r="E11" s="115">
        <f>SUBTOTAL(109,Tabla32[LLEGADA TARDE])</f>
        <v>0</v>
      </c>
      <c r="F11" s="124">
        <f>SUBTOTAL(109,Tabla32[NO CONVOCADO])</f>
        <v>0</v>
      </c>
      <c r="G11" s="116">
        <f>SUBTOTAL(109,Tabla32[FALTO])</f>
        <v>0</v>
      </c>
      <c r="H11" s="126">
        <f>SUBTOTAL(109,Tabla32[MEDICA])</f>
        <v>0</v>
      </c>
      <c r="I11" s="117">
        <f>SUBTOTAL(109,Tabla32[VACACIONES])</f>
        <v>0</v>
      </c>
      <c r="J11" s="127">
        <f>SUBTOTAL(109,Tabla32[FRANCO POR DOMINGO])</f>
        <v>0</v>
      </c>
      <c r="K11" s="143"/>
      <c r="L11" s="113"/>
    </row>
    <row r="12" spans="1:12" x14ac:dyDescent="0.25">
      <c r="A12" s="121">
        <v>11</v>
      </c>
      <c r="B12" s="122" t="s">
        <v>36</v>
      </c>
      <c r="C12" s="134">
        <f>SUBTOTAL(109,Tabla323567891011121314151617181920212223243129[SI])</f>
        <v>0</v>
      </c>
      <c r="D12" s="114">
        <f>SUBTOTAL(109,Tabla323567891011121314151617181920212223243129[DEMORA])</f>
        <v>0</v>
      </c>
      <c r="E12" s="115">
        <f>SUBTOTAL(109,Tabla323567891011121314151617181920212223243129[LLEGADA TARDE])</f>
        <v>0</v>
      </c>
      <c r="F12" s="124">
        <f>SUBTOTAL(109,Tabla323567891011121314151617181920212223243129[NO CONVOCADO])</f>
        <v>0</v>
      </c>
      <c r="G12" s="116">
        <f>SUBTOTAL(109,Tabla323567891011121314151617181920212223243129[FALTO])</f>
        <v>0</v>
      </c>
      <c r="H12" s="126">
        <f>SUBTOTAL(109,Tabla323567891011121314151617181920212223243129[MEDICA])</f>
        <v>0</v>
      </c>
      <c r="I12" s="117">
        <f>SUBTOTAL(109,Tabla323567891011121314151617181920212223243129[VACACIONES])</f>
        <v>0</v>
      </c>
      <c r="J12" s="127">
        <f>SUBTOTAL(109,Tabla323567891011121314151617181920212223243129[FRANCO POR DOMINGO])</f>
        <v>0</v>
      </c>
      <c r="K12" s="143"/>
      <c r="L12" s="113"/>
    </row>
    <row r="13" spans="1:12" x14ac:dyDescent="0.25">
      <c r="A13" s="121">
        <v>12</v>
      </c>
      <c r="B13" s="123" t="s">
        <v>17</v>
      </c>
      <c r="C13" s="134">
        <f>SUBTOTAL(109,Tabla3235[SI])</f>
        <v>0</v>
      </c>
      <c r="D13" s="114">
        <f>SUBTOTAL(109,Tabla3235[DEMORA])</f>
        <v>0</v>
      </c>
      <c r="E13" s="115">
        <f>SUBTOTAL(109,Tabla3235[LLEGADA TARDE])</f>
        <v>0</v>
      </c>
      <c r="F13" s="124">
        <f>SUBTOTAL(109,Tabla3235[NO CONVOCADO])</f>
        <v>0</v>
      </c>
      <c r="G13" s="116">
        <f>SUBTOTAL(109,Tabla3235[FALTO])</f>
        <v>0</v>
      </c>
      <c r="H13" s="126">
        <f>SUBTOTAL(109,Tabla3235[MEDICA])</f>
        <v>0</v>
      </c>
      <c r="I13" s="117">
        <f>SUBTOTAL(109,Tabla3235[VACACIONES])</f>
        <v>0</v>
      </c>
      <c r="J13" s="127">
        <f>SUBTOTAL(109,Tabla3235[FRANCO POR DOMINGO])</f>
        <v>0</v>
      </c>
      <c r="K13" s="143"/>
      <c r="L13" s="113"/>
    </row>
    <row r="14" spans="1:12" x14ac:dyDescent="0.25">
      <c r="A14" s="121">
        <v>13</v>
      </c>
      <c r="B14" s="122" t="s">
        <v>22</v>
      </c>
      <c r="C14" s="134">
        <f>SUBTOTAL(109,Tabla323567891011[SI])</f>
        <v>2</v>
      </c>
      <c r="D14" s="114">
        <f>SUBTOTAL(109,Tabla323567891011[DEMORA])</f>
        <v>1</v>
      </c>
      <c r="E14" s="115">
        <f>SUBTOTAL(109,Tabla323567891011[LLEGADA TARDE])</f>
        <v>0</v>
      </c>
      <c r="F14" s="124">
        <f>SUBTOTAL(109,Tabla323567891011[NO CONVOCADO])</f>
        <v>4</v>
      </c>
      <c r="G14" s="116">
        <f>SUBTOTAL(109,Tabla323567891011[FALTO])</f>
        <v>0</v>
      </c>
      <c r="H14" s="126">
        <f>SUBTOTAL(109,Tabla323567891011[MEDICA])</f>
        <v>0</v>
      </c>
      <c r="I14" s="117">
        <f>SUBTOTAL(109,Tabla323567891011[VACACIONES])</f>
        <v>0</v>
      </c>
      <c r="J14" s="127">
        <f>SUBTOTAL(109,Tabla323567891011[FRANCO POR DOMINGO])</f>
        <v>0</v>
      </c>
      <c r="K14" s="143"/>
      <c r="L14" s="113"/>
    </row>
    <row r="15" spans="1:12" x14ac:dyDescent="0.25">
      <c r="A15" s="121">
        <v>14</v>
      </c>
      <c r="B15" s="122" t="s">
        <v>16</v>
      </c>
      <c r="C15" s="134">
        <f>SUBTOTAL(109,Tabla3[SI])</f>
        <v>2</v>
      </c>
      <c r="D15" s="114">
        <f>SUBTOTAL(109,Tabla3[DEMORA])</f>
        <v>2</v>
      </c>
      <c r="E15" s="115">
        <f>SUBTOTAL(109,Tabla3[LLEGADA TARDE])</f>
        <v>1</v>
      </c>
      <c r="F15" s="124">
        <f>SUBTOTAL(109,Tabla3[NO CONVOCADO])</f>
        <v>2</v>
      </c>
      <c r="G15" s="116">
        <f>SUBTOTAL(109,Tabla3[FALTO])</f>
        <v>0</v>
      </c>
      <c r="H15" s="126">
        <f>SUBTOTAL(109,Tabla3[MEDICA])</f>
        <v>0</v>
      </c>
      <c r="I15" s="117">
        <f>SUBTOTAL(109,Tabla3[VACACIONES])</f>
        <v>0</v>
      </c>
      <c r="J15" s="127">
        <f>SUBTOTAL(109,Tabla3[FRANCO POR DOMINGO])</f>
        <v>0</v>
      </c>
      <c r="K15" s="144"/>
      <c r="L15" s="113"/>
    </row>
    <row r="16" spans="1:12" x14ac:dyDescent="0.25">
      <c r="A16" s="121">
        <v>15</v>
      </c>
      <c r="B16" s="123" t="s">
        <v>35</v>
      </c>
      <c r="C16" s="134">
        <f>SUBTOTAL(109,Tabla315[SI])</f>
        <v>2</v>
      </c>
      <c r="D16" s="114">
        <f>SUBTOTAL(109,Tabla315[DEMORA])</f>
        <v>3</v>
      </c>
      <c r="E16" s="115">
        <f>SUBTOTAL(109,Tabla315[LLEGADA TARDE])</f>
        <v>0</v>
      </c>
      <c r="F16" s="124">
        <f>SUBTOTAL(109,Tabla315[NO CONVOCADO])</f>
        <v>2</v>
      </c>
      <c r="G16" s="116">
        <f>SUBTOTAL(109,Tabla315[FALTO])</f>
        <v>0</v>
      </c>
      <c r="H16" s="126">
        <f>SUBTOTAL(109,Tabla315[MEDICA])</f>
        <v>0</v>
      </c>
      <c r="I16" s="117">
        <f>SUBTOTAL(109,Tabla315[VACACIONES])</f>
        <v>0</v>
      </c>
      <c r="J16" s="127">
        <f>SUBTOTAL(109,Tabla315[FRANCO POR DOMINGO])</f>
        <v>0</v>
      </c>
      <c r="K16" s="145"/>
      <c r="L16" s="113"/>
    </row>
    <row r="17" spans="1:12" x14ac:dyDescent="0.25">
      <c r="A17" s="121">
        <v>16</v>
      </c>
      <c r="B17" s="123" t="s">
        <v>24</v>
      </c>
      <c r="C17" s="134">
        <f>SUBTOTAL(109,Tabla3235678910111213[SI])</f>
        <v>3</v>
      </c>
      <c r="D17" s="114">
        <f>SUBTOTAL(109,Tabla3235678910111213[DEMORA])</f>
        <v>2</v>
      </c>
      <c r="E17" s="115">
        <f>SUBTOTAL(109,Tabla3235678910111213[LLEGADA TARDE])</f>
        <v>0</v>
      </c>
      <c r="F17" s="124">
        <f>SUBTOTAL(109,Tabla3235678910111213[NO CONVOCADO])</f>
        <v>2</v>
      </c>
      <c r="G17" s="116">
        <f>SUBTOTAL(109,Tabla3235678910111213[FALTO])</f>
        <v>0</v>
      </c>
      <c r="H17" s="126">
        <f>SUBTOTAL(109,Tabla3235678910111213[MEDICA])</f>
        <v>0</v>
      </c>
      <c r="I17" s="117">
        <f>SUBTOTAL(109,Tabla3235678910111213[VACACIONES])</f>
        <v>0</v>
      </c>
      <c r="J17" s="127">
        <f>SUBTOTAL(109,Tabla3235678910111213[FRANCO POR DOMINGO])</f>
        <v>0</v>
      </c>
      <c r="K17" s="145"/>
      <c r="L17" s="113"/>
    </row>
    <row r="18" spans="1:12" x14ac:dyDescent="0.25">
      <c r="A18" s="121">
        <v>17</v>
      </c>
      <c r="B18" s="122" t="s">
        <v>26</v>
      </c>
      <c r="C18" s="134">
        <f>SUBTOTAL(109,Tabla3235678910111213141516[SI])</f>
        <v>0</v>
      </c>
      <c r="D18" s="114">
        <f>SUBTOTAL(109,Tabla3235678910111213141516[DEMORA])</f>
        <v>0</v>
      </c>
      <c r="E18" s="115">
        <f>SUBTOTAL(109,Tabla3235678910111213141516[LLEGADA TARDE])</f>
        <v>0</v>
      </c>
      <c r="F18" s="124">
        <f>SUBTOTAL(109,Tabla3235678910111213141516[NO CONVOCADO])</f>
        <v>0</v>
      </c>
      <c r="G18" s="116">
        <f>SUBTOTAL(109,Tabla3235678910111213141516[FALTO])</f>
        <v>0</v>
      </c>
      <c r="H18" s="126">
        <f>SUBTOTAL(109,Tabla3235678910111213141516[MEDICA])</f>
        <v>0</v>
      </c>
      <c r="I18" s="117">
        <f>SUBTOTAL(109,Tabla3235678910111213141516[VACACIONES])</f>
        <v>0</v>
      </c>
      <c r="J18" s="127">
        <f>SUBTOTAL(109,Tabla3235678910111213141516[FRANCO POR DOMINGO])</f>
        <v>0</v>
      </c>
      <c r="K18" s="143"/>
      <c r="L18" s="113"/>
    </row>
    <row r="19" spans="1:12" x14ac:dyDescent="0.25">
      <c r="A19" s="121">
        <v>18</v>
      </c>
      <c r="B19" s="123" t="s">
        <v>23</v>
      </c>
      <c r="C19" s="134">
        <f>SUBTOTAL(109,Tabla32356789101112[SI])</f>
        <v>2</v>
      </c>
      <c r="D19" s="114">
        <f>SUBTOTAL(109,Tabla32356789101112[DEMORA])</f>
        <v>3</v>
      </c>
      <c r="E19" s="115">
        <f>SUBTOTAL(109,Tabla32356789101112[LLEGADA TARDE])</f>
        <v>0</v>
      </c>
      <c r="F19" s="124">
        <f>SUBTOTAL(109,Tabla32356789101112[NO CONVOCADO])</f>
        <v>2</v>
      </c>
      <c r="G19" s="116">
        <f>SUBTOTAL(109,Tabla32356789101112[FALTO])</f>
        <v>0</v>
      </c>
      <c r="H19" s="126">
        <f>SUBTOTAL(109,Tabla32356789101112[MEDICA])</f>
        <v>0</v>
      </c>
      <c r="I19" s="117">
        <f>SUBTOTAL(109,Tabla32356789101112[VACACIONES])</f>
        <v>0</v>
      </c>
      <c r="J19" s="127">
        <f>SUBTOTAL(109,Tabla32356789101112[FRANCO POR DOMINGO])</f>
        <v>0</v>
      </c>
      <c r="K19" s="145"/>
      <c r="L19" s="113"/>
    </row>
    <row r="20" spans="1:12" x14ac:dyDescent="0.25">
      <c r="A20" s="121">
        <v>19</v>
      </c>
      <c r="B20" s="122" t="s">
        <v>20</v>
      </c>
      <c r="C20" s="134">
        <f>SUBTOTAL(109,Tabla323567[SI])</f>
        <v>0</v>
      </c>
      <c r="D20" s="114">
        <f>SUBTOTAL(109,Tabla323567[DEMORA])</f>
        <v>0</v>
      </c>
      <c r="E20" s="115">
        <f>SUBTOTAL(109,Tabla323567[LLEGADA TARDE])</f>
        <v>0</v>
      </c>
      <c r="F20" s="124">
        <f>SUBTOTAL(109,Tabla323567[NO CONVOCADO])</f>
        <v>0</v>
      </c>
      <c r="G20" s="116">
        <f>SUBTOTAL(109,Tabla323567[FALTO])</f>
        <v>0</v>
      </c>
      <c r="H20" s="126">
        <f>SUBTOTAL(109,Tabla323567[MEDICA])</f>
        <v>0</v>
      </c>
      <c r="I20" s="117">
        <f>SUBTOTAL(109,Tabla323567[VACACIONES])</f>
        <v>0</v>
      </c>
      <c r="J20" s="127">
        <f>SUBTOTAL(109,Tabla323567[FRANCO POR DOMINGO])</f>
        <v>0</v>
      </c>
      <c r="K20" s="143"/>
      <c r="L20" s="113"/>
    </row>
    <row r="21" spans="1:12" x14ac:dyDescent="0.25">
      <c r="A21" s="121">
        <v>20</v>
      </c>
      <c r="B21" s="123" t="s">
        <v>19</v>
      </c>
      <c r="C21" s="134">
        <f>SUBTOTAL(109,Tabla323[SI])</f>
        <v>0</v>
      </c>
      <c r="D21" s="114">
        <f>SUBTOTAL(109,Tabla323[DEMORA])</f>
        <v>0</v>
      </c>
      <c r="E21" s="115">
        <f>SUBTOTAL(109,Tabla323[LLEGADA TARDE])</f>
        <v>0</v>
      </c>
      <c r="F21" s="124">
        <f>SUBTOTAL(109,Tabla323[NO CONVOCADO])</f>
        <v>0</v>
      </c>
      <c r="G21" s="116">
        <f>SUBTOTAL(109,Tabla323[FALTO])</f>
        <v>0</v>
      </c>
      <c r="H21" s="126">
        <f>SUBTOTAL(109,Tabla323[MEDICA])</f>
        <v>0</v>
      </c>
      <c r="I21" s="117">
        <f>SUBTOTAL(109,Tabla323[VACACIONES])</f>
        <v>0</v>
      </c>
      <c r="J21" s="127">
        <f>SUBTOTAL(109,Tabla323[FRANCO POR DOMINGO])</f>
        <v>0</v>
      </c>
      <c r="K21" s="143"/>
      <c r="L21" s="113"/>
    </row>
    <row r="22" spans="1:12" x14ac:dyDescent="0.25">
      <c r="A22" s="121">
        <v>21</v>
      </c>
      <c r="B22" s="125" t="s">
        <v>37</v>
      </c>
      <c r="C22" s="134">
        <f>SUBTOTAL(109,Tabla323567891011121314151617181920212223242535[SI])</f>
        <v>0</v>
      </c>
      <c r="D22" s="114">
        <f>SUBTOTAL(109,Tabla323567891011121314151617181920212223242535[DEMORA])</f>
        <v>0</v>
      </c>
      <c r="E22" s="115">
        <f>SUBTOTAL(109,Tabla323567891011121314151617181920212223242535[LLEGADA TARDE])</f>
        <v>0</v>
      </c>
      <c r="F22" s="124">
        <f>SUBTOTAL(109,Tabla323567891011121314151617181920212223242535[NO CONVOCADO])</f>
        <v>0</v>
      </c>
      <c r="G22" s="116">
        <f>SUBTOTAL(109,Tabla323567891011121314151617181920212223242535[FALTO])</f>
        <v>0</v>
      </c>
      <c r="H22" s="126">
        <f>SUBTOTAL(109,Tabla323567891011121314151617181920212223242535[MEDICA])</f>
        <v>0</v>
      </c>
      <c r="I22" s="117">
        <f>SUBTOTAL(109,Tabla323567891011121314151617181920212223242535[VACACIONES])</f>
        <v>0</v>
      </c>
      <c r="J22" s="127">
        <f>SUBTOTAL(109,Tabla323567891011121314151617181920212223242535[FRANCO POR DOMINGO])</f>
        <v>0</v>
      </c>
      <c r="K22" s="146"/>
      <c r="L22" s="113"/>
    </row>
    <row r="23" spans="1:12" x14ac:dyDescent="0.25">
      <c r="A23" s="150" t="s">
        <v>0</v>
      </c>
      <c r="B23" s="151"/>
      <c r="C23" s="153">
        <f>SUBTOTAL(109,Tabla5[ASISTENCIA])</f>
        <v>0</v>
      </c>
      <c r="D23" s="154"/>
      <c r="E23" s="155"/>
      <c r="F23" s="156"/>
      <c r="G23" s="157"/>
      <c r="H23" s="158"/>
      <c r="I23" s="159"/>
      <c r="J23" s="160"/>
      <c r="K23" s="152">
        <f>SUBTOTAL(103,Tabla5[SEMAFORO])</f>
        <v>0</v>
      </c>
    </row>
    <row r="25" spans="1:12" x14ac:dyDescent="0.25">
      <c r="C25" s="135"/>
      <c r="D25" s="135"/>
      <c r="E25" s="135"/>
      <c r="F25" s="135"/>
    </row>
    <row r="26" spans="1:12" ht="33" customHeight="1" x14ac:dyDescent="0.25">
      <c r="B26" s="176" t="s">
        <v>54</v>
      </c>
      <c r="C26" s="176"/>
      <c r="D26" s="176"/>
      <c r="E26" s="176"/>
    </row>
    <row r="27" spans="1:12" ht="30" x14ac:dyDescent="0.25">
      <c r="B27" s="140" t="s">
        <v>49</v>
      </c>
      <c r="C27" s="140" t="s">
        <v>45</v>
      </c>
      <c r="D27" s="141" t="s">
        <v>55</v>
      </c>
      <c r="E27" s="140" t="s">
        <v>56</v>
      </c>
    </row>
    <row r="28" spans="1:12" x14ac:dyDescent="0.25">
      <c r="B28" s="137"/>
      <c r="C28" s="136" t="s">
        <v>57</v>
      </c>
      <c r="D28" s="136" t="s">
        <v>64</v>
      </c>
      <c r="E28" s="136">
        <v>0</v>
      </c>
    </row>
    <row r="29" spans="1:12" x14ac:dyDescent="0.25">
      <c r="B29" s="138"/>
      <c r="C29" s="136" t="s">
        <v>58</v>
      </c>
      <c r="D29" s="136" t="s">
        <v>59</v>
      </c>
      <c r="E29" s="136">
        <v>1</v>
      </c>
    </row>
    <row r="30" spans="1:12" x14ac:dyDescent="0.25">
      <c r="B30" s="139"/>
      <c r="C30" s="136" t="s">
        <v>62</v>
      </c>
      <c r="D30" s="136" t="s">
        <v>60</v>
      </c>
      <c r="E30" s="136" t="s">
        <v>61</v>
      </c>
    </row>
  </sheetData>
  <dataConsolidate function="max" link="1">
    <dataRefs count="1">
      <dataRef ref="D1:D1048576" sheet="Informe Septiembre"/>
    </dataRefs>
  </dataConsolidate>
  <mergeCells count="1">
    <mergeCell ref="B26:E26"/>
  </mergeCells>
  <dataValidations count="1">
    <dataValidation type="list" allowBlank="1" showInputMessage="1" showErrorMessage="1" sqref="M15:M16" xr:uid="{28088506-3C90-45FD-8A0F-AA49CCE54D26}">
      <formula1>$M$15:$M$16</formula1>
    </dataValidation>
  </dataValidations>
  <pageMargins left="0.9055118110236221" right="0.70866141732283472" top="1.7322834645669292" bottom="0.74803149606299213" header="0.31496062992125984" footer="0.31496062992125984"/>
  <pageSetup paperSize="9" scale="7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36AE-F14B-401C-ADED-AF1E51FA3AC4}">
  <dimension ref="A1:P36"/>
  <sheetViews>
    <sheetView topLeftCell="B1" workbookViewId="0">
      <selection activeCell="B5" sqref="B5:B34"/>
    </sheetView>
  </sheetViews>
  <sheetFormatPr baseColWidth="10" defaultRowHeight="15" x14ac:dyDescent="0.25"/>
  <cols>
    <col min="1" max="1" width="6.7109375" customWidth="1"/>
    <col min="2" max="2" width="14.7109375" customWidth="1"/>
    <col min="6" max="8" width="9.42578125" customWidth="1"/>
    <col min="9" max="9" width="10.42578125" customWidth="1"/>
    <col min="10" max="10" width="8.140625" customWidth="1"/>
    <col min="11" max="11" width="8.7109375" customWidth="1"/>
    <col min="12" max="12" width="11" customWidth="1"/>
    <col min="13" max="13" width="12.7109375" customWidth="1"/>
    <col min="14" max="14" width="19.5703125" customWidth="1"/>
  </cols>
  <sheetData>
    <row r="1" spans="1:16" ht="50.1" customHeight="1" x14ac:dyDescent="0.25"/>
    <row r="2" spans="1:16" s="40" customFormat="1" ht="24.95" customHeight="1" x14ac:dyDescent="0.25">
      <c r="A2" s="39"/>
      <c r="B2" s="43" t="s">
        <v>14</v>
      </c>
      <c r="C2" s="177" t="s">
        <v>65</v>
      </c>
      <c r="D2" s="177"/>
      <c r="E2" s="39"/>
      <c r="F2" s="39"/>
      <c r="G2" s="39"/>
      <c r="H2" s="39"/>
      <c r="I2" s="39"/>
      <c r="J2" s="39"/>
      <c r="K2" s="39"/>
      <c r="L2" s="43" t="s">
        <v>15</v>
      </c>
      <c r="M2" s="174" t="s">
        <v>16</v>
      </c>
      <c r="N2" s="175"/>
      <c r="O2" s="39"/>
      <c r="P2" s="39"/>
    </row>
    <row r="3" spans="1:16" s="38" customFormat="1" ht="20.100000000000001" customHeight="1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ht="50.1" customHeight="1" thickBot="1" x14ac:dyDescent="0.3">
      <c r="A4" s="26" t="s">
        <v>1</v>
      </c>
      <c r="B4" s="148" t="s">
        <v>12</v>
      </c>
      <c r="C4" s="149" t="s">
        <v>2</v>
      </c>
      <c r="D4" s="149" t="s">
        <v>3</v>
      </c>
      <c r="E4" s="147" t="s">
        <v>13</v>
      </c>
      <c r="F4" s="131" t="s">
        <v>5</v>
      </c>
      <c r="G4" s="79" t="s">
        <v>41</v>
      </c>
      <c r="H4" s="54" t="s">
        <v>6</v>
      </c>
      <c r="I4" s="21" t="s">
        <v>7</v>
      </c>
      <c r="J4" s="22" t="s">
        <v>11</v>
      </c>
      <c r="K4" s="23" t="s">
        <v>8</v>
      </c>
      <c r="L4" s="24" t="s">
        <v>9</v>
      </c>
      <c r="M4" s="25" t="s">
        <v>10</v>
      </c>
      <c r="N4" s="31" t="s">
        <v>4</v>
      </c>
    </row>
    <row r="5" spans="1:16" s="32" customFormat="1" ht="20.100000000000001" customHeight="1" x14ac:dyDescent="0.25">
      <c r="A5" s="18">
        <v>1</v>
      </c>
      <c r="B5" s="1">
        <v>0.375</v>
      </c>
      <c r="C5" s="49" t="s">
        <v>66</v>
      </c>
      <c r="D5" s="161">
        <v>46266</v>
      </c>
      <c r="E5" s="1">
        <v>0.37708333333333333</v>
      </c>
      <c r="F5" s="162">
        <v>1</v>
      </c>
      <c r="G5" s="78"/>
      <c r="H5" s="163"/>
      <c r="I5" s="163"/>
      <c r="J5" s="164"/>
      <c r="K5" s="165"/>
      <c r="L5" s="165"/>
      <c r="M5" s="165"/>
      <c r="N5" s="2"/>
    </row>
    <row r="6" spans="1:16" x14ac:dyDescent="0.25">
      <c r="A6" s="19">
        <v>2</v>
      </c>
      <c r="B6" s="187">
        <v>0.375</v>
      </c>
      <c r="C6" s="188" t="s">
        <v>67</v>
      </c>
      <c r="D6" s="189">
        <v>46267</v>
      </c>
      <c r="E6" s="190">
        <v>0.38333333333333336</v>
      </c>
      <c r="F6" s="191"/>
      <c r="G6" s="191">
        <v>1</v>
      </c>
      <c r="H6" s="81"/>
      <c r="I6" s="81"/>
      <c r="J6" s="192"/>
      <c r="K6" s="193"/>
      <c r="L6" s="193"/>
      <c r="M6" s="193"/>
      <c r="N6" s="194"/>
    </row>
    <row r="7" spans="1:16" x14ac:dyDescent="0.25">
      <c r="A7" s="19">
        <v>3</v>
      </c>
      <c r="B7" s="187">
        <v>0.375</v>
      </c>
      <c r="C7" s="188" t="s">
        <v>68</v>
      </c>
      <c r="D7" s="189">
        <v>46268</v>
      </c>
      <c r="E7" s="190">
        <v>0.38541666666666669</v>
      </c>
      <c r="F7" s="195"/>
      <c r="G7" s="195">
        <v>1</v>
      </c>
      <c r="H7" s="81"/>
      <c r="I7" s="81"/>
      <c r="J7" s="192"/>
      <c r="K7" s="193"/>
      <c r="L7" s="193"/>
      <c r="M7" s="193"/>
      <c r="N7" s="194"/>
    </row>
    <row r="8" spans="1:16" x14ac:dyDescent="0.25">
      <c r="A8" s="18">
        <v>4</v>
      </c>
      <c r="B8" s="1">
        <v>0.375</v>
      </c>
      <c r="C8" s="49" t="s">
        <v>69</v>
      </c>
      <c r="D8" s="161">
        <v>46269</v>
      </c>
      <c r="E8" s="3">
        <v>0.39583333333333331</v>
      </c>
      <c r="F8" s="80">
        <v>1</v>
      </c>
      <c r="G8" s="66"/>
      <c r="H8" s="5"/>
      <c r="I8" s="5"/>
      <c r="J8" s="6"/>
      <c r="K8" s="7"/>
      <c r="L8" s="7"/>
      <c r="M8" s="7"/>
      <c r="N8" s="8" t="s">
        <v>73</v>
      </c>
    </row>
    <row r="9" spans="1:16" x14ac:dyDescent="0.25">
      <c r="A9" s="19">
        <v>5</v>
      </c>
      <c r="B9" s="178" t="s">
        <v>38</v>
      </c>
      <c r="C9" s="179" t="s">
        <v>70</v>
      </c>
      <c r="D9" s="180">
        <v>46270</v>
      </c>
      <c r="E9" s="181" t="s">
        <v>74</v>
      </c>
      <c r="F9" s="182"/>
      <c r="G9" s="183"/>
      <c r="H9" s="55"/>
      <c r="I9" s="55">
        <v>1</v>
      </c>
      <c r="J9" s="184"/>
      <c r="K9" s="185"/>
      <c r="L9" s="185"/>
      <c r="M9" s="185"/>
      <c r="N9" s="186"/>
    </row>
    <row r="10" spans="1:16" x14ac:dyDescent="0.25">
      <c r="A10" s="19">
        <v>6</v>
      </c>
      <c r="B10" s="178" t="s">
        <v>38</v>
      </c>
      <c r="C10" s="179" t="s">
        <v>71</v>
      </c>
      <c r="D10" s="180">
        <v>46271</v>
      </c>
      <c r="E10" s="181" t="s">
        <v>74</v>
      </c>
      <c r="F10" s="182"/>
      <c r="G10" s="183"/>
      <c r="H10" s="55"/>
      <c r="I10" s="55">
        <v>1</v>
      </c>
      <c r="J10" s="184"/>
      <c r="K10" s="185"/>
      <c r="L10" s="185"/>
      <c r="M10" s="185"/>
      <c r="N10" s="186"/>
    </row>
    <row r="11" spans="1:16" x14ac:dyDescent="0.25">
      <c r="A11" s="18">
        <v>7</v>
      </c>
      <c r="B11" s="196">
        <v>0.375</v>
      </c>
      <c r="C11" s="197" t="s">
        <v>72</v>
      </c>
      <c r="D11" s="198">
        <v>46272</v>
      </c>
      <c r="E11" s="199">
        <v>0.38819444444444445</v>
      </c>
      <c r="F11" s="200"/>
      <c r="G11" s="201"/>
      <c r="H11" s="76">
        <v>1</v>
      </c>
      <c r="I11" s="76"/>
      <c r="J11" s="202"/>
      <c r="K11" s="203"/>
      <c r="L11" s="203"/>
      <c r="M11" s="203"/>
      <c r="N11" s="204"/>
    </row>
    <row r="12" spans="1:16" x14ac:dyDescent="0.25">
      <c r="A12" s="19">
        <v>8</v>
      </c>
      <c r="B12" s="1">
        <v>0.375</v>
      </c>
      <c r="C12" s="49" t="s">
        <v>66</v>
      </c>
      <c r="D12" s="161">
        <v>46273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9</v>
      </c>
      <c r="B13" s="1">
        <v>0.375</v>
      </c>
      <c r="C13" s="49" t="s">
        <v>67</v>
      </c>
      <c r="D13" s="161">
        <v>46274</v>
      </c>
      <c r="E13" s="3"/>
      <c r="F13" s="9"/>
      <c r="G13" s="9"/>
      <c r="H13" s="5"/>
      <c r="I13" s="5"/>
      <c r="J13" s="6"/>
      <c r="K13" s="7"/>
      <c r="L13" s="7"/>
      <c r="M13" s="7"/>
      <c r="N13" s="8"/>
    </row>
    <row r="14" spans="1:16" x14ac:dyDescent="0.25">
      <c r="A14" s="18">
        <v>10</v>
      </c>
      <c r="B14" s="1">
        <v>0.375</v>
      </c>
      <c r="C14" s="49" t="s">
        <v>68</v>
      </c>
      <c r="D14" s="161">
        <v>46275</v>
      </c>
      <c r="E14" s="3"/>
      <c r="F14" s="4"/>
      <c r="G14" s="4"/>
      <c r="H14" s="5"/>
      <c r="I14" s="5"/>
      <c r="J14" s="6"/>
      <c r="K14" s="7"/>
      <c r="L14" s="7"/>
      <c r="M14" s="7"/>
      <c r="N14" s="8"/>
    </row>
    <row r="15" spans="1:16" x14ac:dyDescent="0.25">
      <c r="A15" s="19">
        <v>11</v>
      </c>
      <c r="B15" s="1">
        <v>0.375</v>
      </c>
      <c r="C15" s="49" t="s">
        <v>69</v>
      </c>
      <c r="D15" s="161">
        <v>46276</v>
      </c>
      <c r="E15" s="3"/>
      <c r="F15" s="80"/>
      <c r="G15" s="66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12</v>
      </c>
      <c r="B16" s="1" t="s">
        <v>38</v>
      </c>
      <c r="C16" s="49" t="s">
        <v>70</v>
      </c>
      <c r="D16" s="161">
        <v>46277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8">
        <v>13</v>
      </c>
      <c r="B17" s="1" t="s">
        <v>38</v>
      </c>
      <c r="C17" s="49" t="s">
        <v>71</v>
      </c>
      <c r="D17" s="161">
        <v>46278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9">
        <v>14</v>
      </c>
      <c r="B18" s="1">
        <v>0.375</v>
      </c>
      <c r="C18" s="49" t="s">
        <v>72</v>
      </c>
      <c r="D18" s="161">
        <v>46279</v>
      </c>
      <c r="E18" s="10"/>
      <c r="F18" s="82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15</v>
      </c>
      <c r="B19" s="1">
        <v>0.375</v>
      </c>
      <c r="C19" s="49" t="s">
        <v>66</v>
      </c>
      <c r="D19" s="161">
        <v>46280</v>
      </c>
      <c r="E19" s="3"/>
      <c r="F19" s="6"/>
      <c r="G19" s="5"/>
      <c r="H19" s="5"/>
      <c r="I19" s="5"/>
      <c r="J19" s="6"/>
      <c r="K19" s="7"/>
      <c r="L19" s="7"/>
      <c r="M19" s="7"/>
      <c r="N19" s="8"/>
    </row>
    <row r="20" spans="1:14" x14ac:dyDescent="0.25">
      <c r="A20" s="18">
        <v>16</v>
      </c>
      <c r="B20" s="1">
        <v>0.375</v>
      </c>
      <c r="C20" s="49" t="s">
        <v>67</v>
      </c>
      <c r="D20" s="161">
        <v>46281</v>
      </c>
      <c r="E20" s="3"/>
      <c r="F20" s="9"/>
      <c r="G20" s="9"/>
      <c r="H20" s="5"/>
      <c r="I20" s="5"/>
      <c r="J20" s="6"/>
      <c r="K20" s="7"/>
      <c r="L20" s="7"/>
      <c r="M20" s="7"/>
      <c r="N20" s="8"/>
    </row>
    <row r="21" spans="1:14" x14ac:dyDescent="0.25">
      <c r="A21" s="19">
        <v>17</v>
      </c>
      <c r="B21" s="1">
        <v>0.375</v>
      </c>
      <c r="C21" s="49" t="s">
        <v>68</v>
      </c>
      <c r="D21" s="161">
        <v>46282</v>
      </c>
      <c r="E21" s="3"/>
      <c r="F21" s="4"/>
      <c r="G21" s="4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18</v>
      </c>
      <c r="B22" s="1">
        <v>0.375</v>
      </c>
      <c r="C22" s="49" t="s">
        <v>69</v>
      </c>
      <c r="D22" s="161">
        <v>46283</v>
      </c>
      <c r="E22" s="3"/>
      <c r="F22" s="5"/>
      <c r="G22" s="5"/>
      <c r="H22" s="5"/>
      <c r="I22" s="5"/>
      <c r="J22" s="6"/>
      <c r="K22" s="7"/>
      <c r="L22" s="7"/>
      <c r="M22" s="7"/>
      <c r="N22" s="13"/>
    </row>
    <row r="23" spans="1:14" x14ac:dyDescent="0.25">
      <c r="A23" s="18">
        <v>19</v>
      </c>
      <c r="B23" s="1" t="s">
        <v>38</v>
      </c>
      <c r="C23" s="49" t="s">
        <v>70</v>
      </c>
      <c r="D23" s="161">
        <v>46284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4" x14ac:dyDescent="0.25">
      <c r="A24" s="19">
        <v>20</v>
      </c>
      <c r="B24" s="1" t="s">
        <v>38</v>
      </c>
      <c r="C24" s="49" t="s">
        <v>71</v>
      </c>
      <c r="D24" s="161">
        <v>46285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21</v>
      </c>
      <c r="B25" s="1">
        <v>0.375</v>
      </c>
      <c r="C25" s="49" t="s">
        <v>72</v>
      </c>
      <c r="D25" s="161">
        <v>46286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8">
        <v>22</v>
      </c>
      <c r="B26" s="1">
        <v>0.375</v>
      </c>
      <c r="C26" s="49" t="s">
        <v>66</v>
      </c>
      <c r="D26" s="161">
        <v>46287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9">
        <v>23</v>
      </c>
      <c r="B27" s="1">
        <v>0.375</v>
      </c>
      <c r="C27" s="49" t="s">
        <v>67</v>
      </c>
      <c r="D27" s="161">
        <v>46288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24</v>
      </c>
      <c r="B28" s="1">
        <v>0.375</v>
      </c>
      <c r="C28" s="49" t="s">
        <v>68</v>
      </c>
      <c r="D28" s="161">
        <v>46289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8">
        <v>25</v>
      </c>
      <c r="B29" s="1">
        <v>0.375</v>
      </c>
      <c r="C29" s="49" t="s">
        <v>69</v>
      </c>
      <c r="D29" s="161">
        <v>46290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9">
        <v>26</v>
      </c>
      <c r="B30" s="1" t="s">
        <v>38</v>
      </c>
      <c r="C30" s="49" t="s">
        <v>70</v>
      </c>
      <c r="D30" s="161">
        <v>46291</v>
      </c>
      <c r="E30" s="3"/>
      <c r="F30" s="5"/>
      <c r="G30" s="5"/>
      <c r="H30" s="5"/>
      <c r="I30" s="5"/>
      <c r="J30" s="6"/>
      <c r="K30" s="7"/>
      <c r="L30" s="7"/>
      <c r="M30" s="7"/>
      <c r="N30" s="13"/>
    </row>
    <row r="31" spans="1:14" x14ac:dyDescent="0.25">
      <c r="A31" s="19">
        <v>27</v>
      </c>
      <c r="B31" s="1" t="s">
        <v>38</v>
      </c>
      <c r="C31" s="49" t="s">
        <v>71</v>
      </c>
      <c r="D31" s="161">
        <v>46292</v>
      </c>
      <c r="E31" s="16"/>
      <c r="F31" s="17"/>
      <c r="G31" s="17"/>
      <c r="H31" s="17"/>
      <c r="I31" s="5"/>
      <c r="J31" s="6"/>
      <c r="K31" s="7"/>
      <c r="L31" s="7"/>
      <c r="M31" s="7"/>
      <c r="N31" s="13"/>
    </row>
    <row r="32" spans="1:14" x14ac:dyDescent="0.25">
      <c r="A32" s="18">
        <v>28</v>
      </c>
      <c r="B32" s="1">
        <v>0.375</v>
      </c>
      <c r="C32" s="49" t="s">
        <v>72</v>
      </c>
      <c r="D32" s="161">
        <v>46293</v>
      </c>
      <c r="E32" s="3"/>
      <c r="F32" s="5"/>
      <c r="G32" s="5"/>
      <c r="H32" s="5"/>
      <c r="I32" s="5"/>
      <c r="J32" s="6"/>
      <c r="K32" s="7"/>
      <c r="L32" s="7"/>
      <c r="M32" s="7"/>
      <c r="N32" s="8"/>
    </row>
    <row r="33" spans="1:14" x14ac:dyDescent="0.25">
      <c r="A33" s="19">
        <v>29</v>
      </c>
      <c r="B33" s="1">
        <v>0.375</v>
      </c>
      <c r="C33" s="49" t="s">
        <v>66</v>
      </c>
      <c r="D33" s="161">
        <v>46294</v>
      </c>
      <c r="E33" s="10"/>
      <c r="F33" s="11"/>
      <c r="G33" s="11"/>
      <c r="H33" s="11"/>
      <c r="I33" s="11"/>
      <c r="J33" s="12"/>
      <c r="K33" s="7"/>
      <c r="L33" s="7"/>
      <c r="M33" s="7"/>
      <c r="N33" s="13"/>
    </row>
    <row r="34" spans="1:14" x14ac:dyDescent="0.25">
      <c r="A34" s="19">
        <v>30</v>
      </c>
      <c r="B34" s="1">
        <v>0.375</v>
      </c>
      <c r="C34" s="49" t="s">
        <v>67</v>
      </c>
      <c r="D34" s="161">
        <v>46295</v>
      </c>
      <c r="E34" s="3"/>
      <c r="F34" s="5"/>
      <c r="G34" s="5"/>
      <c r="H34" s="5"/>
      <c r="I34" s="5"/>
      <c r="J34" s="5"/>
      <c r="K34" s="7"/>
      <c r="L34" s="7"/>
      <c r="M34" s="7"/>
      <c r="N34" s="13"/>
    </row>
    <row r="35" spans="1:14" x14ac:dyDescent="0.25">
      <c r="A35" s="18">
        <v>31</v>
      </c>
      <c r="B35" s="1"/>
      <c r="C35" s="49"/>
      <c r="D35" s="50"/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69" t="s">
        <v>0</v>
      </c>
      <c r="B36" s="70"/>
      <c r="C36" s="71"/>
      <c r="D36" s="72"/>
      <c r="E36" s="55"/>
      <c r="F36" s="129">
        <f>SUBTOTAL(109,Tabla3[SI])</f>
        <v>2</v>
      </c>
      <c r="G36" s="81">
        <f>SUBTOTAL(109,Tabla3[DEMORA])</f>
        <v>2</v>
      </c>
      <c r="H36" s="76">
        <f>SUBTOTAL(109,Tabla3[LLEGADA TARDE])</f>
        <v>1</v>
      </c>
      <c r="I36" s="55">
        <f>SUBTOTAL(109,Tabla3[NO CONVOCADO])</f>
        <v>2</v>
      </c>
      <c r="J36" s="95">
        <f>SUBTOTAL(109,Tabla3[FALTO])</f>
        <v>0</v>
      </c>
      <c r="K36" s="104">
        <f>SUBTOTAL(109,Tabla3[MEDICA])</f>
        <v>0</v>
      </c>
      <c r="L36" s="89">
        <f>SUBTOTAL(109,Tabla3[VACACIONES])</f>
        <v>0</v>
      </c>
      <c r="M36" s="102">
        <f>SUBTOTAL(109,Tabla3[FRANCO POR DOMINGO])</f>
        <v>0</v>
      </c>
      <c r="N36" s="68"/>
    </row>
  </sheetData>
  <mergeCells count="2">
    <mergeCell ref="M2:N2"/>
    <mergeCell ref="C2:D2"/>
  </mergeCells>
  <phoneticPr fontId="19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A156-ABCB-4FD0-9089-A6AA888AA714}">
  <dimension ref="A1:P36"/>
  <sheetViews>
    <sheetView topLeftCell="B1" workbookViewId="0">
      <selection activeCell="G13" sqref="G13"/>
    </sheetView>
  </sheetViews>
  <sheetFormatPr baseColWidth="10" defaultRowHeight="15" x14ac:dyDescent="0.25"/>
  <cols>
    <col min="1" max="1" width="6.7109375" customWidth="1"/>
    <col min="2" max="2" width="14.7109375" customWidth="1"/>
    <col min="6" max="8" width="9.42578125" customWidth="1"/>
    <col min="9" max="9" width="10.42578125" customWidth="1"/>
    <col min="10" max="10" width="8.140625" customWidth="1"/>
    <col min="11" max="11" width="8.7109375" customWidth="1"/>
    <col min="12" max="12" width="11" customWidth="1"/>
    <col min="13" max="13" width="12.7109375" customWidth="1"/>
    <col min="14" max="14" width="19.5703125" customWidth="1"/>
  </cols>
  <sheetData>
    <row r="1" spans="1:16" ht="50.1" customHeight="1" x14ac:dyDescent="0.25"/>
    <row r="2" spans="1:16" s="40" customFormat="1" ht="24.95" customHeight="1" x14ac:dyDescent="0.25">
      <c r="A2" s="39"/>
      <c r="B2" s="43" t="s">
        <v>14</v>
      </c>
      <c r="C2" s="174" t="s">
        <v>65</v>
      </c>
      <c r="D2" s="175"/>
      <c r="E2" s="39"/>
      <c r="F2" s="39"/>
      <c r="G2" s="39"/>
      <c r="H2" s="39"/>
      <c r="I2" s="39"/>
      <c r="J2" s="39"/>
      <c r="K2" s="39"/>
      <c r="L2" s="43" t="s">
        <v>15</v>
      </c>
      <c r="M2" s="174" t="s">
        <v>35</v>
      </c>
      <c r="N2" s="175"/>
      <c r="O2" s="39"/>
      <c r="P2" s="39"/>
    </row>
    <row r="3" spans="1:16" s="38" customFormat="1" ht="20.100000000000001" customHeight="1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ht="50.1" customHeight="1" thickBot="1" x14ac:dyDescent="0.3">
      <c r="A4" s="26" t="s">
        <v>1</v>
      </c>
      <c r="B4" s="27" t="s">
        <v>12</v>
      </c>
      <c r="C4" s="46" t="s">
        <v>2</v>
      </c>
      <c r="D4" s="47" t="s">
        <v>3</v>
      </c>
      <c r="E4" s="30" t="s">
        <v>13</v>
      </c>
      <c r="F4" s="131" t="s">
        <v>5</v>
      </c>
      <c r="G4" s="79" t="s">
        <v>41</v>
      </c>
      <c r="H4" s="54" t="s">
        <v>6</v>
      </c>
      <c r="I4" s="21" t="s">
        <v>7</v>
      </c>
      <c r="J4" s="22" t="s">
        <v>11</v>
      </c>
      <c r="K4" s="23" t="s">
        <v>8</v>
      </c>
      <c r="L4" s="24" t="s">
        <v>9</v>
      </c>
      <c r="M4" s="25" t="s">
        <v>10</v>
      </c>
      <c r="N4" s="31" t="s">
        <v>4</v>
      </c>
    </row>
    <row r="5" spans="1:16" s="32" customFormat="1" ht="20.100000000000001" customHeight="1" x14ac:dyDescent="0.25">
      <c r="A5" s="18">
        <v>1</v>
      </c>
      <c r="B5" s="187">
        <v>0.375</v>
      </c>
      <c r="C5" s="188" t="s">
        <v>66</v>
      </c>
      <c r="D5" s="189">
        <v>46266</v>
      </c>
      <c r="E5" s="187">
        <v>0.38055555555555554</v>
      </c>
      <c r="F5" s="205"/>
      <c r="G5" s="206">
        <v>1</v>
      </c>
      <c r="H5" s="207"/>
      <c r="I5" s="207"/>
      <c r="J5" s="208"/>
      <c r="K5" s="209"/>
      <c r="L5" s="209"/>
      <c r="M5" s="209"/>
      <c r="N5" s="210"/>
    </row>
    <row r="6" spans="1:16" x14ac:dyDescent="0.25">
      <c r="A6" s="19">
        <v>2</v>
      </c>
      <c r="B6" s="1">
        <v>0.375</v>
      </c>
      <c r="C6" s="49" t="s">
        <v>67</v>
      </c>
      <c r="D6" s="161">
        <v>46267</v>
      </c>
      <c r="E6" s="3">
        <v>0.29166666666666669</v>
      </c>
      <c r="F6" s="9">
        <v>1</v>
      </c>
      <c r="G6" s="9"/>
      <c r="H6" s="5"/>
      <c r="I6" s="5"/>
      <c r="J6" s="6"/>
      <c r="K6" s="7"/>
      <c r="L6" s="7"/>
      <c r="M6" s="7"/>
      <c r="N6" s="8"/>
    </row>
    <row r="7" spans="1:16" x14ac:dyDescent="0.25">
      <c r="A7" s="19">
        <v>3</v>
      </c>
      <c r="B7" s="1">
        <v>0.375</v>
      </c>
      <c r="C7" s="49" t="s">
        <v>68</v>
      </c>
      <c r="D7" s="161">
        <v>46268</v>
      </c>
      <c r="E7" s="3">
        <v>0.37569444444444444</v>
      </c>
      <c r="F7" s="4">
        <v>1</v>
      </c>
      <c r="G7" s="4"/>
      <c r="H7" s="5"/>
      <c r="I7" s="5"/>
      <c r="J7" s="6"/>
      <c r="K7" s="7"/>
      <c r="L7" s="7"/>
      <c r="M7" s="7"/>
      <c r="N7" s="8"/>
    </row>
    <row r="8" spans="1:16" x14ac:dyDescent="0.25">
      <c r="A8" s="18">
        <v>4</v>
      </c>
      <c r="B8" s="187">
        <v>0.375</v>
      </c>
      <c r="C8" s="188" t="s">
        <v>69</v>
      </c>
      <c r="D8" s="189">
        <v>46269</v>
      </c>
      <c r="E8" s="190">
        <v>0.38124999999999998</v>
      </c>
      <c r="F8" s="211"/>
      <c r="G8" s="212">
        <v>1</v>
      </c>
      <c r="H8" s="81"/>
      <c r="I8" s="81"/>
      <c r="J8" s="192"/>
      <c r="K8" s="193"/>
      <c r="L8" s="193"/>
      <c r="M8" s="193"/>
      <c r="N8" s="194"/>
    </row>
    <row r="9" spans="1:16" x14ac:dyDescent="0.25">
      <c r="A9" s="19">
        <v>5</v>
      </c>
      <c r="B9" s="178" t="s">
        <v>38</v>
      </c>
      <c r="C9" s="179" t="s">
        <v>70</v>
      </c>
      <c r="D9" s="180">
        <v>46270</v>
      </c>
      <c r="E9" s="181" t="s">
        <v>74</v>
      </c>
      <c r="F9" s="182"/>
      <c r="G9" s="183"/>
      <c r="H9" s="55"/>
      <c r="I9" s="55">
        <v>1</v>
      </c>
      <c r="J9" s="184"/>
      <c r="K9" s="185"/>
      <c r="L9" s="185"/>
      <c r="M9" s="185"/>
      <c r="N9" s="186"/>
    </row>
    <row r="10" spans="1:16" x14ac:dyDescent="0.25">
      <c r="A10" s="19">
        <v>6</v>
      </c>
      <c r="B10" s="178" t="s">
        <v>38</v>
      </c>
      <c r="C10" s="179" t="s">
        <v>71</v>
      </c>
      <c r="D10" s="180">
        <v>46271</v>
      </c>
      <c r="E10" s="181" t="s">
        <v>74</v>
      </c>
      <c r="F10" s="182"/>
      <c r="G10" s="183"/>
      <c r="H10" s="55"/>
      <c r="I10" s="55">
        <v>1</v>
      </c>
      <c r="J10" s="184"/>
      <c r="K10" s="185"/>
      <c r="L10" s="185"/>
      <c r="M10" s="185"/>
      <c r="N10" s="186"/>
    </row>
    <row r="11" spans="1:16" x14ac:dyDescent="0.25">
      <c r="A11" s="18">
        <v>7</v>
      </c>
      <c r="B11" s="187">
        <v>0.375</v>
      </c>
      <c r="C11" s="188" t="s">
        <v>72</v>
      </c>
      <c r="D11" s="189">
        <v>46272</v>
      </c>
      <c r="E11" s="190">
        <v>0.38055555555555554</v>
      </c>
      <c r="F11" s="211"/>
      <c r="G11" s="212">
        <v>1</v>
      </c>
      <c r="H11" s="81"/>
      <c r="I11" s="81"/>
      <c r="J11" s="192"/>
      <c r="K11" s="193"/>
      <c r="L11" s="193"/>
      <c r="M11" s="193"/>
      <c r="N11" s="194"/>
    </row>
    <row r="12" spans="1:16" x14ac:dyDescent="0.25">
      <c r="A12" s="19">
        <v>8</v>
      </c>
      <c r="B12" s="1">
        <v>0.375</v>
      </c>
      <c r="C12" s="49" t="s">
        <v>66</v>
      </c>
      <c r="D12" s="161">
        <v>46273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9</v>
      </c>
      <c r="B13" s="1">
        <v>0.375</v>
      </c>
      <c r="C13" s="49" t="s">
        <v>67</v>
      </c>
      <c r="D13" s="161">
        <v>46274</v>
      </c>
      <c r="E13" s="3"/>
      <c r="F13" s="9"/>
      <c r="G13" s="9"/>
      <c r="H13" s="5"/>
      <c r="I13" s="5"/>
      <c r="J13" s="6"/>
      <c r="K13" s="7"/>
      <c r="L13" s="7"/>
      <c r="M13" s="7"/>
      <c r="N13" s="8"/>
    </row>
    <row r="14" spans="1:16" x14ac:dyDescent="0.25">
      <c r="A14" s="18">
        <v>10</v>
      </c>
      <c r="B14" s="1">
        <v>0.375</v>
      </c>
      <c r="C14" s="49" t="s">
        <v>68</v>
      </c>
      <c r="D14" s="161">
        <v>46275</v>
      </c>
      <c r="E14" s="3"/>
      <c r="F14" s="4"/>
      <c r="G14" s="4"/>
      <c r="H14" s="5"/>
      <c r="I14" s="5"/>
      <c r="J14" s="6"/>
      <c r="K14" s="7"/>
      <c r="L14" s="7"/>
      <c r="M14" s="7"/>
      <c r="N14" s="8"/>
    </row>
    <row r="15" spans="1:16" x14ac:dyDescent="0.25">
      <c r="A15" s="19">
        <v>11</v>
      </c>
      <c r="B15" s="1">
        <v>0.375</v>
      </c>
      <c r="C15" s="49" t="s">
        <v>69</v>
      </c>
      <c r="D15" s="161">
        <v>46276</v>
      </c>
      <c r="E15" s="3"/>
      <c r="F15" s="80"/>
      <c r="G15" s="66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12</v>
      </c>
      <c r="B16" s="1" t="s">
        <v>38</v>
      </c>
      <c r="C16" s="49" t="s">
        <v>70</v>
      </c>
      <c r="D16" s="161">
        <v>46277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8">
        <v>13</v>
      </c>
      <c r="B17" s="1" t="s">
        <v>38</v>
      </c>
      <c r="C17" s="49" t="s">
        <v>71</v>
      </c>
      <c r="D17" s="161">
        <v>46278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9">
        <v>14</v>
      </c>
      <c r="B18" s="1">
        <v>0.375</v>
      </c>
      <c r="C18" s="49" t="s">
        <v>72</v>
      </c>
      <c r="D18" s="161">
        <v>46279</v>
      </c>
      <c r="E18" s="10"/>
      <c r="F18" s="82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15</v>
      </c>
      <c r="B19" s="1">
        <v>0.375</v>
      </c>
      <c r="C19" s="49" t="s">
        <v>66</v>
      </c>
      <c r="D19" s="161">
        <v>46280</v>
      </c>
      <c r="E19" s="3"/>
      <c r="F19" s="5"/>
      <c r="G19" s="5"/>
      <c r="H19" s="5"/>
      <c r="I19" s="5"/>
      <c r="J19" s="6"/>
      <c r="K19" s="7"/>
      <c r="L19" s="7"/>
      <c r="M19" s="7"/>
      <c r="N19" s="8"/>
    </row>
    <row r="20" spans="1:14" x14ac:dyDescent="0.25">
      <c r="A20" s="18">
        <v>16</v>
      </c>
      <c r="B20" s="1">
        <v>0.375</v>
      </c>
      <c r="C20" s="49" t="s">
        <v>67</v>
      </c>
      <c r="D20" s="161">
        <v>46281</v>
      </c>
      <c r="E20" s="3"/>
      <c r="F20" s="9"/>
      <c r="G20" s="9"/>
      <c r="H20" s="5"/>
      <c r="I20" s="5"/>
      <c r="J20" s="6"/>
      <c r="K20" s="7"/>
      <c r="L20" s="7"/>
      <c r="M20" s="7"/>
      <c r="N20" s="8"/>
    </row>
    <row r="21" spans="1:14" x14ac:dyDescent="0.25">
      <c r="A21" s="19">
        <v>17</v>
      </c>
      <c r="B21" s="1">
        <v>0.375</v>
      </c>
      <c r="C21" s="49" t="s">
        <v>68</v>
      </c>
      <c r="D21" s="161">
        <v>46282</v>
      </c>
      <c r="E21" s="3"/>
      <c r="F21" s="4"/>
      <c r="G21" s="4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18</v>
      </c>
      <c r="B22" s="1">
        <v>0.375</v>
      </c>
      <c r="C22" s="49" t="s">
        <v>69</v>
      </c>
      <c r="D22" s="161">
        <v>46283</v>
      </c>
      <c r="E22" s="3"/>
      <c r="F22" s="5"/>
      <c r="G22" s="5"/>
      <c r="H22" s="5"/>
      <c r="I22" s="5"/>
      <c r="J22" s="6"/>
      <c r="K22" s="7"/>
      <c r="L22" s="7"/>
      <c r="M22" s="7"/>
      <c r="N22" s="13"/>
    </row>
    <row r="23" spans="1:14" x14ac:dyDescent="0.25">
      <c r="A23" s="18">
        <v>19</v>
      </c>
      <c r="B23" s="1" t="s">
        <v>38</v>
      </c>
      <c r="C23" s="49" t="s">
        <v>70</v>
      </c>
      <c r="D23" s="161">
        <v>46284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4" x14ac:dyDescent="0.25">
      <c r="A24" s="19">
        <v>20</v>
      </c>
      <c r="B24" s="1" t="s">
        <v>38</v>
      </c>
      <c r="C24" s="49" t="s">
        <v>71</v>
      </c>
      <c r="D24" s="161">
        <v>46285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21</v>
      </c>
      <c r="B25" s="1">
        <v>0.375</v>
      </c>
      <c r="C25" s="49" t="s">
        <v>72</v>
      </c>
      <c r="D25" s="161">
        <v>46286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8">
        <v>22</v>
      </c>
      <c r="B26" s="1">
        <v>0.375</v>
      </c>
      <c r="C26" s="49" t="s">
        <v>66</v>
      </c>
      <c r="D26" s="161">
        <v>46287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9">
        <v>23</v>
      </c>
      <c r="B27" s="1">
        <v>0.375</v>
      </c>
      <c r="C27" s="49" t="s">
        <v>67</v>
      </c>
      <c r="D27" s="161">
        <v>46288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24</v>
      </c>
      <c r="B28" s="1">
        <v>0.375</v>
      </c>
      <c r="C28" s="49" t="s">
        <v>68</v>
      </c>
      <c r="D28" s="161">
        <v>46289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8">
        <v>25</v>
      </c>
      <c r="B29" s="1">
        <v>0.375</v>
      </c>
      <c r="C29" s="49" t="s">
        <v>69</v>
      </c>
      <c r="D29" s="161">
        <v>46290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9">
        <v>26</v>
      </c>
      <c r="B30" s="1" t="s">
        <v>38</v>
      </c>
      <c r="C30" s="49" t="s">
        <v>70</v>
      </c>
      <c r="D30" s="161">
        <v>46291</v>
      </c>
      <c r="E30" s="3"/>
      <c r="F30" s="5"/>
      <c r="G30" s="5"/>
      <c r="H30" s="5"/>
      <c r="I30" s="5"/>
      <c r="J30" s="6"/>
      <c r="K30" s="7"/>
      <c r="L30" s="7"/>
      <c r="M30" s="7"/>
      <c r="N30" s="13"/>
    </row>
    <row r="31" spans="1:14" x14ac:dyDescent="0.25">
      <c r="A31" s="19">
        <v>27</v>
      </c>
      <c r="B31" s="1" t="s">
        <v>38</v>
      </c>
      <c r="C31" s="49" t="s">
        <v>71</v>
      </c>
      <c r="D31" s="161">
        <v>46292</v>
      </c>
      <c r="E31" s="16"/>
      <c r="F31" s="17"/>
      <c r="G31" s="17"/>
      <c r="H31" s="17"/>
      <c r="I31" s="5"/>
      <c r="J31" s="6"/>
      <c r="K31" s="7"/>
      <c r="L31" s="7"/>
      <c r="M31" s="7"/>
      <c r="N31" s="13"/>
    </row>
    <row r="32" spans="1:14" x14ac:dyDescent="0.25">
      <c r="A32" s="18">
        <v>28</v>
      </c>
      <c r="B32" s="1">
        <v>0.375</v>
      </c>
      <c r="C32" s="49" t="s">
        <v>72</v>
      </c>
      <c r="D32" s="161">
        <v>46293</v>
      </c>
      <c r="E32" s="3"/>
      <c r="F32" s="5"/>
      <c r="G32" s="5"/>
      <c r="H32" s="5"/>
      <c r="I32" s="5"/>
      <c r="J32" s="6"/>
      <c r="K32" s="7"/>
      <c r="L32" s="7"/>
      <c r="M32" s="7"/>
      <c r="N32" s="8"/>
    </row>
    <row r="33" spans="1:14" x14ac:dyDescent="0.25">
      <c r="A33" s="19">
        <v>29</v>
      </c>
      <c r="B33" s="1">
        <v>0.375</v>
      </c>
      <c r="C33" s="49" t="s">
        <v>66</v>
      </c>
      <c r="D33" s="161">
        <v>46294</v>
      </c>
      <c r="E33" s="10"/>
      <c r="F33" s="11"/>
      <c r="G33" s="11"/>
      <c r="H33" s="11"/>
      <c r="I33" s="11"/>
      <c r="J33" s="12"/>
      <c r="K33" s="7"/>
      <c r="L33" s="7"/>
      <c r="M33" s="7"/>
      <c r="N33" s="13"/>
    </row>
    <row r="34" spans="1:14" x14ac:dyDescent="0.25">
      <c r="A34" s="19">
        <v>30</v>
      </c>
      <c r="B34" s="1">
        <v>0.375</v>
      </c>
      <c r="C34" s="49" t="s">
        <v>67</v>
      </c>
      <c r="D34" s="161">
        <v>46295</v>
      </c>
      <c r="E34" s="3"/>
      <c r="F34" s="5"/>
      <c r="G34" s="5"/>
      <c r="H34" s="5"/>
      <c r="I34" s="5"/>
      <c r="J34" s="5"/>
      <c r="K34" s="7"/>
      <c r="L34" s="7"/>
      <c r="M34" s="7"/>
      <c r="N34" s="13"/>
    </row>
    <row r="35" spans="1:14" x14ac:dyDescent="0.25">
      <c r="A35" s="18">
        <v>31</v>
      </c>
      <c r="B35" s="1"/>
      <c r="C35" s="49"/>
      <c r="D35" s="50"/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33" t="s">
        <v>0</v>
      </c>
      <c r="B36" s="34"/>
      <c r="C36" s="35"/>
      <c r="D36" s="48"/>
      <c r="E36" s="36"/>
      <c r="F36" s="130">
        <f>SUBTOTAL(109,Tabla315[SI])</f>
        <v>2</v>
      </c>
      <c r="G36" s="90">
        <f>SUBTOTAL(109,Tabla315[DEMORA])</f>
        <v>3</v>
      </c>
      <c r="H36" s="91">
        <f>SUBTOTAL(109,Tabla315[LLEGADA TARDE])</f>
        <v>0</v>
      </c>
      <c r="I36" s="99">
        <f>SUBTOTAL(109,Tabla315[NO CONVOCADO])</f>
        <v>2</v>
      </c>
      <c r="J36" s="94">
        <f>SUBTOTAL(109,Tabla315[FALTO])</f>
        <v>0</v>
      </c>
      <c r="K36" s="101">
        <f>SUBTOTAL(109,Tabla315[MEDICA])</f>
        <v>0</v>
      </c>
      <c r="L36" s="93">
        <f>SUBTOTAL(109,Tabla315[VACACIONES])</f>
        <v>0</v>
      </c>
      <c r="M36" s="100">
        <f>SUBTOTAL(109,Tabla315[FRANCO POR DOMINGO])</f>
        <v>0</v>
      </c>
      <c r="N36" s="37"/>
    </row>
  </sheetData>
  <mergeCells count="2">
    <mergeCell ref="C2:D2"/>
    <mergeCell ref="M2:N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4405-3338-4364-9E60-822021AC6D44}">
  <dimension ref="A1:P36"/>
  <sheetViews>
    <sheetView topLeftCell="B1" workbookViewId="0">
      <selection activeCell="B9" sqref="B9:N10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s="40" customFormat="1" ht="24.95" customHeight="1" x14ac:dyDescent="0.25">
      <c r="A2" s="39"/>
      <c r="B2" s="43" t="s">
        <v>14</v>
      </c>
      <c r="C2" s="174" t="s">
        <v>65</v>
      </c>
      <c r="D2" s="175"/>
      <c r="E2" s="39"/>
      <c r="F2" s="39"/>
      <c r="G2" s="39"/>
      <c r="H2" s="39"/>
      <c r="I2" s="39"/>
      <c r="J2" s="39"/>
      <c r="K2" s="39"/>
      <c r="L2" s="43" t="s">
        <v>15</v>
      </c>
      <c r="M2" s="174" t="s">
        <v>18</v>
      </c>
      <c r="N2" s="175"/>
      <c r="O2" s="39"/>
      <c r="P2" s="39"/>
    </row>
    <row r="3" spans="1:16" s="38" customFormat="1" ht="20.100000000000001" customHeight="1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ht="50.1" customHeight="1" thickBot="1" x14ac:dyDescent="0.3">
      <c r="A4" s="26" t="s">
        <v>1</v>
      </c>
      <c r="B4" s="27" t="s">
        <v>12</v>
      </c>
      <c r="C4" s="28" t="s">
        <v>2</v>
      </c>
      <c r="D4" s="29" t="s">
        <v>3</v>
      </c>
      <c r="E4" s="30" t="s">
        <v>13</v>
      </c>
      <c r="F4" s="131" t="s">
        <v>5</v>
      </c>
      <c r="G4" s="79" t="s">
        <v>41</v>
      </c>
      <c r="H4" s="54" t="s">
        <v>6</v>
      </c>
      <c r="I4" s="21" t="s">
        <v>7</v>
      </c>
      <c r="J4" s="22" t="s">
        <v>11</v>
      </c>
      <c r="K4" s="23" t="s">
        <v>8</v>
      </c>
      <c r="L4" s="24" t="s">
        <v>9</v>
      </c>
      <c r="M4" s="25" t="s">
        <v>10</v>
      </c>
      <c r="N4" s="31" t="s">
        <v>4</v>
      </c>
    </row>
    <row r="5" spans="1:16" s="32" customFormat="1" ht="20.100000000000001" customHeight="1" x14ac:dyDescent="0.25">
      <c r="A5" s="18">
        <v>1</v>
      </c>
      <c r="B5" s="1">
        <v>0.375</v>
      </c>
      <c r="C5" s="49" t="s">
        <v>66</v>
      </c>
      <c r="D5" s="161">
        <v>46266</v>
      </c>
      <c r="E5" s="1">
        <v>0.33958333333333335</v>
      </c>
      <c r="F5" s="162">
        <v>1</v>
      </c>
      <c r="G5" s="78"/>
      <c r="H5" s="163"/>
      <c r="I5" s="163"/>
      <c r="J5" s="164"/>
      <c r="K5" s="165"/>
      <c r="L5" s="165"/>
      <c r="M5" s="165"/>
      <c r="N5" s="2"/>
    </row>
    <row r="6" spans="1:16" x14ac:dyDescent="0.25">
      <c r="A6" s="19">
        <v>2</v>
      </c>
      <c r="B6" s="1">
        <v>0.375</v>
      </c>
      <c r="C6" s="49" t="s">
        <v>67</v>
      </c>
      <c r="D6" s="161">
        <v>46267</v>
      </c>
      <c r="E6" s="3">
        <v>0.33750000000000002</v>
      </c>
      <c r="F6" s="9">
        <v>1</v>
      </c>
      <c r="G6" s="9"/>
      <c r="H6" s="5"/>
      <c r="I6" s="5"/>
      <c r="J6" s="6"/>
      <c r="K6" s="7"/>
      <c r="L6" s="7"/>
      <c r="M6" s="7"/>
      <c r="N6" s="8"/>
    </row>
    <row r="7" spans="1:16" x14ac:dyDescent="0.25">
      <c r="A7" s="19">
        <v>3</v>
      </c>
      <c r="B7" s="1">
        <v>0.375</v>
      </c>
      <c r="C7" s="49" t="s">
        <v>68</v>
      </c>
      <c r="D7" s="161">
        <v>46268</v>
      </c>
      <c r="E7" s="3">
        <v>0.37569444444444444</v>
      </c>
      <c r="F7" s="84">
        <v>1</v>
      </c>
      <c r="G7" s="5"/>
      <c r="H7" s="5"/>
      <c r="I7" s="5"/>
      <c r="J7" s="6"/>
      <c r="K7" s="7"/>
      <c r="L7" s="7"/>
      <c r="M7" s="7"/>
      <c r="N7" s="8"/>
    </row>
    <row r="8" spans="1:16" x14ac:dyDescent="0.25">
      <c r="A8" s="18">
        <v>4</v>
      </c>
      <c r="B8" s="1">
        <v>0.375</v>
      </c>
      <c r="C8" s="49" t="s">
        <v>69</v>
      </c>
      <c r="D8" s="161">
        <v>46269</v>
      </c>
      <c r="E8" s="3">
        <v>0.375</v>
      </c>
      <c r="F8" s="80">
        <v>1</v>
      </c>
      <c r="G8" s="66"/>
      <c r="H8" s="5"/>
      <c r="I8" s="5"/>
      <c r="J8" s="6"/>
      <c r="K8" s="7"/>
      <c r="L8" s="7"/>
      <c r="M8" s="7"/>
      <c r="N8" s="8"/>
    </row>
    <row r="9" spans="1:16" x14ac:dyDescent="0.25">
      <c r="A9" s="19">
        <v>5</v>
      </c>
      <c r="B9" s="178" t="s">
        <v>38</v>
      </c>
      <c r="C9" s="179" t="s">
        <v>70</v>
      </c>
      <c r="D9" s="180">
        <v>46270</v>
      </c>
      <c r="E9" s="181" t="s">
        <v>74</v>
      </c>
      <c r="F9" s="182"/>
      <c r="G9" s="183"/>
      <c r="H9" s="55"/>
      <c r="I9" s="55"/>
      <c r="J9" s="184"/>
      <c r="K9" s="185"/>
      <c r="L9" s="185"/>
      <c r="M9" s="185"/>
      <c r="N9" s="186"/>
    </row>
    <row r="10" spans="1:16" x14ac:dyDescent="0.25">
      <c r="A10" s="19">
        <v>6</v>
      </c>
      <c r="B10" s="178" t="s">
        <v>38</v>
      </c>
      <c r="C10" s="179" t="s">
        <v>71</v>
      </c>
      <c r="D10" s="180">
        <v>46271</v>
      </c>
      <c r="E10" s="181" t="s">
        <v>74</v>
      </c>
      <c r="F10" s="182"/>
      <c r="G10" s="183"/>
      <c r="H10" s="55"/>
      <c r="I10" s="55"/>
      <c r="J10" s="184"/>
      <c r="K10" s="185"/>
      <c r="L10" s="185"/>
      <c r="M10" s="185"/>
      <c r="N10" s="186"/>
    </row>
    <row r="11" spans="1:16" x14ac:dyDescent="0.25">
      <c r="A11" s="18">
        <v>7</v>
      </c>
      <c r="B11" s="1">
        <v>0.375</v>
      </c>
      <c r="C11" s="49" t="s">
        <v>72</v>
      </c>
      <c r="D11" s="161">
        <v>46272</v>
      </c>
      <c r="E11" s="3">
        <v>0.37152777777777779</v>
      </c>
      <c r="F11" s="80">
        <v>1</v>
      </c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9">
        <v>8</v>
      </c>
      <c r="B12" s="1">
        <v>0.375</v>
      </c>
      <c r="C12" s="49" t="s">
        <v>66</v>
      </c>
      <c r="D12" s="161">
        <v>46273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9</v>
      </c>
      <c r="B13" s="1">
        <v>0.375</v>
      </c>
      <c r="C13" s="49" t="s">
        <v>67</v>
      </c>
      <c r="D13" s="161">
        <v>46274</v>
      </c>
      <c r="E13" s="3"/>
      <c r="F13" s="9"/>
      <c r="G13" s="9"/>
      <c r="H13" s="5"/>
      <c r="I13" s="5"/>
      <c r="J13" s="6"/>
      <c r="K13" s="7"/>
      <c r="L13" s="7"/>
      <c r="M13" s="7"/>
      <c r="N13" s="8"/>
    </row>
    <row r="14" spans="1:16" x14ac:dyDescent="0.25">
      <c r="A14" s="18">
        <v>10</v>
      </c>
      <c r="B14" s="1">
        <v>0.375</v>
      </c>
      <c r="C14" s="49" t="s">
        <v>68</v>
      </c>
      <c r="D14" s="161">
        <v>46275</v>
      </c>
      <c r="E14" s="3"/>
      <c r="F14" s="84"/>
      <c r="G14" s="5"/>
      <c r="H14" s="5"/>
      <c r="I14" s="5"/>
      <c r="J14" s="6"/>
      <c r="K14" s="7"/>
      <c r="L14" s="7"/>
      <c r="M14" s="7"/>
      <c r="N14" s="8"/>
    </row>
    <row r="15" spans="1:16" x14ac:dyDescent="0.25">
      <c r="A15" s="19">
        <v>11</v>
      </c>
      <c r="B15" s="1">
        <v>0.375</v>
      </c>
      <c r="C15" s="49" t="s">
        <v>69</v>
      </c>
      <c r="D15" s="161">
        <v>46276</v>
      </c>
      <c r="E15" s="3"/>
      <c r="F15" s="80"/>
      <c r="G15" s="66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12</v>
      </c>
      <c r="B16" s="1" t="s">
        <v>38</v>
      </c>
      <c r="C16" s="49" t="s">
        <v>70</v>
      </c>
      <c r="D16" s="161">
        <v>46277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8">
        <v>13</v>
      </c>
      <c r="B17" s="1" t="s">
        <v>38</v>
      </c>
      <c r="C17" s="49" t="s">
        <v>71</v>
      </c>
      <c r="D17" s="161">
        <v>46278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9">
        <v>14</v>
      </c>
      <c r="B18" s="1">
        <v>0.375</v>
      </c>
      <c r="C18" s="49" t="s">
        <v>72</v>
      </c>
      <c r="D18" s="161">
        <v>46279</v>
      </c>
      <c r="E18" s="10"/>
      <c r="F18" s="82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15</v>
      </c>
      <c r="B19" s="1">
        <v>0.375</v>
      </c>
      <c r="C19" s="49" t="s">
        <v>66</v>
      </c>
      <c r="D19" s="161">
        <v>46280</v>
      </c>
      <c r="E19" s="3"/>
      <c r="F19" s="5"/>
      <c r="G19" s="5"/>
      <c r="H19" s="5"/>
      <c r="I19" s="5"/>
      <c r="J19" s="6"/>
      <c r="K19" s="7"/>
      <c r="L19" s="7"/>
      <c r="M19" s="7"/>
      <c r="N19" s="8"/>
    </row>
    <row r="20" spans="1:14" x14ac:dyDescent="0.25">
      <c r="A20" s="18">
        <v>16</v>
      </c>
      <c r="B20" s="1">
        <v>0.375</v>
      </c>
      <c r="C20" s="49" t="s">
        <v>67</v>
      </c>
      <c r="D20" s="161">
        <v>46281</v>
      </c>
      <c r="E20" s="3"/>
      <c r="F20" s="9"/>
      <c r="G20" s="9"/>
      <c r="H20" s="5"/>
      <c r="I20" s="5"/>
      <c r="J20" s="6"/>
      <c r="K20" s="7"/>
      <c r="L20" s="7"/>
      <c r="M20" s="7"/>
      <c r="N20" s="8"/>
    </row>
    <row r="21" spans="1:14" x14ac:dyDescent="0.25">
      <c r="A21" s="19">
        <v>17</v>
      </c>
      <c r="B21" s="1">
        <v>0.375</v>
      </c>
      <c r="C21" s="49" t="s">
        <v>68</v>
      </c>
      <c r="D21" s="161">
        <v>46282</v>
      </c>
      <c r="E21" s="3"/>
      <c r="F21" s="4"/>
      <c r="G21" s="4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18</v>
      </c>
      <c r="B22" s="1">
        <v>0.375</v>
      </c>
      <c r="C22" s="49" t="s">
        <v>69</v>
      </c>
      <c r="D22" s="161">
        <v>46283</v>
      </c>
      <c r="E22" s="3"/>
      <c r="F22" s="5"/>
      <c r="G22" s="5"/>
      <c r="H22" s="5"/>
      <c r="I22" s="5"/>
      <c r="J22" s="6"/>
      <c r="K22" s="7"/>
      <c r="L22" s="7"/>
      <c r="M22" s="7"/>
      <c r="N22" s="13"/>
    </row>
    <row r="23" spans="1:14" x14ac:dyDescent="0.25">
      <c r="A23" s="18">
        <v>19</v>
      </c>
      <c r="B23" s="1" t="s">
        <v>38</v>
      </c>
      <c r="C23" s="49" t="s">
        <v>70</v>
      </c>
      <c r="D23" s="161">
        <v>46284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4" x14ac:dyDescent="0.25">
      <c r="A24" s="19">
        <v>20</v>
      </c>
      <c r="B24" s="1" t="s">
        <v>38</v>
      </c>
      <c r="C24" s="49" t="s">
        <v>71</v>
      </c>
      <c r="D24" s="161">
        <v>46285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21</v>
      </c>
      <c r="B25" s="1">
        <v>0.375</v>
      </c>
      <c r="C25" s="49" t="s">
        <v>72</v>
      </c>
      <c r="D25" s="161">
        <v>46286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8">
        <v>22</v>
      </c>
      <c r="B26" s="1">
        <v>0.375</v>
      </c>
      <c r="C26" s="49" t="s">
        <v>66</v>
      </c>
      <c r="D26" s="161">
        <v>46287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9">
        <v>23</v>
      </c>
      <c r="B27" s="1">
        <v>0.375</v>
      </c>
      <c r="C27" s="49" t="s">
        <v>67</v>
      </c>
      <c r="D27" s="161">
        <v>46288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24</v>
      </c>
      <c r="B28" s="1">
        <v>0.375</v>
      </c>
      <c r="C28" s="49" t="s">
        <v>68</v>
      </c>
      <c r="D28" s="161">
        <v>46289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8">
        <v>25</v>
      </c>
      <c r="B29" s="1">
        <v>0.375</v>
      </c>
      <c r="C29" s="49" t="s">
        <v>69</v>
      </c>
      <c r="D29" s="161">
        <v>46290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9">
        <v>26</v>
      </c>
      <c r="B30" s="1" t="s">
        <v>38</v>
      </c>
      <c r="C30" s="49" t="s">
        <v>70</v>
      </c>
      <c r="D30" s="161">
        <v>46291</v>
      </c>
      <c r="E30" s="3"/>
      <c r="F30" s="5"/>
      <c r="G30" s="5"/>
      <c r="H30" s="5"/>
      <c r="I30" s="5"/>
      <c r="J30" s="6"/>
      <c r="K30" s="7"/>
      <c r="L30" s="7"/>
      <c r="M30" s="7"/>
      <c r="N30" s="13"/>
    </row>
    <row r="31" spans="1:14" x14ac:dyDescent="0.25">
      <c r="A31" s="19">
        <v>27</v>
      </c>
      <c r="B31" s="1" t="s">
        <v>38</v>
      </c>
      <c r="C31" s="49" t="s">
        <v>71</v>
      </c>
      <c r="D31" s="161">
        <v>46292</v>
      </c>
      <c r="E31" s="16"/>
      <c r="F31" s="17"/>
      <c r="G31" s="17"/>
      <c r="H31" s="17"/>
      <c r="I31" s="5"/>
      <c r="J31" s="6"/>
      <c r="K31" s="7"/>
      <c r="L31" s="7"/>
      <c r="M31" s="7"/>
      <c r="N31" s="13"/>
    </row>
    <row r="32" spans="1:14" x14ac:dyDescent="0.25">
      <c r="A32" s="18">
        <v>28</v>
      </c>
      <c r="B32" s="1">
        <v>0.375</v>
      </c>
      <c r="C32" s="49" t="s">
        <v>72</v>
      </c>
      <c r="D32" s="161">
        <v>46293</v>
      </c>
      <c r="E32" s="3"/>
      <c r="F32" s="5"/>
      <c r="G32" s="5"/>
      <c r="H32" s="5"/>
      <c r="I32" s="5"/>
      <c r="J32" s="6"/>
      <c r="K32" s="7"/>
      <c r="L32" s="7"/>
      <c r="M32" s="7"/>
      <c r="N32" s="8"/>
    </row>
    <row r="33" spans="1:14" x14ac:dyDescent="0.25">
      <c r="A33" s="19">
        <v>29</v>
      </c>
      <c r="B33" s="1">
        <v>0.375</v>
      </c>
      <c r="C33" s="49" t="s">
        <v>66</v>
      </c>
      <c r="D33" s="161">
        <v>46294</v>
      </c>
      <c r="E33" s="10"/>
      <c r="F33" s="11"/>
      <c r="G33" s="11"/>
      <c r="H33" s="11"/>
      <c r="I33" s="11"/>
      <c r="J33" s="12"/>
      <c r="K33" s="7"/>
      <c r="L33" s="7"/>
      <c r="M33" s="7"/>
      <c r="N33" s="13"/>
    </row>
    <row r="34" spans="1:14" x14ac:dyDescent="0.25">
      <c r="A34" s="19">
        <v>30</v>
      </c>
      <c r="B34" s="1">
        <v>0.375</v>
      </c>
      <c r="C34" s="49" t="s">
        <v>67</v>
      </c>
      <c r="D34" s="161">
        <v>46295</v>
      </c>
      <c r="E34" s="3"/>
      <c r="F34" s="5"/>
      <c r="G34" s="5"/>
      <c r="H34" s="5"/>
      <c r="I34" s="5"/>
      <c r="J34" s="5"/>
      <c r="K34" s="7"/>
      <c r="L34" s="7"/>
      <c r="M34" s="7"/>
      <c r="N34" s="13"/>
    </row>
    <row r="35" spans="1:14" x14ac:dyDescent="0.25">
      <c r="A35" s="33">
        <v>31</v>
      </c>
      <c r="B35" s="1"/>
      <c r="C35" s="49"/>
      <c r="D35" s="50"/>
      <c r="E35" s="45"/>
      <c r="F35" s="36"/>
      <c r="G35" s="36"/>
      <c r="H35" s="36"/>
      <c r="I35" s="36"/>
      <c r="J35" s="166"/>
      <c r="K35" s="167"/>
      <c r="L35" s="167"/>
      <c r="M35" s="167"/>
      <c r="N35" s="37"/>
    </row>
    <row r="36" spans="1:14" x14ac:dyDescent="0.25">
      <c r="A36" s="58" t="s">
        <v>0</v>
      </c>
      <c r="B36" s="56"/>
      <c r="C36" s="74"/>
      <c r="D36" s="74"/>
      <c r="E36" s="5"/>
      <c r="F36" s="129">
        <f>SUBTOTAL(109,Tabla32[SI])</f>
        <v>5</v>
      </c>
      <c r="G36" s="81">
        <f>SUBTOTAL(109,Tabla32[DEMORA])</f>
        <v>0</v>
      </c>
      <c r="H36" s="76">
        <f>SUBTOTAL(109,Tabla32[LLEGADA TARDE])</f>
        <v>0</v>
      </c>
      <c r="I36" s="103">
        <f>SUBTOTAL(109,Tabla32[NO CONVOCADO])</f>
        <v>0</v>
      </c>
      <c r="J36" s="95">
        <f>SUBTOTAL(109,Tabla32[FALTO])</f>
        <v>0</v>
      </c>
      <c r="K36" s="104">
        <f>SUBTOTAL(109,Tabla32[MEDICA])</f>
        <v>0</v>
      </c>
      <c r="L36" s="89">
        <f>SUBTOTAL(109,Tabla32[VACACIONES])</f>
        <v>0</v>
      </c>
      <c r="M36" s="102">
        <f>SUBTOTAL(109,Tabla32[FRANCO POR DOMINGO])</f>
        <v>0</v>
      </c>
      <c r="N36" s="13"/>
    </row>
  </sheetData>
  <mergeCells count="2">
    <mergeCell ref="C2:D2"/>
    <mergeCell ref="M2:N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17AA-089C-441F-ADAE-E3712126203C}">
  <dimension ref="A1:P37"/>
  <sheetViews>
    <sheetView topLeftCell="B1"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2.85546875" customWidth="1"/>
    <col min="6" max="13" width="10.7109375" customWidth="1"/>
    <col min="14" max="14" width="20.7109375" customWidth="1"/>
  </cols>
  <sheetData>
    <row r="1" spans="1:16" ht="37.5" customHeight="1" x14ac:dyDescent="0.25"/>
    <row r="2" spans="1:16" ht="27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19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0.33958333333333335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0.35069444444444442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0.33888888888888891</v>
      </c>
      <c r="F8" s="4"/>
      <c r="G8" s="4"/>
      <c r="H8" s="5"/>
      <c r="I8" s="5"/>
      <c r="J8" s="6"/>
      <c r="K8" s="7"/>
      <c r="L8" s="7"/>
      <c r="M8" s="7"/>
      <c r="N8" s="8"/>
      <c r="O8" s="3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0.39513888888888887</v>
      </c>
      <c r="F9" s="168"/>
      <c r="G9" s="78"/>
      <c r="H9" s="5"/>
      <c r="I9" s="5"/>
      <c r="J9" s="6"/>
      <c r="K9" s="7"/>
      <c r="L9" s="7"/>
      <c r="M9" s="7"/>
      <c r="N9" s="8"/>
      <c r="O9" s="3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>
        <v>0.32430555555555557</v>
      </c>
      <c r="F10" s="80"/>
      <c r="G10" s="66"/>
      <c r="H10" s="5"/>
      <c r="I10" s="5"/>
      <c r="J10" s="6"/>
      <c r="K10" s="7"/>
      <c r="L10" s="7"/>
      <c r="M10" s="7"/>
      <c r="N10" s="8"/>
      <c r="O10" s="38"/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  <c r="O11" s="3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0.33819444444444446</v>
      </c>
      <c r="F12" s="80"/>
      <c r="G12" s="66"/>
      <c r="H12" s="5"/>
      <c r="I12" s="5"/>
      <c r="J12" s="6"/>
      <c r="K12" s="7"/>
      <c r="L12" s="7"/>
      <c r="M12" s="7"/>
      <c r="N12" s="8"/>
      <c r="O12" s="3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  <c r="O13" s="3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  <c r="O14" s="3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  <c r="O15" s="3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  <c r="O16" s="38"/>
    </row>
    <row r="17" spans="1:15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  <c r="O17" s="38"/>
    </row>
    <row r="18" spans="1:15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5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5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5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5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5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5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5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5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5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5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5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5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5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5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07">
        <v>30</v>
      </c>
      <c r="B35" s="1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5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SUBTOTAL(109,Tabla323[SI])</f>
        <v>0</v>
      </c>
      <c r="G37" s="81">
        <f>SUBTOTAL(109,Tabla323[DEMORA])</f>
        <v>0</v>
      </c>
      <c r="H37" s="76">
        <f>SUBTOTAL(109,Tabla323[LLEGADA TARDE])</f>
        <v>0</v>
      </c>
      <c r="I37" s="103">
        <f>SUBTOTAL(109,Tabla323[NO CONVOCADO])</f>
        <v>0</v>
      </c>
      <c r="J37" s="95">
        <f>SUBTOTAL(109,Tabla323[FALTO])</f>
        <v>0</v>
      </c>
      <c r="K37" s="104">
        <f>SUBTOTAL(109,Tabla323[MEDICA])</f>
        <v>0</v>
      </c>
      <c r="L37" s="89">
        <f>SUBTOTAL(109,Tabla323[VACACIONES])</f>
        <v>0</v>
      </c>
      <c r="M37" s="102">
        <f>SUBTOTAL(109,Tabla323[FRANCO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907F-607F-4641-948E-45DC5DE65689}">
  <dimension ref="A1:O37"/>
  <sheetViews>
    <sheetView workbookViewId="0">
      <selection activeCell="E6" sqref="E6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" customWidth="1"/>
  </cols>
  <sheetData>
    <row r="1" spans="1:15" ht="50.1" customHeight="1" x14ac:dyDescent="0.25"/>
    <row r="2" spans="1:15" ht="14.25" customHeight="1" x14ac:dyDescent="0.25"/>
    <row r="3" spans="1:15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17</v>
      </c>
      <c r="N3" s="175"/>
      <c r="O3" s="39"/>
    </row>
    <row r="4" spans="1:15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5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/>
      <c r="F6" s="162"/>
      <c r="G6" s="78"/>
      <c r="H6" s="163"/>
      <c r="I6" s="163"/>
      <c r="J6" s="164"/>
      <c r="K6" s="165"/>
      <c r="L6" s="165"/>
      <c r="M6" s="165"/>
      <c r="N6" s="2"/>
    </row>
    <row r="7" spans="1:15" x14ac:dyDescent="0.25">
      <c r="A7" s="19">
        <v>2</v>
      </c>
      <c r="B7" s="1"/>
      <c r="C7" s="49" t="s">
        <v>67</v>
      </c>
      <c r="D7" s="161">
        <v>46267</v>
      </c>
      <c r="E7" s="3"/>
      <c r="F7" s="9"/>
      <c r="G7" s="9"/>
      <c r="H7" s="5"/>
      <c r="I7" s="5"/>
      <c r="J7" s="6"/>
      <c r="K7" s="7"/>
      <c r="L7" s="7"/>
      <c r="M7" s="7"/>
      <c r="N7" s="2"/>
    </row>
    <row r="8" spans="1:15" x14ac:dyDescent="0.25">
      <c r="A8" s="19">
        <v>3</v>
      </c>
      <c r="B8" s="1"/>
      <c r="C8" s="49" t="s">
        <v>68</v>
      </c>
      <c r="D8" s="161">
        <v>46268</v>
      </c>
      <c r="E8" s="3"/>
      <c r="F8" s="84"/>
      <c r="G8" s="5"/>
      <c r="H8" s="5"/>
      <c r="I8" s="5"/>
      <c r="J8" s="6"/>
      <c r="K8" s="7"/>
      <c r="L8" s="7"/>
      <c r="M8" s="7"/>
      <c r="N8" s="2"/>
    </row>
    <row r="9" spans="1:15" x14ac:dyDescent="0.25">
      <c r="A9" s="18">
        <v>4</v>
      </c>
      <c r="B9" s="1"/>
      <c r="C9" s="49" t="s">
        <v>69</v>
      </c>
      <c r="D9" s="161">
        <v>46269</v>
      </c>
      <c r="E9" s="3"/>
      <c r="F9" s="80"/>
      <c r="G9" s="66"/>
      <c r="H9" s="5"/>
      <c r="I9" s="5"/>
      <c r="J9" s="6"/>
      <c r="K9" s="7"/>
      <c r="L9" s="7"/>
      <c r="M9" s="7"/>
      <c r="N9" s="2"/>
    </row>
    <row r="10" spans="1:15" x14ac:dyDescent="0.25">
      <c r="A10" s="19">
        <v>5</v>
      </c>
      <c r="B10" s="1"/>
      <c r="C10" s="49" t="s">
        <v>70</v>
      </c>
      <c r="D10" s="161">
        <v>46270</v>
      </c>
      <c r="E10" s="3"/>
      <c r="F10" s="80"/>
      <c r="G10" s="66"/>
      <c r="H10" s="5"/>
      <c r="I10" s="5"/>
      <c r="J10" s="6"/>
      <c r="K10" s="7"/>
      <c r="L10" s="7"/>
      <c r="M10" s="7"/>
      <c r="N10" s="2"/>
    </row>
    <row r="11" spans="1:15" x14ac:dyDescent="0.25">
      <c r="A11" s="19">
        <v>6</v>
      </c>
      <c r="B11" s="1"/>
      <c r="C11" s="49" t="s">
        <v>71</v>
      </c>
      <c r="D11" s="161">
        <v>46271</v>
      </c>
      <c r="E11" s="3"/>
      <c r="F11" s="80"/>
      <c r="G11" s="66"/>
      <c r="H11" s="5"/>
      <c r="I11" s="5"/>
      <c r="J11" s="6"/>
      <c r="K11" s="7"/>
      <c r="L11" s="7"/>
      <c r="M11" s="7"/>
      <c r="N11" s="2"/>
    </row>
    <row r="12" spans="1:15" x14ac:dyDescent="0.25">
      <c r="A12" s="18">
        <v>7</v>
      </c>
      <c r="B12" s="1"/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5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2"/>
    </row>
    <row r="14" spans="1:15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2"/>
    </row>
    <row r="15" spans="1:15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2"/>
    </row>
    <row r="16" spans="1:15" s="39" customFormat="1" x14ac:dyDescent="0.2">
      <c r="A16" s="73">
        <v>11</v>
      </c>
      <c r="B16" s="1"/>
      <c r="C16" s="49" t="s">
        <v>69</v>
      </c>
      <c r="D16" s="161">
        <v>46276</v>
      </c>
      <c r="E16" s="16"/>
      <c r="F16" s="85"/>
      <c r="G16" s="86"/>
      <c r="H16" s="17"/>
      <c r="I16" s="17"/>
      <c r="J16" s="142"/>
      <c r="K16" s="8"/>
      <c r="L16" s="8"/>
      <c r="M16" s="8"/>
      <c r="N16" s="2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2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2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3"/>
      <c r="F19" s="82"/>
      <c r="G19" s="66"/>
      <c r="H19" s="5"/>
      <c r="I19" s="5"/>
      <c r="J19" s="6"/>
      <c r="K19" s="7"/>
      <c r="L19" s="7"/>
      <c r="M19" s="7"/>
      <c r="N19" s="2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6"/>
      <c r="G20" s="5"/>
      <c r="H20" s="5"/>
      <c r="I20" s="5"/>
      <c r="J20" s="6"/>
      <c r="K20" s="7"/>
      <c r="L20" s="7"/>
      <c r="M20" s="7"/>
      <c r="N20" s="2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83"/>
      <c r="G21" s="66"/>
      <c r="H21" s="5"/>
      <c r="I21" s="5"/>
      <c r="J21" s="6"/>
      <c r="K21" s="7"/>
      <c r="L21" s="7"/>
      <c r="M21" s="7"/>
      <c r="N21" s="2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2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2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2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2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13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13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07">
        <v>30</v>
      </c>
      <c r="B35" s="45"/>
      <c r="C35" s="49" t="s">
        <v>67</v>
      </c>
      <c r="D35" s="161">
        <v>46295</v>
      </c>
      <c r="E35" s="169"/>
      <c r="F35" s="170"/>
      <c r="G35" s="170"/>
      <c r="H35" s="11"/>
      <c r="I35" s="11"/>
      <c r="J35" s="12"/>
      <c r="K35" s="14"/>
      <c r="L35" s="14"/>
      <c r="M35" s="14"/>
      <c r="N35" s="15"/>
    </row>
    <row r="36" spans="1:14" x14ac:dyDescent="0.25">
      <c r="A36" s="5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5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SUBTOTAL(109,Tabla3235[SI])</f>
        <v>0</v>
      </c>
      <c r="G37" s="81">
        <f>SUBTOTAL(109,Tabla3235[DEMORA])</f>
        <v>0</v>
      </c>
      <c r="H37" s="76">
        <f>SUBTOTAL(109,Tabla3235[LLEGADA TARDE])</f>
        <v>0</v>
      </c>
      <c r="I37" s="103">
        <f>SUBTOTAL(109,Tabla3235[NO CONVOCADO])</f>
        <v>0</v>
      </c>
      <c r="J37" s="95">
        <f>SUBTOTAL(109,Tabla3235[FALTO])</f>
        <v>0</v>
      </c>
      <c r="K37" s="104">
        <f>SUBTOTAL(109,Tabla3235[MEDICA])</f>
        <v>0</v>
      </c>
      <c r="L37" s="89">
        <f>SUBTOTAL(109,Tabla3235[VACACIONES])</f>
        <v>0</v>
      </c>
      <c r="M37" s="102">
        <f>SUBTOTAL(109,Tabla3235[FRANCO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8620-3549-4B74-A14D-A611BB4CF5A2}">
  <dimension ref="A1:P37"/>
  <sheetViews>
    <sheetView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4.7109375" style="52" customWidth="1"/>
    <col min="6" max="13" width="10.7109375" customWidth="1"/>
    <col min="14" max="14" width="22.28515625" customWidth="1"/>
  </cols>
  <sheetData>
    <row r="1" spans="1:16" ht="50.1" customHeight="1" x14ac:dyDescent="0.25"/>
    <row r="2" spans="1:16" ht="15.75" customHeight="1" x14ac:dyDescent="0.25"/>
    <row r="3" spans="1:16" s="40" customFormat="1" ht="24.95" customHeight="1" x14ac:dyDescent="0.25">
      <c r="A3" s="39"/>
      <c r="B3" s="5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21</v>
      </c>
      <c r="N3" s="175"/>
      <c r="O3" s="39"/>
      <c r="P3" s="39"/>
    </row>
    <row r="4" spans="1:16" s="38" customFormat="1" ht="20.100000000000001" customHeight="1" thickBot="1" x14ac:dyDescent="0.3">
      <c r="A4"/>
      <c r="B4" s="52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42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0.33263888888888887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0.33333333333333331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0.33263888888888887</v>
      </c>
      <c r="F8" s="84"/>
      <c r="G8" s="5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0.34375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>
        <v>0.41388888888888886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>
        <v>0.45833333333333331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0.33958333333333335</v>
      </c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4"/>
      <c r="G16" s="5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77"/>
      <c r="G19" s="78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13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75"/>
      <c r="C37" s="57"/>
      <c r="D37" s="59"/>
      <c r="E37" s="5"/>
      <c r="F37" s="129">
        <f>SUBTOTAL(109,Tabla3235678[SI])</f>
        <v>0</v>
      </c>
      <c r="G37" s="81">
        <f>SUBTOTAL(109,Tabla3235678[DEMORA])</f>
        <v>0</v>
      </c>
      <c r="H37" s="76">
        <f>SUBTOTAL(109,Tabla3235678[LLEGADA TARDE])</f>
        <v>0</v>
      </c>
      <c r="I37" s="103">
        <f>SUBTOTAL(109,Tabla3235678[NO CONVOCADO])</f>
        <v>0</v>
      </c>
      <c r="J37" s="95">
        <f>SUBTOTAL(109,Tabla3235678[FALTO])</f>
        <v>0</v>
      </c>
      <c r="K37" s="104">
        <f>SUBTOTAL(109,Tabla3235678[MEDICA])</f>
        <v>0</v>
      </c>
      <c r="L37" s="89">
        <f>SUBTOTAL(109,Tabla3235678[VACACIONES])</f>
        <v>0</v>
      </c>
      <c r="M37" s="102">
        <f>SUBTOTAL(109,Tabla3235678[FRANCO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B4C4-E8CC-4E1E-BE7D-EF7075FE4D94}">
  <dimension ref="A1:P37"/>
  <sheetViews>
    <sheetView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7.25" customHeight="1" x14ac:dyDescent="0.25"/>
    <row r="3" spans="1:16" s="38" customFormat="1" ht="24.95" customHeight="1" x14ac:dyDescent="0.25">
      <c r="A3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20</v>
      </c>
      <c r="N3" s="175"/>
      <c r="O3"/>
      <c r="P3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0.33541666666666664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0.32708333333333334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0.33541666666666664</v>
      </c>
      <c r="F8" s="4"/>
      <c r="G8" s="4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0.32916666666666666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>
        <v>0.32500000000000001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0.28819444444444442</v>
      </c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6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83"/>
      <c r="G21" s="66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84"/>
      <c r="G22" s="5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56"/>
      <c r="C37" s="57"/>
      <c r="D37" s="59"/>
      <c r="E37" s="5"/>
      <c r="F37" s="129">
        <f>SUBTOTAL(109,Tabla323567[SI])</f>
        <v>0</v>
      </c>
      <c r="G37" s="81">
        <f>SUBTOTAL(109,Tabla323567[DEMORA])</f>
        <v>0</v>
      </c>
      <c r="H37" s="76">
        <f>SUBTOTAL(109,Tabla323567[LLEGADA TARDE])</f>
        <v>0</v>
      </c>
      <c r="I37" s="103">
        <f>SUBTOTAL(109,Tabla323567[NO CONVOCADO])</f>
        <v>0</v>
      </c>
      <c r="J37" s="95">
        <f>SUBTOTAL(109,Tabla323567[FALTO])</f>
        <v>0</v>
      </c>
      <c r="K37" s="104">
        <f>SUBTOTAL(109,Tabla323567[MEDICA])</f>
        <v>0</v>
      </c>
      <c r="L37" s="89">
        <f>SUBTOTAL(109,Tabla323567[VACACIONES])</f>
        <v>0</v>
      </c>
      <c r="M37" s="102">
        <f>SUBTOTAL(109,Tabla323567[FRANCO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549FE-6D46-4D29-ADCF-0D106D23F4FF}">
  <dimension ref="A1:P37"/>
  <sheetViews>
    <sheetView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3.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34</v>
      </c>
      <c r="N3" s="175"/>
      <c r="O3" s="39"/>
      <c r="P3" s="39"/>
    </row>
    <row r="4" spans="1:16" s="38" customFormat="1" ht="20.100000000000001" customHeigh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108" t="s">
        <v>12</v>
      </c>
      <c r="C5" s="109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110" t="s">
        <v>10</v>
      </c>
      <c r="N5" s="11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0.33541666666666664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0.32708333333333334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0.33541666666666664</v>
      </c>
      <c r="F8" s="4"/>
      <c r="G8" s="4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0.32916666666666666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>
        <v>0.32500000000000001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16" t="s">
        <v>74</v>
      </c>
      <c r="F11" s="80"/>
      <c r="G11" s="66"/>
      <c r="H11" s="5"/>
      <c r="I11" s="5"/>
      <c r="J11" s="6"/>
      <c r="K11" s="7"/>
      <c r="L11" s="7"/>
      <c r="M11" s="7"/>
      <c r="N11" s="13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0.28888888888888886</v>
      </c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SUBTOTAL(109,Tabla3235678910[SI])</f>
        <v>0</v>
      </c>
      <c r="G37" s="81">
        <f>SUBTOTAL(109,Tabla3235678910[DEMORA])</f>
        <v>0</v>
      </c>
      <c r="H37" s="76">
        <f>SUBTOTAL(109,Tabla3235678910[LLEGADA TARDE])</f>
        <v>0</v>
      </c>
      <c r="I37" s="103">
        <f>SUBTOTAL(109,Tabla3235678910[NO CONVOCADO])</f>
        <v>0</v>
      </c>
      <c r="J37" s="95">
        <f>SUBTOTAL(109,Tabla3235678910[FALTO])</f>
        <v>0</v>
      </c>
      <c r="K37" s="104">
        <f>SUBTOTAL(109,Tabla3235678910[MEDICA])</f>
        <v>0</v>
      </c>
      <c r="L37" s="89">
        <f>SUBTOTAL(109,Tabla3235678910[VACACIONES])</f>
        <v>0</v>
      </c>
      <c r="M37" s="102">
        <f>SUBTOTAL(109,Tabla3235678910[FRANCO POR DOMINGO])</f>
        <v>0</v>
      </c>
      <c r="N37" s="13"/>
    </row>
  </sheetData>
  <mergeCells count="2">
    <mergeCell ref="C3:D3"/>
    <mergeCell ref="M3:N3"/>
  </mergeCells>
  <phoneticPr fontId="19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D3F3-9EB3-459B-AA98-93DE59EF3EE9}">
  <dimension ref="A1:P37"/>
  <sheetViews>
    <sheetView topLeftCell="A2" workbookViewId="0">
      <selection activeCell="B12" sqref="B12:N12"/>
    </sheetView>
  </sheetViews>
  <sheetFormatPr baseColWidth="10" defaultRowHeight="15" x14ac:dyDescent="0.25"/>
  <cols>
    <col min="1" max="1" width="6.7109375" customWidth="1"/>
    <col min="2" max="2" width="14.7109375" style="52" customWidth="1"/>
    <col min="6" max="13" width="10.7109375" customWidth="1"/>
    <col min="14" max="14" width="14.5703125" customWidth="1"/>
  </cols>
  <sheetData>
    <row r="1" spans="1:16" ht="50.1" customHeight="1" x14ac:dyDescent="0.25"/>
    <row r="2" spans="1:16" ht="13.5" customHeight="1" x14ac:dyDescent="0.25"/>
    <row r="3" spans="1:16" s="40" customFormat="1" ht="24.95" customHeight="1" x14ac:dyDescent="0.25">
      <c r="A3" s="39"/>
      <c r="B3" s="53" t="s">
        <v>14</v>
      </c>
      <c r="C3" s="174" t="s">
        <v>63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23</v>
      </c>
      <c r="N3" s="175"/>
      <c r="O3" s="39"/>
      <c r="P3" s="39"/>
    </row>
    <row r="4" spans="1:16" s="38" customFormat="1" ht="20.100000000000001" customHeight="1" thickBot="1" x14ac:dyDescent="0.3">
      <c r="A4"/>
      <c r="B4" s="52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42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20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>
        <v>0.375</v>
      </c>
      <c r="C6" s="49" t="s">
        <v>66</v>
      </c>
      <c r="D6" s="161">
        <v>46266</v>
      </c>
      <c r="E6" s="1">
        <v>0.33888888888888891</v>
      </c>
      <c r="F6" s="162">
        <v>1</v>
      </c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>
        <v>0.375</v>
      </c>
      <c r="C7" s="49" t="s">
        <v>67</v>
      </c>
      <c r="D7" s="161">
        <v>46267</v>
      </c>
      <c r="E7" s="3">
        <v>0.34583333333333333</v>
      </c>
      <c r="F7" s="9">
        <v>1</v>
      </c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87">
        <v>0.375</v>
      </c>
      <c r="C8" s="188" t="s">
        <v>68</v>
      </c>
      <c r="D8" s="189">
        <v>46268</v>
      </c>
      <c r="E8" s="190">
        <v>0.38263888888888886</v>
      </c>
      <c r="F8" s="195"/>
      <c r="G8" s="195">
        <v>1</v>
      </c>
      <c r="H8" s="81"/>
      <c r="I8" s="81"/>
      <c r="J8" s="192"/>
      <c r="K8" s="193"/>
      <c r="L8" s="193"/>
      <c r="M8" s="193"/>
      <c r="N8" s="194"/>
    </row>
    <row r="9" spans="1:16" x14ac:dyDescent="0.25">
      <c r="A9" s="18">
        <v>4</v>
      </c>
      <c r="B9" s="187">
        <v>0.375</v>
      </c>
      <c r="C9" s="188" t="s">
        <v>69</v>
      </c>
      <c r="D9" s="189">
        <v>46269</v>
      </c>
      <c r="E9" s="190">
        <v>0.37986111111111109</v>
      </c>
      <c r="F9" s="211"/>
      <c r="G9" s="212">
        <v>1</v>
      </c>
      <c r="H9" s="81"/>
      <c r="I9" s="81"/>
      <c r="J9" s="192"/>
      <c r="K9" s="193"/>
      <c r="L9" s="193"/>
      <c r="M9" s="193"/>
      <c r="N9" s="194"/>
    </row>
    <row r="10" spans="1:16" x14ac:dyDescent="0.25">
      <c r="A10" s="19">
        <v>5</v>
      </c>
      <c r="B10" s="178" t="s">
        <v>38</v>
      </c>
      <c r="C10" s="179" t="s">
        <v>70</v>
      </c>
      <c r="D10" s="180">
        <v>46270</v>
      </c>
      <c r="E10" s="181" t="s">
        <v>74</v>
      </c>
      <c r="F10" s="182"/>
      <c r="G10" s="183"/>
      <c r="H10" s="55"/>
      <c r="I10" s="55">
        <v>1</v>
      </c>
      <c r="J10" s="184"/>
      <c r="K10" s="185"/>
      <c r="L10" s="185"/>
      <c r="M10" s="185"/>
      <c r="N10" s="186"/>
    </row>
    <row r="11" spans="1:16" x14ac:dyDescent="0.25">
      <c r="A11" s="19">
        <v>6</v>
      </c>
      <c r="B11" s="178" t="s">
        <v>38</v>
      </c>
      <c r="C11" s="179" t="s">
        <v>71</v>
      </c>
      <c r="D11" s="180">
        <v>46271</v>
      </c>
      <c r="E11" s="181" t="s">
        <v>74</v>
      </c>
      <c r="F11" s="182"/>
      <c r="G11" s="183"/>
      <c r="H11" s="55"/>
      <c r="I11" s="55">
        <v>1</v>
      </c>
      <c r="J11" s="184"/>
      <c r="K11" s="185"/>
      <c r="L11" s="185"/>
      <c r="M11" s="185"/>
      <c r="N11" s="186"/>
    </row>
    <row r="12" spans="1:16" x14ac:dyDescent="0.25">
      <c r="A12" s="18">
        <v>7</v>
      </c>
      <c r="B12" s="187">
        <v>0.375</v>
      </c>
      <c r="C12" s="188" t="s">
        <v>72</v>
      </c>
      <c r="D12" s="189">
        <v>46272</v>
      </c>
      <c r="E12" s="190">
        <v>0.38333333333333336</v>
      </c>
      <c r="F12" s="211"/>
      <c r="G12" s="212">
        <v>1</v>
      </c>
      <c r="H12" s="81"/>
      <c r="I12" s="81"/>
      <c r="J12" s="192"/>
      <c r="K12" s="193"/>
      <c r="L12" s="193"/>
      <c r="M12" s="193"/>
      <c r="N12" s="194"/>
    </row>
    <row r="13" spans="1:16" x14ac:dyDescent="0.25">
      <c r="A13" s="19">
        <v>8</v>
      </c>
      <c r="B13" s="1">
        <v>0.375</v>
      </c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>
        <v>0.375</v>
      </c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>
        <v>0.375</v>
      </c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>
        <v>0.375</v>
      </c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 t="s">
        <v>38</v>
      </c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 t="s">
        <v>38</v>
      </c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>
        <v>0.375</v>
      </c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>
        <v>0.375</v>
      </c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>
        <v>0.375</v>
      </c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>
        <v>0.375</v>
      </c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>
        <v>0.375</v>
      </c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4" x14ac:dyDescent="0.25">
      <c r="A24" s="18">
        <v>19</v>
      </c>
      <c r="B24" s="1" t="s">
        <v>38</v>
      </c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 t="s">
        <v>38</v>
      </c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>
        <v>0.375</v>
      </c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>
        <v>0.375</v>
      </c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>
        <v>0.375</v>
      </c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>
        <v>0.375</v>
      </c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>
        <v>0.375</v>
      </c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 t="s">
        <v>38</v>
      </c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 t="s">
        <v>38</v>
      </c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>
        <v>0.375</v>
      </c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>
        <v>0.375</v>
      </c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>
        <v>0.375</v>
      </c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75"/>
      <c r="C37" s="57"/>
      <c r="D37" s="59"/>
      <c r="E37" s="3"/>
      <c r="F37" s="129">
        <f>SUBTOTAL(109,Tabla32356789101112[SI])</f>
        <v>2</v>
      </c>
      <c r="G37" s="81">
        <f>SUBTOTAL(109,Tabla32356789101112[DEMORA])</f>
        <v>3</v>
      </c>
      <c r="H37" s="76">
        <f>SUBTOTAL(109,Tabla32356789101112[LLEGADA TARDE])</f>
        <v>0</v>
      </c>
      <c r="I37" s="103">
        <f>SUBTOTAL(109,Tabla32356789101112[NO CONVOCADO])</f>
        <v>2</v>
      </c>
      <c r="J37" s="95">
        <f>SUBTOTAL(109,Tabla32356789101112[FALTO])</f>
        <v>0</v>
      </c>
      <c r="K37" s="104">
        <f>SUBTOTAL(109,Tabla32356789101112[MEDICA])</f>
        <v>0</v>
      </c>
      <c r="L37" s="89">
        <f>SUBTOTAL(109,Tabla32356789101112[VACACIONES])</f>
        <v>0</v>
      </c>
      <c r="M37" s="102">
        <f>SUBTOTAL(109,Tabla32356789101112[FRANCO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90F9-4E68-4AA4-83BD-69DC3A1FA6FD}">
  <dimension ref="A1:P37"/>
  <sheetViews>
    <sheetView workbookViewId="0">
      <selection activeCell="B6" sqref="B6:N6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3.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22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87">
        <v>0.33333333333333331</v>
      </c>
      <c r="C6" s="188" t="s">
        <v>66</v>
      </c>
      <c r="D6" s="189">
        <v>46266</v>
      </c>
      <c r="E6" s="187">
        <v>0.33819444444444446</v>
      </c>
      <c r="F6" s="205"/>
      <c r="G6" s="206">
        <v>1</v>
      </c>
      <c r="H6" s="207"/>
      <c r="I6" s="207"/>
      <c r="J6" s="208"/>
      <c r="K6" s="209"/>
      <c r="L6" s="209"/>
      <c r="M6" s="209"/>
      <c r="N6" s="210"/>
    </row>
    <row r="7" spans="1:16" ht="26.25" x14ac:dyDescent="0.25">
      <c r="A7" s="19">
        <v>2</v>
      </c>
      <c r="B7" s="213" t="s">
        <v>75</v>
      </c>
      <c r="C7" s="49" t="s">
        <v>67</v>
      </c>
      <c r="D7" s="161">
        <v>46267</v>
      </c>
      <c r="E7" s="3" t="s">
        <v>74</v>
      </c>
      <c r="F7" s="9"/>
      <c r="G7" s="9"/>
      <c r="H7" s="5"/>
      <c r="I7" s="5">
        <v>1</v>
      </c>
      <c r="J7" s="6"/>
      <c r="K7" s="7"/>
      <c r="L7" s="7"/>
      <c r="M7" s="7"/>
      <c r="N7" s="8"/>
    </row>
    <row r="8" spans="1:16" ht="26.25" x14ac:dyDescent="0.25">
      <c r="A8" s="19">
        <v>3</v>
      </c>
      <c r="B8" s="213" t="s">
        <v>75</v>
      </c>
      <c r="C8" s="49" t="s">
        <v>68</v>
      </c>
      <c r="D8" s="161">
        <v>46268</v>
      </c>
      <c r="E8" s="3" t="s">
        <v>74</v>
      </c>
      <c r="F8" s="4"/>
      <c r="G8" s="4"/>
      <c r="H8" s="5"/>
      <c r="I8" s="5">
        <v>1</v>
      </c>
      <c r="J8" s="6"/>
      <c r="K8" s="7"/>
      <c r="L8" s="7"/>
      <c r="M8" s="7"/>
      <c r="N8" s="8"/>
    </row>
    <row r="9" spans="1:16" x14ac:dyDescent="0.25">
      <c r="A9" s="18">
        <v>4</v>
      </c>
      <c r="B9" s="187">
        <v>0</v>
      </c>
      <c r="C9" s="188" t="s">
        <v>69</v>
      </c>
      <c r="D9" s="189">
        <v>46269</v>
      </c>
      <c r="E9" s="190">
        <v>0.98958333333333337</v>
      </c>
      <c r="F9" s="211">
        <v>1</v>
      </c>
      <c r="G9" s="66"/>
      <c r="H9" s="5"/>
      <c r="I9" s="5"/>
      <c r="J9" s="6"/>
      <c r="K9" s="7"/>
      <c r="L9" s="7"/>
      <c r="M9" s="7"/>
      <c r="N9" s="8" t="s">
        <v>76</v>
      </c>
    </row>
    <row r="10" spans="1:16" x14ac:dyDescent="0.25">
      <c r="A10" s="19">
        <v>5</v>
      </c>
      <c r="B10" s="178" t="s">
        <v>38</v>
      </c>
      <c r="C10" s="179" t="s">
        <v>70</v>
      </c>
      <c r="D10" s="180">
        <v>46270</v>
      </c>
      <c r="E10" s="181" t="s">
        <v>74</v>
      </c>
      <c r="F10" s="182"/>
      <c r="G10" s="183"/>
      <c r="H10" s="55"/>
      <c r="I10" s="55">
        <v>1</v>
      </c>
      <c r="J10" s="184"/>
      <c r="K10" s="185"/>
      <c r="L10" s="185"/>
      <c r="M10" s="185"/>
      <c r="N10" s="186"/>
    </row>
    <row r="11" spans="1:16" x14ac:dyDescent="0.25">
      <c r="A11" s="19">
        <v>6</v>
      </c>
      <c r="B11" s="178" t="s">
        <v>38</v>
      </c>
      <c r="C11" s="179" t="s">
        <v>71</v>
      </c>
      <c r="D11" s="180">
        <v>46271</v>
      </c>
      <c r="E11" s="181" t="s">
        <v>74</v>
      </c>
      <c r="F11" s="182"/>
      <c r="G11" s="183"/>
      <c r="H11" s="55"/>
      <c r="I11" s="55">
        <v>1</v>
      </c>
      <c r="J11" s="184"/>
      <c r="K11" s="185"/>
      <c r="L11" s="185"/>
      <c r="M11" s="185"/>
      <c r="N11" s="186"/>
    </row>
    <row r="12" spans="1:16" x14ac:dyDescent="0.25">
      <c r="A12" s="18">
        <v>7</v>
      </c>
      <c r="B12" s="1">
        <v>0.33333333333333331</v>
      </c>
      <c r="C12" s="49" t="s">
        <v>72</v>
      </c>
      <c r="D12" s="161">
        <v>46272</v>
      </c>
      <c r="E12" s="3">
        <v>0.3347222222222222</v>
      </c>
      <c r="F12" s="80">
        <v>1</v>
      </c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16"/>
      <c r="F18" s="85"/>
      <c r="G18" s="86"/>
      <c r="H18" s="17"/>
      <c r="I18" s="5"/>
      <c r="J18" s="6"/>
      <c r="K18" s="7"/>
      <c r="L18" s="7"/>
      <c r="M18" s="7"/>
      <c r="N18" s="13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13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13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16"/>
      <c r="F26" s="5"/>
      <c r="G26" s="5"/>
      <c r="H26" s="17"/>
      <c r="I26" s="5"/>
      <c r="J26" s="6"/>
      <c r="K26" s="7"/>
      <c r="L26" s="7"/>
      <c r="M26" s="7"/>
      <c r="N26" s="13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16"/>
      <c r="F33" s="17"/>
      <c r="G33" s="5"/>
      <c r="H33" s="5"/>
      <c r="I33" s="5"/>
      <c r="J33" s="6"/>
      <c r="K33" s="7"/>
      <c r="L33" s="7"/>
      <c r="M33" s="7"/>
      <c r="N33" s="13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33">
        <v>31</v>
      </c>
      <c r="B36" s="1"/>
      <c r="C36" s="49"/>
      <c r="D36" s="50"/>
      <c r="E36" s="45"/>
      <c r="F36" s="36"/>
      <c r="G36" s="36"/>
      <c r="H36" s="36"/>
      <c r="I36" s="36"/>
      <c r="J36" s="166"/>
      <c r="K36" s="167"/>
      <c r="L36" s="167"/>
      <c r="M36" s="167"/>
      <c r="N36" s="37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SUBTOTAL(109,Tabla323567891011[SI])</f>
        <v>2</v>
      </c>
      <c r="G37" s="81">
        <f>SUBTOTAL(109,Tabla323567891011[DEMORA])</f>
        <v>1</v>
      </c>
      <c r="H37" s="105">
        <f>SUBTOTAL(109,Tabla323567891011[LLEGADA TARDE])</f>
        <v>0</v>
      </c>
      <c r="I37" s="103">
        <f>SUBTOTAL(109,Tabla323567891011[NO CONVOCADO])</f>
        <v>4</v>
      </c>
      <c r="J37" s="95">
        <f>SUBTOTAL(109,Tabla323567891011[FALTO])</f>
        <v>0</v>
      </c>
      <c r="K37" s="104">
        <f>SUBTOTAL(109,Tabla323567891011[MEDICA])</f>
        <v>0</v>
      </c>
      <c r="L37" s="89">
        <f>SUBTOTAL(109,Tabla323567891011[VACACIONES])</f>
        <v>0</v>
      </c>
      <c r="M37" s="88">
        <f>SUBTOTAL(109,Tabla323567891011[FRANCO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2DAF-0012-4CEC-A416-DB2B5EB9393E}">
  <dimension ref="A1:P37"/>
  <sheetViews>
    <sheetView topLeftCell="A5" workbookViewId="0">
      <selection activeCell="B36" sqref="B36"/>
    </sheetView>
  </sheetViews>
  <sheetFormatPr baseColWidth="10" defaultRowHeight="15" x14ac:dyDescent="0.25"/>
  <cols>
    <col min="1" max="1" width="6.7109375" customWidth="1"/>
    <col min="2" max="2" width="14.7109375" style="52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8" customHeight="1" x14ac:dyDescent="0.25"/>
    <row r="3" spans="1:16" s="40" customFormat="1" ht="24.95" customHeight="1" x14ac:dyDescent="0.25">
      <c r="A3" s="39"/>
      <c r="B3" s="51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24</v>
      </c>
      <c r="N3" s="175"/>
      <c r="O3" s="39"/>
      <c r="P3" s="39"/>
    </row>
    <row r="4" spans="1:16" s="38" customFormat="1" ht="20.100000000000001" customHeight="1" thickBot="1" x14ac:dyDescent="0.3">
      <c r="A4"/>
      <c r="B4" s="52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x14ac:dyDescent="0.25">
      <c r="A5" s="67" t="s">
        <v>1</v>
      </c>
      <c r="B5" s="42" t="s">
        <v>12</v>
      </c>
      <c r="C5" s="28" t="s">
        <v>2</v>
      </c>
      <c r="D5" s="28" t="s">
        <v>3</v>
      </c>
      <c r="E5" s="42" t="s">
        <v>13</v>
      </c>
      <c r="F5" s="132" t="s">
        <v>5</v>
      </c>
      <c r="G5" s="87" t="s">
        <v>41</v>
      </c>
      <c r="H5" s="60" t="s">
        <v>6</v>
      </c>
      <c r="I5" s="61" t="s">
        <v>7</v>
      </c>
      <c r="J5" s="62" t="s">
        <v>11</v>
      </c>
      <c r="K5" s="63" t="s">
        <v>8</v>
      </c>
      <c r="L5" s="64" t="s">
        <v>9</v>
      </c>
      <c r="M5" s="65" t="s">
        <v>10</v>
      </c>
      <c r="N5" s="31" t="s">
        <v>4</v>
      </c>
    </row>
    <row r="6" spans="1:16" s="32" customFormat="1" ht="20.100000000000001" customHeight="1" x14ac:dyDescent="0.25">
      <c r="A6" s="58">
        <v>1</v>
      </c>
      <c r="B6" s="190">
        <v>0.33333333333333331</v>
      </c>
      <c r="C6" s="188" t="s">
        <v>66</v>
      </c>
      <c r="D6" s="189">
        <v>46266</v>
      </c>
      <c r="E6" s="187">
        <v>0.33819444444444446</v>
      </c>
      <c r="F6" s="212"/>
      <c r="G6" s="212">
        <v>1</v>
      </c>
      <c r="H6" s="81"/>
      <c r="I6" s="81"/>
      <c r="J6" s="81"/>
      <c r="K6" s="193"/>
      <c r="L6" s="193"/>
      <c r="M6" s="193"/>
      <c r="N6" s="194"/>
    </row>
    <row r="7" spans="1:16" x14ac:dyDescent="0.25">
      <c r="A7" s="19">
        <v>2</v>
      </c>
      <c r="B7" s="3">
        <v>0.33333333333333331</v>
      </c>
      <c r="C7" s="49" t="s">
        <v>67</v>
      </c>
      <c r="D7" s="161">
        <v>46267</v>
      </c>
      <c r="E7" s="1">
        <v>0.33541666666666664</v>
      </c>
      <c r="F7" s="171">
        <v>1</v>
      </c>
      <c r="G7" s="171"/>
      <c r="H7" s="163"/>
      <c r="I7" s="163"/>
      <c r="J7" s="164"/>
      <c r="K7" s="165"/>
      <c r="L7" s="165"/>
      <c r="M7" s="165"/>
      <c r="N7" s="2"/>
    </row>
    <row r="8" spans="1:16" x14ac:dyDescent="0.25">
      <c r="A8" s="19">
        <v>3</v>
      </c>
      <c r="B8" s="3">
        <v>0.33333333333333331</v>
      </c>
      <c r="C8" s="49" t="s">
        <v>68</v>
      </c>
      <c r="D8" s="161">
        <v>46268</v>
      </c>
      <c r="E8" s="1">
        <v>0.33750000000000002</v>
      </c>
      <c r="F8" s="4">
        <v>1</v>
      </c>
      <c r="G8" s="4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3">
        <v>0.33333333333333331</v>
      </c>
      <c r="C9" s="49" t="s">
        <v>69</v>
      </c>
      <c r="D9" s="161">
        <v>46269</v>
      </c>
      <c r="E9" s="1">
        <v>0.3347222222222222</v>
      </c>
      <c r="F9" s="80">
        <v>1</v>
      </c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3" t="s">
        <v>38</v>
      </c>
      <c r="C10" s="49" t="s">
        <v>70</v>
      </c>
      <c r="D10" s="161">
        <v>46270</v>
      </c>
      <c r="E10" s="1" t="s">
        <v>74</v>
      </c>
      <c r="F10" s="80"/>
      <c r="G10" s="66"/>
      <c r="H10" s="5"/>
      <c r="I10" s="5">
        <v>1</v>
      </c>
      <c r="J10" s="6"/>
      <c r="K10" s="7"/>
      <c r="L10" s="7"/>
      <c r="M10" s="7"/>
      <c r="N10" s="8"/>
    </row>
    <row r="11" spans="1:16" x14ac:dyDescent="0.25">
      <c r="A11" s="19">
        <v>6</v>
      </c>
      <c r="B11" s="3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>
        <v>1</v>
      </c>
      <c r="J11" s="6"/>
      <c r="K11" s="7"/>
      <c r="L11" s="7"/>
      <c r="M11" s="7"/>
      <c r="N11" s="8"/>
    </row>
    <row r="12" spans="1:16" x14ac:dyDescent="0.25">
      <c r="A12" s="18">
        <v>7</v>
      </c>
      <c r="B12" s="190">
        <v>0.33333333333333331</v>
      </c>
      <c r="C12" s="188" t="s">
        <v>72</v>
      </c>
      <c r="D12" s="189">
        <v>46272</v>
      </c>
      <c r="E12" s="190">
        <v>0.33958333333333335</v>
      </c>
      <c r="F12" s="211"/>
      <c r="G12" s="212">
        <v>1</v>
      </c>
      <c r="H12" s="81"/>
      <c r="I12" s="81"/>
      <c r="J12" s="192"/>
      <c r="K12" s="193"/>
      <c r="L12" s="193"/>
      <c r="M12" s="193"/>
      <c r="N12" s="194"/>
    </row>
    <row r="13" spans="1:16" x14ac:dyDescent="0.25">
      <c r="A13" s="19">
        <v>8</v>
      </c>
      <c r="B13" s="3">
        <v>0.33333333333333331</v>
      </c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3">
        <v>0.33333333333333331</v>
      </c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3">
        <v>0.33333333333333331</v>
      </c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3">
        <v>0.33333333333333331</v>
      </c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3">
        <v>0.33333333333333331</v>
      </c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3">
        <v>0.33333333333333331</v>
      </c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3">
        <v>0.33333333333333331</v>
      </c>
      <c r="C19" s="49" t="s">
        <v>72</v>
      </c>
      <c r="D19" s="161">
        <v>46279</v>
      </c>
      <c r="E19" s="10"/>
      <c r="F19" s="77"/>
      <c r="G19" s="78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3">
        <v>0.33333333333333331</v>
      </c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3">
        <v>0.33333333333333331</v>
      </c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3">
        <v>0.33333333333333331</v>
      </c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3">
        <v>0.33333333333333331</v>
      </c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3">
        <v>0.33333333333333331</v>
      </c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3">
        <v>0.33333333333333331</v>
      </c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3">
        <v>0.33333333333333331</v>
      </c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3">
        <v>0.33333333333333331</v>
      </c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3">
        <v>0.33333333333333331</v>
      </c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3">
        <v>0.33333333333333331</v>
      </c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3">
        <v>0.33333333333333331</v>
      </c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3">
        <v>0.33333333333333331</v>
      </c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3">
        <v>0.33333333333333331</v>
      </c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3">
        <v>0.33333333333333331</v>
      </c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3">
        <v>0.33333333333333331</v>
      </c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3">
        <v>0.33333333333333331</v>
      </c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1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75"/>
      <c r="C37" s="57"/>
      <c r="D37" s="59"/>
      <c r="E37" s="5"/>
      <c r="F37" s="129">
        <f>SUBTOTAL(109,Tabla3235678910111213[SI])</f>
        <v>3</v>
      </c>
      <c r="G37" s="81">
        <f>SUBTOTAL(109,Tabla3235678910111213[DEMORA])</f>
        <v>2</v>
      </c>
      <c r="H37" s="105">
        <f>SUBTOTAL(109,Tabla3235678910111213[LLEGADA TARDE])</f>
        <v>0</v>
      </c>
      <c r="I37" s="92">
        <f>SUBTOTAL(109,Tabla3235678910111213[NO CONVOCADO])</f>
        <v>2</v>
      </c>
      <c r="J37" s="95">
        <f>SUBTOTAL(109,Tabla3235678910111213[FALTO])</f>
        <v>0</v>
      </c>
      <c r="K37" s="104">
        <f>SUBTOTAL(109,Tabla3235678910111213[MEDICA])</f>
        <v>0</v>
      </c>
      <c r="L37" s="106">
        <f>SUBTOTAL(109,Tabla3235678910111213[VACACIONES])</f>
        <v>0</v>
      </c>
      <c r="M37" s="102">
        <f>SUBTOTAL(109,Tabla3235678910111213[FRANCO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6429-084B-4866-8503-68BD7A9B05F9}">
  <dimension ref="A1:P37"/>
  <sheetViews>
    <sheetView workbookViewId="0">
      <selection activeCell="C6" sqref="C6:D35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3.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25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98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/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/>
      <c r="F7" s="9"/>
      <c r="G7" s="9"/>
      <c r="H7" s="5"/>
      <c r="I7" s="5"/>
      <c r="J7" s="6"/>
      <c r="K7" s="7"/>
      <c r="L7" s="7"/>
      <c r="M7" s="7"/>
      <c r="N7" s="2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/>
      <c r="F8" s="84"/>
      <c r="G8" s="5"/>
      <c r="H8" s="5"/>
      <c r="I8" s="5"/>
      <c r="J8" s="6"/>
      <c r="K8" s="7"/>
      <c r="L8" s="7"/>
      <c r="M8" s="7"/>
      <c r="N8" s="2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/>
      <c r="F9" s="80"/>
      <c r="G9" s="66"/>
      <c r="H9" s="5"/>
      <c r="I9" s="5"/>
      <c r="J9" s="6"/>
      <c r="K9" s="7"/>
      <c r="L9" s="7"/>
      <c r="M9" s="7"/>
      <c r="N9" s="2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/>
      <c r="F10" s="80"/>
      <c r="G10" s="66"/>
      <c r="H10" s="5"/>
      <c r="I10" s="5"/>
      <c r="J10" s="6"/>
      <c r="K10" s="7"/>
      <c r="L10" s="7"/>
      <c r="M10" s="7"/>
      <c r="N10" s="2"/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/>
      <c r="F11" s="80"/>
      <c r="G11" s="66"/>
      <c r="H11" s="5"/>
      <c r="I11" s="5"/>
      <c r="J11" s="6"/>
      <c r="K11" s="7"/>
      <c r="L11" s="7"/>
      <c r="M11" s="7"/>
      <c r="N11" s="2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13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2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2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2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16"/>
      <c r="F16" s="85"/>
      <c r="G16" s="86"/>
      <c r="H16" s="17"/>
      <c r="I16" s="17"/>
      <c r="J16" s="142"/>
      <c r="K16" s="8"/>
      <c r="L16" s="8"/>
      <c r="M16" s="8"/>
      <c r="N16" s="2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2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2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2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2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2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2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2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2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8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SUBTOTAL(109,Tabla323567891011121314[SI])</f>
        <v>0</v>
      </c>
      <c r="G37" s="81">
        <f>SUBTOTAL(109,Tabla323567891011121314[DEMORA])</f>
        <v>0</v>
      </c>
      <c r="H37" s="76">
        <f>SUBTOTAL(109,Tabla323567891011121314[LLEGADA TARDE])</f>
        <v>0</v>
      </c>
      <c r="I37" s="92">
        <f>SUBTOTAL(109,Tabla323567891011121314[NO CONVOCADO])</f>
        <v>0</v>
      </c>
      <c r="J37" s="95">
        <f>SUBTOTAL(109,Tabla323567891011121314[FALTO])</f>
        <v>0</v>
      </c>
      <c r="K37" s="96">
        <f>SUBTOTAL(109,Tabla323567891011121314[MEDICA])</f>
        <v>0</v>
      </c>
      <c r="L37" s="89">
        <f>SUBTOTAL(109,Tabla323567891011121314[VACACIONES])</f>
        <v>0</v>
      </c>
      <c r="M37" s="97">
        <f>SUBTOTAL(109,Tabla323567891011121314[FRANCO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5AE9-9F0C-4256-BACB-D8693FB7A8B2}">
  <dimension ref="A1:P37"/>
  <sheetViews>
    <sheetView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6.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26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42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0.34236111111111112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0.34166666666666667</v>
      </c>
      <c r="F7" s="9"/>
      <c r="G7" s="9"/>
      <c r="H7" s="5"/>
      <c r="I7" s="5"/>
      <c r="J7" s="6"/>
      <c r="K7" s="7"/>
      <c r="L7" s="7"/>
      <c r="M7" s="7"/>
      <c r="N7" s="2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0.34166666666666667</v>
      </c>
      <c r="F8" s="172"/>
      <c r="G8" s="172"/>
      <c r="H8" s="5"/>
      <c r="I8" s="5"/>
      <c r="J8" s="6"/>
      <c r="K8" s="7"/>
      <c r="L8" s="7"/>
      <c r="M8" s="7"/>
      <c r="N8" s="13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0.34166666666666667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>
        <v>0.34583333333333333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0.34097222222222223</v>
      </c>
      <c r="F12" s="80"/>
      <c r="G12" s="66"/>
      <c r="H12" s="5"/>
      <c r="I12" s="5"/>
      <c r="J12" s="6"/>
      <c r="K12" s="7"/>
      <c r="L12" s="7"/>
      <c r="M12" s="7"/>
      <c r="N12" s="13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10"/>
      <c r="F20" s="82"/>
      <c r="G20" s="66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45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1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56"/>
      <c r="C37" s="57"/>
      <c r="D37" s="59"/>
      <c r="E37" s="5"/>
      <c r="F37" s="129">
        <f>SUBTOTAL(109,Tabla3235678910111213141516[SI])</f>
        <v>0</v>
      </c>
      <c r="G37" s="81">
        <f>SUBTOTAL(109,Tabla3235678910111213141516[DEMORA])</f>
        <v>0</v>
      </c>
      <c r="H37" s="76">
        <f>SUBTOTAL(109,Tabla3235678910111213141516[LLEGADA TARDE])</f>
        <v>0</v>
      </c>
      <c r="I37" s="92">
        <f>SUBTOTAL(109,Tabla3235678910111213141516[NO CONVOCADO])</f>
        <v>0</v>
      </c>
      <c r="J37" s="95">
        <f>SUBTOTAL(109,Tabla3235678910111213141516[FALTO])</f>
        <v>0</v>
      </c>
      <c r="K37" s="104">
        <f>SUBTOTAL(109,Tabla3235678910111213141516[MEDICA])</f>
        <v>0</v>
      </c>
      <c r="L37" s="89">
        <f>SUBTOTAL(109,Tabla3235678910111213141516[VACACIONES])</f>
        <v>0</v>
      </c>
      <c r="M37" s="102">
        <f>SUBTOTAL(109,Tabla3235678910111213141516[FRANCO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C6B2-8E70-462F-9FA9-DA832EB0D6F3}">
  <dimension ref="A1:P37"/>
  <sheetViews>
    <sheetView workbookViewId="0">
      <selection activeCell="C6" sqref="C6:D35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3.42578125" customWidth="1"/>
  </cols>
  <sheetData>
    <row r="1" spans="1:16" ht="50.1" customHeight="1" x14ac:dyDescent="0.25"/>
    <row r="2" spans="1:16" ht="1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27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/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/>
      <c r="F7" s="9"/>
      <c r="G7" s="9"/>
      <c r="H7" s="5"/>
      <c r="I7" s="5"/>
      <c r="J7" s="6"/>
      <c r="K7" s="7"/>
      <c r="L7" s="7"/>
      <c r="M7" s="7"/>
      <c r="N7" s="2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/>
      <c r="F8" s="4"/>
      <c r="G8" s="4"/>
      <c r="H8" s="5"/>
      <c r="I8" s="5"/>
      <c r="J8" s="6"/>
      <c r="K8" s="7"/>
      <c r="L8" s="7"/>
      <c r="M8" s="7"/>
      <c r="N8" s="2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/>
      <c r="F9" s="80"/>
      <c r="G9" s="66"/>
      <c r="H9" s="5"/>
      <c r="I9" s="5"/>
      <c r="J9" s="6"/>
      <c r="K9" s="7"/>
      <c r="L9" s="7"/>
      <c r="M9" s="7"/>
      <c r="N9" s="2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/>
      <c r="F10" s="80"/>
      <c r="G10" s="66"/>
      <c r="H10" s="5"/>
      <c r="I10" s="5"/>
      <c r="J10" s="6"/>
      <c r="K10" s="7"/>
      <c r="L10" s="7"/>
      <c r="M10" s="7"/>
      <c r="N10" s="2"/>
    </row>
    <row r="11" spans="1:16" x14ac:dyDescent="0.25">
      <c r="A11" s="19">
        <v>6</v>
      </c>
      <c r="B11" s="112"/>
      <c r="C11" s="49" t="s">
        <v>71</v>
      </c>
      <c r="D11" s="161">
        <v>46271</v>
      </c>
      <c r="E11" s="16"/>
      <c r="F11" s="85"/>
      <c r="G11" s="86"/>
      <c r="H11" s="5"/>
      <c r="I11" s="5"/>
      <c r="J11" s="6"/>
      <c r="K11" s="7"/>
      <c r="L11" s="7"/>
      <c r="M11" s="7"/>
      <c r="N11" s="13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2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2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2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16"/>
      <c r="F16" s="85"/>
      <c r="G16" s="86"/>
      <c r="H16" s="17"/>
      <c r="I16" s="17"/>
      <c r="J16" s="142"/>
      <c r="K16" s="8"/>
      <c r="L16" s="8"/>
      <c r="M16" s="8"/>
      <c r="N16" s="2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2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2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2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6"/>
      <c r="G20" s="5"/>
      <c r="H20" s="5"/>
      <c r="I20" s="5"/>
      <c r="J20" s="6"/>
      <c r="K20" s="7"/>
      <c r="L20" s="7"/>
      <c r="M20" s="7"/>
      <c r="N20" s="2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83"/>
      <c r="G21" s="66"/>
      <c r="H21" s="5"/>
      <c r="I21" s="5"/>
      <c r="J21" s="6"/>
      <c r="K21" s="7"/>
      <c r="L21" s="7"/>
      <c r="M21" s="7"/>
      <c r="N21" s="2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84"/>
      <c r="G22" s="5"/>
      <c r="H22" s="5"/>
      <c r="I22" s="5"/>
      <c r="J22" s="6"/>
      <c r="K22" s="7"/>
      <c r="L22" s="7"/>
      <c r="M22" s="7"/>
      <c r="N22" s="2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2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2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8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8"/>
    </row>
    <row r="35" spans="1:14" x14ac:dyDescent="0.25">
      <c r="A35" s="58">
        <v>30</v>
      </c>
      <c r="B35" s="1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8"/>
    </row>
    <row r="36" spans="1:14" x14ac:dyDescent="0.25">
      <c r="A36" s="5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8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SUBTOTAL(109,Tabla323567891011121314151617[SI])</f>
        <v>0</v>
      </c>
      <c r="G37" s="81">
        <f>SUBTOTAL(109,Tabla323567891011121314151617[DEMORA])</f>
        <v>0</v>
      </c>
      <c r="H37" s="76">
        <f>SUBTOTAL(109,Tabla323567891011121314151617[LLEGADA TARDE])</f>
        <v>0</v>
      </c>
      <c r="I37" s="92">
        <f>SUBTOTAL(109,Tabla323567891011121314151617[NO CONVOCADO])</f>
        <v>0</v>
      </c>
      <c r="J37" s="95">
        <f>SUBTOTAL(109,Tabla323567891011121314151617[FALTO])</f>
        <v>0</v>
      </c>
      <c r="K37" s="104">
        <f>SUBTOTAL(109,Tabla323567891011121314151617[MEDICA])</f>
        <v>0</v>
      </c>
      <c r="L37" s="89">
        <f>SUBTOTAL(109,Tabla323567891011121314151617[VACACIONES])</f>
        <v>0</v>
      </c>
      <c r="M37" s="102">
        <f>SUBTOTAL(109,Tabla323567891011121314151617[FRANCO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6F91-9A41-4232-A05B-DC71C36A82E3}">
  <dimension ref="A1:P37"/>
  <sheetViews>
    <sheetView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4.2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28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3"/>
      <c r="C6" s="49" t="s">
        <v>66</v>
      </c>
      <c r="D6" s="161">
        <v>46266</v>
      </c>
      <c r="E6" s="1">
        <v>0.33263888888888887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3"/>
      <c r="C7" s="49" t="s">
        <v>67</v>
      </c>
      <c r="D7" s="161">
        <v>46267</v>
      </c>
      <c r="E7" s="3">
        <v>0.33194444444444443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3"/>
      <c r="C8" s="49" t="s">
        <v>68</v>
      </c>
      <c r="D8" s="161">
        <v>46268</v>
      </c>
      <c r="E8" s="3">
        <v>0.33194444444444443</v>
      </c>
      <c r="F8" s="84"/>
      <c r="G8" s="5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3"/>
      <c r="C9" s="49" t="s">
        <v>69</v>
      </c>
      <c r="D9" s="161">
        <v>46269</v>
      </c>
      <c r="E9" s="3">
        <v>0.33541666666666664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3"/>
      <c r="C10" s="49" t="s">
        <v>70</v>
      </c>
      <c r="D10" s="161">
        <v>46270</v>
      </c>
      <c r="E10" s="3" t="s">
        <v>74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3"/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3"/>
      <c r="C12" s="49" t="s">
        <v>72</v>
      </c>
      <c r="D12" s="161">
        <v>46272</v>
      </c>
      <c r="E12" s="3">
        <v>0.3347222222222222</v>
      </c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3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3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3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3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3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3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3"/>
      <c r="C19" s="49" t="s">
        <v>72</v>
      </c>
      <c r="D19" s="161">
        <v>46279</v>
      </c>
      <c r="E19" s="10"/>
      <c r="F19" s="77"/>
      <c r="G19" s="78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3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3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3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3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3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3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3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3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3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3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3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3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3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3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3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58">
        <v>30</v>
      </c>
      <c r="B35" s="3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5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SUBTOTAL(109,Tabla3235678910111213141516171819[SI])</f>
        <v>0</v>
      </c>
      <c r="G37" s="81">
        <f>SUBTOTAL(109,Tabla3235678910111213141516171819[DEMORA])</f>
        <v>0</v>
      </c>
      <c r="H37" s="76">
        <f>SUBTOTAL(109,Tabla3235678910111213141516171819[LLEGADA TARDE])</f>
        <v>0</v>
      </c>
      <c r="I37" s="92">
        <f>SUBTOTAL(109,Tabla3235678910111213141516171819[NO CONVOCADO])</f>
        <v>0</v>
      </c>
      <c r="J37" s="95">
        <f>SUBTOTAL(109,Tabla3235678910111213141516171819[FALTO])</f>
        <v>0</v>
      </c>
      <c r="K37" s="104">
        <f>SUBTOTAL(109,Tabla3235678910111213141516171819[MEDICA])</f>
        <v>0</v>
      </c>
      <c r="L37" s="89">
        <f>SUBTOTAL(109,Tabla3235678910111213141516171819[VACACIONES])</f>
        <v>0</v>
      </c>
      <c r="M37" s="102">
        <f>SUBTOTAL(109,Tabla3235678910111213141516171819[FRANCO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44B3-B14E-4AD4-B59E-C177B580D55D}">
  <dimension ref="A1:P37"/>
  <sheetViews>
    <sheetView workbookViewId="0">
      <selection activeCell="I10" sqref="I10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7.2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29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0.41111111111111109</v>
      </c>
      <c r="F6" s="162"/>
      <c r="G6" s="78"/>
      <c r="H6" s="163">
        <v>1</v>
      </c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0.40625</v>
      </c>
      <c r="F7" s="9"/>
      <c r="G7" s="9"/>
      <c r="H7" s="5">
        <v>1</v>
      </c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0.3923611111111111</v>
      </c>
      <c r="F8" s="4"/>
      <c r="G8" s="4"/>
      <c r="H8" s="5">
        <v>1</v>
      </c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0.40625</v>
      </c>
      <c r="F9" s="80"/>
      <c r="G9" s="66"/>
      <c r="H9" s="5">
        <v>1</v>
      </c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 t="s">
        <v>42</v>
      </c>
      <c r="C10" s="49" t="s">
        <v>70</v>
      </c>
      <c r="D10" s="161">
        <v>46270</v>
      </c>
      <c r="E10" s="3" t="s">
        <v>74</v>
      </c>
      <c r="F10" s="80"/>
      <c r="G10" s="66"/>
      <c r="H10" s="5"/>
      <c r="I10" s="5"/>
      <c r="J10" s="6"/>
      <c r="K10" s="7"/>
      <c r="L10" s="7"/>
      <c r="M10" s="7">
        <v>1</v>
      </c>
      <c r="N10" s="8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>
        <v>1</v>
      </c>
      <c r="J11" s="6"/>
      <c r="K11" s="7"/>
      <c r="L11" s="7"/>
      <c r="M11" s="7"/>
      <c r="N11" s="8"/>
    </row>
    <row r="12" spans="1:16" x14ac:dyDescent="0.25">
      <c r="A12" s="18">
        <v>7</v>
      </c>
      <c r="B12" s="1">
        <v>0.33333333333333331</v>
      </c>
      <c r="C12" s="49" t="s">
        <v>72</v>
      </c>
      <c r="D12" s="161">
        <v>46272</v>
      </c>
      <c r="E12" s="3">
        <v>0.38541666666666669</v>
      </c>
      <c r="F12" s="80"/>
      <c r="G12" s="66"/>
      <c r="H12" s="5">
        <v>1</v>
      </c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9"/>
      <c r="G14" s="9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4"/>
      <c r="G15" s="4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4"/>
      <c r="G16" s="4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10"/>
      <c r="F17" s="77"/>
      <c r="G17" s="78"/>
      <c r="H17" s="11"/>
      <c r="I17" s="11"/>
      <c r="J17" s="12"/>
      <c r="K17" s="14"/>
      <c r="L17" s="14"/>
      <c r="M17" s="14"/>
      <c r="N17" s="173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66"/>
      <c r="G18" s="66"/>
      <c r="H18" s="5"/>
      <c r="I18" s="5"/>
      <c r="J18" s="5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3"/>
      <c r="F19" s="66"/>
      <c r="G19" s="66"/>
      <c r="H19" s="5"/>
      <c r="I19" s="5"/>
      <c r="J19" s="5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5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66"/>
      <c r="G21" s="66"/>
      <c r="H21" s="5"/>
      <c r="I21" s="5"/>
      <c r="J21" s="5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5"/>
      <c r="G22" s="5"/>
      <c r="H22" s="5"/>
      <c r="I22" s="5"/>
      <c r="J22" s="5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5"/>
      <c r="K23" s="7"/>
      <c r="L23" s="7"/>
      <c r="M23" s="7"/>
      <c r="N23" s="8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5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1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SUBTOTAL(109,Tabla32356789101112131415161718192021[SI])</f>
        <v>0</v>
      </c>
      <c r="G37" s="81">
        <f>SUBTOTAL(109,Tabla32356789101112131415161718192021[DEMORA])</f>
        <v>0</v>
      </c>
      <c r="H37" s="76">
        <f>SUBTOTAL(109,Tabla32356789101112131415161718192021[LLEGADA TARDE])</f>
        <v>5</v>
      </c>
      <c r="I37" s="103">
        <f>SUBTOTAL(109,Tabla32356789101112131415161718192021[NO CONVOCADO])</f>
        <v>1</v>
      </c>
      <c r="J37" s="95">
        <f>SUBTOTAL(109,Tabla32356789101112131415161718192021[FALTO])</f>
        <v>0</v>
      </c>
      <c r="K37" s="104">
        <f>SUBTOTAL(109,Tabla32356789101112131415161718192021[MEDICA])</f>
        <v>0</v>
      </c>
      <c r="L37" s="89">
        <f>SUBTOTAL(109,Tabla32356789101112131415161718192021[VACACIONES])</f>
        <v>0</v>
      </c>
      <c r="M37" s="102">
        <f>SUBTOTAL(109,Tabla32356789101112131415161718192021[FRANCO POR DOMINGO])</f>
        <v>1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3230-9893-4A7D-92E9-34CACF02DB50}">
  <dimension ref="A1:P37"/>
  <sheetViews>
    <sheetView workbookViewId="0">
      <selection activeCell="C6" sqref="C6:D35"/>
    </sheetView>
  </sheetViews>
  <sheetFormatPr baseColWidth="10" defaultRowHeight="15" x14ac:dyDescent="0.25"/>
  <cols>
    <col min="1" max="1" width="6.7109375" customWidth="1"/>
    <col min="2" max="2" width="14.7109375" style="41" customWidth="1"/>
    <col min="6" max="13" width="10.7109375" customWidth="1"/>
    <col min="14" max="14" width="22.140625" customWidth="1"/>
  </cols>
  <sheetData>
    <row r="1" spans="1:16" ht="50.1" customHeight="1" x14ac:dyDescent="0.25"/>
    <row r="2" spans="1:16" ht="15" customHeight="1" x14ac:dyDescent="0.25"/>
    <row r="3" spans="1:16" s="40" customFormat="1" ht="24.95" customHeight="1" x14ac:dyDescent="0.25">
      <c r="A3" s="39"/>
      <c r="B3" s="44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36</v>
      </c>
      <c r="N3" s="175"/>
      <c r="O3" s="39"/>
      <c r="P3" s="39"/>
    </row>
    <row r="4" spans="1:16" s="38" customFormat="1" ht="20.100000000000001" customHeight="1" thickBot="1" x14ac:dyDescent="0.3">
      <c r="A4"/>
      <c r="B4" s="41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42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/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/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/>
      <c r="F8" s="83"/>
      <c r="G8" s="66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/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/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/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16"/>
      <c r="F16" s="85"/>
      <c r="G16" s="86"/>
      <c r="H16" s="5"/>
      <c r="I16" s="5"/>
      <c r="J16" s="6"/>
      <c r="K16" s="7"/>
      <c r="L16" s="7"/>
      <c r="M16" s="7"/>
      <c r="N16" s="13"/>
    </row>
    <row r="17" spans="1:14" ht="15" customHeight="1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ht="15" customHeight="1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07">
        <v>30</v>
      </c>
      <c r="B35" s="45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5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SUBTOTAL(109,Tabla323567891011121314151617181920212223243129[SI])</f>
        <v>0</v>
      </c>
      <c r="G37" s="81">
        <f>SUBTOTAL(109,Tabla323567891011121314151617181920212223243129[DEMORA])</f>
        <v>0</v>
      </c>
      <c r="H37" s="76">
        <f>SUBTOTAL(109,Tabla323567891011121314151617181920212223243129[LLEGADA TARDE])</f>
        <v>0</v>
      </c>
      <c r="I37" s="92">
        <f>SUBTOTAL(109,Tabla323567891011121314151617181920212223243129[NO CONVOCADO])</f>
        <v>0</v>
      </c>
      <c r="J37" s="95">
        <f>SUBTOTAL(109,Tabla323567891011121314151617181920212223243129[FALTO])</f>
        <v>0</v>
      </c>
      <c r="K37" s="104">
        <f>SUBTOTAL(109,Tabla323567891011121314151617181920212223243129[MEDICA])</f>
        <v>0</v>
      </c>
      <c r="L37" s="89">
        <f>SUBTOTAL(109,Tabla323567891011121314151617181920212223243129[VACACIONES])</f>
        <v>0</v>
      </c>
      <c r="M37" s="102">
        <f>SUBTOTAL(109,Tabla323567891011121314151617181920212223243129[FRANCO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BC31-7B97-4DF0-BDD1-18C0860D9A57}">
  <dimension ref="A1:P37"/>
  <sheetViews>
    <sheetView workbookViewId="0">
      <selection activeCell="I11" sqref="I11"/>
    </sheetView>
  </sheetViews>
  <sheetFormatPr baseColWidth="10" defaultRowHeight="15" x14ac:dyDescent="0.25"/>
  <cols>
    <col min="1" max="1" width="6.7109375" customWidth="1"/>
    <col min="2" max="2" width="14.7109375" style="41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5" customHeight="1" x14ac:dyDescent="0.25"/>
    <row r="3" spans="1:16" s="40" customFormat="1" ht="24.95" customHeight="1" x14ac:dyDescent="0.25">
      <c r="A3" s="39"/>
      <c r="B3" s="44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39</v>
      </c>
      <c r="N3" s="175"/>
      <c r="O3" s="39"/>
      <c r="P3" s="39"/>
    </row>
    <row r="4" spans="1:16" s="38" customFormat="1" ht="20.100000000000001" customHeight="1" thickBot="1" x14ac:dyDescent="0.3">
      <c r="A4"/>
      <c r="B4" s="41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42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>
        <v>0.375</v>
      </c>
      <c r="C6" s="49" t="s">
        <v>66</v>
      </c>
      <c r="D6" s="161">
        <v>46266</v>
      </c>
      <c r="E6" s="1">
        <v>0.38958333333333334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>
        <v>0.375</v>
      </c>
      <c r="C7" s="49" t="s">
        <v>67</v>
      </c>
      <c r="D7" s="161">
        <v>46267</v>
      </c>
      <c r="E7" s="3">
        <v>0.35138888888888886</v>
      </c>
      <c r="F7" s="9"/>
      <c r="G7" s="9"/>
      <c r="H7" s="5"/>
      <c r="I7" s="5"/>
      <c r="J7" s="6"/>
      <c r="K7" s="7"/>
      <c r="L7" s="7"/>
      <c r="M7" s="7"/>
      <c r="N7" s="2"/>
    </row>
    <row r="8" spans="1:16" x14ac:dyDescent="0.25">
      <c r="A8" s="19">
        <v>3</v>
      </c>
      <c r="B8" s="1">
        <v>0.375</v>
      </c>
      <c r="C8" s="49" t="s">
        <v>68</v>
      </c>
      <c r="D8" s="161">
        <v>46268</v>
      </c>
      <c r="E8" s="3">
        <v>0.33888888888888891</v>
      </c>
      <c r="F8" s="4"/>
      <c r="G8" s="4"/>
      <c r="H8" s="5"/>
      <c r="I8" s="5"/>
      <c r="J8" s="6"/>
      <c r="K8" s="7"/>
      <c r="L8" s="7"/>
      <c r="M8" s="7"/>
      <c r="N8" s="2"/>
    </row>
    <row r="9" spans="1:16" x14ac:dyDescent="0.25">
      <c r="A9" s="18">
        <v>4</v>
      </c>
      <c r="B9" s="1">
        <v>0.375</v>
      </c>
      <c r="C9" s="49" t="s">
        <v>69</v>
      </c>
      <c r="D9" s="161">
        <v>46269</v>
      </c>
      <c r="E9" s="3">
        <v>0.375</v>
      </c>
      <c r="F9" s="80"/>
      <c r="G9" s="66"/>
      <c r="H9" s="5"/>
      <c r="I9" s="5"/>
      <c r="J9" s="6"/>
      <c r="K9" s="7"/>
      <c r="L9" s="7"/>
      <c r="M9" s="7"/>
      <c r="N9" s="2"/>
    </row>
    <row r="10" spans="1:16" x14ac:dyDescent="0.25">
      <c r="A10" s="19">
        <v>5</v>
      </c>
      <c r="B10" s="1" t="s">
        <v>38</v>
      </c>
      <c r="C10" s="49" t="s">
        <v>70</v>
      </c>
      <c r="D10" s="161">
        <v>46270</v>
      </c>
      <c r="E10" s="3" t="s">
        <v>74</v>
      </c>
      <c r="F10" s="80"/>
      <c r="G10" s="66"/>
      <c r="H10" s="5"/>
      <c r="I10" s="5">
        <v>1</v>
      </c>
      <c r="J10" s="6"/>
      <c r="K10" s="7"/>
      <c r="L10" s="7"/>
      <c r="M10" s="7"/>
      <c r="N10" s="2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>
        <v>1</v>
      </c>
      <c r="J11" s="6"/>
      <c r="K11" s="7"/>
      <c r="L11" s="7"/>
      <c r="M11" s="7"/>
      <c r="N11" s="2"/>
    </row>
    <row r="12" spans="1:16" x14ac:dyDescent="0.25">
      <c r="A12" s="18">
        <v>7</v>
      </c>
      <c r="B12" s="1">
        <v>0.375</v>
      </c>
      <c r="C12" s="49" t="s">
        <v>72</v>
      </c>
      <c r="D12" s="161">
        <v>46272</v>
      </c>
      <c r="E12" s="3">
        <v>0.37152777777777779</v>
      </c>
      <c r="F12" s="80">
        <v>1</v>
      </c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>
        <v>0.375</v>
      </c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>
        <v>0.375</v>
      </c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>
        <v>0.375</v>
      </c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>
        <v>0.375</v>
      </c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 t="s">
        <v>38</v>
      </c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 t="s">
        <v>38</v>
      </c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>
        <v>0.375</v>
      </c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>
        <v>0.375</v>
      </c>
      <c r="C20" s="49" t="s">
        <v>66</v>
      </c>
      <c r="D20" s="161">
        <v>46280</v>
      </c>
      <c r="E20" s="3"/>
      <c r="F20" s="6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>
        <v>0.375</v>
      </c>
      <c r="C21" s="49" t="s">
        <v>67</v>
      </c>
      <c r="D21" s="161">
        <v>46281</v>
      </c>
      <c r="E21" s="3"/>
      <c r="F21" s="83"/>
      <c r="G21" s="66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>
        <v>0.375</v>
      </c>
      <c r="C22" s="49" t="s">
        <v>68</v>
      </c>
      <c r="D22" s="161">
        <v>46282</v>
      </c>
      <c r="E22" s="3"/>
      <c r="F22" s="84"/>
      <c r="G22" s="5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>
        <v>0.375</v>
      </c>
      <c r="C23" s="49" t="s">
        <v>69</v>
      </c>
      <c r="D23" s="161">
        <v>46283</v>
      </c>
      <c r="E23" s="3"/>
      <c r="F23" s="6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 t="s">
        <v>38</v>
      </c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 t="s">
        <v>38</v>
      </c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>
        <v>0.375</v>
      </c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>
        <v>0.375</v>
      </c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>
        <v>0.375</v>
      </c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>
        <v>0.375</v>
      </c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>
        <v>0.375</v>
      </c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 t="s">
        <v>38</v>
      </c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 t="s">
        <v>38</v>
      </c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8"/>
    </row>
    <row r="33" spans="1:14" x14ac:dyDescent="0.25">
      <c r="A33" s="18">
        <v>28</v>
      </c>
      <c r="B33" s="1">
        <v>0.375</v>
      </c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>
        <v>0.375</v>
      </c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8"/>
    </row>
    <row r="35" spans="1:14" x14ac:dyDescent="0.25">
      <c r="A35" s="19">
        <v>30</v>
      </c>
      <c r="B35" s="1">
        <v>0.375</v>
      </c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8"/>
    </row>
    <row r="36" spans="1:14" x14ac:dyDescent="0.25">
      <c r="A36" s="1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8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SUBTOTAL(109,Tabla323567891011121314151617181920212223243130[SI])</f>
        <v>1</v>
      </c>
      <c r="G37" s="81">
        <f>SUBTOTAL(109,Tabla323567891011121314151617181920212223243130[DEMORA])</f>
        <v>0</v>
      </c>
      <c r="H37" s="76">
        <f>SUBTOTAL(109,Tabla323567891011121314151617181920212223243130[LLEGADA TARDE])</f>
        <v>0</v>
      </c>
      <c r="I37" s="55">
        <f>SUBTOTAL(109,Tabla323567891011121314151617181920212223243130[NO CONVOCADO])</f>
        <v>2</v>
      </c>
      <c r="J37" s="95">
        <f>SUBTOTAL(109,Tabla323567891011121314151617181920212223243130[FALTO])</f>
        <v>0</v>
      </c>
      <c r="K37" s="96">
        <f>SUBTOTAL(109,Tabla323567891011121314151617181920212223243130[MEDICA])</f>
        <v>0</v>
      </c>
      <c r="L37" s="89">
        <f>SUBTOTAL(109,Tabla323567891011121314151617181920212223243130[VACACIONES])</f>
        <v>0</v>
      </c>
      <c r="M37" s="102">
        <f>SUBTOTAL(109,Tabla323567891011121314151617181920212223243130[FRANCO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A543-DC36-4D8E-81E6-8AF7F11A6B8F}">
  <sheetPr>
    <tabColor theme="0"/>
  </sheetPr>
  <dimension ref="A1:P37"/>
  <sheetViews>
    <sheetView workbookViewId="0">
      <selection activeCell="B12" sqref="B12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5.7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37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0.3347222222222222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/>
      <c r="C7" s="49" t="s">
        <v>67</v>
      </c>
      <c r="D7" s="161">
        <v>46267</v>
      </c>
      <c r="E7" s="3">
        <v>0.32708333333333334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0.36458333333333331</v>
      </c>
      <c r="F8" s="4"/>
      <c r="G8" s="4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0.33402777777777776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>
        <v>0.32291666666666669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0.32847222222222222</v>
      </c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13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13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07">
        <v>30</v>
      </c>
      <c r="B35" s="1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5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3"/>
      <c r="F37" s="129">
        <f>SUBTOTAL(109,Tabla323567891011121314151617181920212223242535[SI])</f>
        <v>0</v>
      </c>
      <c r="G37" s="81">
        <f>SUBTOTAL(109,Tabla323567891011121314151617181920212223242535[DEMORA])</f>
        <v>0</v>
      </c>
      <c r="H37" s="76">
        <f>SUBTOTAL(109,Tabla323567891011121314151617181920212223242535[LLEGADA TARDE])</f>
        <v>0</v>
      </c>
      <c r="I37" s="103">
        <f>SUBTOTAL(109,Tabla323567891011121314151617181920212223242535[NO CONVOCADO])</f>
        <v>0</v>
      </c>
      <c r="J37" s="95">
        <f>SUBTOTAL(109,Tabla323567891011121314151617181920212223242535[FALTO])</f>
        <v>0</v>
      </c>
      <c r="K37" s="104">
        <f>SUBTOTAL(109,Tabla323567891011121314151617181920212223242535[MEDICA])</f>
        <v>0</v>
      </c>
      <c r="L37" s="89">
        <f>SUBTOTAL(109,Tabla323567891011121314151617181920212223242535[VACACIONES])</f>
        <v>0</v>
      </c>
      <c r="M37" s="102">
        <f>SUBTOTAL(109,Tabla323567891011121314151617181920212223242535[FRANCO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4B4C-1A90-4999-85D8-C61278526D9F}">
  <dimension ref="A1:P37"/>
  <sheetViews>
    <sheetView topLeftCell="A3" workbookViewId="0">
      <selection activeCell="B10" sqref="B10:N11"/>
    </sheetView>
  </sheetViews>
  <sheetFormatPr baseColWidth="10" defaultRowHeight="15" x14ac:dyDescent="0.25"/>
  <cols>
    <col min="1" max="1" width="6.7109375" customWidth="1"/>
    <col min="2" max="2" width="14.7109375" style="41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5" customHeight="1" x14ac:dyDescent="0.25"/>
    <row r="3" spans="1:16" s="40" customFormat="1" ht="24.95" customHeight="1" x14ac:dyDescent="0.25">
      <c r="A3" s="39"/>
      <c r="B3" s="44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30</v>
      </c>
      <c r="N3" s="175"/>
      <c r="O3" s="39"/>
      <c r="P3" s="39"/>
    </row>
    <row r="4" spans="1:16" s="38" customFormat="1" ht="20.100000000000001" customHeight="1" thickBot="1" x14ac:dyDescent="0.3">
      <c r="A4"/>
      <c r="B4" s="41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42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>
        <v>0.375</v>
      </c>
      <c r="C6" s="49" t="s">
        <v>66</v>
      </c>
      <c r="D6" s="161">
        <v>46266</v>
      </c>
      <c r="E6" s="1"/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>
        <v>0.375</v>
      </c>
      <c r="C7" s="49" t="s">
        <v>67</v>
      </c>
      <c r="D7" s="161">
        <v>46267</v>
      </c>
      <c r="E7" s="3"/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>
        <v>0.375</v>
      </c>
      <c r="C8" s="49" t="s">
        <v>68</v>
      </c>
      <c r="D8" s="161">
        <v>46268</v>
      </c>
      <c r="E8" s="3"/>
      <c r="F8" s="84"/>
      <c r="G8" s="5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>
        <v>0.375</v>
      </c>
      <c r="C9" s="49" t="s">
        <v>69</v>
      </c>
      <c r="D9" s="161">
        <v>46269</v>
      </c>
      <c r="E9" s="3"/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78" t="s">
        <v>38</v>
      </c>
      <c r="C10" s="179" t="s">
        <v>70</v>
      </c>
      <c r="D10" s="180">
        <v>46270</v>
      </c>
      <c r="E10" s="181" t="s">
        <v>74</v>
      </c>
      <c r="F10" s="182"/>
      <c r="G10" s="183"/>
      <c r="H10" s="55"/>
      <c r="I10" s="55">
        <v>1</v>
      </c>
      <c r="J10" s="184"/>
      <c r="K10" s="185"/>
      <c r="L10" s="185"/>
      <c r="M10" s="185"/>
      <c r="N10" s="186"/>
    </row>
    <row r="11" spans="1:16" x14ac:dyDescent="0.25">
      <c r="A11" s="19">
        <v>6</v>
      </c>
      <c r="B11" s="178" t="s">
        <v>38</v>
      </c>
      <c r="C11" s="179" t="s">
        <v>71</v>
      </c>
      <c r="D11" s="180">
        <v>46271</v>
      </c>
      <c r="E11" s="181" t="s">
        <v>74</v>
      </c>
      <c r="F11" s="182"/>
      <c r="G11" s="183"/>
      <c r="H11" s="55"/>
      <c r="I11" s="55">
        <v>1</v>
      </c>
      <c r="J11" s="184"/>
      <c r="K11" s="185"/>
      <c r="L11" s="185"/>
      <c r="M11" s="185"/>
      <c r="N11" s="186"/>
    </row>
    <row r="12" spans="1:16" x14ac:dyDescent="0.25">
      <c r="A12" s="18">
        <v>7</v>
      </c>
      <c r="B12" s="1">
        <v>0.375</v>
      </c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>
        <v>0.375</v>
      </c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>
        <v>0.375</v>
      </c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>
        <v>0.375</v>
      </c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>
        <v>0.375</v>
      </c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 t="s">
        <v>38</v>
      </c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 t="s">
        <v>38</v>
      </c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>
        <v>0.375</v>
      </c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>
        <v>0.375</v>
      </c>
      <c r="C20" s="49" t="s">
        <v>66</v>
      </c>
      <c r="D20" s="161">
        <v>46280</v>
      </c>
      <c r="E20" s="3"/>
      <c r="F20" s="6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>
        <v>0.375</v>
      </c>
      <c r="C21" s="49" t="s">
        <v>67</v>
      </c>
      <c r="D21" s="161">
        <v>46281</v>
      </c>
      <c r="E21" s="3"/>
      <c r="F21" s="83"/>
      <c r="G21" s="66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>
        <v>0.375</v>
      </c>
      <c r="C22" s="49" t="s">
        <v>68</v>
      </c>
      <c r="D22" s="161">
        <v>46282</v>
      </c>
      <c r="E22" s="3"/>
      <c r="F22" s="84"/>
      <c r="G22" s="5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>
        <v>0.375</v>
      </c>
      <c r="C23" s="49" t="s">
        <v>69</v>
      </c>
      <c r="D23" s="161">
        <v>46283</v>
      </c>
      <c r="E23" s="3"/>
      <c r="F23" s="6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 t="s">
        <v>38</v>
      </c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 t="s">
        <v>38</v>
      </c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>
        <v>0.375</v>
      </c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>
        <v>0.375</v>
      </c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>
        <v>0.375</v>
      </c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>
        <v>0.375</v>
      </c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>
        <v>0.375</v>
      </c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 t="s">
        <v>38</v>
      </c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 t="s">
        <v>38</v>
      </c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>
        <v>0.375</v>
      </c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>
        <v>0.375</v>
      </c>
      <c r="C34" s="49" t="s">
        <v>66</v>
      </c>
      <c r="D34" s="161">
        <v>46294</v>
      </c>
      <c r="E34" s="10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58">
        <v>30</v>
      </c>
      <c r="B35" s="1">
        <v>0.375</v>
      </c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58">
        <v>31</v>
      </c>
      <c r="B36" s="1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SUBTOTAL(109,Tabla3235678910111213141516171819202122232431[SI])</f>
        <v>0</v>
      </c>
      <c r="G37" s="81">
        <f>SUBTOTAL(109,Tabla3235678910111213141516171819202122232431[DEMORA])</f>
        <v>0</v>
      </c>
      <c r="H37" s="76">
        <f>SUBTOTAL(109,Tabla3235678910111213141516171819202122232431[LLEGADA TARDE])</f>
        <v>0</v>
      </c>
      <c r="I37" s="55">
        <f>SUBTOTAL(109,Tabla3235678910111213141516171819202122232431[NO CONVOCADO])</f>
        <v>2</v>
      </c>
      <c r="J37" s="95">
        <f>SUBTOTAL(109,Tabla3235678910111213141516171819202122232431[FALTO])</f>
        <v>0</v>
      </c>
      <c r="K37" s="96">
        <f>SUBTOTAL(109,Tabla3235678910111213141516171819202122232431[MEDICA])</f>
        <v>0</v>
      </c>
      <c r="L37" s="89">
        <f>SUBTOTAL(109,Tabla3235678910111213141516171819202122232431[VACACIONES])</f>
        <v>0</v>
      </c>
      <c r="M37" s="88">
        <f>SUBTOTAL(109,Tabla3235678910111213141516171819202122232431[FRANCO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84CA-2292-4468-BDA8-AC9115FF1B3E}">
  <sheetPr>
    <tabColor theme="9" tint="0.59999389629810485"/>
  </sheetPr>
  <dimension ref="A1:P37"/>
  <sheetViews>
    <sheetView workbookViewId="0">
      <selection activeCell="E10" sqref="E10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6.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31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 t="s">
        <v>38</v>
      </c>
      <c r="C6" s="49" t="s">
        <v>66</v>
      </c>
      <c r="D6" s="161">
        <v>46266</v>
      </c>
      <c r="E6" s="1" t="s">
        <v>74</v>
      </c>
      <c r="F6" s="162"/>
      <c r="G6" s="78"/>
      <c r="H6" s="163"/>
      <c r="I6" s="163">
        <v>1</v>
      </c>
      <c r="J6" s="164"/>
      <c r="K6" s="165"/>
      <c r="L6" s="165"/>
      <c r="M6" s="165"/>
      <c r="N6" s="2"/>
    </row>
    <row r="7" spans="1:16" x14ac:dyDescent="0.25">
      <c r="A7" s="19">
        <v>2</v>
      </c>
      <c r="B7" s="1" t="s">
        <v>11</v>
      </c>
      <c r="C7" s="49" t="s">
        <v>67</v>
      </c>
      <c r="D7" s="161">
        <v>46267</v>
      </c>
      <c r="E7" s="3"/>
      <c r="F7" s="83"/>
      <c r="G7" s="66"/>
      <c r="H7" s="5"/>
      <c r="I7" s="5"/>
      <c r="J7" s="6">
        <v>1</v>
      </c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>
        <v>0.33124999999999999</v>
      </c>
      <c r="F8" s="84">
        <v>1</v>
      </c>
      <c r="G8" s="5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>
        <v>0.33680555555555558</v>
      </c>
      <c r="F9" s="80">
        <v>1</v>
      </c>
      <c r="G9" s="66"/>
      <c r="H9" s="5"/>
      <c r="I9" s="5"/>
      <c r="J9" s="6"/>
      <c r="K9" s="7"/>
      <c r="L9" s="7"/>
      <c r="M9" s="7"/>
      <c r="N9" s="8"/>
    </row>
    <row r="10" spans="1:16" ht="27" x14ac:dyDescent="0.25">
      <c r="A10" s="19">
        <v>5</v>
      </c>
      <c r="B10" s="1" t="s">
        <v>11</v>
      </c>
      <c r="C10" s="49" t="s">
        <v>70</v>
      </c>
      <c r="D10" s="161">
        <v>46270</v>
      </c>
      <c r="E10" s="3" t="s">
        <v>74</v>
      </c>
      <c r="F10" s="80"/>
      <c r="G10" s="66"/>
      <c r="H10" s="5"/>
      <c r="I10" s="5"/>
      <c r="J10" s="6">
        <v>1</v>
      </c>
      <c r="K10" s="7"/>
      <c r="L10" s="7"/>
      <c r="M10" s="7"/>
      <c r="N10" s="13" t="s">
        <v>77</v>
      </c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/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2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2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2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16"/>
      <c r="F16" s="85"/>
      <c r="G16" s="86"/>
      <c r="H16" s="17"/>
      <c r="I16" s="17"/>
      <c r="J16" s="142"/>
      <c r="K16" s="8"/>
      <c r="L16" s="8"/>
      <c r="M16" s="8"/>
      <c r="N16" s="2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2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2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77"/>
      <c r="G19" s="78"/>
      <c r="H19" s="5"/>
      <c r="I19" s="5"/>
      <c r="J19" s="6"/>
      <c r="K19" s="7"/>
      <c r="L19" s="7"/>
      <c r="M19" s="7"/>
      <c r="N19" s="2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2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2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2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2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2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16"/>
      <c r="F32" s="17"/>
      <c r="G32" s="17"/>
      <c r="H32" s="17"/>
      <c r="I32" s="5"/>
      <c r="J32" s="6"/>
      <c r="K32" s="7"/>
      <c r="L32" s="7"/>
      <c r="M32" s="7"/>
      <c r="N32" s="8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3"/>
      <c r="C34" s="49" t="s">
        <v>66</v>
      </c>
      <c r="D34" s="161">
        <v>46294</v>
      </c>
      <c r="E34" s="3"/>
      <c r="F34" s="5"/>
      <c r="G34" s="5"/>
      <c r="H34" s="5"/>
      <c r="I34" s="5"/>
      <c r="J34" s="5"/>
      <c r="K34" s="7"/>
      <c r="L34" s="7"/>
      <c r="M34" s="7"/>
      <c r="N34" s="13"/>
    </row>
    <row r="35" spans="1:14" x14ac:dyDescent="0.25">
      <c r="A35" s="107">
        <v>30</v>
      </c>
      <c r="B35" s="3"/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5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SUBTOTAL(109,Tabla32356789101112131415161718192021222324252627[SI])</f>
        <v>2</v>
      </c>
      <c r="G37" s="81">
        <f>SUBTOTAL(109,Tabla32356789101112131415161718192021222324252627[DEMORA])</f>
        <v>0</v>
      </c>
      <c r="H37" s="76">
        <f>SUBTOTAL(109,Tabla32356789101112131415161718192021222324252627[LLEGADA TARDE])</f>
        <v>0</v>
      </c>
      <c r="I37" s="103">
        <f>SUBTOTAL(109,Tabla32356789101112131415161718192021222324252627[NO CONVOCADO])</f>
        <v>1</v>
      </c>
      <c r="J37" s="95">
        <f>SUBTOTAL(109,Tabla32356789101112131415161718192021222324252627[FALTO])</f>
        <v>2</v>
      </c>
      <c r="K37" s="96">
        <f>SUBTOTAL(109,Tabla32356789101112131415161718192021222324252627[MEDICA])</f>
        <v>0</v>
      </c>
      <c r="L37" s="89">
        <f>SUBTOTAL(109,Tabla32356789101112131415161718192021222324252627[VACACIONES])</f>
        <v>0</v>
      </c>
      <c r="M37" s="102">
        <f>SUBTOTAL(109,Tabla32356789101112131415161718192021222324252627[FRANCO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9CC3-DA9D-4C3E-AAA2-7DC25EE6FBB0}">
  <sheetPr>
    <tabColor theme="9" tint="0.59999389629810485"/>
  </sheetPr>
  <dimension ref="A1:P37"/>
  <sheetViews>
    <sheetView topLeftCell="A2" workbookViewId="0">
      <selection activeCell="B12" sqref="B12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4.25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32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>
        <v>0.33333333333333331</v>
      </c>
      <c r="C6" s="49" t="s">
        <v>66</v>
      </c>
      <c r="D6" s="161">
        <v>46266</v>
      </c>
      <c r="E6" s="1">
        <v>0.34236111111111112</v>
      </c>
      <c r="F6" s="162"/>
      <c r="G6" s="78">
        <v>1</v>
      </c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>
        <v>0.33333333333333331</v>
      </c>
      <c r="C7" s="49" t="s">
        <v>67</v>
      </c>
      <c r="D7" s="161">
        <v>46267</v>
      </c>
      <c r="E7" s="3">
        <v>0.34236111111111112</v>
      </c>
      <c r="F7" s="9"/>
      <c r="G7" s="9">
        <v>1</v>
      </c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>
        <v>0.33333333333333331</v>
      </c>
      <c r="C8" s="49" t="s">
        <v>68</v>
      </c>
      <c r="D8" s="161">
        <v>46268</v>
      </c>
      <c r="E8" s="3">
        <v>0.34166666666666667</v>
      </c>
      <c r="F8" s="4"/>
      <c r="G8" s="4">
        <v>1</v>
      </c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>
        <v>0.33333333333333331</v>
      </c>
      <c r="C9" s="49" t="s">
        <v>69</v>
      </c>
      <c r="D9" s="161">
        <v>46269</v>
      </c>
      <c r="E9" s="3">
        <v>0.41666666666666669</v>
      </c>
      <c r="F9" s="80"/>
      <c r="G9" s="66"/>
      <c r="H9" s="5">
        <v>1</v>
      </c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>
        <v>0.33333333333333331</v>
      </c>
      <c r="C10" s="49" t="s">
        <v>70</v>
      </c>
      <c r="D10" s="161">
        <v>46270</v>
      </c>
      <c r="E10" s="3">
        <v>0.34583333333333333</v>
      </c>
      <c r="F10" s="80"/>
      <c r="G10" s="66">
        <v>1</v>
      </c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>
        <v>0.33333333333333331</v>
      </c>
      <c r="C12" s="49" t="s">
        <v>72</v>
      </c>
      <c r="D12" s="161">
        <v>46272</v>
      </c>
      <c r="E12" s="3">
        <v>0.34097222222222223</v>
      </c>
      <c r="F12" s="80"/>
      <c r="G12" s="66">
        <v>1</v>
      </c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>
        <v>0.33333333333333331</v>
      </c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>
        <v>0.33333333333333331</v>
      </c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>
        <v>0.33333333333333331</v>
      </c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>
        <v>0.33333333333333331</v>
      </c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>
        <v>0.33333333333333331</v>
      </c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>
        <v>0.33333333333333331</v>
      </c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>
        <v>0.33333333333333331</v>
      </c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x14ac:dyDescent="0.25">
      <c r="A20" s="19">
        <v>15</v>
      </c>
      <c r="B20" s="1">
        <v>0.33333333333333331</v>
      </c>
      <c r="C20" s="49" t="s">
        <v>66</v>
      </c>
      <c r="D20" s="161">
        <v>46280</v>
      </c>
      <c r="E20" s="3"/>
      <c r="F20" s="5"/>
      <c r="G20" s="5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>
        <v>0.33333333333333331</v>
      </c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>
        <v>0.33333333333333331</v>
      </c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>
        <v>0.33333333333333331</v>
      </c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8"/>
    </row>
    <row r="24" spans="1:14" x14ac:dyDescent="0.25">
      <c r="A24" s="18">
        <v>19</v>
      </c>
      <c r="B24" s="1">
        <v>0.33333333333333331</v>
      </c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>
        <v>0.33333333333333331</v>
      </c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>
        <v>0.33333333333333331</v>
      </c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>
        <v>0.33333333333333331</v>
      </c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>
        <v>0.33333333333333331</v>
      </c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>
        <v>0.33333333333333331</v>
      </c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>
        <v>0.33333333333333331</v>
      </c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>
        <v>0.33333333333333331</v>
      </c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13"/>
    </row>
    <row r="32" spans="1:14" x14ac:dyDescent="0.25">
      <c r="A32" s="19">
        <v>27</v>
      </c>
      <c r="B32" s="1">
        <v>0.33333333333333331</v>
      </c>
      <c r="C32" s="49" t="s">
        <v>71</v>
      </c>
      <c r="D32" s="161">
        <v>46292</v>
      </c>
      <c r="E32" s="3"/>
      <c r="F32" s="17"/>
      <c r="G32" s="17"/>
      <c r="H32" s="17"/>
      <c r="I32" s="5"/>
      <c r="J32" s="6"/>
      <c r="K32" s="7"/>
      <c r="L32" s="7"/>
      <c r="M32" s="7"/>
      <c r="N32" s="13"/>
    </row>
    <row r="33" spans="1:14" x14ac:dyDescent="0.25">
      <c r="A33" s="18">
        <v>28</v>
      </c>
      <c r="B33" s="1">
        <v>0.33333333333333331</v>
      </c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>
        <v>0.33333333333333331</v>
      </c>
      <c r="C34" s="49" t="s">
        <v>66</v>
      </c>
      <c r="D34" s="161">
        <v>46294</v>
      </c>
      <c r="E34" s="3"/>
      <c r="F34" s="5"/>
      <c r="G34" s="5"/>
      <c r="H34" s="5"/>
      <c r="I34" s="5"/>
      <c r="J34" s="5"/>
      <c r="K34" s="7"/>
      <c r="L34" s="7"/>
      <c r="M34" s="7"/>
      <c r="N34" s="13"/>
    </row>
    <row r="35" spans="1:14" x14ac:dyDescent="0.25">
      <c r="A35" s="19">
        <v>30</v>
      </c>
      <c r="B35" s="1">
        <v>0.33333333333333331</v>
      </c>
      <c r="C35" s="49" t="s">
        <v>67</v>
      </c>
      <c r="D35" s="161">
        <v>46295</v>
      </c>
      <c r="E35" s="3"/>
      <c r="F35" s="5"/>
      <c r="G35" s="5"/>
      <c r="H35" s="5"/>
      <c r="I35" s="5"/>
      <c r="J35" s="5"/>
      <c r="K35" s="7"/>
      <c r="L35" s="7"/>
      <c r="M35" s="7"/>
      <c r="N35" s="13"/>
    </row>
    <row r="36" spans="1:14" x14ac:dyDescent="0.25">
      <c r="A36" s="1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56"/>
      <c r="C37" s="57"/>
      <c r="D37" s="59"/>
      <c r="E37" s="5"/>
      <c r="F37" s="129">
        <f>SUBTOTAL(109,Tabla3235678910111213141516171819202122232425262728[SI])</f>
        <v>0</v>
      </c>
      <c r="G37" s="81">
        <f>SUBTOTAL(109,Tabla3235678910111213141516171819202122232425262728[DEMORA])</f>
        <v>5</v>
      </c>
      <c r="H37" s="76">
        <f>SUBTOTAL(109,Tabla3235678910111213141516171819202122232425262728[LLEGADA TARDE])</f>
        <v>1</v>
      </c>
      <c r="I37" s="103">
        <f>SUBTOTAL(109,Tabla3235678910111213141516171819202122232425262728[NO CONVOCADO])</f>
        <v>0</v>
      </c>
      <c r="J37" s="95">
        <f>SUBTOTAL(109,Tabla3235678910111213141516171819202122232425262728[FALTO])</f>
        <v>0</v>
      </c>
      <c r="K37" s="104">
        <f>SUBTOTAL(109,Tabla3235678910111213141516171819202122232425262728[MEDICA])</f>
        <v>0</v>
      </c>
      <c r="L37" s="89">
        <f>SUBTOTAL(109,Tabla3235678910111213141516171819202122232425262728[VACACIONES])</f>
        <v>0</v>
      </c>
      <c r="M37" s="102">
        <f>SUBTOTAL(109,Tabla3235678910111213141516171819202122232425262728[FRANCO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EBA9A-4F18-46FC-BDFB-AC0EE3C40867}">
  <sheetPr>
    <tabColor theme="9" tint="0.59999389629810485"/>
  </sheetPr>
  <dimension ref="A1:P37"/>
  <sheetViews>
    <sheetView workbookViewId="0">
      <selection activeCell="B8" sqref="B8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8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33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 t="s">
        <v>38</v>
      </c>
      <c r="C6" s="49" t="s">
        <v>66</v>
      </c>
      <c r="D6" s="161">
        <v>46266</v>
      </c>
      <c r="E6" s="1"/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 t="s">
        <v>38</v>
      </c>
      <c r="C7" s="49" t="s">
        <v>67</v>
      </c>
      <c r="D7" s="161">
        <v>46267</v>
      </c>
      <c r="E7" s="3"/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3"/>
      <c r="F8" s="84"/>
      <c r="G8" s="5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3"/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3"/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/>
      <c r="C11" s="49" t="s">
        <v>71</v>
      </c>
      <c r="D11" s="161">
        <v>46271</v>
      </c>
      <c r="E11" s="3"/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/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2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2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2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16"/>
      <c r="F16" s="85"/>
      <c r="G16" s="86"/>
      <c r="H16" s="17"/>
      <c r="I16" s="17"/>
      <c r="J16" s="142"/>
      <c r="K16" s="8"/>
      <c r="L16" s="8"/>
      <c r="M16" s="8"/>
      <c r="N16" s="2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2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2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2"/>
    </row>
    <row r="20" spans="1:14" x14ac:dyDescent="0.25">
      <c r="A20" s="19">
        <v>15</v>
      </c>
      <c r="B20" s="1"/>
      <c r="C20" s="49" t="s">
        <v>66</v>
      </c>
      <c r="D20" s="161">
        <v>46280</v>
      </c>
      <c r="E20" s="10"/>
      <c r="F20" s="6"/>
      <c r="G20" s="5"/>
      <c r="H20" s="5"/>
      <c r="I20" s="5"/>
      <c r="J20" s="6"/>
      <c r="K20" s="7"/>
      <c r="L20" s="7"/>
      <c r="M20" s="7"/>
      <c r="N20" s="2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83"/>
      <c r="G21" s="66"/>
      <c r="H21" s="5"/>
      <c r="I21" s="5"/>
      <c r="J21" s="6"/>
      <c r="K21" s="7"/>
      <c r="L21" s="7"/>
      <c r="M21" s="7"/>
      <c r="N21" s="2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84"/>
      <c r="G22" s="5"/>
      <c r="H22" s="5"/>
      <c r="I22" s="5"/>
      <c r="J22" s="6"/>
      <c r="K22" s="7"/>
      <c r="L22" s="7"/>
      <c r="M22" s="7"/>
      <c r="N22" s="2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6"/>
      <c r="G23" s="5"/>
      <c r="H23" s="5"/>
      <c r="I23" s="5"/>
      <c r="J23" s="6"/>
      <c r="K23" s="7"/>
      <c r="L23" s="7"/>
      <c r="M23" s="7"/>
      <c r="N23" s="2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2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3"/>
      <c r="F32" s="17"/>
      <c r="G32" s="17"/>
      <c r="H32" s="17"/>
      <c r="I32" s="5"/>
      <c r="J32" s="6"/>
      <c r="K32" s="7"/>
      <c r="L32" s="7"/>
      <c r="M32" s="7"/>
      <c r="N32" s="8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3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07">
        <v>30</v>
      </c>
      <c r="B35" s="45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5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58" t="s">
        <v>0</v>
      </c>
      <c r="B37" s="56"/>
      <c r="C37" s="57"/>
      <c r="D37" s="59"/>
      <c r="E37" s="5"/>
      <c r="F37" s="129">
        <f>SUBTOTAL(109,Tabla3235678910111213141516171819202122232425262728293022[SI])</f>
        <v>0</v>
      </c>
      <c r="G37" s="81">
        <f>SUBTOTAL(109,Tabla3235678910111213141516171819202122232425262728293022[DEMORA])</f>
        <v>0</v>
      </c>
      <c r="H37" s="76">
        <f>SUBTOTAL(109,Tabla3235678910111213141516171819202122232425262728293022[LLEGADA TARDE])</f>
        <v>0</v>
      </c>
      <c r="I37" s="92">
        <f>SUBTOTAL(109,Tabla3235678910111213141516171819202122232425262728293022[NO CONVOCADO])</f>
        <v>0</v>
      </c>
      <c r="J37" s="95">
        <f>SUBTOTAL(109,Tabla3235678910111213141516171819202122232425262728293022[FALTO])</f>
        <v>0</v>
      </c>
      <c r="K37" s="96">
        <f>SUBTOTAL(109,Tabla3235678910111213141516171819202122232425262728293022[MEDICA])</f>
        <v>0</v>
      </c>
      <c r="L37" s="89">
        <f>SUBTOTAL(109,Tabla3235678910111213141516171819202122232425262728293022[VACACIONES])</f>
        <v>0</v>
      </c>
      <c r="M37" s="102">
        <f>SUBTOTAL(109,Tabla3235678910111213141516171819202122232425262728293022[FRANCO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99CA-773B-400A-BAA0-B6CC8056915D}">
  <sheetPr>
    <tabColor theme="9" tint="0.59999389629810485"/>
  </sheetPr>
  <dimension ref="A1:P37"/>
  <sheetViews>
    <sheetView tabSelected="1" workbookViewId="0">
      <selection activeCell="E13" sqref="E13"/>
    </sheetView>
  </sheetViews>
  <sheetFormatPr baseColWidth="10" defaultRowHeight="15" x14ac:dyDescent="0.25"/>
  <cols>
    <col min="1" max="1" width="6.7109375" customWidth="1"/>
    <col min="2" max="2" width="14.7109375" customWidth="1"/>
    <col min="6" max="13" width="10.7109375" customWidth="1"/>
    <col min="14" max="14" width="20.7109375" customWidth="1"/>
  </cols>
  <sheetData>
    <row r="1" spans="1:16" ht="50.1" customHeight="1" x14ac:dyDescent="0.25"/>
    <row r="2" spans="1:16" ht="18" customHeight="1" x14ac:dyDescent="0.25"/>
    <row r="3" spans="1:16" s="40" customFormat="1" ht="24.95" customHeight="1" x14ac:dyDescent="0.25">
      <c r="A3" s="39"/>
      <c r="B3" s="43" t="s">
        <v>14</v>
      </c>
      <c r="C3" s="174" t="s">
        <v>65</v>
      </c>
      <c r="D3" s="175"/>
      <c r="E3" s="39"/>
      <c r="F3" s="39"/>
      <c r="G3" s="39"/>
      <c r="H3" s="39"/>
      <c r="I3" s="39"/>
      <c r="J3" s="39"/>
      <c r="K3" s="39"/>
      <c r="L3" s="43" t="s">
        <v>15</v>
      </c>
      <c r="M3" s="174" t="s">
        <v>40</v>
      </c>
      <c r="N3" s="175"/>
      <c r="O3" s="39"/>
      <c r="P3" s="39"/>
    </row>
    <row r="4" spans="1:16" s="38" customFormat="1" ht="20.100000000000001" customHeight="1" thickBo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50.1" customHeight="1" thickBot="1" x14ac:dyDescent="0.3">
      <c r="A5" s="26" t="s">
        <v>1</v>
      </c>
      <c r="B5" s="27" t="s">
        <v>12</v>
      </c>
      <c r="C5" s="28" t="s">
        <v>2</v>
      </c>
      <c r="D5" s="29" t="s">
        <v>3</v>
      </c>
      <c r="E5" s="30" t="s">
        <v>13</v>
      </c>
      <c r="F5" s="131" t="s">
        <v>5</v>
      </c>
      <c r="G5" s="79" t="s">
        <v>41</v>
      </c>
      <c r="H5" s="54" t="s">
        <v>6</v>
      </c>
      <c r="I5" s="21" t="s">
        <v>7</v>
      </c>
      <c r="J5" s="22" t="s">
        <v>11</v>
      </c>
      <c r="K5" s="23" t="s">
        <v>8</v>
      </c>
      <c r="L5" s="24" t="s">
        <v>9</v>
      </c>
      <c r="M5" s="25" t="s">
        <v>10</v>
      </c>
      <c r="N5" s="31" t="s">
        <v>4</v>
      </c>
    </row>
    <row r="6" spans="1:16" s="32" customFormat="1" ht="20.100000000000001" customHeight="1" x14ac:dyDescent="0.25">
      <c r="A6" s="18">
        <v>1</v>
      </c>
      <c r="B6" s="1"/>
      <c r="C6" s="49" t="s">
        <v>66</v>
      </c>
      <c r="D6" s="161">
        <v>46266</v>
      </c>
      <c r="E6" s="1">
        <v>0.33402777777777776</v>
      </c>
      <c r="F6" s="162"/>
      <c r="G6" s="78"/>
      <c r="H6" s="163"/>
      <c r="I6" s="163"/>
      <c r="J6" s="164"/>
      <c r="K6" s="165"/>
      <c r="L6" s="165"/>
      <c r="M6" s="165"/>
      <c r="N6" s="2"/>
    </row>
    <row r="7" spans="1:16" x14ac:dyDescent="0.25">
      <c r="A7" s="19">
        <v>2</v>
      </c>
      <c r="B7" s="1" t="s">
        <v>38</v>
      </c>
      <c r="C7" s="49" t="s">
        <v>67</v>
      </c>
      <c r="D7" s="161">
        <v>46267</v>
      </c>
      <c r="E7" s="1" t="s">
        <v>74</v>
      </c>
      <c r="F7" s="9"/>
      <c r="G7" s="9"/>
      <c r="H7" s="5"/>
      <c r="I7" s="5"/>
      <c r="J7" s="6"/>
      <c r="K7" s="7"/>
      <c r="L7" s="7"/>
      <c r="M7" s="7"/>
      <c r="N7" s="8"/>
    </row>
    <row r="8" spans="1:16" x14ac:dyDescent="0.25">
      <c r="A8" s="19">
        <v>3</v>
      </c>
      <c r="B8" s="1"/>
      <c r="C8" s="49" t="s">
        <v>68</v>
      </c>
      <c r="D8" s="161">
        <v>46268</v>
      </c>
      <c r="E8" s="1">
        <v>0.33194444444444443</v>
      </c>
      <c r="F8" s="4"/>
      <c r="G8" s="4"/>
      <c r="H8" s="5"/>
      <c r="I8" s="5"/>
      <c r="J8" s="6"/>
      <c r="K8" s="7"/>
      <c r="L8" s="7"/>
      <c r="M8" s="7"/>
      <c r="N8" s="8"/>
    </row>
    <row r="9" spans="1:16" x14ac:dyDescent="0.25">
      <c r="A9" s="18">
        <v>4</v>
      </c>
      <c r="B9" s="1"/>
      <c r="C9" s="49" t="s">
        <v>69</v>
      </c>
      <c r="D9" s="161">
        <v>46269</v>
      </c>
      <c r="E9" s="1">
        <v>0.33194444444444443</v>
      </c>
      <c r="F9" s="80"/>
      <c r="G9" s="66"/>
      <c r="H9" s="5"/>
      <c r="I9" s="5"/>
      <c r="J9" s="6"/>
      <c r="K9" s="7"/>
      <c r="L9" s="7"/>
      <c r="M9" s="7"/>
      <c r="N9" s="8"/>
    </row>
    <row r="10" spans="1:16" x14ac:dyDescent="0.25">
      <c r="A10" s="19">
        <v>5</v>
      </c>
      <c r="B10" s="1"/>
      <c r="C10" s="49" t="s">
        <v>70</v>
      </c>
      <c r="D10" s="161">
        <v>46270</v>
      </c>
      <c r="E10" s="1">
        <v>0.33888888888888891</v>
      </c>
      <c r="F10" s="80"/>
      <c r="G10" s="66"/>
      <c r="H10" s="5"/>
      <c r="I10" s="5"/>
      <c r="J10" s="6"/>
      <c r="K10" s="7"/>
      <c r="L10" s="7"/>
      <c r="M10" s="7"/>
      <c r="N10" s="8"/>
    </row>
    <row r="11" spans="1:16" x14ac:dyDescent="0.25">
      <c r="A11" s="19">
        <v>6</v>
      </c>
      <c r="B11" s="1" t="s">
        <v>38</v>
      </c>
      <c r="C11" s="49" t="s">
        <v>71</v>
      </c>
      <c r="D11" s="161">
        <v>46271</v>
      </c>
      <c r="E11" s="3" t="s">
        <v>74</v>
      </c>
      <c r="F11" s="80"/>
      <c r="G11" s="66"/>
      <c r="H11" s="5"/>
      <c r="I11" s="5"/>
      <c r="J11" s="6"/>
      <c r="K11" s="7"/>
      <c r="L11" s="7"/>
      <c r="M11" s="7"/>
      <c r="N11" s="8"/>
    </row>
    <row r="12" spans="1:16" x14ac:dyDescent="0.25">
      <c r="A12" s="18">
        <v>7</v>
      </c>
      <c r="B12" s="1"/>
      <c r="C12" s="49" t="s">
        <v>72</v>
      </c>
      <c r="D12" s="161">
        <v>46272</v>
      </c>
      <c r="E12" s="3">
        <v>0.3347222222222222</v>
      </c>
      <c r="F12" s="80"/>
      <c r="G12" s="66"/>
      <c r="H12" s="5"/>
      <c r="I12" s="5"/>
      <c r="J12" s="6"/>
      <c r="K12" s="7"/>
      <c r="L12" s="7"/>
      <c r="M12" s="7"/>
      <c r="N12" s="8"/>
    </row>
    <row r="13" spans="1:16" x14ac:dyDescent="0.25">
      <c r="A13" s="19">
        <v>8</v>
      </c>
      <c r="B13" s="1"/>
      <c r="C13" s="49" t="s">
        <v>66</v>
      </c>
      <c r="D13" s="161">
        <v>46273</v>
      </c>
      <c r="E13" s="3"/>
      <c r="F13" s="80"/>
      <c r="G13" s="66"/>
      <c r="H13" s="5"/>
      <c r="I13" s="5"/>
      <c r="J13" s="6"/>
      <c r="K13" s="7"/>
      <c r="L13" s="7"/>
      <c r="M13" s="7"/>
      <c r="N13" s="8"/>
    </row>
    <row r="14" spans="1:16" x14ac:dyDescent="0.25">
      <c r="A14" s="19">
        <v>9</v>
      </c>
      <c r="B14" s="1"/>
      <c r="C14" s="49" t="s">
        <v>67</v>
      </c>
      <c r="D14" s="161">
        <v>46274</v>
      </c>
      <c r="E14" s="3"/>
      <c r="F14" s="83"/>
      <c r="G14" s="66"/>
      <c r="H14" s="5"/>
      <c r="I14" s="5"/>
      <c r="J14" s="6"/>
      <c r="K14" s="7"/>
      <c r="L14" s="7"/>
      <c r="M14" s="7"/>
      <c r="N14" s="8"/>
    </row>
    <row r="15" spans="1:16" x14ac:dyDescent="0.25">
      <c r="A15" s="18">
        <v>10</v>
      </c>
      <c r="B15" s="1"/>
      <c r="C15" s="49" t="s">
        <v>68</v>
      </c>
      <c r="D15" s="161">
        <v>46275</v>
      </c>
      <c r="E15" s="3"/>
      <c r="F15" s="84"/>
      <c r="G15" s="5"/>
      <c r="H15" s="5"/>
      <c r="I15" s="5"/>
      <c r="J15" s="6"/>
      <c r="K15" s="7"/>
      <c r="L15" s="7"/>
      <c r="M15" s="7"/>
      <c r="N15" s="8"/>
    </row>
    <row r="16" spans="1:16" x14ac:dyDescent="0.25">
      <c r="A16" s="19">
        <v>11</v>
      </c>
      <c r="B16" s="1"/>
      <c r="C16" s="49" t="s">
        <v>69</v>
      </c>
      <c r="D16" s="161">
        <v>46276</v>
      </c>
      <c r="E16" s="3"/>
      <c r="F16" s="80"/>
      <c r="G16" s="66"/>
      <c r="H16" s="5"/>
      <c r="I16" s="5"/>
      <c r="J16" s="6"/>
      <c r="K16" s="7"/>
      <c r="L16" s="7"/>
      <c r="M16" s="7"/>
      <c r="N16" s="8"/>
    </row>
    <row r="17" spans="1:14" x14ac:dyDescent="0.25">
      <c r="A17" s="19">
        <v>12</v>
      </c>
      <c r="B17" s="1"/>
      <c r="C17" s="49" t="s">
        <v>70</v>
      </c>
      <c r="D17" s="161">
        <v>46277</v>
      </c>
      <c r="E17" s="3"/>
      <c r="F17" s="80"/>
      <c r="G17" s="66"/>
      <c r="H17" s="5"/>
      <c r="I17" s="5"/>
      <c r="J17" s="6"/>
      <c r="K17" s="7"/>
      <c r="L17" s="7"/>
      <c r="M17" s="7"/>
      <c r="N17" s="8"/>
    </row>
    <row r="18" spans="1:14" x14ac:dyDescent="0.25">
      <c r="A18" s="18">
        <v>13</v>
      </c>
      <c r="B18" s="1"/>
      <c r="C18" s="49" t="s">
        <v>71</v>
      </c>
      <c r="D18" s="161">
        <v>46278</v>
      </c>
      <c r="E18" s="3"/>
      <c r="F18" s="80"/>
      <c r="G18" s="66"/>
      <c r="H18" s="5"/>
      <c r="I18" s="5"/>
      <c r="J18" s="6"/>
      <c r="K18" s="7"/>
      <c r="L18" s="7"/>
      <c r="M18" s="7"/>
      <c r="N18" s="8"/>
    </row>
    <row r="19" spans="1:14" x14ac:dyDescent="0.25">
      <c r="A19" s="19">
        <v>14</v>
      </c>
      <c r="B19" s="1"/>
      <c r="C19" s="49" t="s">
        <v>72</v>
      </c>
      <c r="D19" s="161">
        <v>46279</v>
      </c>
      <c r="E19" s="10"/>
      <c r="F19" s="82"/>
      <c r="G19" s="66"/>
      <c r="H19" s="5"/>
      <c r="I19" s="5"/>
      <c r="J19" s="6"/>
      <c r="K19" s="7"/>
      <c r="L19" s="7"/>
      <c r="M19" s="7"/>
      <c r="N19" s="8"/>
    </row>
    <row r="20" spans="1:14" s="38" customFormat="1" x14ac:dyDescent="0.25">
      <c r="A20" s="19">
        <v>15</v>
      </c>
      <c r="B20" s="1"/>
      <c r="C20" s="49" t="s">
        <v>66</v>
      </c>
      <c r="D20" s="161">
        <v>46280</v>
      </c>
      <c r="E20" s="10"/>
      <c r="F20" s="82"/>
      <c r="G20" s="66"/>
      <c r="H20" s="5"/>
      <c r="I20" s="5"/>
      <c r="J20" s="6"/>
      <c r="K20" s="7"/>
      <c r="L20" s="7"/>
      <c r="M20" s="7"/>
      <c r="N20" s="8"/>
    </row>
    <row r="21" spans="1:14" x14ac:dyDescent="0.25">
      <c r="A21" s="18">
        <v>16</v>
      </c>
      <c r="B21" s="1"/>
      <c r="C21" s="49" t="s">
        <v>67</v>
      </c>
      <c r="D21" s="161">
        <v>46281</v>
      </c>
      <c r="E21" s="3"/>
      <c r="F21" s="9"/>
      <c r="G21" s="9"/>
      <c r="H21" s="5"/>
      <c r="I21" s="5"/>
      <c r="J21" s="6"/>
      <c r="K21" s="7"/>
      <c r="L21" s="7"/>
      <c r="M21" s="7"/>
      <c r="N21" s="8"/>
    </row>
    <row r="22" spans="1:14" x14ac:dyDescent="0.25">
      <c r="A22" s="19">
        <v>17</v>
      </c>
      <c r="B22" s="1"/>
      <c r="C22" s="49" t="s">
        <v>68</v>
      </c>
      <c r="D22" s="161">
        <v>46282</v>
      </c>
      <c r="E22" s="3"/>
      <c r="F22" s="4"/>
      <c r="G22" s="4"/>
      <c r="H22" s="5"/>
      <c r="I22" s="5"/>
      <c r="J22" s="6"/>
      <c r="K22" s="7"/>
      <c r="L22" s="7"/>
      <c r="M22" s="7"/>
      <c r="N22" s="8"/>
    </row>
    <row r="23" spans="1:14" x14ac:dyDescent="0.25">
      <c r="A23" s="19">
        <v>18</v>
      </c>
      <c r="B23" s="1"/>
      <c r="C23" s="49" t="s">
        <v>69</v>
      </c>
      <c r="D23" s="161">
        <v>46283</v>
      </c>
      <c r="E23" s="3"/>
      <c r="F23" s="5"/>
      <c r="G23" s="5"/>
      <c r="H23" s="5"/>
      <c r="I23" s="5"/>
      <c r="J23" s="6"/>
      <c r="K23" s="7"/>
      <c r="L23" s="7"/>
      <c r="M23" s="7"/>
      <c r="N23" s="13"/>
    </row>
    <row r="24" spans="1:14" x14ac:dyDescent="0.25">
      <c r="A24" s="18">
        <v>19</v>
      </c>
      <c r="B24" s="1"/>
      <c r="C24" s="49" t="s">
        <v>70</v>
      </c>
      <c r="D24" s="161">
        <v>46284</v>
      </c>
      <c r="E24" s="3"/>
      <c r="F24" s="5"/>
      <c r="G24" s="5"/>
      <c r="H24" s="5"/>
      <c r="I24" s="5"/>
      <c r="J24" s="6"/>
      <c r="K24" s="7"/>
      <c r="L24" s="7"/>
      <c r="M24" s="7"/>
      <c r="N24" s="8"/>
    </row>
    <row r="25" spans="1:14" x14ac:dyDescent="0.25">
      <c r="A25" s="19">
        <v>20</v>
      </c>
      <c r="B25" s="1"/>
      <c r="C25" s="49" t="s">
        <v>71</v>
      </c>
      <c r="D25" s="161">
        <v>46285</v>
      </c>
      <c r="E25" s="3"/>
      <c r="F25" s="5"/>
      <c r="G25" s="5"/>
      <c r="H25" s="5"/>
      <c r="I25" s="5"/>
      <c r="J25" s="6"/>
      <c r="K25" s="7"/>
      <c r="L25" s="7"/>
      <c r="M25" s="7"/>
      <c r="N25" s="8"/>
    </row>
    <row r="26" spans="1:14" x14ac:dyDescent="0.25">
      <c r="A26" s="19">
        <v>21</v>
      </c>
      <c r="B26" s="1"/>
      <c r="C26" s="49" t="s">
        <v>72</v>
      </c>
      <c r="D26" s="161">
        <v>46286</v>
      </c>
      <c r="E26" s="3"/>
      <c r="F26" s="5"/>
      <c r="G26" s="5"/>
      <c r="H26" s="5"/>
      <c r="I26" s="5"/>
      <c r="J26" s="6"/>
      <c r="K26" s="7"/>
      <c r="L26" s="7"/>
      <c r="M26" s="7"/>
      <c r="N26" s="8"/>
    </row>
    <row r="27" spans="1:14" x14ac:dyDescent="0.25">
      <c r="A27" s="18">
        <v>22</v>
      </c>
      <c r="B27" s="1"/>
      <c r="C27" s="49" t="s">
        <v>66</v>
      </c>
      <c r="D27" s="161">
        <v>46287</v>
      </c>
      <c r="E27" s="3"/>
      <c r="F27" s="5"/>
      <c r="G27" s="5"/>
      <c r="H27" s="5"/>
      <c r="I27" s="5"/>
      <c r="J27" s="6"/>
      <c r="K27" s="7"/>
      <c r="L27" s="7"/>
      <c r="M27" s="7"/>
      <c r="N27" s="8"/>
    </row>
    <row r="28" spans="1:14" x14ac:dyDescent="0.25">
      <c r="A28" s="19">
        <v>23</v>
      </c>
      <c r="B28" s="1"/>
      <c r="C28" s="49" t="s">
        <v>67</v>
      </c>
      <c r="D28" s="161">
        <v>46288</v>
      </c>
      <c r="E28" s="3"/>
      <c r="F28" s="5"/>
      <c r="G28" s="5"/>
      <c r="H28" s="5"/>
      <c r="I28" s="5"/>
      <c r="J28" s="6"/>
      <c r="K28" s="7"/>
      <c r="L28" s="7"/>
      <c r="M28" s="7"/>
      <c r="N28" s="8"/>
    </row>
    <row r="29" spans="1:14" x14ac:dyDescent="0.25">
      <c r="A29" s="19">
        <v>24</v>
      </c>
      <c r="B29" s="1"/>
      <c r="C29" s="49" t="s">
        <v>68</v>
      </c>
      <c r="D29" s="161">
        <v>46289</v>
      </c>
      <c r="E29" s="3"/>
      <c r="F29" s="5"/>
      <c r="G29" s="5"/>
      <c r="H29" s="5"/>
      <c r="I29" s="5"/>
      <c r="J29" s="6"/>
      <c r="K29" s="7"/>
      <c r="L29" s="7"/>
      <c r="M29" s="7"/>
      <c r="N29" s="8"/>
    </row>
    <row r="30" spans="1:14" x14ac:dyDescent="0.25">
      <c r="A30" s="18">
        <v>25</v>
      </c>
      <c r="B30" s="1"/>
      <c r="C30" s="49" t="s">
        <v>69</v>
      </c>
      <c r="D30" s="161">
        <v>46290</v>
      </c>
      <c r="E30" s="3"/>
      <c r="F30" s="5"/>
      <c r="G30" s="5"/>
      <c r="H30" s="5"/>
      <c r="I30" s="5"/>
      <c r="J30" s="6"/>
      <c r="K30" s="7"/>
      <c r="L30" s="7"/>
      <c r="M30" s="7"/>
      <c r="N30" s="8"/>
    </row>
    <row r="31" spans="1:14" x14ac:dyDescent="0.25">
      <c r="A31" s="19">
        <v>26</v>
      </c>
      <c r="B31" s="1"/>
      <c r="C31" s="49" t="s">
        <v>70</v>
      </c>
      <c r="D31" s="161">
        <v>46291</v>
      </c>
      <c r="E31" s="3"/>
      <c r="F31" s="5"/>
      <c r="G31" s="5"/>
      <c r="H31" s="5"/>
      <c r="I31" s="5"/>
      <c r="J31" s="6"/>
      <c r="K31" s="7"/>
      <c r="L31" s="7"/>
      <c r="M31" s="7"/>
      <c r="N31" s="8"/>
    </row>
    <row r="32" spans="1:14" x14ac:dyDescent="0.25">
      <c r="A32" s="19">
        <v>27</v>
      </c>
      <c r="B32" s="1"/>
      <c r="C32" s="49" t="s">
        <v>71</v>
      </c>
      <c r="D32" s="161">
        <v>46292</v>
      </c>
      <c r="E32" s="3"/>
      <c r="F32" s="17"/>
      <c r="G32" s="17"/>
      <c r="H32" s="17"/>
      <c r="I32" s="5"/>
      <c r="J32" s="6"/>
      <c r="K32" s="7"/>
      <c r="L32" s="7"/>
      <c r="M32" s="7"/>
      <c r="N32" s="8"/>
    </row>
    <row r="33" spans="1:14" x14ac:dyDescent="0.25">
      <c r="A33" s="18">
        <v>28</v>
      </c>
      <c r="B33" s="1"/>
      <c r="C33" s="49" t="s">
        <v>72</v>
      </c>
      <c r="D33" s="161">
        <v>46293</v>
      </c>
      <c r="E33" s="3"/>
      <c r="F33" s="5"/>
      <c r="G33" s="5"/>
      <c r="H33" s="5"/>
      <c r="I33" s="5"/>
      <c r="J33" s="6"/>
      <c r="K33" s="7"/>
      <c r="L33" s="7"/>
      <c r="M33" s="7"/>
      <c r="N33" s="8"/>
    </row>
    <row r="34" spans="1:14" x14ac:dyDescent="0.25">
      <c r="A34" s="19">
        <v>29</v>
      </c>
      <c r="B34" s="1"/>
      <c r="C34" s="49" t="s">
        <v>66</v>
      </c>
      <c r="D34" s="161">
        <v>46294</v>
      </c>
      <c r="E34" s="3"/>
      <c r="F34" s="11"/>
      <c r="G34" s="11"/>
      <c r="H34" s="11"/>
      <c r="I34" s="11"/>
      <c r="J34" s="12"/>
      <c r="K34" s="7"/>
      <c r="L34" s="7"/>
      <c r="M34" s="7"/>
      <c r="N34" s="13"/>
    </row>
    <row r="35" spans="1:14" x14ac:dyDescent="0.25">
      <c r="A35" s="19">
        <v>30</v>
      </c>
      <c r="B35" s="45"/>
      <c r="C35" s="49" t="s">
        <v>67</v>
      </c>
      <c r="D35" s="161">
        <v>46295</v>
      </c>
      <c r="E35" s="10"/>
      <c r="F35" s="11"/>
      <c r="G35" s="11"/>
      <c r="H35" s="11"/>
      <c r="I35" s="11"/>
      <c r="J35" s="12"/>
      <c r="K35" s="14"/>
      <c r="L35" s="14"/>
      <c r="M35" s="14"/>
      <c r="N35" s="15"/>
    </row>
    <row r="36" spans="1:14" x14ac:dyDescent="0.25">
      <c r="A36" s="18">
        <v>31</v>
      </c>
      <c r="B36" s="3"/>
      <c r="C36" s="49"/>
      <c r="D36" s="50"/>
      <c r="E36" s="3"/>
      <c r="F36" s="5"/>
      <c r="G36" s="5"/>
      <c r="H36" s="5"/>
      <c r="I36" s="5"/>
      <c r="J36" s="5"/>
      <c r="K36" s="7"/>
      <c r="L36" s="7"/>
      <c r="M36" s="7"/>
      <c r="N36" s="13"/>
    </row>
    <row r="37" spans="1:14" x14ac:dyDescent="0.25">
      <c r="A37" s="33" t="s">
        <v>0</v>
      </c>
      <c r="B37" s="56"/>
      <c r="C37" s="57"/>
      <c r="D37" s="59"/>
      <c r="E37" s="5"/>
      <c r="F37" s="129">
        <f>SUBTOTAL(109,Tabla323567891011121314151617181920212223242526272829302233[SI])</f>
        <v>0</v>
      </c>
      <c r="G37" s="81">
        <f>SUBTOTAL(109,Tabla323567891011121314151617181920212223242526272829302233[DEMORA])</f>
        <v>0</v>
      </c>
      <c r="H37" s="76">
        <f>SUBTOTAL(109,Tabla323567891011121314151617181920212223242526272829302233[LLEGADA TARDE])</f>
        <v>0</v>
      </c>
      <c r="I37" s="103">
        <f>SUBTOTAL(109,Tabla323567891011121314151617181920212223242526272829302233[NO CONVOCADO])</f>
        <v>0</v>
      </c>
      <c r="J37" s="95">
        <f>SUBTOTAL(109,Tabla323567891011121314151617181920212223242526272829302233[FALTO])</f>
        <v>0</v>
      </c>
      <c r="K37" s="96">
        <f>SUBTOTAL(109,Tabla323567891011121314151617181920212223242526272829302233[MEDICA])</f>
        <v>0</v>
      </c>
      <c r="L37" s="89">
        <f>SUBTOTAL(109,Tabla323567891011121314151617181920212223242526272829302233[VACACIONES])</f>
        <v>0</v>
      </c>
      <c r="M37" s="88">
        <f>SUBTOTAL(109,Tabla323567891011121314151617181920212223242526272829302233[FRANCO POR DOMINGO])</f>
        <v>0</v>
      </c>
      <c r="N37" s="13"/>
    </row>
  </sheetData>
  <mergeCells count="2">
    <mergeCell ref="C3:D3"/>
    <mergeCell ref="M3:N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GRAFICO</vt:lpstr>
      <vt:lpstr>Informe Septiembre</vt:lpstr>
      <vt:lpstr>ANDRE</vt:lpstr>
      <vt:lpstr>MAY</vt:lpstr>
      <vt:lpstr>LORE</vt:lpstr>
      <vt:lpstr>FURIA</vt:lpstr>
      <vt:lpstr>MARIO</vt:lpstr>
      <vt:lpstr>FAUSTO</vt:lpstr>
      <vt:lpstr>TONI</vt:lpstr>
      <vt:lpstr>DAVID</vt:lpstr>
      <vt:lpstr>JAZ</vt:lpstr>
      <vt:lpstr>GERARDO</vt:lpstr>
      <vt:lpstr>POLA</vt:lpstr>
      <vt:lpstr>MILTON</vt:lpstr>
      <vt:lpstr>CHARA</vt:lpstr>
      <vt:lpstr>CHOLI</vt:lpstr>
      <vt:lpstr>CARLOS</vt:lpstr>
      <vt:lpstr>GONZALO</vt:lpstr>
      <vt:lpstr>LUIS</vt:lpstr>
      <vt:lpstr>FLOR</vt:lpstr>
      <vt:lpstr>PABLO</vt:lpstr>
      <vt:lpstr>SANTI</vt:lpstr>
      <vt:lpstr>BENJA</vt:lpstr>
      <vt:lpstr>LISANDRO</vt:lpstr>
      <vt:lpstr>PATRICIO</vt:lpstr>
      <vt:lpstr>BICHITO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Dos57 SRL</dc:creator>
  <cp:lastModifiedBy>Dos57 SRL</cp:lastModifiedBy>
  <cp:lastPrinted>2026-07-31T20:13:39Z</cp:lastPrinted>
  <dcterms:created xsi:type="dcterms:W3CDTF">2025-11-10T18:21:04Z</dcterms:created>
  <dcterms:modified xsi:type="dcterms:W3CDTF">2026-09-07T18:36:48Z</dcterms:modified>
</cp:coreProperties>
</file>