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UNIFORMES\"/>
    </mc:Choice>
  </mc:AlternateContent>
  <xr:revisionPtr revIDLastSave="0" documentId="13_ncr:1_{CEA9BF12-1012-44A7-BD9C-AB83F216E1B7}" xr6:coauthVersionLast="47" xr6:coauthVersionMax="47" xr10:uidLastSave="{00000000-0000-0000-0000-000000000000}"/>
  <bookViews>
    <workbookView xWindow="-120" yWindow="-120" windowWidth="20730" windowHeight="11040" activeTab="1" xr2:uid="{3442FC0C-2F09-4E5B-94D7-F5463C6C1517}"/>
  </bookViews>
  <sheets>
    <sheet name="ABRIL" sheetId="2" r:id="rId1"/>
    <sheet name="JULI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C26" i="2"/>
  <c r="B26" i="2"/>
  <c r="G24" i="2"/>
  <c r="F24" i="2"/>
  <c r="G12" i="2"/>
  <c r="F12" i="2"/>
  <c r="E12" i="2"/>
  <c r="D12" i="2"/>
  <c r="C12" i="2"/>
  <c r="B12" i="2"/>
  <c r="B26" i="1"/>
  <c r="F25" i="1"/>
  <c r="G25" i="1"/>
  <c r="B12" i="1"/>
  <c r="C12" i="1"/>
  <c r="D12" i="1"/>
  <c r="E12" i="1"/>
  <c r="F12" i="1"/>
  <c r="G12" i="1"/>
</calcChain>
</file>

<file path=xl/sharedStrings.xml><?xml version="1.0" encoding="utf-8"?>
<sst xmlns="http://schemas.openxmlformats.org/spreadsheetml/2006/main" count="62" uniqueCount="26">
  <si>
    <t>CHOMBA</t>
  </si>
  <si>
    <t>BERMUDAS</t>
  </si>
  <si>
    <t>PANTALON</t>
  </si>
  <si>
    <t>CAMPERA</t>
  </si>
  <si>
    <t>CAMPERONES</t>
  </si>
  <si>
    <t>S</t>
  </si>
  <si>
    <t>M</t>
  </si>
  <si>
    <t>L</t>
  </si>
  <si>
    <t>XL</t>
  </si>
  <si>
    <t>XXL</t>
  </si>
  <si>
    <t>4XL</t>
  </si>
  <si>
    <t>3XL</t>
  </si>
  <si>
    <t>Stock Deposito Uniformes</t>
  </si>
  <si>
    <t>REMERA</t>
  </si>
  <si>
    <t>REMERA "ESTRUCTURAS"</t>
  </si>
  <si>
    <t>TALLE</t>
  </si>
  <si>
    <t>XS</t>
  </si>
  <si>
    <t>REMERA        (CALIDAD 3)</t>
  </si>
  <si>
    <t>Total</t>
  </si>
  <si>
    <t xml:space="preserve">REVISION </t>
  </si>
  <si>
    <t>OMBU</t>
  </si>
  <si>
    <t>ATT</t>
  </si>
  <si>
    <t>REVISION 10/4</t>
  </si>
  <si>
    <t>DEPOSITO POLLO</t>
  </si>
  <si>
    <t>REVISION 22/7</t>
  </si>
  <si>
    <t>DPS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</si>
</sst>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20"/>
      <color rgb="FFD5DF00"/>
      <name val="Calibri"/>
      <family val="2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6"/>
      <color rgb="FFD5DF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5233E"/>
        <bgColor rgb="FF15233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rgb="FF15233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15233E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14" fontId="2" fillId="5" borderId="14" xfId="0" applyNumberFormat="1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right" vertical="center" wrapText="1"/>
    </xf>
    <xf numFmtId="0" fontId="4" fillId="6" borderId="14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</cellXfs>
  <cellStyles count="1">
    <cellStyle name="Normal" xfId="0" builtinId="0"/>
  </cellStyles>
  <dxfs count="8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rgb="FF000000"/>
        </bottom>
      </border>
    </dxf>
    <dxf>
      <border outline="0">
        <top style="thin">
          <color rgb="FF44B3E1"/>
        </top>
      </border>
    </dxf>
    <dxf>
      <fill>
        <patternFill patternType="solid">
          <fgColor rgb="FF000000"/>
          <bgColor rgb="FFD9D9D9"/>
        </patternFill>
      </fill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ill>
        <patternFill>
          <fgColor rgb="FF000000"/>
          <bgColor rgb="FFD9D9D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fgColor rgb="FF000000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outline="0">
        <top style="thin">
          <color theme="4" tint="0.3999755851924192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fgColor indexed="64"/>
          <bgColor theme="0" tint="-0.14999847407452621"/>
        </patternFill>
      </fill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fill>
        <patternFill>
          <fgColor indexed="64"/>
          <bgColor theme="0" tint="-0.14999847407452621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0D9557C9-7F5B-413B-9FF0-1F85782DB60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13</xdr:row>
      <xdr:rowOff>47624</xdr:rowOff>
    </xdr:from>
    <xdr:ext cx="1609724" cy="428625"/>
    <xdr:pic>
      <xdr:nvPicPr>
        <xdr:cNvPr id="3" name="image2.jpg" title="Imagen">
          <a:extLst>
            <a:ext uri="{FF2B5EF4-FFF2-40B4-BE49-F238E27FC236}">
              <a16:creationId xmlns:a16="http://schemas.microsoft.com/office/drawing/2014/main" id="{3DF4B3F4-5C11-452A-ACE5-C5A2CCAE51C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3914774"/>
          <a:ext cx="1609724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13</xdr:row>
      <xdr:rowOff>85725</xdr:rowOff>
    </xdr:from>
    <xdr:ext cx="1457324" cy="371474"/>
    <xdr:pic>
      <xdr:nvPicPr>
        <xdr:cNvPr id="4" name="image2.jpg" title="Imagen">
          <a:extLst>
            <a:ext uri="{FF2B5EF4-FFF2-40B4-BE49-F238E27FC236}">
              <a16:creationId xmlns:a16="http://schemas.microsoft.com/office/drawing/2014/main" id="{EE209639-0827-4EDE-9BBA-0D2E65A1FD8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38725" y="3952875"/>
          <a:ext cx="1457324" cy="371474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4" name="image2.jpg" title="Imagen">
          <a:extLst>
            <a:ext uri="{FF2B5EF4-FFF2-40B4-BE49-F238E27FC236}">
              <a16:creationId xmlns:a16="http://schemas.microsoft.com/office/drawing/2014/main" id="{4CA6B865-9A94-4E06-A199-04A86BFBE45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13</xdr:row>
      <xdr:rowOff>47624</xdr:rowOff>
    </xdr:from>
    <xdr:ext cx="1609724" cy="428625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2031F7D5-8FD9-48CD-A708-429AD44DB73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3914774"/>
          <a:ext cx="1609724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13</xdr:row>
      <xdr:rowOff>85725</xdr:rowOff>
    </xdr:from>
    <xdr:ext cx="1457324" cy="371474"/>
    <xdr:pic>
      <xdr:nvPicPr>
        <xdr:cNvPr id="3" name="image2.jpg" title="Imagen">
          <a:extLst>
            <a:ext uri="{FF2B5EF4-FFF2-40B4-BE49-F238E27FC236}">
              <a16:creationId xmlns:a16="http://schemas.microsoft.com/office/drawing/2014/main" id="{51B0CB2B-952C-4306-84FE-DF5250FA84B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38725" y="3952875"/>
          <a:ext cx="1457324" cy="371474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A43744-4224-498E-98A3-450C727546B9}" name="Tabla13" displayName="Tabla13" ref="A3:G12" totalsRowCount="1" headerRowDxfId="52" dataDxfId="51" totalsRowDxfId="50" headerRowBorderDxfId="48" tableBorderDxfId="49" totalsRowBorderDxfId="47">
  <autoFilter ref="A3:G11" xr:uid="{F23EE97F-AA4D-4155-BBB9-862A31D2F18F}"/>
  <tableColumns count="7">
    <tableColumn id="1" xr3:uid="{FA328A15-513A-40D4-87B5-3C7AB7B196A0}" name="TALLE" totalsRowLabel="Total" dataDxfId="45" totalsRowDxfId="46"/>
    <tableColumn id="2" xr3:uid="{B087A3D5-5322-4874-BF2E-E3ED006ED86A}" name="REMERA" totalsRowFunction="sum" dataDxfId="43" totalsRowDxfId="44"/>
    <tableColumn id="3" xr3:uid="{1FDC8D64-C51D-47AE-A58D-23AB48CE4001}" name="CHOMBA" totalsRowFunction="sum" dataDxfId="41" totalsRowDxfId="42"/>
    <tableColumn id="4" xr3:uid="{58B3B4C3-C99F-4169-8394-1283EDF4CD72}" name="CAMPERA" totalsRowFunction="sum" dataDxfId="39" totalsRowDxfId="40"/>
    <tableColumn id="5" xr3:uid="{B6A7F254-1073-4B87-8833-02C99D22107D}" name="CAMPERONES" totalsRowFunction="sum" dataDxfId="37" totalsRowDxfId="38"/>
    <tableColumn id="6" xr3:uid="{DD01C137-40ED-43A9-94AF-8569B17559B6}" name="REMERA        (CALIDAD 3)" totalsRowFunction="sum" dataDxfId="35" totalsRowDxfId="36"/>
    <tableColumn id="7" xr3:uid="{EFCF3F0C-E6F4-4D0F-88B3-018B3491004A}" name="REMERA &quot;ESTRUCTURAS&quot;" totalsRowFunction="sum" dataDxfId="33" totalsRowDxfId="3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C7CD1-2477-4601-8668-9D049CEAB3A6}" name="Tabla36" displayName="Tabla36" ref="A16:C26" totalsRowCount="1" headerRowDxfId="32" totalsRowDxfId="31" headerRowBorderDxfId="29" tableBorderDxfId="30">
  <autoFilter ref="A16:C25" xr:uid="{65694284-0FB7-4E3A-B08E-FCE4204A65D3}"/>
  <tableColumns count="3">
    <tableColumn id="1" xr3:uid="{D5D1C672-7CAC-44F6-8574-B17F5AFFEA2E}" name="TALLE" totalsRowLabel="Total" dataDxfId="27" totalsRowDxfId="28"/>
    <tableColumn id="2" xr3:uid="{E097ED49-ADED-4174-8917-1388C052DA27}" name="BERMUDAS" totalsRowFunction="sum" dataDxfId="25" totalsRowDxfId="26"/>
    <tableColumn id="3" xr3:uid="{7F008D1E-0769-4758-AB1C-3FB2FDA6B3AA}" name="PANTALON" totalsRowFunction="count" dataDxfId="23" totalsRow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CCC3B5D-B934-42BF-9C12-763510FE7296}" name="Tabla47" displayName="Tabla47" ref="E16:G24" totalsRowCount="1" headerRowDxfId="22" dataDxfId="21" totalsRowDxfId="20" headerRowBorderDxfId="18" tableBorderDxfId="19">
  <autoFilter ref="E16:G23" xr:uid="{374089A9-872F-464C-8F9A-210498E438E4}"/>
  <tableColumns count="3">
    <tableColumn id="1" xr3:uid="{2E975720-D5F4-40A6-8636-F4AD0BCECBC7}" name="TALLE" totalsRowLabel="Total" dataDxfId="16" totalsRowDxfId="17"/>
    <tableColumn id="2" xr3:uid="{16C79F17-6095-4470-8A42-C73D1B6BAC86}" name="OMBU" totalsRowFunction="sum" dataDxfId="14" totalsRowDxfId="15"/>
    <tableColumn id="3" xr3:uid="{609143D2-5FA6-4926-ADFB-074798DFB4A6}" name="ATT" totalsRowFunction="sum" dataDxfId="12" totalsRow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3EE97F-AA4D-4155-BBB9-862A31D2F18F}" name="Tabla1" displayName="Tabla1" ref="A3:G12" totalsRowCount="1" headerRowDxfId="81" dataDxfId="79" totalsRowDxfId="77" headerRowBorderDxfId="80" tableBorderDxfId="78" totalsRowBorderDxfId="76">
  <autoFilter ref="A3:G11" xr:uid="{F23EE97F-AA4D-4155-BBB9-862A31D2F18F}"/>
  <tableColumns count="7">
    <tableColumn id="1" xr3:uid="{B28016F2-1E88-421F-9504-B22D5EC501D6}" name="TALLE" totalsRowLabel="Total" dataDxfId="75" totalsRowDxfId="8"/>
    <tableColumn id="2" xr3:uid="{E5F42589-FE39-4AE0-8164-01C0BCB21252}" name="REMERA" totalsRowFunction="sum" dataDxfId="74" totalsRowDxfId="7"/>
    <tableColumn id="3" xr3:uid="{E1B0276B-162A-45B4-AAEF-8724A15D5168}" name="CHOMBA" totalsRowFunction="sum" dataDxfId="73" totalsRowDxfId="6"/>
    <tableColumn id="4" xr3:uid="{0A34B38D-50FD-4312-9584-76393DA7BE21}" name="CAMPERA" totalsRowFunction="sum" dataDxfId="72" totalsRowDxfId="5"/>
    <tableColumn id="5" xr3:uid="{81B538D8-0AC7-463C-94C5-A2E209A095B8}" name="CAMPERONES" totalsRowFunction="sum" dataDxfId="71" totalsRowDxfId="4"/>
    <tableColumn id="6" xr3:uid="{AFA5E832-3C0B-4097-8717-986DB60A27EB}" name="REMERA        (CALIDAD 3)" totalsRowFunction="sum" dataDxfId="70" totalsRowDxfId="3"/>
    <tableColumn id="7" xr3:uid="{F2EB7F86-D208-4F05-A01A-1688CD5B73D0}" name="REMERA &quot;ESTRUCTURAS&quot;" totalsRowFunction="sum" dataDxfId="69" totalsRow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694284-0FB7-4E3A-B08E-FCE4204A65D3}" name="Tabla3" displayName="Tabla3" ref="A16:C26" totalsRowCount="1" headerRowDxfId="68" totalsRowDxfId="65" headerRowBorderDxfId="67" tableBorderDxfId="66">
  <autoFilter ref="A16:C25" xr:uid="{65694284-0FB7-4E3A-B08E-FCE4204A65D3}"/>
  <tableColumns count="3">
    <tableColumn id="1" xr3:uid="{28C82799-5D59-4DE1-8227-59E0C810C6DD}" name="TALLE" totalsRowLabel="Total" dataDxfId="64" totalsRowDxfId="63"/>
    <tableColumn id="2" xr3:uid="{B1D6F949-3010-4DF7-8046-0D28730C5842}" name="BERMUDAS" totalsRowFunction="sum" dataDxfId="62" totalsRowDxfId="0"/>
    <tableColumn id="3" xr3:uid="{F271753C-B9F1-4D56-9834-6D4DC530110D}" name="PANTALON" totalsRowFunction="sum" dataDxfId="61" totalsRowDxfId="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4089A9-872F-464C-8F9A-210498E438E4}" name="Tabla4" displayName="Tabla4" ref="E16:G25" totalsRowCount="1" headerRowDxfId="60" dataDxfId="58" totalsRowDxfId="56" headerRowBorderDxfId="59" tableBorderDxfId="57">
  <autoFilter ref="E16:G24" xr:uid="{374089A9-872F-464C-8F9A-210498E438E4}"/>
  <tableColumns count="3">
    <tableColumn id="1" xr3:uid="{1460CBF9-B82C-46C2-B701-B7200AB08335}" name="TALLE" totalsRowLabel="Total" dataDxfId="55" totalsRowDxfId="11"/>
    <tableColumn id="2" xr3:uid="{D903F2BA-3143-4782-8999-9F854ADCC050}" name="DPS" totalsRowFunction="sum" dataDxfId="54" totalsRowDxfId="10"/>
    <tableColumn id="3" xr3:uid="{205A1E18-5827-4B2B-93F9-15EFD1A6B737}" name="OMBU" totalsRowFunction="sum" dataDxfId="53" totalsRow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C1FB-FDCE-46EA-BDDD-7897BD148294}">
  <dimension ref="A1:I27"/>
  <sheetViews>
    <sheetView topLeftCell="A5" workbookViewId="0">
      <selection activeCell="I7" sqref="I7"/>
    </sheetView>
  </sheetViews>
  <sheetFormatPr baseColWidth="10" defaultRowHeight="15" x14ac:dyDescent="0.25"/>
  <cols>
    <col min="1" max="1" width="25.42578125" customWidth="1"/>
    <col min="2" max="2" width="15.85546875" customWidth="1"/>
    <col min="3" max="4" width="16.5703125" customWidth="1"/>
    <col min="5" max="5" width="18.42578125" customWidth="1"/>
    <col min="6" max="6" width="18.140625" customWidth="1"/>
    <col min="7" max="7" width="20.7109375" customWidth="1"/>
    <col min="9" max="9" width="15.42578125" customWidth="1"/>
  </cols>
  <sheetData>
    <row r="1" spans="1:7" ht="50.1" customHeight="1" thickBot="1" x14ac:dyDescent="0.3">
      <c r="A1" s="29" t="s">
        <v>12</v>
      </c>
      <c r="B1" s="29"/>
      <c r="C1" s="30"/>
      <c r="D1" s="30"/>
      <c r="E1" s="30"/>
      <c r="F1" s="30"/>
      <c r="G1" s="30"/>
    </row>
    <row r="2" spans="1:7" ht="30" customHeight="1" thickBot="1" x14ac:dyDescent="0.3">
      <c r="A2" s="31" t="s">
        <v>19</v>
      </c>
      <c r="B2" s="32"/>
      <c r="C2" s="33">
        <v>46122</v>
      </c>
      <c r="D2" s="32"/>
      <c r="E2" s="32"/>
      <c r="F2" s="32"/>
      <c r="G2" s="34"/>
    </row>
    <row r="3" spans="1:7" s="2" customFormat="1" ht="30" customHeight="1" x14ac:dyDescent="0.25">
      <c r="A3" s="9" t="s">
        <v>15</v>
      </c>
      <c r="B3" s="17" t="s">
        <v>13</v>
      </c>
      <c r="C3" s="17" t="s">
        <v>0</v>
      </c>
      <c r="D3" s="17" t="s">
        <v>3</v>
      </c>
      <c r="E3" s="17" t="s">
        <v>4</v>
      </c>
      <c r="F3" s="21" t="s">
        <v>17</v>
      </c>
      <c r="G3" s="21" t="s">
        <v>14</v>
      </c>
    </row>
    <row r="4" spans="1:7" s="2" customFormat="1" ht="20.100000000000001" customHeight="1" x14ac:dyDescent="0.25">
      <c r="A4" s="10" t="s">
        <v>16</v>
      </c>
      <c r="B4" s="4">
        <v>0</v>
      </c>
      <c r="C4" s="4">
        <v>0</v>
      </c>
      <c r="D4" s="4">
        <v>1</v>
      </c>
      <c r="E4" s="4">
        <v>0</v>
      </c>
      <c r="F4" s="4">
        <v>0</v>
      </c>
      <c r="G4" s="4">
        <v>0</v>
      </c>
    </row>
    <row r="5" spans="1:7" s="2" customFormat="1" ht="20.100000000000001" customHeight="1" x14ac:dyDescent="0.25">
      <c r="A5" s="12" t="s">
        <v>5</v>
      </c>
      <c r="B5" s="4">
        <v>13</v>
      </c>
      <c r="C5" s="4">
        <v>8</v>
      </c>
      <c r="D5" s="4">
        <v>0</v>
      </c>
      <c r="E5" s="4">
        <v>0</v>
      </c>
      <c r="F5" s="4">
        <v>15</v>
      </c>
      <c r="G5" s="4">
        <v>0</v>
      </c>
    </row>
    <row r="6" spans="1:7" s="2" customFormat="1" ht="20.100000000000001" customHeight="1" x14ac:dyDescent="0.25">
      <c r="A6" s="10" t="s">
        <v>6</v>
      </c>
      <c r="B6" s="4">
        <v>0</v>
      </c>
      <c r="C6" s="4">
        <v>2</v>
      </c>
      <c r="D6" s="4">
        <v>0</v>
      </c>
      <c r="E6" s="4">
        <v>0</v>
      </c>
      <c r="F6" s="4">
        <v>0</v>
      </c>
      <c r="G6" s="4">
        <v>5</v>
      </c>
    </row>
    <row r="7" spans="1:7" s="2" customFormat="1" ht="20.100000000000001" customHeight="1" x14ac:dyDescent="0.25">
      <c r="A7" s="12" t="s">
        <v>7</v>
      </c>
      <c r="B7" s="4">
        <v>0</v>
      </c>
      <c r="C7" s="4">
        <v>2</v>
      </c>
      <c r="D7" s="4">
        <v>0</v>
      </c>
      <c r="E7" s="4">
        <v>0</v>
      </c>
      <c r="F7" s="4">
        <v>0</v>
      </c>
      <c r="G7" s="4">
        <v>7</v>
      </c>
    </row>
    <row r="8" spans="1:7" s="2" customFormat="1" ht="20.100000000000001" customHeight="1" x14ac:dyDescent="0.25">
      <c r="A8" s="10" t="s">
        <v>8</v>
      </c>
      <c r="B8" s="4">
        <v>0</v>
      </c>
      <c r="C8" s="4">
        <v>5</v>
      </c>
      <c r="D8" s="4">
        <v>3</v>
      </c>
      <c r="E8" s="4">
        <v>1</v>
      </c>
      <c r="F8" s="4">
        <v>0</v>
      </c>
      <c r="G8" s="4">
        <v>14</v>
      </c>
    </row>
    <row r="9" spans="1:7" s="2" customFormat="1" ht="20.100000000000001" customHeight="1" x14ac:dyDescent="0.25">
      <c r="A9" s="13" t="s">
        <v>9</v>
      </c>
      <c r="B9" s="7">
        <v>0</v>
      </c>
      <c r="C9" s="7">
        <v>17</v>
      </c>
      <c r="D9" s="7">
        <v>2</v>
      </c>
      <c r="E9" s="7">
        <v>1</v>
      </c>
      <c r="F9" s="7">
        <v>0</v>
      </c>
      <c r="G9" s="7">
        <v>35</v>
      </c>
    </row>
    <row r="10" spans="1:7" s="2" customFormat="1" ht="20.100000000000001" customHeight="1" x14ac:dyDescent="0.25">
      <c r="A10" s="11" t="s">
        <v>11</v>
      </c>
      <c r="B10" s="7">
        <v>5</v>
      </c>
      <c r="C10" s="7">
        <v>3</v>
      </c>
      <c r="D10" s="7">
        <v>0</v>
      </c>
      <c r="E10" s="7">
        <v>1</v>
      </c>
      <c r="F10" s="7">
        <v>0</v>
      </c>
      <c r="G10" s="7">
        <v>8</v>
      </c>
    </row>
    <row r="11" spans="1:7" s="2" customFormat="1" ht="20.100000000000001" customHeight="1" x14ac:dyDescent="0.25">
      <c r="A11" s="13" t="s">
        <v>10</v>
      </c>
      <c r="B11" s="7">
        <v>0</v>
      </c>
      <c r="C11" s="7">
        <v>1</v>
      </c>
      <c r="D11" s="7">
        <v>3</v>
      </c>
      <c r="E11" s="7">
        <v>2</v>
      </c>
      <c r="F11" s="7">
        <v>0</v>
      </c>
      <c r="G11" s="7">
        <v>0</v>
      </c>
    </row>
    <row r="12" spans="1:7" s="2" customFormat="1" ht="20.100000000000001" customHeight="1" x14ac:dyDescent="0.25">
      <c r="A12" s="14" t="s">
        <v>18</v>
      </c>
      <c r="B12" s="15">
        <f>SUBTOTAL(109,Tabla13[REMERA])</f>
        <v>18</v>
      </c>
      <c r="C12" s="15">
        <f>SUBTOTAL(109,Tabla13[CHOMBA])</f>
        <v>38</v>
      </c>
      <c r="D12" s="15">
        <f>SUBTOTAL(109,Tabla13[CAMPERA])</f>
        <v>9</v>
      </c>
      <c r="E12" s="15">
        <f>SUBTOTAL(109,Tabla13[CAMPERONES])</f>
        <v>5</v>
      </c>
      <c r="F12" s="15">
        <f>SUBTOTAL(109,Tabla13[REMERA        (CALIDAD 3)])</f>
        <v>15</v>
      </c>
      <c r="G12" s="15">
        <f>SUBTOTAL(109,Tabla13[REMERA "ESTRUCTURAS"])</f>
        <v>69</v>
      </c>
    </row>
    <row r="13" spans="1:7" s="2" customFormat="1" ht="20.100000000000001" customHeight="1" x14ac:dyDescent="0.25">
      <c r="A13" s="8"/>
      <c r="B13" s="8"/>
      <c r="C13" s="8"/>
      <c r="D13" s="8"/>
      <c r="E13" s="8"/>
      <c r="F13" s="8"/>
      <c r="G13" s="8"/>
    </row>
    <row r="14" spans="1:7" s="2" customFormat="1" ht="39.950000000000003" customHeight="1" thickBot="1" x14ac:dyDescent="0.3">
      <c r="A14" s="35" t="s">
        <v>12</v>
      </c>
      <c r="B14" s="35"/>
      <c r="C14" s="35"/>
      <c r="D14" s="22"/>
      <c r="E14" s="35" t="s">
        <v>12</v>
      </c>
      <c r="F14" s="35"/>
      <c r="G14" s="35"/>
    </row>
    <row r="15" spans="1:7" s="2" customFormat="1" ht="20.100000000000001" customHeight="1" thickBot="1" x14ac:dyDescent="0.3">
      <c r="A15" s="36" t="s">
        <v>22</v>
      </c>
      <c r="B15" s="37"/>
      <c r="C15" s="38"/>
      <c r="D15" s="8"/>
      <c r="E15" s="36" t="s">
        <v>22</v>
      </c>
      <c r="F15" s="37"/>
      <c r="G15" s="38"/>
    </row>
    <row r="16" spans="1:7" s="2" customFormat="1" ht="24.95" customHeight="1" x14ac:dyDescent="0.25">
      <c r="A16" s="16" t="s">
        <v>15</v>
      </c>
      <c r="B16" s="17" t="s">
        <v>1</v>
      </c>
      <c r="C16" s="18" t="s">
        <v>2</v>
      </c>
      <c r="E16" s="17" t="s">
        <v>15</v>
      </c>
      <c r="F16" s="17" t="s">
        <v>20</v>
      </c>
      <c r="G16" s="17" t="s">
        <v>21</v>
      </c>
    </row>
    <row r="17" spans="1:9" s="2" customFormat="1" ht="20.100000000000001" customHeight="1" x14ac:dyDescent="0.25">
      <c r="A17" s="10">
        <v>40</v>
      </c>
      <c r="B17" s="4">
        <v>0</v>
      </c>
      <c r="C17" s="6">
        <v>0</v>
      </c>
      <c r="E17" s="23">
        <v>38</v>
      </c>
      <c r="F17" s="23">
        <v>1</v>
      </c>
      <c r="G17" s="23">
        <v>0</v>
      </c>
      <c r="I17" s="28" t="s">
        <v>23</v>
      </c>
    </row>
    <row r="18" spans="1:9" s="2" customFormat="1" ht="20.100000000000001" customHeight="1" x14ac:dyDescent="0.25">
      <c r="A18" s="12">
        <v>42</v>
      </c>
      <c r="B18" s="4">
        <v>0</v>
      </c>
      <c r="C18" s="6">
        <v>0</v>
      </c>
      <c r="E18" s="23">
        <v>40</v>
      </c>
      <c r="F18" s="23">
        <v>0</v>
      </c>
      <c r="G18" s="23">
        <v>0</v>
      </c>
    </row>
    <row r="19" spans="1:9" s="2" customFormat="1" ht="20.100000000000001" customHeight="1" x14ac:dyDescent="0.25">
      <c r="A19" s="10">
        <v>44</v>
      </c>
      <c r="B19" s="4">
        <v>0</v>
      </c>
      <c r="C19" s="6">
        <v>0</v>
      </c>
      <c r="E19" s="23">
        <v>41</v>
      </c>
      <c r="F19" s="23">
        <v>0</v>
      </c>
      <c r="G19" s="23">
        <v>0</v>
      </c>
    </row>
    <row r="20" spans="1:9" s="2" customFormat="1" ht="20.100000000000001" customHeight="1" x14ac:dyDescent="0.25">
      <c r="A20" s="12">
        <v>46</v>
      </c>
      <c r="B20" s="4">
        <v>1</v>
      </c>
      <c r="C20" s="6">
        <v>0</v>
      </c>
      <c r="E20" s="23">
        <v>42</v>
      </c>
      <c r="F20" s="23">
        <v>0</v>
      </c>
      <c r="G20" s="23">
        <v>0</v>
      </c>
    </row>
    <row r="21" spans="1:9" s="2" customFormat="1" ht="20.100000000000001" customHeight="1" x14ac:dyDescent="0.25">
      <c r="A21" s="10">
        <v>48</v>
      </c>
      <c r="B21" s="4">
        <v>5</v>
      </c>
      <c r="C21" s="6">
        <v>0</v>
      </c>
      <c r="E21" s="23">
        <v>43</v>
      </c>
      <c r="F21" s="23">
        <v>0</v>
      </c>
      <c r="G21" s="23">
        <v>0</v>
      </c>
    </row>
    <row r="22" spans="1:9" s="2" customFormat="1" ht="20.100000000000001" customHeight="1" x14ac:dyDescent="0.25">
      <c r="A22" s="13">
        <v>50</v>
      </c>
      <c r="B22" s="7">
        <v>0</v>
      </c>
      <c r="C22" s="3">
        <v>0</v>
      </c>
      <c r="E22" s="23">
        <v>44</v>
      </c>
      <c r="F22" s="23">
        <v>1</v>
      </c>
      <c r="G22" s="23">
        <v>0</v>
      </c>
    </row>
    <row r="23" spans="1:9" s="2" customFormat="1" ht="20.100000000000001" customHeight="1" x14ac:dyDescent="0.25">
      <c r="A23" s="11">
        <v>52</v>
      </c>
      <c r="B23" s="19">
        <v>4</v>
      </c>
      <c r="C23" s="20">
        <v>2</v>
      </c>
      <c r="E23" s="23">
        <v>45</v>
      </c>
      <c r="F23" s="23">
        <v>0</v>
      </c>
      <c r="G23" s="23">
        <v>0</v>
      </c>
    </row>
    <row r="24" spans="1:9" s="2" customFormat="1" ht="20.100000000000001" customHeight="1" x14ac:dyDescent="0.25">
      <c r="A24" s="13">
        <v>54</v>
      </c>
      <c r="B24" s="7">
        <v>1</v>
      </c>
      <c r="C24" s="3">
        <v>0</v>
      </c>
      <c r="E24" s="27" t="s">
        <v>18</v>
      </c>
      <c r="F24" s="27">
        <f>SUBTOTAL(109,Tabla47[OMBU])</f>
        <v>2</v>
      </c>
      <c r="G24" s="27">
        <f>SUBTOTAL(109,Tabla47[ATT])</f>
        <v>0</v>
      </c>
    </row>
    <row r="25" spans="1:9" s="2" customFormat="1" ht="20.100000000000001" customHeight="1" x14ac:dyDescent="0.25">
      <c r="A25" s="5">
        <v>56</v>
      </c>
      <c r="B25" s="4">
        <v>1</v>
      </c>
      <c r="C25" s="4">
        <v>1</v>
      </c>
    </row>
    <row r="26" spans="1:9" ht="20.100000000000001" customHeight="1" x14ac:dyDescent="0.25">
      <c r="A26" s="24" t="s">
        <v>18</v>
      </c>
      <c r="B26" s="25">
        <f>SUBTOTAL(109,Tabla36[BERMUDAS])</f>
        <v>12</v>
      </c>
      <c r="C26" s="26">
        <f>SUBTOTAL(103,Tabla36[PANTALON])</f>
        <v>9</v>
      </c>
      <c r="E26" s="2"/>
      <c r="F26" s="2"/>
      <c r="G26" s="2"/>
    </row>
    <row r="27" spans="1:9" ht="15.75" x14ac:dyDescent="0.25">
      <c r="A27" s="1"/>
      <c r="B27" s="1"/>
      <c r="C27" s="1"/>
    </row>
  </sheetData>
  <mergeCells count="7">
    <mergeCell ref="A1:G1"/>
    <mergeCell ref="A2:B2"/>
    <mergeCell ref="C2:G2"/>
    <mergeCell ref="A14:C14"/>
    <mergeCell ref="E14:G14"/>
    <mergeCell ref="A15:C15"/>
    <mergeCell ref="E15:G15"/>
  </mergeCells>
  <pageMargins left="1.1023622047244095" right="0.70866141732283472" top="0.35433070866141736" bottom="0.74803149606299213" header="0.31496062992125984" footer="0.31496062992125984"/>
  <pageSetup paperSize="9" scale="85" orientation="landscape" r:id="rId1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F6BC8-0647-4057-B671-9CA127EBDB29}">
  <dimension ref="A1:I27"/>
  <sheetViews>
    <sheetView tabSelected="1" topLeftCell="A14" workbookViewId="0">
      <selection activeCell="H23" sqref="H23"/>
    </sheetView>
  </sheetViews>
  <sheetFormatPr baseColWidth="10" defaultRowHeight="15" x14ac:dyDescent="0.25"/>
  <cols>
    <col min="1" max="1" width="25.42578125" customWidth="1"/>
    <col min="2" max="2" width="15.85546875" customWidth="1"/>
    <col min="3" max="4" width="16.5703125" customWidth="1"/>
    <col min="5" max="5" width="18.42578125" customWidth="1"/>
    <col min="6" max="6" width="18.140625" customWidth="1"/>
    <col min="7" max="7" width="20.7109375" customWidth="1"/>
    <col min="9" max="9" width="15.42578125" customWidth="1"/>
  </cols>
  <sheetData>
    <row r="1" spans="1:7" ht="50.1" customHeight="1" thickBot="1" x14ac:dyDescent="0.3">
      <c r="A1" s="29" t="s">
        <v>12</v>
      </c>
      <c r="B1" s="29"/>
      <c r="C1" s="30"/>
      <c r="D1" s="30"/>
      <c r="E1" s="30"/>
      <c r="F1" s="30"/>
      <c r="G1" s="30"/>
    </row>
    <row r="2" spans="1:7" ht="30" customHeight="1" thickBot="1" x14ac:dyDescent="0.3">
      <c r="A2" s="31" t="s">
        <v>19</v>
      </c>
      <c r="B2" s="32"/>
      <c r="C2" s="33">
        <v>46225</v>
      </c>
      <c r="D2" s="32"/>
      <c r="E2" s="32"/>
      <c r="F2" s="32"/>
      <c r="G2" s="34"/>
    </row>
    <row r="3" spans="1:7" s="2" customFormat="1" ht="30" customHeight="1" x14ac:dyDescent="0.25">
      <c r="A3" s="9" t="s">
        <v>15</v>
      </c>
      <c r="B3" s="17" t="s">
        <v>13</v>
      </c>
      <c r="C3" s="17" t="s">
        <v>0</v>
      </c>
      <c r="D3" s="17" t="s">
        <v>3</v>
      </c>
      <c r="E3" s="17" t="s">
        <v>4</v>
      </c>
      <c r="F3" s="21" t="s">
        <v>17</v>
      </c>
      <c r="G3" s="21" t="s">
        <v>14</v>
      </c>
    </row>
    <row r="4" spans="1:7" s="2" customFormat="1" ht="20.100000000000001" customHeight="1" x14ac:dyDescent="0.25">
      <c r="A4" s="10" t="s">
        <v>16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</row>
    <row r="5" spans="1:7" s="2" customFormat="1" ht="20.100000000000001" customHeight="1" x14ac:dyDescent="0.25">
      <c r="A5" s="12" t="s">
        <v>5</v>
      </c>
      <c r="B5" s="4">
        <v>10</v>
      </c>
      <c r="C5" s="4">
        <v>7</v>
      </c>
      <c r="D5" s="4">
        <v>0</v>
      </c>
      <c r="E5" s="4">
        <v>0</v>
      </c>
      <c r="F5" s="4">
        <v>15</v>
      </c>
      <c r="G5" s="4">
        <v>0</v>
      </c>
    </row>
    <row r="6" spans="1:7" s="2" customFormat="1" ht="20.100000000000001" customHeight="1" x14ac:dyDescent="0.25">
      <c r="A6" s="10" t="s">
        <v>6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5</v>
      </c>
    </row>
    <row r="7" spans="1:7" s="2" customFormat="1" ht="20.100000000000001" customHeight="1" x14ac:dyDescent="0.25">
      <c r="A7" s="12" t="s">
        <v>7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7</v>
      </c>
    </row>
    <row r="8" spans="1:7" s="2" customFormat="1" ht="20.100000000000001" customHeight="1" x14ac:dyDescent="0.25">
      <c r="A8" s="10" t="s">
        <v>8</v>
      </c>
      <c r="B8" s="4">
        <v>0</v>
      </c>
      <c r="C8" s="4">
        <v>5</v>
      </c>
      <c r="D8" s="4">
        <v>0</v>
      </c>
      <c r="E8" s="4">
        <v>0</v>
      </c>
      <c r="F8" s="4">
        <v>0</v>
      </c>
      <c r="G8" s="4">
        <v>14</v>
      </c>
    </row>
    <row r="9" spans="1:7" s="2" customFormat="1" ht="20.100000000000001" customHeight="1" x14ac:dyDescent="0.25">
      <c r="A9" s="13" t="s">
        <v>9</v>
      </c>
      <c r="B9" s="7">
        <v>0</v>
      </c>
      <c r="C9" s="7">
        <v>17</v>
      </c>
      <c r="D9" s="7">
        <v>0</v>
      </c>
      <c r="E9" s="7">
        <v>0</v>
      </c>
      <c r="F9" s="7">
        <v>0</v>
      </c>
      <c r="G9" s="7">
        <v>35</v>
      </c>
    </row>
    <row r="10" spans="1:7" s="2" customFormat="1" ht="20.100000000000001" customHeight="1" x14ac:dyDescent="0.25">
      <c r="A10" s="11" t="s">
        <v>11</v>
      </c>
      <c r="B10" s="7">
        <v>5</v>
      </c>
      <c r="C10" s="7">
        <v>1</v>
      </c>
      <c r="D10" s="7">
        <v>0</v>
      </c>
      <c r="E10" s="7">
        <v>0</v>
      </c>
      <c r="F10" s="7">
        <v>0</v>
      </c>
      <c r="G10" s="7">
        <v>8</v>
      </c>
    </row>
    <row r="11" spans="1:7" s="2" customFormat="1" ht="20.100000000000001" customHeight="1" x14ac:dyDescent="0.25">
      <c r="A11" s="13" t="s">
        <v>10</v>
      </c>
      <c r="B11" s="7">
        <v>0</v>
      </c>
      <c r="C11" s="7">
        <v>1</v>
      </c>
      <c r="D11" s="7">
        <v>2</v>
      </c>
      <c r="E11" s="7">
        <v>0</v>
      </c>
      <c r="F11" s="7">
        <v>0</v>
      </c>
      <c r="G11" s="7">
        <v>0</v>
      </c>
    </row>
    <row r="12" spans="1:7" s="2" customFormat="1" ht="20.100000000000001" customHeight="1" x14ac:dyDescent="0.25">
      <c r="A12" s="14" t="s">
        <v>18</v>
      </c>
      <c r="B12" s="15">
        <f>SUBTOTAL(109,Tabla1[REMERA])</f>
        <v>15</v>
      </c>
      <c r="C12" s="15">
        <f>SUBTOTAL(109,Tabla1[CHOMBA])</f>
        <v>31</v>
      </c>
      <c r="D12" s="15">
        <f>SUBTOTAL(109,Tabla1[CAMPERA])</f>
        <v>2</v>
      </c>
      <c r="E12" s="15">
        <f>SUBTOTAL(109,Tabla1[CAMPERONES])</f>
        <v>0</v>
      </c>
      <c r="F12" s="15">
        <f>SUBTOTAL(109,Tabla1[REMERA        (CALIDAD 3)])</f>
        <v>15</v>
      </c>
      <c r="G12" s="15">
        <f>SUBTOTAL(109,Tabla1[REMERA "ESTRUCTURAS"])</f>
        <v>69</v>
      </c>
    </row>
    <row r="13" spans="1:7" s="2" customFormat="1" ht="20.100000000000001" customHeight="1" x14ac:dyDescent="0.25">
      <c r="A13" s="8"/>
      <c r="B13" s="8"/>
      <c r="C13" s="8"/>
      <c r="D13" s="8"/>
      <c r="E13" s="8"/>
      <c r="F13" s="8"/>
      <c r="G13" s="8"/>
    </row>
    <row r="14" spans="1:7" s="2" customFormat="1" ht="39.950000000000003" customHeight="1" thickBot="1" x14ac:dyDescent="0.3">
      <c r="A14" s="35" t="s">
        <v>12</v>
      </c>
      <c r="B14" s="35"/>
      <c r="C14" s="35"/>
      <c r="D14" s="22"/>
      <c r="E14" s="35" t="s">
        <v>12</v>
      </c>
      <c r="F14" s="35"/>
      <c r="G14" s="35"/>
    </row>
    <row r="15" spans="1:7" s="2" customFormat="1" ht="20.100000000000001" customHeight="1" thickBot="1" x14ac:dyDescent="0.3">
      <c r="A15" s="36" t="s">
        <v>24</v>
      </c>
      <c r="B15" s="37"/>
      <c r="C15" s="38"/>
      <c r="D15" s="8"/>
      <c r="E15" s="36" t="s">
        <v>24</v>
      </c>
      <c r="F15" s="37"/>
      <c r="G15" s="38"/>
    </row>
    <row r="16" spans="1:7" s="2" customFormat="1" ht="24.95" customHeight="1" x14ac:dyDescent="0.25">
      <c r="A16" s="16" t="s">
        <v>15</v>
      </c>
      <c r="B16" s="17" t="s">
        <v>1</v>
      </c>
      <c r="C16" s="18" t="s">
        <v>2</v>
      </c>
      <c r="E16" s="17" t="s">
        <v>15</v>
      </c>
      <c r="F16" s="17" t="s">
        <v>25</v>
      </c>
      <c r="G16" s="17" t="s">
        <v>20</v>
      </c>
    </row>
    <row r="17" spans="1:9" s="2" customFormat="1" ht="20.100000000000001" customHeight="1" x14ac:dyDescent="0.25">
      <c r="A17" s="10">
        <v>40</v>
      </c>
      <c r="B17" s="4">
        <v>0</v>
      </c>
      <c r="C17" s="6">
        <v>0</v>
      </c>
      <c r="E17" s="23">
        <v>38</v>
      </c>
      <c r="F17" s="23">
        <v>2</v>
      </c>
      <c r="G17" s="23">
        <v>0</v>
      </c>
      <c r="I17" s="28" t="s">
        <v>23</v>
      </c>
    </row>
    <row r="18" spans="1:9" s="2" customFormat="1" ht="20.100000000000001" customHeight="1" x14ac:dyDescent="0.25">
      <c r="A18" s="12">
        <v>42</v>
      </c>
      <c r="B18" s="4">
        <v>0</v>
      </c>
      <c r="C18" s="6">
        <v>0</v>
      </c>
      <c r="E18" s="23">
        <v>39</v>
      </c>
      <c r="F18" s="23">
        <v>7</v>
      </c>
      <c r="G18" s="23">
        <v>0</v>
      </c>
    </row>
    <row r="19" spans="1:9" s="2" customFormat="1" ht="20.100000000000001" customHeight="1" x14ac:dyDescent="0.25">
      <c r="A19" s="10">
        <v>44</v>
      </c>
      <c r="B19" s="4">
        <v>0</v>
      </c>
      <c r="C19" s="6">
        <v>0</v>
      </c>
      <c r="E19" s="23">
        <v>40</v>
      </c>
      <c r="F19" s="23">
        <v>10</v>
      </c>
      <c r="G19" s="23">
        <v>0</v>
      </c>
    </row>
    <row r="20" spans="1:9" s="2" customFormat="1" ht="20.100000000000001" customHeight="1" x14ac:dyDescent="0.25">
      <c r="A20" s="12">
        <v>46</v>
      </c>
      <c r="B20" s="4">
        <v>1</v>
      </c>
      <c r="C20" s="6">
        <v>0</v>
      </c>
      <c r="E20" s="23">
        <v>41</v>
      </c>
      <c r="F20" s="23">
        <v>38</v>
      </c>
      <c r="G20" s="23">
        <v>0</v>
      </c>
    </row>
    <row r="21" spans="1:9" s="2" customFormat="1" ht="20.100000000000001" customHeight="1" x14ac:dyDescent="0.25">
      <c r="A21" s="10">
        <v>48</v>
      </c>
      <c r="B21" s="4">
        <v>5</v>
      </c>
      <c r="C21" s="6">
        <v>0</v>
      </c>
      <c r="E21" s="23">
        <v>42</v>
      </c>
      <c r="F21" s="23">
        <v>38</v>
      </c>
      <c r="G21" s="23">
        <v>0</v>
      </c>
    </row>
    <row r="22" spans="1:9" s="2" customFormat="1" ht="20.100000000000001" customHeight="1" x14ac:dyDescent="0.25">
      <c r="A22" s="13">
        <v>50</v>
      </c>
      <c r="B22" s="7">
        <v>0</v>
      </c>
      <c r="C22" s="3">
        <v>0</v>
      </c>
      <c r="E22" s="23">
        <v>43</v>
      </c>
      <c r="F22" s="23">
        <v>14</v>
      </c>
      <c r="G22" s="23">
        <v>0</v>
      </c>
    </row>
    <row r="23" spans="1:9" s="2" customFormat="1" ht="20.100000000000001" customHeight="1" x14ac:dyDescent="0.25">
      <c r="A23" s="11">
        <v>52</v>
      </c>
      <c r="B23" s="19">
        <v>4</v>
      </c>
      <c r="C23" s="20">
        <v>2</v>
      </c>
      <c r="E23" s="23">
        <v>44</v>
      </c>
      <c r="F23" s="23">
        <v>1</v>
      </c>
      <c r="G23" s="23">
        <v>1</v>
      </c>
    </row>
    <row r="24" spans="1:9" s="2" customFormat="1" ht="20.100000000000001" customHeight="1" x14ac:dyDescent="0.25">
      <c r="A24" s="13">
        <v>54</v>
      </c>
      <c r="B24" s="7">
        <v>1</v>
      </c>
      <c r="C24" s="3">
        <v>0</v>
      </c>
      <c r="E24" s="23">
        <v>45</v>
      </c>
      <c r="F24" s="23">
        <v>0</v>
      </c>
      <c r="G24" s="23">
        <v>0</v>
      </c>
    </row>
    <row r="25" spans="1:9" s="2" customFormat="1" ht="20.100000000000001" customHeight="1" x14ac:dyDescent="0.25">
      <c r="A25" s="5">
        <v>56</v>
      </c>
      <c r="B25" s="4">
        <v>1</v>
      </c>
      <c r="C25" s="4">
        <v>1</v>
      </c>
      <c r="E25" s="27" t="s">
        <v>18</v>
      </c>
      <c r="F25" s="27">
        <f>SUBTOTAL(109,Tabla4[DPS])</f>
        <v>110</v>
      </c>
      <c r="G25" s="27">
        <f>SUBTOTAL(109,Tabla4[OMBU])</f>
        <v>1</v>
      </c>
    </row>
    <row r="26" spans="1:9" ht="20.100000000000001" customHeight="1" x14ac:dyDescent="0.25">
      <c r="A26" s="24" t="s">
        <v>18</v>
      </c>
      <c r="B26" s="25">
        <f>SUBTOTAL(109,Tabla3[BERMUDAS])</f>
        <v>12</v>
      </c>
      <c r="C26" s="26">
        <f>SUBTOTAL(109,Tabla3[PANTALON])</f>
        <v>3</v>
      </c>
      <c r="E26" s="2"/>
      <c r="F26" s="2"/>
      <c r="G26" s="2"/>
    </row>
    <row r="27" spans="1:9" ht="15.75" x14ac:dyDescent="0.25">
      <c r="A27" s="1"/>
      <c r="B27" s="1"/>
      <c r="C27" s="1"/>
      <c r="E27" s="2"/>
      <c r="F27" s="2"/>
      <c r="G27" s="2"/>
    </row>
  </sheetData>
  <mergeCells count="7">
    <mergeCell ref="A1:G1"/>
    <mergeCell ref="A2:B2"/>
    <mergeCell ref="C2:G2"/>
    <mergeCell ref="A14:C14"/>
    <mergeCell ref="A15:C15"/>
    <mergeCell ref="E14:G14"/>
    <mergeCell ref="E15:G15"/>
  </mergeCells>
  <pageMargins left="1.1023622047244095" right="0.70866141732283472" top="0.35433070866141736" bottom="0.74803149606299213" header="0.31496062992125984" footer="0.31496062992125984"/>
  <pageSetup paperSize="9" scale="85" orientation="landscape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ABRIL</vt:lpstr>
      <vt:lpstr>JULIO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Dos57 SRL</dc:creator>
  <cp:lastModifiedBy>Dos57 SRL</cp:lastModifiedBy>
  <cp:lastPrinted>2026-04-10T18:34:04Z</cp:lastPrinted>
  <dcterms:created xsi:type="dcterms:W3CDTF">2026-02-23T15:38:20Z</dcterms:created>
  <dcterms:modified xsi:type="dcterms:W3CDTF">2026-07-22T21:46:09Z</dcterms:modified>
</cp:coreProperties>
</file>