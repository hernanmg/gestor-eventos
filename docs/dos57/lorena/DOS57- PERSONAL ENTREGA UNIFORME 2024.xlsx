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tables/table4.xml" ContentType="application/vnd.openxmlformats-officedocument.spreadsheetml.table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tables/table5.xml" ContentType="application/vnd.openxmlformats-officedocument.spreadsheetml.table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tables/table6.xml" ContentType="application/vnd.openxmlformats-officedocument.spreadsheetml.table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admin-portal\docs\dos57\lorena\"/>
    </mc:Choice>
  </mc:AlternateContent>
  <xr:revisionPtr revIDLastSave="0" documentId="13_ncr:1_{EDA9D671-3131-4128-965C-FA2EE1ADD1B1}" xr6:coauthVersionLast="47" xr6:coauthVersionMax="47" xr10:uidLastSave="{00000000-0000-0000-0000-000000000000}"/>
  <bookViews>
    <workbookView xWindow="-120" yWindow="-120" windowWidth="29040" windowHeight="15720" firstSheet="2" activeTab="6" xr2:uid="{D80FB949-26B2-463B-BD38-9BFB86739992}"/>
  </bookViews>
  <sheets>
    <sheet name="PLANTA ESTABLE" sheetId="1" r:id="rId1"/>
    <sheet name="ENJOY" sheetId="37" r:id="rId2"/>
    <sheet name="DOS57_ENTREGA_2024" sheetId="40" r:id="rId3"/>
    <sheet name="DOS57_ENTREGA_2025" sheetId="54" r:id="rId4"/>
    <sheet name="DOS57_ENTREGA_2026" sheetId="65" r:id="rId5"/>
    <sheet name="AGUIRRE DAVID" sheetId="67" r:id="rId6"/>
    <sheet name="BIBILONI SANTIAGO" sheetId="66" r:id="rId7"/>
    <sheet name="BIBILONI NICOLAS" sheetId="3" r:id="rId8"/>
    <sheet name="CARRIZO CARLOS" sheetId="52" r:id="rId9"/>
    <sheet name="CATALANO GONZALO" sheetId="64" r:id="rId10"/>
    <sheet name="CELIZ DENIS" sheetId="4" r:id="rId11"/>
    <sheet name="DIAZ MILTON" sheetId="6" r:id="rId12"/>
    <sheet name="FERNANDEZ RODRIGO" sheetId="61" r:id="rId13"/>
    <sheet name="GOMEZ FLORENCIA" sheetId="72" r:id="rId14"/>
    <sheet name="HERRERA LORENA" sheetId="11" r:id="rId15"/>
    <sheet name="LOPEZ MARIO" sheetId="49" r:id="rId16"/>
    <sheet name="LEDESMA LUIS" sheetId="68" r:id="rId17"/>
    <sheet name="MACHADO GERARDO" sheetId="12" r:id="rId18"/>
    <sheet name="OLIVETTO ANDREA" sheetId="15" r:id="rId19"/>
    <sheet name="ONTIVERO MAYRA" sheetId="16" r:id="rId20"/>
    <sheet name="PEREZ JOSE LUIS" sheetId="70" r:id="rId21"/>
    <sheet name="SALERNO VERONICA" sheetId="39" r:id="rId22"/>
    <sheet name="SANTILLAN POLA" sheetId="20" r:id="rId23"/>
    <sheet name="SOSA CHARA" sheetId="21" r:id="rId24"/>
    <sheet name="VALDIVIA JAZ" sheetId="22" r:id="rId25"/>
    <sheet name="VELEZ TONI" sheetId="24" r:id="rId26"/>
    <sheet name="VESSONI FURIA" sheetId="25" r:id="rId27"/>
    <sheet name="NAVARRO LEANDRO" sheetId="13" r:id="rId28"/>
    <sheet name="RODRIGUEZ MANOLO" sheetId="19" r:id="rId29"/>
    <sheet name="RODRIGUEZ URIEL" sheetId="48" r:id="rId30"/>
    <sheet name="MORA GABRIEL" sheetId="28" r:id="rId31"/>
    <sheet name="VERA ELI" sheetId="42" r:id="rId32"/>
    <sheet name="OCHOA ENZO" sheetId="71" r:id="rId33"/>
    <sheet name="AZNAL MANUEL" sheetId="56" r:id="rId34"/>
    <sheet name="GASCO BENJAMIN" sheetId="59" r:id="rId35"/>
    <sheet name="ORTOLANIS PATRICIO" sheetId="17" r:id="rId36"/>
    <sheet name="PUCHETA DAVID" sheetId="73" r:id="rId37"/>
    <sheet name="RODRIGUEZ LEONEL" sheetId="57" r:id="rId38"/>
    <sheet name="ROMERO LISANDRO" sheetId="60" r:id="rId39"/>
    <sheet name="SANCHEZ RODRIGO" sheetId="74" r:id="rId40"/>
    <sheet name="PONCE ALEJANDRO" sheetId="69" r:id="rId41"/>
    <sheet name="DARIO FLORES" sheetId="63" r:id="rId42"/>
    <sheet name="SINIANI FRANCO" sheetId="58" r:id="rId43"/>
    <sheet name="MUT MATIAS" sheetId="62" r:id="rId44"/>
    <sheet name="FICHA BCO." sheetId="46" r:id="rId45"/>
    <sheet name="CEBALLOS FACU" sheetId="29" r:id="rId46"/>
    <sheet name="MARTINEZ MIGUEL" sheetId="27" r:id="rId47"/>
    <sheet name="GARCIA ROBERTO" sheetId="10" r:id="rId48"/>
    <sheet name="ZAMBRANO MERCE" sheetId="26" r:id="rId49"/>
    <sheet name="DIAZ DYLAN" sheetId="53" r:id="rId50"/>
    <sheet name="DESTEFANIS MAURI" sheetId="31" r:id="rId51"/>
    <sheet name="FARIAS TOMAS" sheetId="50" r:id="rId52"/>
    <sheet name="ROTUNNO LUCAS" sheetId="55" r:id="rId53"/>
    <sheet name="OCHOA ENZO_2025" sheetId="14" r:id="rId54"/>
    <sheet name="ALTAMIRANO AGUSTIN" sheetId="30" r:id="rId55"/>
    <sheet name="SIMONSEN FABIAN" sheetId="47" r:id="rId56"/>
    <sheet name="AGUIRRE DAVID X" sheetId="38" r:id="rId57"/>
    <sheet name="CHECA JONA" sheetId="5" r:id="rId58"/>
    <sheet name="MORENO FRANCO" sheetId="43" r:id="rId59"/>
    <sheet name="OLIVA DIEGO" sheetId="45" r:id="rId60"/>
    <sheet name="FLORES SAMUEL" sheetId="41" r:id="rId61"/>
    <sheet name="ROMERO TOMAS" sheetId="32" r:id="rId62"/>
    <sheet name="VALENCIA MANU" sheetId="23" r:id="rId63"/>
    <sheet name="FLORES DARIO" sheetId="8" r:id="rId64"/>
    <sheet name="ARIAS GONZALO" sheetId="2" r:id="rId65"/>
    <sheet name="FLORES NESTOR" sheetId="7" r:id="rId66"/>
    <sheet name="FLORES MATIAS" sheetId="9" r:id="rId67"/>
    <sheet name="SANCHEZ RODRIGO 2024" sheetId="44" r:id="rId6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4" l="1"/>
  <c r="D27" i="24"/>
  <c r="E27" i="24"/>
  <c r="F27" i="24"/>
  <c r="G27" i="24"/>
  <c r="H27" i="24"/>
  <c r="I27" i="24"/>
  <c r="J27" i="24"/>
  <c r="K27" i="24"/>
  <c r="L27" i="24"/>
  <c r="B27" i="24"/>
  <c r="C22" i="22"/>
  <c r="D22" i="22"/>
  <c r="E22" i="22"/>
  <c r="F22" i="22"/>
  <c r="G22" i="22"/>
  <c r="H22" i="22"/>
  <c r="I22" i="22"/>
  <c r="J22" i="22"/>
  <c r="K22" i="22"/>
  <c r="B22" i="22"/>
  <c r="C22" i="20"/>
  <c r="C17" i="15"/>
  <c r="D17" i="15"/>
  <c r="E17" i="15"/>
  <c r="F17" i="15"/>
  <c r="G17" i="15"/>
  <c r="H17" i="15"/>
  <c r="I17" i="15"/>
  <c r="J17" i="15"/>
  <c r="K17" i="15"/>
  <c r="B17" i="15"/>
  <c r="C24" i="12"/>
  <c r="D24" i="12"/>
  <c r="E24" i="12"/>
  <c r="F24" i="12"/>
  <c r="G24" i="12"/>
  <c r="H24" i="12"/>
  <c r="I24" i="12"/>
  <c r="J24" i="12"/>
  <c r="K24" i="12"/>
  <c r="B24" i="12"/>
  <c r="C21" i="11"/>
  <c r="D21" i="11"/>
  <c r="E21" i="11"/>
  <c r="F21" i="11"/>
  <c r="G21" i="11"/>
  <c r="H21" i="11"/>
  <c r="I21" i="11"/>
  <c r="J21" i="11"/>
  <c r="K21" i="11"/>
  <c r="B21" i="11"/>
  <c r="G26" i="6"/>
  <c r="H26" i="6"/>
  <c r="I26" i="6"/>
  <c r="J26" i="6"/>
  <c r="K26" i="6"/>
  <c r="L26" i="6"/>
  <c r="E26" i="6"/>
  <c r="D26" i="6"/>
  <c r="C26" i="6"/>
  <c r="B26" i="6"/>
  <c r="F26" i="6"/>
  <c r="E12" i="48"/>
  <c r="D12" i="48"/>
  <c r="F12" i="48"/>
  <c r="G12" i="48"/>
  <c r="H12" i="48"/>
  <c r="I12" i="48"/>
  <c r="J12" i="48"/>
  <c r="C12" i="48"/>
  <c r="B12" i="48"/>
  <c r="B22" i="28"/>
  <c r="D22" i="28"/>
  <c r="E22" i="28"/>
  <c r="F22" i="28"/>
  <c r="G22" i="28"/>
  <c r="H22" i="28"/>
  <c r="I22" i="28"/>
  <c r="J22" i="28"/>
  <c r="K22" i="28"/>
  <c r="L22" i="28"/>
  <c r="C22" i="28"/>
  <c r="C20" i="74"/>
  <c r="E19" i="74"/>
  <c r="E18" i="74"/>
  <c r="E17" i="74"/>
  <c r="E16" i="74"/>
  <c r="E15" i="74"/>
  <c r="E14" i="74"/>
  <c r="E20" i="74" s="1"/>
  <c r="L10" i="74"/>
  <c r="K10" i="74"/>
  <c r="J10" i="74"/>
  <c r="I10" i="74"/>
  <c r="H10" i="74"/>
  <c r="G10" i="74"/>
  <c r="F10" i="74"/>
  <c r="E10" i="74"/>
  <c r="D10" i="74"/>
  <c r="C10" i="74"/>
  <c r="B10" i="74"/>
  <c r="L21" i="73"/>
  <c r="K21" i="73"/>
  <c r="J21" i="73"/>
  <c r="I21" i="73"/>
  <c r="H21" i="73"/>
  <c r="G21" i="73"/>
  <c r="F21" i="73"/>
  <c r="E21" i="73"/>
  <c r="D21" i="73"/>
  <c r="C21" i="73"/>
  <c r="B21" i="73"/>
  <c r="D33" i="17"/>
  <c r="E33" i="17"/>
  <c r="F33" i="17"/>
  <c r="G33" i="17"/>
  <c r="H33" i="17"/>
  <c r="I33" i="17"/>
  <c r="J33" i="17"/>
  <c r="K33" i="17"/>
  <c r="L33" i="17"/>
  <c r="M33" i="17"/>
  <c r="N33" i="17"/>
  <c r="C33" i="17"/>
  <c r="K17" i="72"/>
  <c r="J17" i="72"/>
  <c r="I17" i="72"/>
  <c r="H17" i="72"/>
  <c r="G17" i="72"/>
  <c r="F17" i="72"/>
  <c r="E17" i="72"/>
  <c r="D17" i="72"/>
  <c r="C17" i="72"/>
  <c r="B17" i="72"/>
  <c r="L10" i="71"/>
  <c r="K10" i="71"/>
  <c r="J10" i="71"/>
  <c r="I10" i="71"/>
  <c r="H10" i="71"/>
  <c r="G10" i="71"/>
  <c r="F10" i="71"/>
  <c r="E10" i="71"/>
  <c r="D10" i="71"/>
  <c r="C10" i="71"/>
  <c r="B10" i="71"/>
  <c r="K13" i="70"/>
  <c r="J13" i="70"/>
  <c r="I13" i="70"/>
  <c r="H13" i="70"/>
  <c r="G13" i="70"/>
  <c r="F13" i="70"/>
  <c r="E13" i="70"/>
  <c r="D13" i="70"/>
  <c r="C13" i="70"/>
  <c r="B13" i="70"/>
  <c r="K13" i="69"/>
  <c r="J13" i="69"/>
  <c r="I13" i="69"/>
  <c r="H13" i="69"/>
  <c r="G13" i="69"/>
  <c r="F13" i="69"/>
  <c r="E13" i="69"/>
  <c r="D13" i="69"/>
  <c r="C13" i="69"/>
  <c r="B13" i="69"/>
  <c r="K15" i="68"/>
  <c r="J15" i="68"/>
  <c r="I15" i="68"/>
  <c r="H15" i="68"/>
  <c r="G15" i="68"/>
  <c r="F15" i="68"/>
  <c r="E15" i="68"/>
  <c r="D15" i="68"/>
  <c r="C15" i="68"/>
  <c r="B15" i="68"/>
  <c r="C13" i="29"/>
  <c r="D13" i="29"/>
  <c r="E13" i="29"/>
  <c r="F13" i="29"/>
  <c r="G13" i="29"/>
  <c r="H13" i="29"/>
  <c r="I13" i="29"/>
  <c r="J13" i="29"/>
  <c r="K13" i="29"/>
  <c r="B13" i="29"/>
  <c r="L21" i="67"/>
  <c r="K21" i="67"/>
  <c r="J21" i="67"/>
  <c r="I21" i="67"/>
  <c r="H21" i="67"/>
  <c r="G21" i="67"/>
  <c r="F21" i="67"/>
  <c r="E21" i="67"/>
  <c r="D21" i="67"/>
  <c r="C21" i="67"/>
  <c r="B21" i="67"/>
  <c r="L21" i="66"/>
  <c r="K21" i="66"/>
  <c r="J21" i="66"/>
  <c r="I21" i="66"/>
  <c r="H21" i="66"/>
  <c r="G21" i="66"/>
  <c r="F21" i="66"/>
  <c r="E21" i="66"/>
  <c r="D21" i="66"/>
  <c r="C21" i="66"/>
  <c r="B21" i="66"/>
  <c r="C12" i="3"/>
  <c r="D12" i="3"/>
  <c r="E12" i="3"/>
  <c r="F12" i="3"/>
  <c r="G12" i="3"/>
  <c r="H12" i="3"/>
  <c r="I12" i="3"/>
  <c r="J12" i="3"/>
  <c r="K12" i="3"/>
  <c r="B12" i="3"/>
  <c r="O27" i="65"/>
  <c r="N27" i="65"/>
  <c r="M27" i="65"/>
  <c r="L27" i="65"/>
  <c r="K27" i="65"/>
  <c r="J27" i="65"/>
  <c r="I27" i="65"/>
  <c r="H27" i="65"/>
  <c r="G27" i="65"/>
  <c r="F27" i="65"/>
  <c r="E27" i="65"/>
  <c r="D27" i="65"/>
  <c r="C17" i="63"/>
  <c r="E16" i="63"/>
  <c r="E15" i="63"/>
  <c r="E14" i="63"/>
  <c r="E13" i="63"/>
  <c r="E12" i="63"/>
  <c r="E11" i="63"/>
  <c r="E17" i="63" l="1"/>
  <c r="C23" i="29" l="1"/>
  <c r="E23" i="29"/>
  <c r="E17" i="29"/>
  <c r="E18" i="29"/>
  <c r="E19" i="29"/>
  <c r="E20" i="29"/>
  <c r="E21" i="29"/>
  <c r="E22" i="29"/>
  <c r="E16" i="29"/>
  <c r="C14" i="32"/>
  <c r="D14" i="32"/>
  <c r="E14" i="32"/>
  <c r="F14" i="32"/>
  <c r="G14" i="32"/>
  <c r="H14" i="32"/>
  <c r="I14" i="32"/>
  <c r="J14" i="32"/>
  <c r="K14" i="32"/>
  <c r="B14" i="32"/>
  <c r="L21" i="64"/>
  <c r="K21" i="64"/>
  <c r="J21" i="64"/>
  <c r="I21" i="64"/>
  <c r="H21" i="64"/>
  <c r="G21" i="64"/>
  <c r="F21" i="64"/>
  <c r="E21" i="64"/>
  <c r="D21" i="64"/>
  <c r="C21" i="64"/>
  <c r="B21" i="64"/>
  <c r="L7" i="63"/>
  <c r="K7" i="63"/>
  <c r="J7" i="63"/>
  <c r="I7" i="63"/>
  <c r="H7" i="63"/>
  <c r="G7" i="63"/>
  <c r="F7" i="63"/>
  <c r="E7" i="63"/>
  <c r="D7" i="63"/>
  <c r="C7" i="63"/>
  <c r="B7" i="63"/>
  <c r="E22" i="10"/>
  <c r="I22" i="10"/>
  <c r="H22" i="10"/>
  <c r="F22" i="10"/>
  <c r="C22" i="10"/>
  <c r="L21" i="62"/>
  <c r="K21" i="62"/>
  <c r="J21" i="62"/>
  <c r="I21" i="62"/>
  <c r="H21" i="62"/>
  <c r="G21" i="62"/>
  <c r="F21" i="62"/>
  <c r="E21" i="62"/>
  <c r="D21" i="62"/>
  <c r="C21" i="62"/>
  <c r="B21" i="62"/>
  <c r="L21" i="61"/>
  <c r="K21" i="61"/>
  <c r="J21" i="61"/>
  <c r="I21" i="61"/>
  <c r="H21" i="61"/>
  <c r="G21" i="61"/>
  <c r="F21" i="61"/>
  <c r="E21" i="61"/>
  <c r="D21" i="61"/>
  <c r="C21" i="61"/>
  <c r="B21" i="61"/>
  <c r="L22" i="60"/>
  <c r="K22" i="60"/>
  <c r="J22" i="60"/>
  <c r="I22" i="60"/>
  <c r="H22" i="60"/>
  <c r="G22" i="60"/>
  <c r="F22" i="60"/>
  <c r="E22" i="60"/>
  <c r="D22" i="60"/>
  <c r="C22" i="60"/>
  <c r="B22" i="60"/>
  <c r="L21" i="59"/>
  <c r="K21" i="59"/>
  <c r="J21" i="59"/>
  <c r="I21" i="59"/>
  <c r="H21" i="59"/>
  <c r="G21" i="59"/>
  <c r="F21" i="59"/>
  <c r="E21" i="59"/>
  <c r="D21" i="59"/>
  <c r="C21" i="59"/>
  <c r="B21" i="59"/>
  <c r="L21" i="58"/>
  <c r="K21" i="58"/>
  <c r="J21" i="58"/>
  <c r="I21" i="58"/>
  <c r="H21" i="58"/>
  <c r="G21" i="58"/>
  <c r="F21" i="58"/>
  <c r="E21" i="58"/>
  <c r="D21" i="58"/>
  <c r="C21" i="58"/>
  <c r="B21" i="58"/>
  <c r="L21" i="57"/>
  <c r="K21" i="57"/>
  <c r="J21" i="57"/>
  <c r="I21" i="57"/>
  <c r="H21" i="57"/>
  <c r="G21" i="57"/>
  <c r="F21" i="57"/>
  <c r="E21" i="57"/>
  <c r="D21" i="57"/>
  <c r="C21" i="57"/>
  <c r="B21" i="57"/>
  <c r="L22" i="56"/>
  <c r="K22" i="56"/>
  <c r="J22" i="56"/>
  <c r="I22" i="56"/>
  <c r="H22" i="56"/>
  <c r="G22" i="56"/>
  <c r="F22" i="56"/>
  <c r="E22" i="56"/>
  <c r="D22" i="56"/>
  <c r="C22" i="56"/>
  <c r="B22" i="56"/>
  <c r="B19" i="13"/>
  <c r="C15" i="27"/>
  <c r="D15" i="27"/>
  <c r="E15" i="27"/>
  <c r="F15" i="27"/>
  <c r="G15" i="27"/>
  <c r="H15" i="27"/>
  <c r="I15" i="27"/>
  <c r="J15" i="27"/>
  <c r="K15" i="27"/>
  <c r="B15" i="27"/>
  <c r="D22" i="10"/>
  <c r="G22" i="10"/>
  <c r="J22" i="10"/>
  <c r="K22" i="10"/>
  <c r="B22" i="10"/>
  <c r="E21" i="4"/>
  <c r="B21" i="4"/>
  <c r="C21" i="4"/>
  <c r="D21" i="4"/>
  <c r="F21" i="4"/>
  <c r="H21" i="4"/>
  <c r="I21" i="4"/>
  <c r="J21" i="4"/>
  <c r="K21" i="4"/>
  <c r="L21" i="4"/>
  <c r="E22" i="14"/>
  <c r="C12" i="55"/>
  <c r="D12" i="55"/>
  <c r="E12" i="55"/>
  <c r="F12" i="55"/>
  <c r="G12" i="55"/>
  <c r="H12" i="55"/>
  <c r="I12" i="55"/>
  <c r="J12" i="55"/>
  <c r="B12" i="55"/>
  <c r="C22" i="14"/>
  <c r="D22" i="14"/>
  <c r="F22" i="14"/>
  <c r="G22" i="14"/>
  <c r="H22" i="14"/>
  <c r="I22" i="14"/>
  <c r="J22" i="14"/>
  <c r="K22" i="14"/>
  <c r="L22" i="14"/>
  <c r="M22" i="14"/>
  <c r="N22" i="14"/>
  <c r="B22" i="14"/>
  <c r="K12" i="55"/>
  <c r="C19" i="25"/>
  <c r="D19" i="25"/>
  <c r="E19" i="25"/>
  <c r="F19" i="25"/>
  <c r="G19" i="25"/>
  <c r="H19" i="25"/>
  <c r="I19" i="25"/>
  <c r="J19" i="25"/>
  <c r="K19" i="25"/>
  <c r="B19" i="25"/>
  <c r="D22" i="20"/>
  <c r="E22" i="20"/>
  <c r="F22" i="20"/>
  <c r="G22" i="20"/>
  <c r="H22" i="20"/>
  <c r="I22" i="20"/>
  <c r="J22" i="20"/>
  <c r="K22" i="20"/>
  <c r="L22" i="20"/>
  <c r="M22" i="20"/>
  <c r="B22" i="20"/>
  <c r="C23" i="19"/>
  <c r="D23" i="19"/>
  <c r="E23" i="19"/>
  <c r="F23" i="19"/>
  <c r="G23" i="19"/>
  <c r="H23" i="19"/>
  <c r="I23" i="19"/>
  <c r="J23" i="19"/>
  <c r="K23" i="19"/>
  <c r="B23" i="19"/>
  <c r="C19" i="13"/>
  <c r="D19" i="13"/>
  <c r="E19" i="13"/>
  <c r="F19" i="13"/>
  <c r="G19" i="13"/>
  <c r="H19" i="13"/>
  <c r="I19" i="13"/>
  <c r="J19" i="13"/>
  <c r="K19" i="13"/>
  <c r="E35" i="54"/>
  <c r="F35" i="54"/>
  <c r="G35" i="54"/>
  <c r="H35" i="54"/>
  <c r="I35" i="54"/>
  <c r="J35" i="54"/>
  <c r="K35" i="54"/>
  <c r="L35" i="54"/>
  <c r="M35" i="54"/>
  <c r="N35" i="54"/>
  <c r="O35" i="54"/>
  <c r="D35" i="54"/>
  <c r="E59" i="40"/>
  <c r="F59" i="40"/>
  <c r="G59" i="40"/>
  <c r="H59" i="40"/>
  <c r="I59" i="40"/>
  <c r="J59" i="40"/>
  <c r="K59" i="40"/>
  <c r="L59" i="40"/>
  <c r="M59" i="40"/>
  <c r="N59" i="40"/>
  <c r="D59" i="40"/>
  <c r="K14" i="31"/>
  <c r="M14" i="53"/>
  <c r="J14" i="53"/>
  <c r="I14" i="53"/>
  <c r="H14" i="53"/>
  <c r="G14" i="53"/>
  <c r="F14" i="53"/>
  <c r="E14" i="53"/>
  <c r="D14" i="53"/>
  <c r="C14" i="53"/>
  <c r="B14" i="53"/>
  <c r="M13" i="52"/>
  <c r="L13" i="52"/>
  <c r="K13" i="52"/>
  <c r="J13" i="52"/>
  <c r="I13" i="52"/>
  <c r="H13" i="52"/>
  <c r="G13" i="52"/>
  <c r="F13" i="52"/>
  <c r="E13" i="52"/>
  <c r="D13" i="52"/>
  <c r="C13" i="52"/>
  <c r="B13" i="52"/>
  <c r="M9" i="50" l="1"/>
  <c r="J9" i="50"/>
  <c r="I9" i="50"/>
  <c r="H9" i="50"/>
  <c r="G9" i="50"/>
  <c r="F9" i="50"/>
  <c r="E9" i="50"/>
  <c r="D9" i="50"/>
  <c r="C9" i="50"/>
  <c r="B9" i="50"/>
  <c r="B33" i="17"/>
  <c r="K15" i="49"/>
  <c r="J15" i="49"/>
  <c r="I15" i="49"/>
  <c r="H15" i="49"/>
  <c r="G15" i="49"/>
  <c r="F15" i="49"/>
  <c r="E15" i="49"/>
  <c r="D15" i="49"/>
  <c r="C15" i="49"/>
  <c r="B15" i="49"/>
  <c r="M12" i="48"/>
  <c r="J11" i="47"/>
  <c r="I11" i="47"/>
  <c r="H11" i="47"/>
  <c r="G11" i="47"/>
  <c r="F11" i="47"/>
  <c r="E11" i="47"/>
  <c r="D11" i="47"/>
  <c r="C11" i="47"/>
  <c r="B11" i="47"/>
  <c r="L21" i="46"/>
  <c r="K21" i="46"/>
  <c r="J21" i="46"/>
  <c r="I21" i="46"/>
  <c r="H21" i="46"/>
  <c r="G21" i="46"/>
  <c r="F21" i="46"/>
  <c r="E21" i="46"/>
  <c r="D21" i="46"/>
  <c r="C21" i="46"/>
  <c r="B21" i="46"/>
  <c r="M14" i="45"/>
  <c r="J14" i="45"/>
  <c r="I14" i="45"/>
  <c r="H14" i="45"/>
  <c r="G14" i="45"/>
  <c r="F14" i="45"/>
  <c r="E14" i="45"/>
  <c r="D14" i="45"/>
  <c r="C14" i="45"/>
  <c r="B14" i="45"/>
  <c r="M14" i="44"/>
  <c r="J14" i="44"/>
  <c r="I14" i="44"/>
  <c r="H14" i="44"/>
  <c r="G14" i="44"/>
  <c r="F14" i="44"/>
  <c r="E14" i="44"/>
  <c r="D14" i="44"/>
  <c r="C14" i="44"/>
  <c r="B14" i="44"/>
  <c r="M14" i="43"/>
  <c r="J14" i="43"/>
  <c r="I14" i="43"/>
  <c r="H14" i="43"/>
  <c r="G14" i="43"/>
  <c r="F14" i="43"/>
  <c r="E14" i="43"/>
  <c r="D14" i="43"/>
  <c r="C14" i="43"/>
  <c r="B14" i="43"/>
  <c r="K15" i="42"/>
  <c r="J15" i="42"/>
  <c r="I15" i="42"/>
  <c r="H15" i="42"/>
  <c r="G15" i="42"/>
  <c r="F15" i="42"/>
  <c r="E15" i="42"/>
  <c r="D15" i="42"/>
  <c r="C15" i="42"/>
  <c r="B15" i="42"/>
  <c r="K19" i="30" l="1"/>
  <c r="B8" i="41"/>
  <c r="C8" i="41"/>
  <c r="D8" i="41"/>
  <c r="E8" i="41"/>
  <c r="F8" i="41"/>
  <c r="G8" i="41"/>
  <c r="H8" i="41"/>
  <c r="I8" i="41"/>
  <c r="J8" i="41"/>
  <c r="K8" i="41"/>
  <c r="D12" i="7" l="1"/>
  <c r="L30" i="21"/>
  <c r="L15" i="9"/>
  <c r="C13" i="2"/>
  <c r="D13" i="2"/>
  <c r="E13" i="2"/>
  <c r="F13" i="2"/>
  <c r="G13" i="2"/>
  <c r="H13" i="2"/>
  <c r="I13" i="2"/>
  <c r="J13" i="2"/>
  <c r="K13" i="2"/>
  <c r="L13" i="2"/>
  <c r="B13" i="2"/>
  <c r="C12" i="7"/>
  <c r="E12" i="7"/>
  <c r="F12" i="7"/>
  <c r="G12" i="7"/>
  <c r="H12" i="7"/>
  <c r="I12" i="7"/>
  <c r="J12" i="7"/>
  <c r="K12" i="7"/>
  <c r="C186" i="1" l="1"/>
  <c r="D186" i="1"/>
  <c r="E186" i="1"/>
  <c r="F186" i="1"/>
  <c r="G186" i="1"/>
  <c r="H186" i="1"/>
  <c r="I186" i="1"/>
  <c r="J186" i="1"/>
  <c r="K186" i="1"/>
  <c r="L186" i="1"/>
  <c r="B186" i="1"/>
  <c r="C15" i="9"/>
  <c r="D15" i="9"/>
  <c r="E15" i="9"/>
  <c r="F15" i="9"/>
  <c r="G15" i="9"/>
  <c r="H15" i="9"/>
  <c r="I15" i="9"/>
  <c r="J15" i="9"/>
  <c r="K15" i="9"/>
  <c r="B15" i="9"/>
  <c r="C15" i="5"/>
  <c r="D15" i="5"/>
  <c r="E15" i="5"/>
  <c r="F15" i="5"/>
  <c r="G15" i="5"/>
  <c r="H15" i="5"/>
  <c r="I15" i="5"/>
  <c r="J15" i="5"/>
  <c r="K15" i="5"/>
  <c r="C9" i="1"/>
  <c r="D9" i="1"/>
  <c r="E9" i="1"/>
  <c r="F9" i="1"/>
  <c r="G9" i="1"/>
  <c r="H9" i="1"/>
  <c r="I9" i="1"/>
  <c r="J9" i="1"/>
  <c r="K9" i="1"/>
  <c r="L9" i="1"/>
  <c r="B9" i="1"/>
  <c r="D132" i="1"/>
  <c r="E132" i="1"/>
  <c r="F132" i="1"/>
  <c r="G132" i="1"/>
  <c r="H132" i="1"/>
  <c r="I132" i="1"/>
  <c r="J132" i="1"/>
  <c r="K132" i="1"/>
  <c r="L132" i="1"/>
  <c r="C132" i="1"/>
  <c r="J12" i="39"/>
  <c r="I12" i="39"/>
  <c r="H12" i="39"/>
  <c r="G12" i="39"/>
  <c r="F12" i="39"/>
  <c r="E12" i="39"/>
  <c r="D12" i="39"/>
  <c r="C12" i="39"/>
  <c r="B12" i="39"/>
  <c r="B12" i="7"/>
  <c r="K11" i="38" l="1"/>
  <c r="J11" i="38"/>
  <c r="I11" i="38"/>
  <c r="H11" i="38"/>
  <c r="G11" i="38"/>
  <c r="F11" i="38"/>
  <c r="E11" i="38"/>
  <c r="D11" i="38"/>
  <c r="C11" i="38"/>
  <c r="B11" i="38"/>
  <c r="L15" i="1" l="1"/>
  <c r="C12" i="8"/>
  <c r="D12" i="8"/>
  <c r="E12" i="8"/>
  <c r="F12" i="8"/>
  <c r="G12" i="8"/>
  <c r="H12" i="8"/>
  <c r="I12" i="8"/>
  <c r="J12" i="8"/>
  <c r="K12" i="8"/>
  <c r="K12" i="37"/>
  <c r="J12" i="37"/>
  <c r="I12" i="37"/>
  <c r="H12" i="37"/>
  <c r="G12" i="37"/>
  <c r="F12" i="37"/>
  <c r="E12" i="37"/>
  <c r="D12" i="37"/>
  <c r="C12" i="37"/>
  <c r="B12" i="37"/>
  <c r="C178" i="1"/>
  <c r="D178" i="1"/>
  <c r="E178" i="1"/>
  <c r="F178" i="1"/>
  <c r="G178" i="1"/>
  <c r="H178" i="1"/>
  <c r="I178" i="1"/>
  <c r="J178" i="1"/>
  <c r="K178" i="1"/>
  <c r="L178" i="1"/>
  <c r="C170" i="1"/>
  <c r="D170" i="1"/>
  <c r="E170" i="1"/>
  <c r="F170" i="1"/>
  <c r="G170" i="1"/>
  <c r="H170" i="1"/>
  <c r="I170" i="1"/>
  <c r="J170" i="1"/>
  <c r="K170" i="1"/>
  <c r="L170" i="1"/>
  <c r="C155" i="1"/>
  <c r="D155" i="1"/>
  <c r="E155" i="1"/>
  <c r="F155" i="1"/>
  <c r="G155" i="1"/>
  <c r="H155" i="1"/>
  <c r="I155" i="1"/>
  <c r="J155" i="1"/>
  <c r="K155" i="1"/>
  <c r="L155" i="1"/>
  <c r="C148" i="1"/>
  <c r="D148" i="1"/>
  <c r="E148" i="1"/>
  <c r="F148" i="1"/>
  <c r="G148" i="1"/>
  <c r="H148" i="1"/>
  <c r="I148" i="1"/>
  <c r="J148" i="1"/>
  <c r="K148" i="1"/>
  <c r="L148" i="1"/>
  <c r="C141" i="1"/>
  <c r="D141" i="1"/>
  <c r="E141" i="1"/>
  <c r="F141" i="1"/>
  <c r="G141" i="1"/>
  <c r="H141" i="1"/>
  <c r="I141" i="1"/>
  <c r="J141" i="1"/>
  <c r="K141" i="1"/>
  <c r="L141" i="1"/>
  <c r="B141" i="1"/>
  <c r="C128" i="1"/>
  <c r="D128" i="1"/>
  <c r="E128" i="1"/>
  <c r="F128" i="1"/>
  <c r="G128" i="1"/>
  <c r="H128" i="1"/>
  <c r="I128" i="1"/>
  <c r="J128" i="1"/>
  <c r="K128" i="1"/>
  <c r="L128" i="1"/>
  <c r="C120" i="1"/>
  <c r="D120" i="1"/>
  <c r="E120" i="1"/>
  <c r="F120" i="1"/>
  <c r="G120" i="1"/>
  <c r="H120" i="1"/>
  <c r="I120" i="1"/>
  <c r="J120" i="1"/>
  <c r="K120" i="1"/>
  <c r="L120" i="1"/>
  <c r="B120" i="1"/>
  <c r="C115" i="1"/>
  <c r="D115" i="1"/>
  <c r="E115" i="1"/>
  <c r="F115" i="1"/>
  <c r="G115" i="1"/>
  <c r="H115" i="1"/>
  <c r="I115" i="1"/>
  <c r="J115" i="1"/>
  <c r="K115" i="1"/>
  <c r="L115" i="1"/>
  <c r="B115" i="1"/>
  <c r="C110" i="1"/>
  <c r="D110" i="1"/>
  <c r="E110" i="1"/>
  <c r="F110" i="1"/>
  <c r="G110" i="1"/>
  <c r="H110" i="1"/>
  <c r="I110" i="1"/>
  <c r="J110" i="1"/>
  <c r="K110" i="1"/>
  <c r="L110" i="1"/>
  <c r="B110" i="1"/>
  <c r="C103" i="1"/>
  <c r="D103" i="1"/>
  <c r="E103" i="1"/>
  <c r="F103" i="1"/>
  <c r="G103" i="1"/>
  <c r="H103" i="1"/>
  <c r="I103" i="1"/>
  <c r="J103" i="1"/>
  <c r="K103" i="1"/>
  <c r="L103" i="1"/>
  <c r="C97" i="1"/>
  <c r="D97" i="1"/>
  <c r="E97" i="1"/>
  <c r="F97" i="1"/>
  <c r="G97" i="1"/>
  <c r="H97" i="1"/>
  <c r="I97" i="1"/>
  <c r="J97" i="1"/>
  <c r="K97" i="1"/>
  <c r="L97" i="1"/>
  <c r="C88" i="1"/>
  <c r="D88" i="1"/>
  <c r="E88" i="1"/>
  <c r="F88" i="1"/>
  <c r="G88" i="1"/>
  <c r="H88" i="1"/>
  <c r="I88" i="1"/>
  <c r="J88" i="1"/>
  <c r="K88" i="1"/>
  <c r="L88" i="1"/>
  <c r="C81" i="1"/>
  <c r="D81" i="1"/>
  <c r="E81" i="1"/>
  <c r="F81" i="1"/>
  <c r="G81" i="1"/>
  <c r="H81" i="1"/>
  <c r="I81" i="1"/>
  <c r="J81" i="1"/>
  <c r="K81" i="1"/>
  <c r="L81" i="1"/>
  <c r="B81" i="1"/>
  <c r="C73" i="1"/>
  <c r="D73" i="1"/>
  <c r="E73" i="1"/>
  <c r="F73" i="1"/>
  <c r="G73" i="1"/>
  <c r="H73" i="1"/>
  <c r="I73" i="1"/>
  <c r="J73" i="1"/>
  <c r="K73" i="1"/>
  <c r="L73" i="1"/>
  <c r="C66" i="1"/>
  <c r="D66" i="1"/>
  <c r="E66" i="1"/>
  <c r="F66" i="1"/>
  <c r="G66" i="1"/>
  <c r="H66" i="1"/>
  <c r="I66" i="1"/>
  <c r="J66" i="1"/>
  <c r="K66" i="1"/>
  <c r="L66" i="1"/>
  <c r="B66" i="1"/>
  <c r="C59" i="1"/>
  <c r="D59" i="1"/>
  <c r="E59" i="1"/>
  <c r="F59" i="1"/>
  <c r="G59" i="1"/>
  <c r="H59" i="1"/>
  <c r="I59" i="1"/>
  <c r="J59" i="1"/>
  <c r="K59" i="1"/>
  <c r="L59" i="1"/>
  <c r="C52" i="1"/>
  <c r="D52" i="1"/>
  <c r="E52" i="1"/>
  <c r="F52" i="1"/>
  <c r="G52" i="1"/>
  <c r="H52" i="1"/>
  <c r="I52" i="1"/>
  <c r="J52" i="1"/>
  <c r="K52" i="1"/>
  <c r="L52" i="1"/>
  <c r="C46" i="1"/>
  <c r="D46" i="1"/>
  <c r="E46" i="1"/>
  <c r="F46" i="1"/>
  <c r="G46" i="1"/>
  <c r="H46" i="1"/>
  <c r="I46" i="1"/>
  <c r="J46" i="1"/>
  <c r="K46" i="1"/>
  <c r="L46" i="1"/>
  <c r="C29" i="1"/>
  <c r="D29" i="1"/>
  <c r="E29" i="1"/>
  <c r="F29" i="1"/>
  <c r="G29" i="1"/>
  <c r="H29" i="1"/>
  <c r="I29" i="1"/>
  <c r="J29" i="1"/>
  <c r="K29" i="1"/>
  <c r="L29" i="1"/>
  <c r="C21" i="1"/>
  <c r="D21" i="1"/>
  <c r="E21" i="1"/>
  <c r="F21" i="1"/>
  <c r="G21" i="1"/>
  <c r="H21" i="1"/>
  <c r="I21" i="1"/>
  <c r="J21" i="1"/>
  <c r="K21" i="1"/>
  <c r="L21" i="1"/>
  <c r="B21" i="1"/>
  <c r="C15" i="1"/>
  <c r="D15" i="1"/>
  <c r="E15" i="1"/>
  <c r="F15" i="1"/>
  <c r="G15" i="1"/>
  <c r="H15" i="1"/>
  <c r="I15" i="1"/>
  <c r="J15" i="1"/>
  <c r="K15" i="1"/>
  <c r="B15" i="1"/>
  <c r="C36" i="1"/>
  <c r="D36" i="1"/>
  <c r="E36" i="1"/>
  <c r="F36" i="1"/>
  <c r="G36" i="1"/>
  <c r="H36" i="1"/>
  <c r="I36" i="1"/>
  <c r="J36" i="1"/>
  <c r="K36" i="1"/>
  <c r="L36" i="1"/>
  <c r="B36" i="1"/>
  <c r="M14" i="31"/>
  <c r="J14" i="31"/>
  <c r="I14" i="31"/>
  <c r="H14" i="31"/>
  <c r="G14" i="31"/>
  <c r="F14" i="31"/>
  <c r="E14" i="31"/>
  <c r="D14" i="31"/>
  <c r="C14" i="31"/>
  <c r="B14" i="31"/>
  <c r="L19" i="30"/>
  <c r="J19" i="30"/>
  <c r="I19" i="30"/>
  <c r="H19" i="30"/>
  <c r="G19" i="30"/>
  <c r="F19" i="30"/>
  <c r="E19" i="30"/>
  <c r="D19" i="30"/>
  <c r="C19" i="30"/>
  <c r="B19" i="30"/>
  <c r="K13" i="26"/>
  <c r="J13" i="26"/>
  <c r="I13" i="26"/>
  <c r="H13" i="26"/>
  <c r="G13" i="26"/>
  <c r="F13" i="26"/>
  <c r="E13" i="26"/>
  <c r="D13" i="26"/>
  <c r="C13" i="26"/>
  <c r="B13" i="26"/>
  <c r="K12" i="23"/>
  <c r="J12" i="23"/>
  <c r="I12" i="23"/>
  <c r="H12" i="23"/>
  <c r="G12" i="23"/>
  <c r="F12" i="23"/>
  <c r="E12" i="23"/>
  <c r="D12" i="23"/>
  <c r="C12" i="23"/>
  <c r="B12" i="23"/>
  <c r="K30" i="21"/>
  <c r="J30" i="21"/>
  <c r="I30" i="21"/>
  <c r="H30" i="21"/>
  <c r="G30" i="21"/>
  <c r="F30" i="21"/>
  <c r="E30" i="21"/>
  <c r="D30" i="21"/>
  <c r="C30" i="21"/>
  <c r="B30" i="21"/>
  <c r="K16" i="16"/>
  <c r="J16" i="16"/>
  <c r="I16" i="16"/>
  <c r="H16" i="16"/>
  <c r="G16" i="16"/>
  <c r="F16" i="16"/>
  <c r="E16" i="16"/>
  <c r="D16" i="16"/>
  <c r="C16" i="16"/>
  <c r="B16" i="16"/>
  <c r="B12" i="8"/>
  <c r="B15" i="5"/>
  <c r="L181" i="1" l="1"/>
  <c r="K181" i="1"/>
  <c r="J181" i="1"/>
  <c r="I181" i="1"/>
  <c r="H181" i="1"/>
  <c r="G181" i="1"/>
  <c r="F181" i="1"/>
  <c r="E181" i="1"/>
  <c r="D181" i="1"/>
  <c r="C181" i="1"/>
  <c r="B181" i="1"/>
  <c r="B178" i="1"/>
  <c r="B170" i="1"/>
  <c r="L158" i="1"/>
  <c r="K158" i="1"/>
  <c r="J158" i="1"/>
  <c r="I158" i="1"/>
  <c r="H158" i="1"/>
  <c r="G158" i="1"/>
  <c r="F158" i="1"/>
  <c r="E158" i="1"/>
  <c r="D158" i="1"/>
  <c r="C158" i="1"/>
  <c r="B155" i="1"/>
  <c r="B148" i="1"/>
  <c r="B128" i="1"/>
  <c r="B103" i="1"/>
  <c r="B97" i="1"/>
  <c r="B88" i="1"/>
  <c r="B73" i="1"/>
  <c r="B59" i="1"/>
  <c r="B52" i="1"/>
  <c r="B46" i="1"/>
  <c r="B29" i="1"/>
</calcChain>
</file>

<file path=xl/sharedStrings.xml><?xml version="1.0" encoding="utf-8"?>
<sst xmlns="http://schemas.openxmlformats.org/spreadsheetml/2006/main" count="1543" uniqueCount="298">
  <si>
    <t>ARIAS GONZALO</t>
  </si>
  <si>
    <t>BORCEGOS</t>
  </si>
  <si>
    <t>REMERAS</t>
  </si>
  <si>
    <t>CAMPERON</t>
  </si>
  <si>
    <t>CHOMBAS</t>
  </si>
  <si>
    <t xml:space="preserve">CAMPERA </t>
  </si>
  <si>
    <t>MOCHILA</t>
  </si>
  <si>
    <t>BUZO</t>
  </si>
  <si>
    <t>PANTALON</t>
  </si>
  <si>
    <t>BERMUDA</t>
  </si>
  <si>
    <t>GORRA</t>
  </si>
  <si>
    <t>PROT. LUMBAR</t>
  </si>
  <si>
    <t>FECHA</t>
  </si>
  <si>
    <t>S/FECHA</t>
  </si>
  <si>
    <t>TOTAL</t>
  </si>
  <si>
    <t>BIBILONI NICOLAS</t>
  </si>
  <si>
    <t>CHECA JONA</t>
  </si>
  <si>
    <t>DIAZ MILTON</t>
  </si>
  <si>
    <t>S/F</t>
  </si>
  <si>
    <t>FLORES NESTOR</t>
  </si>
  <si>
    <t>FLORES DARIO</t>
  </si>
  <si>
    <t>FLORES MATIAS</t>
  </si>
  <si>
    <t>GARCIA ROBERTO</t>
  </si>
  <si>
    <t>HERRERA LORENA</t>
  </si>
  <si>
    <t>MACHADO GERARDO</t>
  </si>
  <si>
    <t>NAVARRO LEANDRO</t>
  </si>
  <si>
    <t>OCHOA ENZO</t>
  </si>
  <si>
    <t>OLIVETTO ANDREA</t>
  </si>
  <si>
    <t>ONTIVERO MAYRA</t>
  </si>
  <si>
    <t>ORTOLONIS PATRICIO</t>
  </si>
  <si>
    <t>RODRIGUEZ MANUEL</t>
  </si>
  <si>
    <t xml:space="preserve"> </t>
  </si>
  <si>
    <t>SANTILLAN DAMIAN</t>
  </si>
  <si>
    <t>SOSA FABRIZIO</t>
  </si>
  <si>
    <t>VALDIVIA JAZMIN</t>
  </si>
  <si>
    <t>VALENCIA MANUEL</t>
  </si>
  <si>
    <t>VELEZ TONI</t>
  </si>
  <si>
    <t xml:space="preserve">VESSONI JUAN </t>
  </si>
  <si>
    <t>ZAMBRANO MERCEDES</t>
  </si>
  <si>
    <t>ENTREGA DE UNIFORMES</t>
  </si>
  <si>
    <t>06/06/2024 REVISION</t>
  </si>
  <si>
    <t>CELIZ DENIS</t>
  </si>
  <si>
    <t>LANGOSTURA 2023</t>
  </si>
  <si>
    <t>FUNCIONAL</t>
  </si>
  <si>
    <t>CHECA JONATHAN</t>
  </si>
  <si>
    <t>OMBU OZONO</t>
  </si>
  <si>
    <t>ADMINISTRACION</t>
  </si>
  <si>
    <t>ORTOLANIS PATRICIO</t>
  </si>
  <si>
    <t>RODRIGUEZ MANOLO</t>
  </si>
  <si>
    <t>PROTECTOR LUMBAR</t>
  </si>
  <si>
    <t>GUANTES SOLDAR</t>
  </si>
  <si>
    <t>DELANTAL SOLDAR</t>
  </si>
  <si>
    <t>VELEZ ANTONIO</t>
  </si>
  <si>
    <t>VESSONI JUAN MATIAS</t>
  </si>
  <si>
    <t>MARTINEZ MIGUEL</t>
  </si>
  <si>
    <t>MORA GABRIEL</t>
  </si>
  <si>
    <t>CEBALLOS FACUNDO</t>
  </si>
  <si>
    <t>ALTAMIRANO AGUSTIN</t>
  </si>
  <si>
    <t>DESTEFANIS MAURICIO</t>
  </si>
  <si>
    <t>ROMERO TOMAS</t>
  </si>
  <si>
    <t>ENJOY</t>
  </si>
  <si>
    <t>UNIFORMES_PLANTA ESTABLE_ JUNIO 2024</t>
  </si>
  <si>
    <t>AGUIRRE DAVID</t>
  </si>
  <si>
    <t>SALERNO VERONICA</t>
  </si>
  <si>
    <t>DESTRUCCION TOTAL</t>
  </si>
  <si>
    <t>11/07/2024 REVISION</t>
  </si>
  <si>
    <t>ATT</t>
  </si>
  <si>
    <t>OMBU</t>
  </si>
  <si>
    <t>USADO</t>
  </si>
  <si>
    <t>COMPRA POR WEB</t>
  </si>
  <si>
    <t>ATT/ USADA</t>
  </si>
  <si>
    <t>19/08/2024 REVISION</t>
  </si>
  <si>
    <t>GUANTES MULTIFLEX</t>
  </si>
  <si>
    <t>N°</t>
  </si>
  <si>
    <r>
      <rPr>
        <b/>
        <sz val="11"/>
        <rFont val="Calibri"/>
        <family val="2"/>
      </rPr>
      <t>APELLIDO Y NOMBRE</t>
    </r>
  </si>
  <si>
    <r>
      <rPr>
        <b/>
        <sz val="11"/>
        <rFont val="Calibri"/>
        <family val="2"/>
      </rPr>
      <t>APODO</t>
    </r>
  </si>
  <si>
    <t>REMERA</t>
  </si>
  <si>
    <t>CHOMBA</t>
  </si>
  <si>
    <t>CAMPERA</t>
  </si>
  <si>
    <r>
      <rPr>
        <sz val="11"/>
        <rFont val="Calibri"/>
        <family val="2"/>
      </rPr>
      <t>ALTAMIRANO RODRIGO AGUSTIN</t>
    </r>
  </si>
  <si>
    <r>
      <rPr>
        <b/>
        <sz val="11"/>
        <rFont val="Calibri"/>
        <family val="2"/>
      </rPr>
      <t>AGUSTIN</t>
    </r>
  </si>
  <si>
    <r>
      <rPr>
        <sz val="11"/>
        <rFont val="Calibri"/>
        <family val="2"/>
      </rPr>
      <t>DIAZ MILTON JONATHAN</t>
    </r>
  </si>
  <si>
    <r>
      <rPr>
        <b/>
        <sz val="11"/>
        <rFont val="Calibri"/>
        <family val="2"/>
      </rPr>
      <t>MILTON</t>
    </r>
  </si>
  <si>
    <r>
      <rPr>
        <sz val="11"/>
        <rFont val="Calibri"/>
        <family val="2"/>
      </rPr>
      <t>NAVARRO EZEQUIEL LEANDRO</t>
    </r>
  </si>
  <si>
    <r>
      <rPr>
        <b/>
        <sz val="11"/>
        <rFont val="Calibri"/>
        <family val="2"/>
      </rPr>
      <t>ALEMAN</t>
    </r>
  </si>
  <si>
    <r>
      <rPr>
        <sz val="11"/>
        <rFont val="Calibri"/>
        <family val="2"/>
      </rPr>
      <t>ARIAS GONZALO DANIEL</t>
    </r>
  </si>
  <si>
    <t>GONZALO (N)</t>
  </si>
  <si>
    <r>
      <rPr>
        <sz val="11"/>
        <rFont val="Calibri"/>
        <family val="2"/>
      </rPr>
      <t>CELIS DENIS</t>
    </r>
  </si>
  <si>
    <r>
      <rPr>
        <b/>
        <sz val="11"/>
        <rFont val="Calibri"/>
        <family val="2"/>
      </rPr>
      <t>FAUSTO</t>
    </r>
  </si>
  <si>
    <t>JONA</t>
  </si>
  <si>
    <t>FLORES MATIAS ALEJANDRO</t>
  </si>
  <si>
    <t>MATIAS (N)</t>
  </si>
  <si>
    <r>
      <rPr>
        <sz val="11"/>
        <rFont val="Calibri"/>
        <family val="2"/>
      </rPr>
      <t>FLORES NESTOR RAMON</t>
    </r>
  </si>
  <si>
    <t>NESTOR (N)</t>
  </si>
  <si>
    <r>
      <rPr>
        <sz val="11"/>
        <rFont val="Calibri"/>
        <family val="2"/>
      </rPr>
      <t>GARCIA MALDONADO ROBERTO</t>
    </r>
  </si>
  <si>
    <r>
      <rPr>
        <b/>
        <sz val="11"/>
        <rFont val="Calibri"/>
        <family val="2"/>
      </rPr>
      <t>ROBERTO</t>
    </r>
  </si>
  <si>
    <r>
      <rPr>
        <sz val="11"/>
        <rFont val="Calibri"/>
        <family val="2"/>
      </rPr>
      <t>HERRERA LORENA</t>
    </r>
  </si>
  <si>
    <r>
      <rPr>
        <b/>
        <sz val="11"/>
        <rFont val="Calibri"/>
        <family val="2"/>
      </rPr>
      <t>LORE</t>
    </r>
  </si>
  <si>
    <r>
      <rPr>
        <sz val="11"/>
        <rFont val="Calibri"/>
        <family val="2"/>
      </rPr>
      <t>MACHADO RAMALLO GERARDO</t>
    </r>
  </si>
  <si>
    <r>
      <rPr>
        <b/>
        <sz val="11"/>
        <rFont val="Calibri"/>
        <family val="2"/>
      </rPr>
      <t>GERARDO</t>
    </r>
  </si>
  <si>
    <r>
      <rPr>
        <sz val="11"/>
        <rFont val="Calibri"/>
        <family val="2"/>
      </rPr>
      <t>OCHOA ENZO JEREMIAS</t>
    </r>
  </si>
  <si>
    <t>ENZO (N)</t>
  </si>
  <si>
    <r>
      <rPr>
        <sz val="11"/>
        <rFont val="Calibri"/>
        <family val="2"/>
      </rPr>
      <t>OLIVETTO ANDREA</t>
    </r>
  </si>
  <si>
    <r>
      <rPr>
        <b/>
        <sz val="11"/>
        <rFont val="Calibri"/>
        <family val="2"/>
      </rPr>
      <t>ANDRE</t>
    </r>
  </si>
  <si>
    <r>
      <rPr>
        <sz val="11"/>
        <rFont val="Calibri"/>
        <family val="2"/>
      </rPr>
      <t>ORTOLANIS PATRICIO AGUSTIN</t>
    </r>
  </si>
  <si>
    <t>PATRICIO (N)</t>
  </si>
  <si>
    <r>
      <rPr>
        <sz val="11"/>
        <rFont val="Calibri"/>
        <family val="2"/>
      </rPr>
      <t>RODRIGUEZ MANUEL ANGEL</t>
    </r>
  </si>
  <si>
    <r>
      <rPr>
        <b/>
        <sz val="11"/>
        <rFont val="Calibri"/>
        <family val="2"/>
      </rPr>
      <t>MANOLO</t>
    </r>
  </si>
  <si>
    <t>VECKY</t>
  </si>
  <si>
    <r>
      <rPr>
        <sz val="11"/>
        <rFont val="Calibri"/>
        <family val="2"/>
      </rPr>
      <t>SANTILLAN DAMIAN</t>
    </r>
  </si>
  <si>
    <r>
      <rPr>
        <b/>
        <sz val="11"/>
        <rFont val="Calibri"/>
        <family val="2"/>
      </rPr>
      <t>POLA</t>
    </r>
  </si>
  <si>
    <t>CHARA</t>
  </si>
  <si>
    <t>JAZ</t>
  </si>
  <si>
    <r>
      <rPr>
        <sz val="11"/>
        <rFont val="Calibri"/>
        <family val="2"/>
      </rPr>
      <t>VELEZ ANTONIO</t>
    </r>
  </si>
  <si>
    <r>
      <rPr>
        <b/>
        <sz val="11"/>
        <rFont val="Calibri"/>
        <family val="2"/>
      </rPr>
      <t>TONY</t>
    </r>
  </si>
  <si>
    <t>CEBALLOS IBAÑEZ FACUNDO</t>
  </si>
  <si>
    <t>FACU C.</t>
  </si>
  <si>
    <t>DAVID</t>
  </si>
  <si>
    <t>BORCEGO</t>
  </si>
  <si>
    <t>NICO</t>
  </si>
  <si>
    <t>MIGUEL</t>
  </si>
  <si>
    <t>GABI</t>
  </si>
  <si>
    <t>MAY</t>
  </si>
  <si>
    <t>FURIA</t>
  </si>
  <si>
    <t>09/10/2024 REVISION</t>
  </si>
  <si>
    <t>9/10/2024 REVISION</t>
  </si>
  <si>
    <t>CASCO</t>
  </si>
  <si>
    <t>SAMUEL FLORES</t>
  </si>
  <si>
    <t>MARTILLO LAYGHER C/PORTA MARTILLO</t>
  </si>
  <si>
    <t>06/10/2024 REVISION</t>
  </si>
  <si>
    <t>7/11/2024 REVISION</t>
  </si>
  <si>
    <t>x/08/2024</t>
  </si>
  <si>
    <t>PAMPERO</t>
  </si>
  <si>
    <t>VERA ELIZABETH</t>
  </si>
  <si>
    <t>MARTILLO LAYGHER</t>
  </si>
  <si>
    <t>MORENO FRANCO</t>
  </si>
  <si>
    <t>SANCHEZ RODRIGO</t>
  </si>
  <si>
    <t>OLIVA DIEGO</t>
  </si>
  <si>
    <t xml:space="preserve"> REVISION</t>
  </si>
  <si>
    <t>16/1/2025 REVISION</t>
  </si>
  <si>
    <t>SIMONSEN FABIAN</t>
  </si>
  <si>
    <t>RODRIGUEZ URIEL</t>
  </si>
  <si>
    <t>AGUIRRE DAVID_ DEVOLVIO</t>
  </si>
  <si>
    <t>LOPEZ MARIO</t>
  </si>
  <si>
    <t>1 CINTA METRICA 3MTS 22/1/2025</t>
  </si>
  <si>
    <t>att</t>
  </si>
  <si>
    <t>FARIAS TOMAS</t>
  </si>
  <si>
    <t>31/3/2025 REVISION</t>
  </si>
  <si>
    <t>4/4/2025 REVISION</t>
  </si>
  <si>
    <t>CARRIZO CARLOS</t>
  </si>
  <si>
    <t>DIAZ DYLAN</t>
  </si>
  <si>
    <t>ARNES</t>
  </si>
  <si>
    <t>1 cola mono simple</t>
  </si>
  <si>
    <t>4/4/2025 DEVOLVIO</t>
  </si>
  <si>
    <t>MARIO</t>
  </si>
  <si>
    <t>MECHI</t>
  </si>
  <si>
    <t>OBSERVACION</t>
  </si>
  <si>
    <t>Fecha entrega BORCEGOS</t>
  </si>
  <si>
    <t>CARLOS</t>
  </si>
  <si>
    <t>Guante y delantar p/soldar</t>
  </si>
  <si>
    <t>PALMER</t>
  </si>
  <si>
    <t>Martillo Layher</t>
  </si>
  <si>
    <t>s/fecha</t>
  </si>
  <si>
    <t>18/2 y 13/3</t>
  </si>
  <si>
    <t>ELI</t>
  </si>
  <si>
    <t>DYLAN</t>
  </si>
  <si>
    <t>URI</t>
  </si>
  <si>
    <t>MARTILLO LAYHER</t>
  </si>
  <si>
    <t>2/5 Y 4/10/24</t>
  </si>
  <si>
    <t>S/Fecha //Casco/martillo</t>
  </si>
  <si>
    <t>4/6 y 14/10 CASCO/MARTILLO</t>
  </si>
  <si>
    <t>20/6 y 28/10/24</t>
  </si>
  <si>
    <t>guantes y delantal p/soldar</t>
  </si>
  <si>
    <t>10/6 y 20/6/24</t>
  </si>
  <si>
    <t>FRANCO</t>
  </si>
  <si>
    <t>CASTILLO MIGUEL</t>
  </si>
  <si>
    <t>RUSO URIEL</t>
  </si>
  <si>
    <t>FABIAN</t>
  </si>
  <si>
    <t>MORAS</t>
  </si>
  <si>
    <t>BRUJAS</t>
  </si>
  <si>
    <t>REMERA ESTRUCTURAS</t>
  </si>
  <si>
    <t>TOMAS</t>
  </si>
  <si>
    <t>URIEL</t>
  </si>
  <si>
    <t>ABEL (HIJO DAVID)</t>
  </si>
  <si>
    <t>FLORES SAMUEL</t>
  </si>
  <si>
    <t xml:space="preserve">FLORES DARIO SERGIO </t>
  </si>
  <si>
    <t>DARIO (N)</t>
  </si>
  <si>
    <t>MANU</t>
  </si>
  <si>
    <t>PALACIOS ELIAS</t>
  </si>
  <si>
    <t>ELIAS</t>
  </si>
  <si>
    <t>SOSA ALEXIS</t>
  </si>
  <si>
    <t>ORONA DYLAN</t>
  </si>
  <si>
    <t>OVIEDO BENJAMIN</t>
  </si>
  <si>
    <t>IGNACIO SALAZAR</t>
  </si>
  <si>
    <t>GOMEZ ESTEBAN</t>
  </si>
  <si>
    <t>DIAZ JONATHAN</t>
  </si>
  <si>
    <t>DEVOLVIO</t>
  </si>
  <si>
    <t>NO DEVOLVIO</t>
  </si>
  <si>
    <t>SANTILLAN RAFAEL</t>
  </si>
  <si>
    <t>RAFA</t>
  </si>
  <si>
    <t>FAUSTITO</t>
  </si>
  <si>
    <t>FERNANDEZ GUSTAVO</t>
  </si>
  <si>
    <t>LESCANO CARLOS</t>
  </si>
  <si>
    <t>ALMADA EDUARDO</t>
  </si>
  <si>
    <t>BARRIONUEVO ANTONIO</t>
  </si>
  <si>
    <t>FOFI</t>
  </si>
  <si>
    <t>ABEL</t>
  </si>
  <si>
    <t>ROTUNNO LUCAS</t>
  </si>
  <si>
    <t>20/05/2025 REVISION</t>
  </si>
  <si>
    <t>04/06/2025 REVISION</t>
  </si>
  <si>
    <t>1 arnes s/cola de mono</t>
  </si>
  <si>
    <t>10/6/2025 REVISION</t>
  </si>
  <si>
    <t>1/7/2025 REVISION</t>
  </si>
  <si>
    <t>16/6 utensilios cocina varios</t>
  </si>
  <si>
    <t>No quizo OMBU</t>
  </si>
  <si>
    <t>AZNAL MANUEL (Faustera)</t>
  </si>
  <si>
    <t>usado</t>
  </si>
  <si>
    <t>RODRIGUEZ LEONEL (Faustera)</t>
  </si>
  <si>
    <t>SINIANI FRANCO (Faustera)</t>
  </si>
  <si>
    <t>GASCO BENJAMIN</t>
  </si>
  <si>
    <t>ROMERO LISANDRO</t>
  </si>
  <si>
    <t>FERNANDEZ RODRIGO (CHOLI)</t>
  </si>
  <si>
    <t xml:space="preserve"> 02/7/2025REVISION</t>
  </si>
  <si>
    <t>MUT MATIAS</t>
  </si>
  <si>
    <t>2/7/2025 REVISION</t>
  </si>
  <si>
    <t>24/09/2025 REVISION</t>
  </si>
  <si>
    <t>DARIO FLORES</t>
  </si>
  <si>
    <t xml:space="preserve"> REVISION 19/12/2025</t>
  </si>
  <si>
    <t>26/12/2025 REVISION</t>
  </si>
  <si>
    <t>13/01/2026 REVISION</t>
  </si>
  <si>
    <t>CANTIDAD</t>
  </si>
  <si>
    <t>DETALLE</t>
  </si>
  <si>
    <t>PRECIO UNIDAD</t>
  </si>
  <si>
    <t>Total</t>
  </si>
  <si>
    <t>/2/2026</t>
  </si>
  <si>
    <t>BIBILONI SANTIAGO</t>
  </si>
  <si>
    <t>ZAPA BOTCAT</t>
  </si>
  <si>
    <t>CATALANO GONZALO</t>
  </si>
  <si>
    <t>MARTILLO LAYGER</t>
  </si>
  <si>
    <t>DEVOLUCION 12/02/2026</t>
  </si>
  <si>
    <t>3 PANTALONES</t>
  </si>
  <si>
    <t>ESTRUCTURAS</t>
  </si>
  <si>
    <t>LEDESMA LUIS</t>
  </si>
  <si>
    <t>X/2/2026</t>
  </si>
  <si>
    <t>PONCE ALEJANDRO</t>
  </si>
  <si>
    <t>X/11/2025</t>
  </si>
  <si>
    <t>PEREZ JOSE LUIS (PEPO)</t>
  </si>
  <si>
    <t>BOTCAT</t>
  </si>
  <si>
    <t>X/10/2025</t>
  </si>
  <si>
    <t>X/X/2025</t>
  </si>
  <si>
    <t xml:space="preserve"> REVISION 26/2/26</t>
  </si>
  <si>
    <t xml:space="preserve"> REVISION 12/03/2026</t>
  </si>
  <si>
    <t>12/3/2026 REVISION</t>
  </si>
  <si>
    <t>12/03/2026 REVISION</t>
  </si>
  <si>
    <t>BARILOCHE</t>
  </si>
  <si>
    <t>GOMEZ FLORENCIA</t>
  </si>
  <si>
    <t>LABORAL</t>
  </si>
  <si>
    <t>CAMPERA ROBARON KEMPES</t>
  </si>
  <si>
    <t>1 ESTRUCTURA</t>
  </si>
  <si>
    <t>ESTRUCTURA</t>
  </si>
  <si>
    <t>PUCHETA DAVID (BICHITO)</t>
  </si>
  <si>
    <t>13/04/2026 REVISION</t>
  </si>
  <si>
    <t>13/4/2026 REVISION</t>
  </si>
  <si>
    <t>ITEM</t>
  </si>
  <si>
    <t>DESCRIPCION</t>
  </si>
  <si>
    <t>UNIFORME</t>
  </si>
  <si>
    <t>ESTADO</t>
  </si>
  <si>
    <t>PENDIENTE</t>
  </si>
  <si>
    <t>LLAVES CASA</t>
  </si>
  <si>
    <t>ANVIL TECNICO</t>
  </si>
  <si>
    <t>X/3/2026</t>
  </si>
  <si>
    <t>Circular</t>
  </si>
  <si>
    <t>Anvil</t>
  </si>
  <si>
    <t>Alicate</t>
  </si>
  <si>
    <t xml:space="preserve">Pinza </t>
  </si>
  <si>
    <t xml:space="preserve">Tenaza </t>
  </si>
  <si>
    <t xml:space="preserve">Atornilladora </t>
  </si>
  <si>
    <t xml:space="preserve"> Francesa</t>
  </si>
  <si>
    <t>Llaves numero 19</t>
  </si>
  <si>
    <t>Llaves número 22</t>
  </si>
  <si>
    <t>CAJA HERREMIENTA: Mora Gabriel</t>
  </si>
  <si>
    <t>Dormitorio</t>
  </si>
  <si>
    <r>
      <t xml:space="preserve">DETALLE PARA DEVOLUCION: </t>
    </r>
    <r>
      <rPr>
        <b/>
        <sz val="12"/>
        <color rgb="FF000000"/>
        <rFont val="Calibri"/>
        <family val="2"/>
      </rPr>
      <t>MORA GABRIEL</t>
    </r>
  </si>
  <si>
    <t>X</t>
  </si>
  <si>
    <t>ROBARON CAMPERON</t>
  </si>
  <si>
    <t>X/X/26</t>
  </si>
  <si>
    <t>07/08/2026 REVISION</t>
  </si>
  <si>
    <t xml:space="preserve"> REVISION 28/08/2026</t>
  </si>
  <si>
    <t xml:space="preserve"> REVISION 28/8/2026</t>
  </si>
  <si>
    <t>28/8/2026 REVISION</t>
  </si>
  <si>
    <t>28/08/2026 REVISION</t>
  </si>
  <si>
    <t>DPS</t>
  </si>
  <si>
    <t xml:space="preserve"> 28/8/2026 REVISION</t>
  </si>
  <si>
    <t>LABORAL/DEVOLVIO</t>
  </si>
  <si>
    <t>DPS/ ESTRUCTURAS</t>
  </si>
  <si>
    <t>PORTA HERRAMIENTAS SEGURIDAD DELTAPLUS</t>
  </si>
  <si>
    <t>VARIOS</t>
  </si>
  <si>
    <t>ARNES C/DOBLE COLA BRALT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</si>
</sst>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\-yy"/>
  </numFmts>
  <fonts count="36" x14ac:knownFonts="1">
    <font>
      <sz val="10"/>
      <color rgb="FF000000"/>
      <name val="Aptos Narrow"/>
      <scheme val="minor"/>
    </font>
    <font>
      <sz val="10"/>
      <color theme="1"/>
      <name val="Nunito"/>
    </font>
    <font>
      <sz val="10"/>
      <name val="Arial"/>
      <family val="2"/>
    </font>
    <font>
      <b/>
      <sz val="10"/>
      <color theme="1"/>
      <name val="Nunito"/>
    </font>
    <font>
      <b/>
      <sz val="10"/>
      <name val="Arial"/>
      <family val="2"/>
    </font>
    <font>
      <b/>
      <sz val="10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20"/>
      <color rgb="FFD5DF00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8"/>
      <color theme="1"/>
      <name val="Nunito"/>
    </font>
    <font>
      <sz val="10"/>
      <color rgb="FF000000"/>
      <name val="Aptos Narrow"/>
      <family val="2"/>
      <scheme val="minor"/>
    </font>
    <font>
      <b/>
      <sz val="9"/>
      <color theme="1"/>
      <name val="Nunito"/>
    </font>
    <font>
      <sz val="9"/>
      <color theme="1"/>
      <name val="Nunito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6"/>
      <color theme="0"/>
      <name val="Calibri"/>
      <family val="2"/>
    </font>
    <font>
      <b/>
      <sz val="8"/>
      <color theme="1"/>
      <name val="Nunito"/>
    </font>
    <font>
      <sz val="8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9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9"/>
      <color rgb="FF000000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C9DAF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5233E"/>
        <bgColor rgb="FF15233E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theme="0"/>
        <bgColor rgb="FFC9DAF8"/>
      </patternFill>
    </fill>
    <fill>
      <patternFill patternType="solid">
        <fgColor theme="2" tint="-9.9978637043366805E-2"/>
        <bgColor rgb="FFC9DAF8"/>
      </patternFill>
    </fill>
    <fill>
      <patternFill patternType="solid">
        <fgColor theme="9" tint="0.59999389629810485"/>
        <bgColor rgb="FFC9DAF8"/>
      </patternFill>
    </fill>
    <fill>
      <patternFill patternType="solid">
        <fgColor theme="4" tint="0.39997558519241921"/>
        <bgColor rgb="FFC9DAF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C9DAF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2" fillId="0" borderId="0"/>
    <xf numFmtId="0" fontId="15" fillId="0" borderId="0"/>
  </cellStyleXfs>
  <cellXfs count="334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5" borderId="0" xfId="0" applyFont="1" applyFill="1"/>
    <xf numFmtId="164" fontId="1" fillId="5" borderId="0" xfId="0" applyNumberFormat="1" applyFont="1" applyFill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164" fontId="3" fillId="8" borderId="10" xfId="0" applyNumberFormat="1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7" fillId="0" borderId="0" xfId="0" applyFont="1"/>
    <xf numFmtId="14" fontId="11" fillId="11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4" fillId="4" borderId="20" xfId="0" applyFont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14" fontId="1" fillId="0" borderId="26" xfId="0" applyNumberFormat="1" applyFont="1" applyBorder="1" applyAlignment="1">
      <alignment horizontal="center" vertical="center"/>
    </xf>
    <xf numFmtId="14" fontId="1" fillId="0" borderId="28" xfId="0" applyNumberFormat="1" applyFont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5" borderId="35" xfId="0" applyFont="1" applyFill="1" applyBorder="1"/>
    <xf numFmtId="0" fontId="1" fillId="7" borderId="0" xfId="0" applyFont="1" applyFill="1" applyAlignment="1">
      <alignment horizontal="center" vertical="center"/>
    </xf>
    <xf numFmtId="164" fontId="1" fillId="5" borderId="36" xfId="0" applyNumberFormat="1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4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14" fontId="1" fillId="0" borderId="45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6" fillId="5" borderId="35" xfId="0" applyFont="1" applyFill="1" applyBorder="1"/>
    <xf numFmtId="164" fontId="1" fillId="0" borderId="26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64" fontId="1" fillId="0" borderId="39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164" fontId="1" fillId="0" borderId="53" xfId="0" applyNumberFormat="1" applyFont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3" borderId="5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" fillId="11" borderId="5" xfId="0" applyFont="1" applyFill="1" applyBorder="1" applyAlignment="1">
      <alignment horizontal="center" vertical="center"/>
    </xf>
    <xf numFmtId="164" fontId="1" fillId="11" borderId="5" xfId="0" applyNumberFormat="1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1" borderId="56" xfId="0" applyFont="1" applyFill="1" applyBorder="1" applyAlignment="1">
      <alignment horizontal="center" vertical="center"/>
    </xf>
    <xf numFmtId="0" fontId="1" fillId="11" borderId="54" xfId="0" applyFont="1" applyFill="1" applyBorder="1" applyAlignment="1">
      <alignment horizontal="center" vertical="center"/>
    </xf>
    <xf numFmtId="164" fontId="1" fillId="11" borderId="54" xfId="0" applyNumberFormat="1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vertical="center"/>
    </xf>
    <xf numFmtId="0" fontId="3" fillId="15" borderId="4" xfId="0" applyFont="1" applyFill="1" applyBorder="1" applyAlignment="1">
      <alignment vertical="center"/>
    </xf>
    <xf numFmtId="0" fontId="3" fillId="15" borderId="58" xfId="0" applyFont="1" applyFill="1" applyBorder="1" applyAlignment="1">
      <alignment horizontal="center" vertical="center"/>
    </xf>
    <xf numFmtId="0" fontId="3" fillId="15" borderId="5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vertical="center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 wrapText="1"/>
    </xf>
    <xf numFmtId="0" fontId="3" fillId="16" borderId="55" xfId="0" applyFont="1" applyFill="1" applyBorder="1" applyAlignment="1">
      <alignment horizontal="center" vertical="center"/>
    </xf>
    <xf numFmtId="0" fontId="3" fillId="16" borderId="59" xfId="0" applyFont="1" applyFill="1" applyBorder="1" applyAlignment="1">
      <alignment horizontal="center" vertical="center"/>
    </xf>
    <xf numFmtId="0" fontId="3" fillId="16" borderId="53" xfId="0" applyFont="1" applyFill="1" applyBorder="1" applyAlignment="1">
      <alignment horizontal="center" vertical="center"/>
    </xf>
    <xf numFmtId="0" fontId="1" fillId="14" borderId="34" xfId="0" applyFont="1" applyFill="1" applyBorder="1" applyAlignment="1">
      <alignment horizontal="center" vertical="center"/>
    </xf>
    <xf numFmtId="0" fontId="1" fillId="14" borderId="25" xfId="0" applyFont="1" applyFill="1" applyBorder="1" applyAlignment="1">
      <alignment horizontal="center" vertical="center"/>
    </xf>
    <xf numFmtId="0" fontId="1" fillId="14" borderId="25" xfId="0" applyFont="1" applyFill="1" applyBorder="1" applyAlignment="1">
      <alignment horizontal="center" vertical="center" wrapText="1"/>
    </xf>
    <xf numFmtId="0" fontId="1" fillId="14" borderId="1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 wrapText="1"/>
    </xf>
    <xf numFmtId="0" fontId="1" fillId="14" borderId="28" xfId="0" applyFont="1" applyFill="1" applyBorder="1" applyAlignment="1">
      <alignment horizontal="center" vertical="center"/>
    </xf>
    <xf numFmtId="0" fontId="1" fillId="14" borderId="40" xfId="0" applyFont="1" applyFill="1" applyBorder="1" applyAlignment="1">
      <alignment horizontal="center" vertical="center"/>
    </xf>
    <xf numFmtId="0" fontId="1" fillId="14" borderId="38" xfId="0" applyFont="1" applyFill="1" applyBorder="1" applyAlignment="1">
      <alignment horizontal="center" vertical="center"/>
    </xf>
    <xf numFmtId="0" fontId="1" fillId="14" borderId="38" xfId="0" applyFont="1" applyFill="1" applyBorder="1" applyAlignment="1">
      <alignment horizontal="center" vertical="center" wrapText="1"/>
    </xf>
    <xf numFmtId="0" fontId="1" fillId="14" borderId="39" xfId="0" applyFont="1" applyFill="1" applyBorder="1" applyAlignment="1">
      <alignment horizontal="center" vertical="center"/>
    </xf>
    <xf numFmtId="14" fontId="1" fillId="14" borderId="26" xfId="0" applyNumberFormat="1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14" fontId="1" fillId="0" borderId="54" xfId="0" applyNumberFormat="1" applyFont="1" applyBorder="1" applyAlignment="1">
      <alignment horizontal="center" vertical="center"/>
    </xf>
    <xf numFmtId="14" fontId="3" fillId="8" borderId="10" xfId="0" applyNumberFormat="1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14" fontId="3" fillId="8" borderId="8" xfId="0" applyNumberFormat="1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/>
    </xf>
    <xf numFmtId="14" fontId="3" fillId="18" borderId="10" xfId="0" applyNumberFormat="1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/>
    </xf>
    <xf numFmtId="14" fontId="1" fillId="18" borderId="10" xfId="0" applyNumberFormat="1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/>
    </xf>
    <xf numFmtId="0" fontId="4" fillId="18" borderId="14" xfId="0" applyFont="1" applyFill="1" applyBorder="1" applyAlignment="1">
      <alignment horizontal="center" vertical="center"/>
    </xf>
    <xf numFmtId="164" fontId="3" fillId="18" borderId="10" xfId="0" applyNumberFormat="1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164" fontId="3" fillId="18" borderId="11" xfId="0" applyNumberFormat="1" applyFont="1" applyFill="1" applyBorder="1" applyAlignment="1">
      <alignment horizontal="center" vertical="center"/>
    </xf>
    <xf numFmtId="0" fontId="3" fillId="18" borderId="51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/>
    </xf>
    <xf numFmtId="164" fontId="1" fillId="8" borderId="10" xfId="0" applyNumberFormat="1" applyFont="1" applyFill="1" applyBorder="1" applyAlignment="1">
      <alignment horizontal="center" vertical="center"/>
    </xf>
    <xf numFmtId="0" fontId="3" fillId="8" borderId="51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0" fillId="12" borderId="0" xfId="0" applyFill="1"/>
    <xf numFmtId="0" fontId="12" fillId="12" borderId="0" xfId="0" applyFont="1" applyFill="1"/>
    <xf numFmtId="0" fontId="4" fillId="19" borderId="20" xfId="0" applyFont="1" applyFill="1" applyBorder="1" applyAlignment="1">
      <alignment horizontal="center" vertical="center"/>
    </xf>
    <xf numFmtId="0" fontId="3" fillId="19" borderId="7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0" fontId="3" fillId="3" borderId="62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62" xfId="0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4" fillId="14" borderId="57" xfId="0" applyFont="1" applyFill="1" applyBorder="1" applyAlignment="1">
      <alignment horizontal="center" vertical="center" wrapText="1"/>
    </xf>
    <xf numFmtId="0" fontId="14" fillId="14" borderId="5" xfId="0" applyFont="1" applyFill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 wrapText="1"/>
    </xf>
    <xf numFmtId="0" fontId="13" fillId="3" borderId="67" xfId="0" applyFont="1" applyFill="1" applyBorder="1" applyAlignment="1">
      <alignment horizontal="center" vertical="center" wrapText="1"/>
    </xf>
    <xf numFmtId="0" fontId="13" fillId="3" borderId="68" xfId="0" applyFont="1" applyFill="1" applyBorder="1" applyAlignment="1">
      <alignment horizontal="center" vertical="center" wrapText="1"/>
    </xf>
    <xf numFmtId="0" fontId="15" fillId="0" borderId="5" xfId="2" applyBorder="1" applyAlignment="1">
      <alignment horizontal="left" vertical="top"/>
    </xf>
    <xf numFmtId="0" fontId="15" fillId="0" borderId="0" xfId="2" applyAlignment="1">
      <alignment horizontal="left" vertical="top"/>
    </xf>
    <xf numFmtId="0" fontId="20" fillId="0" borderId="5" xfId="2" applyFont="1" applyBorder="1" applyAlignment="1">
      <alignment horizontal="center" vertical="center"/>
    </xf>
    <xf numFmtId="0" fontId="21" fillId="0" borderId="5" xfId="2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6" fillId="0" borderId="0" xfId="2" applyFont="1" applyAlignment="1">
      <alignment horizontal="left" vertical="top"/>
    </xf>
    <xf numFmtId="0" fontId="23" fillId="0" borderId="5" xfId="2" applyFont="1" applyBorder="1" applyAlignment="1">
      <alignment horizontal="center" vertical="center"/>
    </xf>
    <xf numFmtId="0" fontId="23" fillId="0" borderId="5" xfId="2" applyFont="1" applyBorder="1" applyAlignment="1">
      <alignment horizontal="center" vertical="center" wrapText="1"/>
    </xf>
    <xf numFmtId="0" fontId="22" fillId="0" borderId="5" xfId="2" applyFont="1" applyBorder="1" applyAlignment="1">
      <alignment horizontal="center" vertical="center" wrapText="1"/>
    </xf>
    <xf numFmtId="1" fontId="22" fillId="0" borderId="5" xfId="2" applyNumberFormat="1" applyFont="1" applyBorder="1" applyAlignment="1">
      <alignment horizontal="center" vertical="center" wrapText="1"/>
    </xf>
    <xf numFmtId="0" fontId="5" fillId="21" borderId="5" xfId="2" applyFont="1" applyFill="1" applyBorder="1" applyAlignment="1">
      <alignment horizontal="center" vertical="center"/>
    </xf>
    <xf numFmtId="0" fontId="17" fillId="21" borderId="5" xfId="2" applyFont="1" applyFill="1" applyBorder="1" applyAlignment="1">
      <alignment horizontal="center" vertical="center" wrapText="1"/>
    </xf>
    <xf numFmtId="0" fontId="18" fillId="21" borderId="5" xfId="2" applyFont="1" applyFill="1" applyBorder="1" applyAlignment="1">
      <alignment horizontal="center" vertical="center" wrapText="1"/>
    </xf>
    <xf numFmtId="0" fontId="19" fillId="21" borderId="5" xfId="2" applyFont="1" applyFill="1" applyBorder="1" applyAlignment="1">
      <alignment horizontal="center" vertical="center" wrapText="1"/>
    </xf>
    <xf numFmtId="0" fontId="24" fillId="20" borderId="15" xfId="2" applyFont="1" applyFill="1" applyBorder="1" applyAlignment="1">
      <alignment horizontal="center" vertical="center"/>
    </xf>
    <xf numFmtId="0" fontId="17" fillId="20" borderId="5" xfId="2" applyFont="1" applyFill="1" applyBorder="1" applyAlignment="1">
      <alignment horizontal="center" vertical="center" wrapText="1"/>
    </xf>
    <xf numFmtId="0" fontId="25" fillId="20" borderId="5" xfId="2" applyFont="1" applyFill="1" applyBorder="1" applyAlignment="1">
      <alignment horizontal="center" vertical="center"/>
    </xf>
    <xf numFmtId="1" fontId="26" fillId="20" borderId="5" xfId="2" applyNumberFormat="1" applyFont="1" applyFill="1" applyBorder="1" applyAlignment="1">
      <alignment horizontal="center" vertical="center"/>
    </xf>
    <xf numFmtId="0" fontId="24" fillId="0" borderId="0" xfId="2" applyFont="1" applyAlignment="1">
      <alignment horizontal="left" vertical="top"/>
    </xf>
    <xf numFmtId="0" fontId="28" fillId="3" borderId="5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6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 wrapText="1"/>
    </xf>
    <xf numFmtId="0" fontId="12" fillId="23" borderId="0" xfId="0" applyFont="1" applyFill="1"/>
    <xf numFmtId="14" fontId="1" fillId="24" borderId="5" xfId="0" applyNumberFormat="1" applyFont="1" applyFill="1" applyBorder="1" applyAlignment="1">
      <alignment horizontal="center" vertical="center"/>
    </xf>
    <xf numFmtId="0" fontId="1" fillId="24" borderId="5" xfId="0" applyFont="1" applyFill="1" applyBorder="1" applyAlignment="1">
      <alignment horizontal="center" vertical="center"/>
    </xf>
    <xf numFmtId="14" fontId="1" fillId="25" borderId="5" xfId="0" applyNumberFormat="1" applyFont="1" applyFill="1" applyBorder="1" applyAlignment="1">
      <alignment horizontal="center" vertical="center"/>
    </xf>
    <xf numFmtId="0" fontId="1" fillId="25" borderId="5" xfId="0" applyFont="1" applyFill="1" applyBorder="1" applyAlignment="1">
      <alignment horizontal="center" vertical="center"/>
    </xf>
    <xf numFmtId="14" fontId="1" fillId="26" borderId="5" xfId="0" applyNumberFormat="1" applyFont="1" applyFill="1" applyBorder="1" applyAlignment="1">
      <alignment horizontal="center" vertical="center"/>
    </xf>
    <xf numFmtId="0" fontId="1" fillId="26" borderId="5" xfId="0" applyFont="1" applyFill="1" applyBorder="1" applyAlignment="1">
      <alignment horizontal="center" vertical="center"/>
    </xf>
    <xf numFmtId="14" fontId="1" fillId="25" borderId="2" xfId="0" applyNumberFormat="1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/>
    </xf>
    <xf numFmtId="0" fontId="1" fillId="25" borderId="62" xfId="0" applyFont="1" applyFill="1" applyBorder="1" applyAlignment="1">
      <alignment horizontal="center" vertical="center"/>
    </xf>
    <xf numFmtId="14" fontId="1" fillId="25" borderId="1" xfId="0" applyNumberFormat="1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/>
    </xf>
    <xf numFmtId="0" fontId="1" fillId="25" borderId="57" xfId="0" applyFont="1" applyFill="1" applyBorder="1" applyAlignment="1">
      <alignment horizontal="center" vertical="center"/>
    </xf>
    <xf numFmtId="0" fontId="1" fillId="25" borderId="63" xfId="0" applyFont="1" applyFill="1" applyBorder="1" applyAlignment="1">
      <alignment horizontal="center" vertical="center"/>
    </xf>
    <xf numFmtId="0" fontId="1" fillId="26" borderId="63" xfId="0" applyFont="1" applyFill="1" applyBorder="1" applyAlignment="1">
      <alignment horizontal="center" vertical="center"/>
    </xf>
    <xf numFmtId="0" fontId="29" fillId="0" borderId="0" xfId="0" applyFont="1" applyAlignment="1">
      <alignment horizontal="center" wrapText="1"/>
    </xf>
    <xf numFmtId="0" fontId="20" fillId="0" borderId="15" xfId="2" applyFont="1" applyBorder="1" applyAlignment="1">
      <alignment horizontal="center" vertical="center"/>
    </xf>
    <xf numFmtId="0" fontId="23" fillId="0" borderId="68" xfId="2" applyFont="1" applyBorder="1" applyAlignment="1">
      <alignment horizontal="center" vertical="center"/>
    </xf>
    <xf numFmtId="0" fontId="23" fillId="0" borderId="54" xfId="2" applyFont="1" applyBorder="1" applyAlignment="1">
      <alignment horizontal="center" vertical="center"/>
    </xf>
    <xf numFmtId="0" fontId="30" fillId="21" borderId="70" xfId="2" applyFont="1" applyFill="1" applyBorder="1" applyAlignment="1">
      <alignment horizontal="center" vertical="center"/>
    </xf>
    <xf numFmtId="0" fontId="30" fillId="21" borderId="70" xfId="2" applyFont="1" applyFill="1" applyBorder="1" applyAlignment="1">
      <alignment horizontal="center" vertical="center" wrapText="1"/>
    </xf>
    <xf numFmtId="0" fontId="31" fillId="0" borderId="5" xfId="2" applyFont="1" applyBorder="1" applyAlignment="1">
      <alignment horizontal="center" vertical="center" wrapText="1"/>
    </xf>
    <xf numFmtId="0" fontId="31" fillId="0" borderId="5" xfId="2" applyFont="1" applyBorder="1" applyAlignment="1">
      <alignment horizontal="center" vertical="center"/>
    </xf>
    <xf numFmtId="14" fontId="23" fillId="0" borderId="68" xfId="2" applyNumberFormat="1" applyFont="1" applyBorder="1" applyAlignment="1">
      <alignment horizontal="center" vertical="center"/>
    </xf>
    <xf numFmtId="14" fontId="23" fillId="0" borderId="5" xfId="2" applyNumberFormat="1" applyFont="1" applyBorder="1" applyAlignment="1">
      <alignment horizontal="center" vertical="center"/>
    </xf>
    <xf numFmtId="14" fontId="23" fillId="0" borderId="54" xfId="2" applyNumberFormat="1" applyFont="1" applyBorder="1" applyAlignment="1">
      <alignment horizontal="center" vertical="center"/>
    </xf>
    <xf numFmtId="0" fontId="17" fillId="12" borderId="5" xfId="2" applyFont="1" applyFill="1" applyBorder="1" applyAlignment="1">
      <alignment horizontal="center" vertical="center" wrapText="1"/>
    </xf>
    <xf numFmtId="0" fontId="17" fillId="11" borderId="5" xfId="2" applyFont="1" applyFill="1" applyBorder="1" applyAlignment="1">
      <alignment horizontal="center" vertical="center" wrapText="1"/>
    </xf>
    <xf numFmtId="0" fontId="31" fillId="0" borderId="68" xfId="2" applyFont="1" applyBorder="1" applyAlignment="1">
      <alignment horizontal="center" vertical="center"/>
    </xf>
    <xf numFmtId="14" fontId="31" fillId="0" borderId="5" xfId="2" applyNumberFormat="1" applyFont="1" applyBorder="1" applyAlignment="1">
      <alignment horizontal="center" vertical="center"/>
    </xf>
    <xf numFmtId="14" fontId="31" fillId="0" borderId="54" xfId="2" applyNumberFormat="1" applyFont="1" applyBorder="1" applyAlignment="1">
      <alignment horizontal="center" vertical="center"/>
    </xf>
    <xf numFmtId="0" fontId="21" fillId="12" borderId="5" xfId="2" applyFont="1" applyFill="1" applyBorder="1" applyAlignment="1">
      <alignment horizontal="center" vertical="center" wrapText="1"/>
    </xf>
    <xf numFmtId="0" fontId="21" fillId="12" borderId="5" xfId="2" applyFont="1" applyFill="1" applyBorder="1" applyAlignment="1">
      <alignment horizontal="center" vertical="center"/>
    </xf>
    <xf numFmtId="0" fontId="21" fillId="11" borderId="5" xfId="2" applyFont="1" applyFill="1" applyBorder="1" applyAlignment="1">
      <alignment horizontal="center" vertical="center" wrapText="1"/>
    </xf>
    <xf numFmtId="1" fontId="26" fillId="27" borderId="5" xfId="2" applyNumberFormat="1" applyFont="1" applyFill="1" applyBorder="1" applyAlignment="1">
      <alignment horizontal="center" vertical="center"/>
    </xf>
    <xf numFmtId="0" fontId="19" fillId="27" borderId="5" xfId="2" applyFont="1" applyFill="1" applyBorder="1" applyAlignment="1">
      <alignment horizontal="center" vertical="center" wrapText="1"/>
    </xf>
    <xf numFmtId="0" fontId="20" fillId="23" borderId="5" xfId="2" applyFont="1" applyFill="1" applyBorder="1" applyAlignment="1">
      <alignment horizontal="center" vertical="center"/>
    </xf>
    <xf numFmtId="0" fontId="0" fillId="11" borderId="0" xfId="0" applyFill="1"/>
    <xf numFmtId="0" fontId="13" fillId="28" borderId="0" xfId="0" applyFont="1" applyFill="1" applyAlignment="1">
      <alignment horizontal="center" vertical="center" wrapText="1"/>
    </xf>
    <xf numFmtId="0" fontId="1" fillId="27" borderId="2" xfId="0" applyFont="1" applyFill="1" applyBorder="1" applyAlignment="1">
      <alignment horizontal="center" vertical="center"/>
    </xf>
    <xf numFmtId="0" fontId="12" fillId="27" borderId="0" xfId="0" applyFont="1" applyFill="1"/>
    <xf numFmtId="0" fontId="1" fillId="11" borderId="2" xfId="0" applyFont="1" applyFill="1" applyBorder="1" applyAlignment="1">
      <alignment horizontal="center" vertical="center"/>
    </xf>
    <xf numFmtId="14" fontId="1" fillId="24" borderId="2" xfId="0" applyNumberFormat="1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14" fontId="1" fillId="24" borderId="1" xfId="0" applyNumberFormat="1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/>
    </xf>
    <xf numFmtId="14" fontId="1" fillId="11" borderId="5" xfId="0" applyNumberFormat="1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9" borderId="71" xfId="0" applyFill="1" applyBorder="1" applyAlignment="1">
      <alignment horizontal="center" vertical="center"/>
    </xf>
    <xf numFmtId="44" fontId="0" fillId="29" borderId="71" xfId="0" applyNumberFormat="1" applyFill="1" applyBorder="1" applyAlignment="1">
      <alignment horizontal="center" vertical="center"/>
    </xf>
    <xf numFmtId="0" fontId="5" fillId="29" borderId="72" xfId="0" applyFont="1" applyFill="1" applyBorder="1" applyAlignment="1">
      <alignment horizontal="center" vertical="center"/>
    </xf>
    <xf numFmtId="44" fontId="0" fillId="29" borderId="73" xfId="0" applyNumberFormat="1" applyFill="1" applyBorder="1" applyAlignment="1">
      <alignment horizontal="center" vertical="center"/>
    </xf>
    <xf numFmtId="0" fontId="5" fillId="29" borderId="77" xfId="0" applyFont="1" applyFill="1" applyBorder="1" applyAlignment="1">
      <alignment horizontal="center" vertical="center"/>
    </xf>
    <xf numFmtId="0" fontId="0" fillId="29" borderId="78" xfId="0" applyFill="1" applyBorder="1" applyAlignment="1">
      <alignment horizontal="center" vertical="center"/>
    </xf>
    <xf numFmtId="44" fontId="0" fillId="29" borderId="78" xfId="0" applyNumberFormat="1" applyFill="1" applyBorder="1" applyAlignment="1">
      <alignment horizontal="center" vertical="center"/>
    </xf>
    <xf numFmtId="44" fontId="0" fillId="29" borderId="79" xfId="0" applyNumberFormat="1" applyFill="1" applyBorder="1" applyAlignment="1">
      <alignment horizontal="center" vertical="center"/>
    </xf>
    <xf numFmtId="0" fontId="7" fillId="5" borderId="74" xfId="0" applyFont="1" applyFill="1" applyBorder="1" applyAlignment="1">
      <alignment horizontal="center" vertical="center"/>
    </xf>
    <xf numFmtId="0" fontId="7" fillId="5" borderId="75" xfId="0" applyFont="1" applyFill="1" applyBorder="1" applyAlignment="1">
      <alignment horizontal="center" vertical="center"/>
    </xf>
    <xf numFmtId="0" fontId="7" fillId="5" borderId="75" xfId="0" applyFont="1" applyFill="1" applyBorder="1" applyAlignment="1">
      <alignment horizontal="center" vertical="center" wrapText="1"/>
    </xf>
    <xf numFmtId="0" fontId="7" fillId="5" borderId="76" xfId="0" applyFont="1" applyFill="1" applyBorder="1" applyAlignment="1">
      <alignment horizontal="center" vertical="center"/>
    </xf>
    <xf numFmtId="14" fontId="1" fillId="0" borderId="5" xfId="0" quotePrefix="1" applyNumberFormat="1" applyFont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13" fillId="3" borderId="30" xfId="0" applyFont="1" applyFill="1" applyBorder="1" applyAlignment="1">
      <alignment horizontal="center" vertical="center" wrapText="1"/>
    </xf>
    <xf numFmtId="14" fontId="1" fillId="0" borderId="49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4" fontId="1" fillId="11" borderId="82" xfId="0" applyNumberFormat="1" applyFont="1" applyFill="1" applyBorder="1" applyAlignment="1">
      <alignment horizontal="center" vertical="center" wrapText="1"/>
    </xf>
    <xf numFmtId="14" fontId="1" fillId="0" borderId="46" xfId="0" applyNumberFormat="1" applyFont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12" fillId="11" borderId="0" xfId="0" applyFont="1" applyFill="1"/>
    <xf numFmtId="0" fontId="1" fillId="27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4" fontId="1" fillId="11" borderId="2" xfId="0" applyNumberFormat="1" applyFont="1" applyFill="1" applyBorder="1" applyAlignment="1">
      <alignment horizontal="center" vertical="center"/>
    </xf>
    <xf numFmtId="0" fontId="1" fillId="11" borderId="62" xfId="0" applyFont="1" applyFill="1" applyBorder="1" applyAlignment="1">
      <alignment horizontal="center" vertical="center"/>
    </xf>
    <xf numFmtId="0" fontId="1" fillId="11" borderId="57" xfId="0" applyFont="1" applyFill="1" applyBorder="1" applyAlignment="1">
      <alignment horizontal="center" vertical="center"/>
    </xf>
    <xf numFmtId="0" fontId="1" fillId="27" borderId="5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/>
    <xf numFmtId="0" fontId="33" fillId="0" borderId="5" xfId="0" applyFont="1" applyBorder="1" applyAlignment="1">
      <alignment horizontal="center"/>
    </xf>
    <xf numFmtId="0" fontId="2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3" fillId="5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5" fillId="0" borderId="0" xfId="0" applyFont="1" applyAlignment="1">
      <alignment wrapText="1"/>
    </xf>
    <xf numFmtId="0" fontId="0" fillId="0" borderId="5" xfId="0" applyBorder="1"/>
    <xf numFmtId="17" fontId="9" fillId="12" borderId="6" xfId="0" applyNumberFormat="1" applyFont="1" applyFill="1" applyBorder="1" applyAlignment="1">
      <alignment horizontal="center" vertical="center"/>
    </xf>
    <xf numFmtId="17" fontId="9" fillId="12" borderId="19" xfId="0" applyNumberFormat="1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 wrapText="1"/>
    </xf>
    <xf numFmtId="0" fontId="10" fillId="10" borderId="63" xfId="0" applyFont="1" applyFill="1" applyBorder="1" applyAlignment="1">
      <alignment horizontal="center" vertical="center"/>
    </xf>
    <xf numFmtId="0" fontId="10" fillId="10" borderId="69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32" fillId="4" borderId="5" xfId="0" applyFont="1" applyFill="1" applyBorder="1" applyAlignment="1">
      <alignment horizontal="center" vertical="center"/>
    </xf>
    <xf numFmtId="0" fontId="25" fillId="30" borderId="5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2" fillId="8" borderId="22" xfId="0" applyFont="1" applyFill="1" applyBorder="1"/>
    <xf numFmtId="0" fontId="2" fillId="8" borderId="23" xfId="0" applyFont="1" applyFill="1" applyBorder="1"/>
    <xf numFmtId="0" fontId="3" fillId="18" borderId="21" xfId="0" applyFont="1" applyFill="1" applyBorder="1" applyAlignment="1">
      <alignment horizontal="center" vertical="center"/>
    </xf>
    <xf numFmtId="0" fontId="2" fillId="18" borderId="22" xfId="0" applyFont="1" applyFill="1" applyBorder="1"/>
    <xf numFmtId="0" fontId="2" fillId="18" borderId="23" xfId="0" applyFont="1" applyFill="1" applyBorder="1"/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4" fillId="18" borderId="21" xfId="0" applyFont="1" applyFill="1" applyBorder="1" applyAlignment="1">
      <alignment horizontal="center" vertical="center"/>
    </xf>
    <xf numFmtId="0" fontId="4" fillId="18" borderId="22" xfId="0" applyFont="1" applyFill="1" applyBorder="1" applyAlignment="1">
      <alignment horizontal="center" vertical="center"/>
    </xf>
    <xf numFmtId="0" fontId="4" fillId="18" borderId="23" xfId="0" applyFont="1" applyFill="1" applyBorder="1" applyAlignment="1">
      <alignment horizontal="center" vertical="center"/>
    </xf>
    <xf numFmtId="0" fontId="4" fillId="18" borderId="22" xfId="0" applyFont="1" applyFill="1" applyBorder="1"/>
    <xf numFmtId="0" fontId="4" fillId="18" borderId="23" xfId="0" applyFont="1" applyFill="1" applyBorder="1"/>
    <xf numFmtId="0" fontId="3" fillId="18" borderId="22" xfId="0" applyFont="1" applyFill="1" applyBorder="1" applyAlignment="1">
      <alignment horizontal="center" vertical="center"/>
    </xf>
    <xf numFmtId="0" fontId="3" fillId="18" borderId="23" xfId="0" applyFont="1" applyFill="1" applyBorder="1" applyAlignment="1">
      <alignment horizontal="center" vertical="center"/>
    </xf>
    <xf numFmtId="0" fontId="3" fillId="17" borderId="21" xfId="0" applyFont="1" applyFill="1" applyBorder="1" applyAlignment="1">
      <alignment horizontal="center" vertical="center"/>
    </xf>
    <xf numFmtId="0" fontId="3" fillId="17" borderId="22" xfId="0" applyFont="1" applyFill="1" applyBorder="1" applyAlignment="1">
      <alignment horizontal="center" vertical="center"/>
    </xf>
    <xf numFmtId="0" fontId="3" fillId="16" borderId="21" xfId="0" applyFont="1" applyFill="1" applyBorder="1" applyAlignment="1">
      <alignment horizontal="center" vertical="center"/>
    </xf>
    <xf numFmtId="0" fontId="3" fillId="16" borderId="22" xfId="0" applyFont="1" applyFill="1" applyBorder="1" applyAlignment="1">
      <alignment horizontal="center" vertical="center"/>
    </xf>
    <xf numFmtId="0" fontId="3" fillId="16" borderId="23" xfId="0" applyFont="1" applyFill="1" applyBorder="1" applyAlignment="1">
      <alignment horizontal="center" vertical="center"/>
    </xf>
    <xf numFmtId="0" fontId="3" fillId="8" borderId="60" xfId="0" applyFont="1" applyFill="1" applyBorder="1" applyAlignment="1">
      <alignment horizontal="center" vertical="center"/>
    </xf>
    <xf numFmtId="0" fontId="3" fillId="8" borderId="61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8" borderId="3" xfId="0" applyFont="1" applyFill="1" applyBorder="1"/>
    <xf numFmtId="0" fontId="3" fillId="8" borderId="22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2" fillId="8" borderId="27" xfId="0" applyFont="1" applyFill="1" applyBorder="1"/>
    <xf numFmtId="0" fontId="2" fillId="8" borderId="37" xfId="0" applyFont="1" applyFill="1" applyBorder="1"/>
    <xf numFmtId="0" fontId="8" fillId="9" borderId="16" xfId="0" applyFont="1" applyFill="1" applyBorder="1" applyAlignment="1">
      <alignment horizontal="center" vertical="center" wrapText="1"/>
    </xf>
    <xf numFmtId="17" fontId="9" fillId="10" borderId="6" xfId="0" applyNumberFormat="1" applyFont="1" applyFill="1" applyBorder="1" applyAlignment="1">
      <alignment horizontal="center" vertical="center"/>
    </xf>
    <xf numFmtId="17" fontId="9" fillId="10" borderId="19" xfId="0" applyNumberFormat="1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18" xfId="0" applyFont="1" applyFill="1" applyBorder="1" applyAlignment="1">
      <alignment horizontal="center" vertical="center"/>
    </xf>
    <xf numFmtId="0" fontId="15" fillId="0" borderId="63" xfId="2" applyBorder="1" applyAlignment="1">
      <alignment horizontal="center" vertical="top"/>
    </xf>
    <xf numFmtId="0" fontId="15" fillId="0" borderId="69" xfId="2" applyBorder="1" applyAlignment="1">
      <alignment horizontal="center" vertical="top"/>
    </xf>
    <xf numFmtId="0" fontId="15" fillId="0" borderId="15" xfId="2" applyBorder="1" applyAlignment="1">
      <alignment horizontal="center" vertical="top"/>
    </xf>
    <xf numFmtId="0" fontId="8" fillId="9" borderId="60" xfId="0" applyFont="1" applyFill="1" applyBorder="1" applyAlignment="1">
      <alignment horizontal="center" vertical="center" wrapText="1"/>
    </xf>
    <xf numFmtId="0" fontId="8" fillId="9" borderId="66" xfId="0" applyFont="1" applyFill="1" applyBorder="1" applyAlignment="1">
      <alignment horizontal="center" vertical="center" wrapText="1"/>
    </xf>
    <xf numFmtId="0" fontId="8" fillId="9" borderId="80" xfId="0" applyFont="1" applyFill="1" applyBorder="1" applyAlignment="1">
      <alignment horizontal="center" vertical="center" wrapText="1"/>
    </xf>
    <xf numFmtId="0" fontId="10" fillId="10" borderId="61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0" borderId="81" xfId="0" applyFont="1" applyFill="1" applyBorder="1" applyAlignment="1">
      <alignment horizontal="center" vertical="center"/>
    </xf>
    <xf numFmtId="17" fontId="9" fillId="22" borderId="6" xfId="0" applyNumberFormat="1" applyFont="1" applyFill="1" applyBorder="1" applyAlignment="1">
      <alignment horizontal="center" vertical="center"/>
    </xf>
    <xf numFmtId="17" fontId="9" fillId="22" borderId="19" xfId="0" applyNumberFormat="1" applyFont="1" applyFill="1" applyBorder="1" applyAlignment="1">
      <alignment horizontal="center" vertical="center"/>
    </xf>
    <xf numFmtId="0" fontId="9" fillId="22" borderId="9" xfId="0" applyFont="1" applyFill="1" applyBorder="1" applyAlignment="1">
      <alignment horizontal="center" vertical="center"/>
    </xf>
    <xf numFmtId="0" fontId="9" fillId="22" borderId="17" xfId="0" applyFont="1" applyFill="1" applyBorder="1" applyAlignment="1">
      <alignment horizontal="center" vertical="center"/>
    </xf>
    <xf numFmtId="0" fontId="10" fillId="22" borderId="14" xfId="0" applyFont="1" applyFill="1" applyBorder="1" applyAlignment="1">
      <alignment horizontal="center" vertical="center"/>
    </xf>
    <xf numFmtId="0" fontId="10" fillId="22" borderId="18" xfId="0" applyFont="1" applyFill="1" applyBorder="1" applyAlignment="1">
      <alignment horizontal="center" vertical="center"/>
    </xf>
    <xf numFmtId="0" fontId="27" fillId="22" borderId="14" xfId="0" applyFont="1" applyFill="1" applyBorder="1" applyAlignment="1">
      <alignment horizontal="center" vertical="center"/>
    </xf>
    <xf numFmtId="0" fontId="27" fillId="22" borderId="18" xfId="0" applyFont="1" applyFill="1" applyBorder="1" applyAlignment="1">
      <alignment horizontal="center" vertical="center"/>
    </xf>
    <xf numFmtId="0" fontId="10" fillId="10" borderId="66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8A7B1E3C-E7A6-4A7B-B939-E9CF3885D008}"/>
    <cellStyle name="Normal 3" xfId="2" xr:uid="{11E4F7F2-92A0-40EB-8C74-F4C0D1DB9406}"/>
  </cellStyles>
  <dxfs count="152">
    <dxf>
      <numFmt numFmtId="34" formatCode="_-&quot;$&quot;\ * #,##0.00_-;\-&quot;$&quot;\ * #,##0.00_-;_-&quot;$&quot;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/>
      </border>
    </dxf>
    <dxf>
      <numFmt numFmtId="34" formatCode="_-&quot;$&quot;\ * #,##0.00_-;\-&quot;$&quot;\ * #,##0.00_-;_-&quot;$&quot;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numFmt numFmtId="34" formatCode="_-&quot;$&quot;\ * #,##0.00_-;\-&quot;$&quot;\ * #,##0.00_-;_-&quot;$&quot;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theme="0"/>
        </right>
        <top style="thick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border outline="0">
        <top style="thick">
          <color theme="0"/>
        </top>
      </border>
    </dxf>
    <dxf>
      <border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numFmt numFmtId="34" formatCode="_-&quot;$&quot;\ * #,##0.00_-;\-&quot;$&quot;\ * #,##0.00_-;_-&quot;$&quot;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/>
      </border>
    </dxf>
    <dxf>
      <numFmt numFmtId="34" formatCode="_-&quot;$&quot;\ * #,##0.00_-;\-&quot;$&quot;\ * #,##0.00_-;_-&quot;$&quot;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numFmt numFmtId="34" formatCode="_-&quot;$&quot;\ * #,##0.00_-;\-&quot;$&quot;\ * #,##0.00_-;_-&quot;$&quot;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theme="0"/>
        </right>
        <top style="thick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border outline="0">
        <top style="thick">
          <color theme="0"/>
        </top>
      </border>
    </dxf>
    <dxf>
      <border outline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numFmt numFmtId="34" formatCode="_-&quot;$&quot;\ * #,##0.00_-;\-&quot;$&quot;\ * #,##0.00_-;_-&quot;$&quot;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/>
      </border>
    </dxf>
    <dxf>
      <numFmt numFmtId="34" formatCode="_-&quot;$&quot;\ * #,##0.00_-;\-&quot;$&quot;\ * #,##0.00_-;_-&quot;$&quot;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numFmt numFmtId="34" formatCode="_-&quot;$&quot;\ * #,##0.00_-;\-&quot;$&quot;\ * #,##0.00_-;_-&quot;$&quot;\ * &quot;-&quot;??_-;_-@_-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 style="thick">
          <color theme="0"/>
        </top>
        <bottom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theme="0"/>
        </right>
        <top style="thick">
          <color theme="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  <vertical/>
        <horizontal/>
      </border>
    </dxf>
    <dxf>
      <border outline="0">
        <top style="thick">
          <color rgb="FFFFFFFF"/>
        </top>
      </border>
    </dxf>
    <dxf>
      <border outline="0">
        <left style="thick">
          <color rgb="FFFFFFFF"/>
        </left>
        <right style="thick">
          <color rgb="FFFFFFFF"/>
        </right>
        <top style="thick">
          <color rgb="FFFFFFFF"/>
        </top>
        <bottom style="thick">
          <color rgb="FFFFFFFF"/>
        </bottom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D0CE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D0CE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solid">
          <fgColor rgb="FF000000"/>
          <bgColor rgb="FFD0CECE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D0CE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D0CE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solid">
          <fgColor rgb="FF000000"/>
          <bgColor rgb="FFD0CECE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D0CECE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none"/>
      </font>
      <fill>
        <patternFill patternType="solid">
          <fgColor rgb="FF000000"/>
          <bgColor rgb="FFD0CECE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47626</xdr:colOff>
      <xdr:row>1</xdr:row>
      <xdr:rowOff>38100</xdr:rowOff>
    </xdr:from>
    <xdr:ext cx="1790700" cy="352425"/>
    <xdr:pic>
      <xdr:nvPicPr>
        <xdr:cNvPr id="3" name="image2.jpg" title="Imagen">
          <a:extLst>
            <a:ext uri="{FF2B5EF4-FFF2-40B4-BE49-F238E27FC236}">
              <a16:creationId xmlns:a16="http://schemas.microsoft.com/office/drawing/2014/main" id="{EB084E98-F7CB-4216-90E4-B74BEBC1032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1" y="228600"/>
          <a:ext cx="1790700" cy="352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09D4A420-FB79-4913-BBE8-125863E7AA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15</xdr:col>
      <xdr:colOff>19050</xdr:colOff>
      <xdr:row>0</xdr:row>
      <xdr:rowOff>619125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B88DA4-2693-4FDD-9D1B-80FD1B2E1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2801600" cy="60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16</xdr:col>
      <xdr:colOff>1047749</xdr:colOff>
      <xdr:row>0</xdr:row>
      <xdr:rowOff>619125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3AD8FC-031B-4502-81D1-9867D92A1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4373224" cy="609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16</xdr:col>
      <xdr:colOff>1047749</xdr:colOff>
      <xdr:row>0</xdr:row>
      <xdr:rowOff>619125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28D12B-6A9D-40B5-AEF0-0AFCB963D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4373224" cy="609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DA00AD9F-302A-49FF-ACF8-A172B6D98F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0406E5EA-96E9-48C3-A3D4-CD93A0E536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99892FEF-9BEB-4C28-B79B-B544641562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816ADE08-51A0-4DB8-9D07-A6B287186D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8C4EFB83-0150-4757-B387-783514BB7B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C4CFC012-D7BC-49DE-AA77-66DFC36D39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55851B93-0107-4A3E-9352-C31500A1C0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FD2796E1-6011-42E5-9566-38CC967FC7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3CFC9A7D-D3F3-496A-AF42-3BE6618EE1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E5C7D610-79CF-4277-9399-C1FD5CC966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1199113C-0E2E-484E-9E60-6C84F132DF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AC494087-5C49-4D16-B0FF-9D435C1D64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D7D1998-B093-4C7F-849E-518FAFF30E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7FC66329-748A-4CF2-A701-FC0380C76E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085199A3-D362-47F2-AED1-62EB4F894F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6A8378C8-E434-4DA6-9AF2-C414D189B3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11E0EFF0-59BF-4B9E-8EDE-D232471BB8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1A2C9FC0-675F-4E33-A756-2BD7616496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5FB6FE7B-E349-479D-B08E-C6868BCE4F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8EFC61F2-2C9E-4853-97EF-6D4F2663AB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7DB71FBD-2DC6-4F57-AF51-05B127DE88A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3D63A5E7-A048-462B-A241-D3D49FC191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5CC063AC-F713-4B72-97AC-41E13A101E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64E6423E-1FCB-4D9B-952C-C0B7A27899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75D4D948-2535-4468-A2C2-26B8D127CD7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44B2A3A-6240-481C-93D1-28593D4E63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4391C9FA-D01E-4936-A094-AAD5766CB9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C0B10D85-8410-4127-A627-E0AC8D8F18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9D1D8C86-9332-4D51-A85D-299FA019D1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A79B52CE-7846-49EF-A6FA-80021C475F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79AA8AF1-5D53-4625-A535-4BAF7F3437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5DAB9209-C2B9-412F-AC92-611B1A8A09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6970F3A-BC5D-4182-822B-E826D46159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DB6C17EB-5081-4477-94BE-FD4D3024F7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2EE917F-A60E-4E82-A498-A9E69F4F20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AE47E3C9-1CB8-4E47-8B00-939BA1AAE7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E7EC55A1-69FF-4822-9EF0-2C6D3F9F81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2D17229C-8199-41D8-84D4-35DAC1BB12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FA4268A7-16E0-4BEF-886B-E3346CC25D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D1973842-777A-4522-8DEC-EFF8696673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6D056341-7DE0-4CE3-B0A2-1CEB774DAF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110E2EC9-3B77-41C8-9379-9C48C8D669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CF98508D-CA07-4CEC-B286-C2D168D09F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3EE78B9A-D3AF-4382-9C21-35D3B1F94F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03D2C759-029D-428A-9829-C32EEF0BFF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CDC6C0D5-CCD7-4443-BABF-4BFB4B3069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CC3F7DA9-8B02-44C2-9896-593B23649C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356A72F9-5D00-4867-9B2F-B44881C4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31E52829-BDC6-4591-A9E7-6F4A58F5A5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1E5F34C7-BF20-4B09-A125-52497B5B06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127BF40C-C8A5-4211-A801-1AE6352B8E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464A7C63-3A07-490C-973C-9A7EC2268C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1FFBD6A1-BE82-4C06-A3B8-6F22C46BDC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C3B0CF31-D466-4040-AECA-83A4395E0B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3DA5575D-0A6C-443D-9100-C26F3218DD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77E29FF6-D613-43DB-85C5-28BE1D8B01C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7D25942E-DDCA-422E-B0D2-F8147C1D33E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B5AEBCBD-3535-4D7A-9B5F-307D5E4B2F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F23B801F-C234-472D-A01D-463B7AC716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311217B3-3C3F-49F9-B323-D61167EE7E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0A7FED8B-7107-476E-B3A8-914D8943F5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5E9E3F6E-1341-434B-A9D2-1A2FA28D70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1904999" cy="514350"/>
    <xdr:pic>
      <xdr:nvPicPr>
        <xdr:cNvPr id="2" name="image2.jpg" title="Imagen">
          <a:extLst>
            <a:ext uri="{FF2B5EF4-FFF2-40B4-BE49-F238E27FC236}">
              <a16:creationId xmlns:a16="http://schemas.microsoft.com/office/drawing/2014/main" id="{BE9921B6-5057-4F7E-912B-49244E851C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57150"/>
          <a:ext cx="1904999" cy="5143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16949B-CD8C-4859-8E74-CCF5563ED4C6}" name="Tabla22" displayName="Tabla22" ref="A2:O59" totalsRowShown="0" headerRowDxfId="151" dataDxfId="149" totalsRowDxfId="147" headerRowBorderDxfId="150" tableBorderDxfId="148" totalsRowBorderDxfId="146">
  <autoFilter ref="A2:O59" xr:uid="{914025C2-DACB-43A1-B04D-12575BF2A8E9}"/>
  <sortState xmlns:xlrd2="http://schemas.microsoft.com/office/spreadsheetml/2017/richdata2" ref="A3:N36">
    <sortCondition ref="B2:B36"/>
  </sortState>
  <tableColumns count="15">
    <tableColumn id="1" xr3:uid="{34B11749-0A72-49ED-AC9E-2994502142D3}" name="N°" dataDxfId="145" totalsRowDxfId="144"/>
    <tableColumn id="2" xr3:uid="{87259707-CDE6-452D-9EB2-16D8475947F4}" name="APELLIDO Y NOMBRE" dataDxfId="143" totalsRowDxfId="142"/>
    <tableColumn id="3" xr3:uid="{854AB979-07C7-4865-B44B-548E50DE3950}" name="APODO" dataDxfId="141" totalsRowDxfId="140"/>
    <tableColumn id="16" xr3:uid="{0D7E4901-66FB-4524-9F1B-45CACF25F8B5}" name="BORCEGO" dataDxfId="139" totalsRowDxfId="138" dataCellStyle="Normal 3"/>
    <tableColumn id="6" xr3:uid="{0697D8AB-D680-4232-A669-80FE8977CF39}" name="REMERA" dataDxfId="137" totalsRowDxfId="136"/>
    <tableColumn id="7" xr3:uid="{C7AD9345-8ECB-4911-AD7F-A2D018A2A017}" name="CAMPERON" dataDxfId="135" totalsRowDxfId="134"/>
    <tableColumn id="8" xr3:uid="{393031A9-B901-42BF-BBEF-FC70BAA22E8E}" name="CHOMBA" dataDxfId="133" totalsRowDxfId="132"/>
    <tableColumn id="9" xr3:uid="{EAE7ACA5-3F8B-4E3F-8A3C-2BC3C3D3CD52}" name="CAMPERA" dataDxfId="131" totalsRowDxfId="130"/>
    <tableColumn id="11" xr3:uid="{C83C3AFC-D85C-4E97-A074-41190C532B77}" name="MOCHILA" dataDxfId="129" totalsRowDxfId="128"/>
    <tableColumn id="15" xr3:uid="{F77659F9-DF47-46C1-8B18-449E3C3E056E}" name="PANTALON" dataDxfId="127" totalsRowDxfId="126"/>
    <tableColumn id="13" xr3:uid="{DDD5F69A-C1E9-494D-BFBB-2F0829E78CEA}" name="BERMUDA" dataDxfId="125" totalsRowDxfId="124" dataCellStyle="Normal 3"/>
    <tableColumn id="12" xr3:uid="{69897CA2-16E4-4CB9-BD48-4A345DF23F5A}" name="GORRA" dataDxfId="123" totalsRowDxfId="122" dataCellStyle="Normal 3"/>
    <tableColumn id="14" xr3:uid="{A286B7BA-BD1F-4D7D-B9BD-B8B8903C6E80}" name="PROTECTOR LUMBAR" dataDxfId="121" totalsRowDxfId="120" dataCellStyle="Normal 3"/>
    <tableColumn id="10" xr3:uid="{2C10029C-BB63-4349-B2E2-27B6D1953321}" name="GUANTES MULTIFLEX" dataDxfId="119" totalsRowDxfId="118"/>
    <tableColumn id="4" xr3:uid="{3FC5D20A-1B67-49D4-969F-36349EB08322}" name="OBSERVACION" dataDxfId="117" totalsRowDxfId="116" dataCellStyle="Normal 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8F330A-1B5F-45EC-8A5C-B0653D82940E}" name="Tabla223" displayName="Tabla223" ref="A2:Q35" totalsRowShown="0" headerRowDxfId="115" dataDxfId="113" totalsRowDxfId="111" headerRowBorderDxfId="114" tableBorderDxfId="112" totalsRowBorderDxfId="110">
  <autoFilter ref="A2:Q35" xr:uid="{914025C2-DACB-43A1-B04D-12575BF2A8E9}"/>
  <sortState xmlns:xlrd2="http://schemas.microsoft.com/office/spreadsheetml/2017/richdata2" ref="A3:O28">
    <sortCondition ref="B2:B28"/>
  </sortState>
  <tableColumns count="17">
    <tableColumn id="1" xr3:uid="{EDE52024-942B-4AB5-BC44-BDD63C26B00E}" name="N°" dataDxfId="109" totalsRowDxfId="108"/>
    <tableColumn id="2" xr3:uid="{F34E95BE-4F8C-4DCF-A679-E7F03A50C686}" name="APELLIDO Y NOMBRE" dataDxfId="107" totalsRowDxfId="106"/>
    <tableColumn id="3" xr3:uid="{8318384E-E3D6-4C26-8BB0-9B88C46CC29F}" name="APODO" dataDxfId="105" totalsRowDxfId="104"/>
    <tableColumn id="16" xr3:uid="{FBACCEE5-65F6-4E20-9AAC-B45D53532122}" name="BORCEGO" dataDxfId="103" totalsRowDxfId="102" dataCellStyle="Normal 3"/>
    <tableColumn id="6" xr3:uid="{4F57ED04-46A0-4C9C-A140-71C00D863157}" name="REMERA" dataDxfId="101" totalsRowDxfId="100"/>
    <tableColumn id="17" xr3:uid="{805B3B84-79F6-442E-A9ED-F2B4031EBAB9}" name="REMERA ESTRUCTURAS" dataDxfId="99" totalsRowDxfId="98" dataCellStyle="Normal 3"/>
    <tableColumn id="7" xr3:uid="{3377E869-E296-49FD-AA05-A43970158D55}" name="CAMPERON" dataDxfId="97" totalsRowDxfId="96"/>
    <tableColumn id="8" xr3:uid="{0B89C272-BDDA-45D5-891E-111617AA9553}" name="CHOMBA" dataDxfId="95" totalsRowDxfId="94"/>
    <tableColumn id="9" xr3:uid="{4E2831FC-84FE-410A-B6E0-839F30B5FB44}" name="CAMPERA" dataDxfId="93" totalsRowDxfId="92"/>
    <tableColumn id="11" xr3:uid="{B7E32B7C-C555-45B0-9EAA-956E85D1EF4C}" name="MOCHILA" dataDxfId="91" totalsRowDxfId="90"/>
    <tableColumn id="15" xr3:uid="{3FE7F090-7060-4CCA-A69C-0288EF3EA6CE}" name="PANTALON" dataDxfId="89" totalsRowDxfId="88"/>
    <tableColumn id="13" xr3:uid="{9454525A-B533-43A6-A0DD-D586F3A5F552}" name="BERMUDA" dataDxfId="87" totalsRowDxfId="86" dataCellStyle="Normal 3"/>
    <tableColumn id="12" xr3:uid="{DE772C37-F07F-4FB2-93F1-F1472865B5F0}" name="GORRA" dataDxfId="85" totalsRowDxfId="84" dataCellStyle="Normal 3"/>
    <tableColumn id="14" xr3:uid="{84CB00D6-B16D-418F-B283-7F55D1E2779D}" name="PROTECTOR LUMBAR" dataDxfId="83" totalsRowDxfId="82" dataCellStyle="Normal 3"/>
    <tableColumn id="10" xr3:uid="{674DC81C-951D-4C75-ACF2-19CF2FC7DA83}" name="GUANTES MULTIFLEX" dataDxfId="81" totalsRowDxfId="80"/>
    <tableColumn id="4" xr3:uid="{E3A86F1F-65DD-4390-AD88-E2337EBCFC7E}" name="Fecha entrega BORCEGOS" dataDxfId="79" totalsRowDxfId="78" dataCellStyle="Normal 3"/>
    <tableColumn id="5" xr3:uid="{FFC7822E-7DF1-46C2-BF22-F59424FFE81E}" name="OBSERVACION" dataDxfId="77" totalsRowDxfId="76" dataCellStyle="Normal 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D79F24-E2F2-43F6-8572-5A2CFFBC0912}" name="Tabla2235" displayName="Tabla2235" ref="A2:Q27" totalsRowShown="0" headerRowDxfId="75" dataDxfId="73" totalsRowDxfId="71" headerRowBorderDxfId="74" tableBorderDxfId="72" totalsRowBorderDxfId="70">
  <autoFilter ref="A2:Q27" xr:uid="{914025C2-DACB-43A1-B04D-12575BF2A8E9}"/>
  <tableColumns count="17">
    <tableColumn id="1" xr3:uid="{F1820359-BA1E-4E32-AA33-232B1EFC42E4}" name="N°" dataDxfId="69" totalsRowDxfId="68"/>
    <tableColumn id="2" xr3:uid="{6B8A6338-E3D3-432F-BED1-A6C58A91A403}" name="APELLIDO Y NOMBRE" dataDxfId="67" totalsRowDxfId="66"/>
    <tableColumn id="3" xr3:uid="{744DBEFF-9F81-4970-A3CD-4838B138E92C}" name="APODO" dataDxfId="65" totalsRowDxfId="64"/>
    <tableColumn id="16" xr3:uid="{55789EA3-8CA8-49C7-AF8F-10CD9F84E5FC}" name="BORCEGO" dataDxfId="63" totalsRowDxfId="62" dataCellStyle="Normal 3"/>
    <tableColumn id="6" xr3:uid="{30593FF6-6EC2-4FDF-BA3F-6F266DC10D98}" name="REMERA" dataDxfId="61" totalsRowDxfId="60"/>
    <tableColumn id="17" xr3:uid="{210CDDE9-92AD-4569-9915-5D2735DECE21}" name="REMERA ESTRUCTURAS" dataDxfId="59" totalsRowDxfId="58" dataCellStyle="Normal 3"/>
    <tableColumn id="7" xr3:uid="{2342C115-33AD-4695-8325-53BEA59B4B69}" name="CAMPERON" dataDxfId="57" totalsRowDxfId="56"/>
    <tableColumn id="8" xr3:uid="{A0FA86D8-1350-4961-B639-656D6F6F1BD3}" name="CHOMBA" dataDxfId="55" totalsRowDxfId="54"/>
    <tableColumn id="9" xr3:uid="{D5A8C1EC-4CA1-498B-95A8-6178EC66D491}" name="CAMPERA" dataDxfId="53" totalsRowDxfId="52"/>
    <tableColumn id="11" xr3:uid="{FF23A401-35FD-4580-9940-3727CDCD586C}" name="MOCHILA" dataDxfId="51" totalsRowDxfId="50"/>
    <tableColumn id="15" xr3:uid="{61C890C4-4452-426E-AAF1-3CE651A89847}" name="PANTALON" dataDxfId="49" totalsRowDxfId="48"/>
    <tableColumn id="13" xr3:uid="{B69BB299-4C39-4D28-B39E-9B23142CEE76}" name="BERMUDA" dataDxfId="47" totalsRowDxfId="46" dataCellStyle="Normal 3"/>
    <tableColumn id="12" xr3:uid="{60A21AA7-E0F1-46C3-A387-9FD146051C61}" name="GORRA" dataDxfId="45" totalsRowDxfId="44" dataCellStyle="Normal 3"/>
    <tableColumn id="14" xr3:uid="{78E3A328-C48B-4ACD-A019-E8FE81227A86}" name="PROTECTOR LUMBAR" dataDxfId="43" totalsRowDxfId="42" dataCellStyle="Normal 3"/>
    <tableColumn id="10" xr3:uid="{DEB58288-1C46-4F69-8506-EB36A933914B}" name="GUANTES MULTIFLEX" dataDxfId="41" totalsRowDxfId="40"/>
    <tableColumn id="4" xr3:uid="{147CEDD6-58AC-4A9C-A9DC-9B677DFD27C4}" name="Fecha entrega BORCEGOS" dataDxfId="39" totalsRowDxfId="38" dataCellStyle="Normal 3"/>
    <tableColumn id="5" xr3:uid="{65188560-80FF-4B94-8232-3AC02E812CD0}" name="OBSERVACION" dataDxfId="37" totalsRowDxfId="36" dataCellStyle="Normal 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06CEEE-E576-480C-A32F-1A37DB077FFB}" name="Tabla367" displayName="Tabla367" ref="B13:E20" totalsRowCount="1" headerRowDxfId="35" headerRowBorderDxfId="34" tableBorderDxfId="33" totalsRowBorderDxfId="32">
  <autoFilter ref="B13:E19" xr:uid="{765294FE-5467-4B25-AD9E-66400D7B9793}"/>
  <tableColumns count="4">
    <tableColumn id="1" xr3:uid="{FCA02F96-72BB-4E3A-9457-8CAF297CEF5B}" name="DETALLE" totalsRowLabel="Total" dataDxfId="31" totalsRowDxfId="30"/>
    <tableColumn id="2" xr3:uid="{4FDBB067-826D-4A5D-BE7F-7E5E311F1C80}" name="CANTIDAD" totalsRowFunction="sum" dataDxfId="29" totalsRowDxfId="28"/>
    <tableColumn id="3" xr3:uid="{C61D5FF3-6132-44D6-B578-6CAA030BD3BF}" name="PRECIO UNIDAD" dataDxfId="27" totalsRowDxfId="26"/>
    <tableColumn id="4" xr3:uid="{6111B482-3886-49D0-8BD3-51B77AECB341}" name="TOTAL" totalsRowFunction="sum" dataDxfId="25" totalsRowDxfId="24">
      <calculatedColumnFormula>D14*C14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5294FE-5467-4B25-AD9E-66400D7B9793}" name="Tabla36" displayName="Tabla36" ref="B10:E17" totalsRowCount="1" headerRowDxfId="23" headerRowBorderDxfId="22" tableBorderDxfId="21" totalsRowBorderDxfId="20">
  <autoFilter ref="B10:E16" xr:uid="{765294FE-5467-4B25-AD9E-66400D7B9793}"/>
  <tableColumns count="4">
    <tableColumn id="1" xr3:uid="{D815D094-25BE-4F97-B88C-0B489B79B6D4}" name="DETALLE" totalsRowLabel="Total" dataDxfId="19" totalsRowDxfId="18"/>
    <tableColumn id="2" xr3:uid="{43742127-2D7F-4E6C-922F-9AE72774F396}" name="CANTIDAD" totalsRowFunction="sum" dataDxfId="17" totalsRowDxfId="16"/>
    <tableColumn id="3" xr3:uid="{1174480C-18BC-4569-9797-9F2BCF828D26}" name="PRECIO UNIDAD" dataDxfId="15" totalsRowDxfId="14"/>
    <tableColumn id="4" xr3:uid="{6328A004-46A6-4C72-A08D-084466A95208}" name="TOTAL" totalsRowFunction="sum" dataDxfId="13" totalsRowDxfId="12">
      <calculatedColumnFormula>D11*C11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C36E52-9673-474A-BD88-6587F2F5A155}" name="Tabla3" displayName="Tabla3" ref="B15:E23" totalsRowCount="1" headerRowDxfId="11" headerRowBorderDxfId="10" tableBorderDxfId="9" totalsRowBorderDxfId="8">
  <autoFilter ref="B15:E22" xr:uid="{C4C36E52-9673-474A-BD88-6587F2F5A155}"/>
  <tableColumns count="4">
    <tableColumn id="1" xr3:uid="{D94433A1-029C-48D6-A85E-747DDA4DA1CC}" name="DETALLE" totalsRowLabel="Total" dataDxfId="7" totalsRowDxfId="6"/>
    <tableColumn id="2" xr3:uid="{C390E8A6-6ED6-45A5-BE3B-2A151B1B9F26}" name="CANTIDAD" totalsRowFunction="sum" dataDxfId="5" totalsRowDxfId="4"/>
    <tableColumn id="3" xr3:uid="{49E53530-5E89-4640-A25F-541BA5BDAF0A}" name="PRECIO UNIDAD" dataDxfId="3" totalsRowDxfId="2"/>
    <tableColumn id="4" xr3:uid="{AA3A39DD-4550-4679-A0FF-69F3D93E1BE6}" name="TOTAL" totalsRowFunction="sum" dataDxfId="1" totalsRowDxfId="0">
      <calculatedColumnFormula>D16*C16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FF42-C361-47DF-BB64-212EFFC76E5C}">
  <sheetPr>
    <tabColor theme="2" tint="-0.499984740745262"/>
    <outlinePr summaryBelow="0" summaryRight="0"/>
  </sheetPr>
  <dimension ref="A1:AB1023"/>
  <sheetViews>
    <sheetView workbookViewId="0">
      <pane xSplit="1" ySplit="4" topLeftCell="B186" activePane="bottomRight" state="frozen"/>
      <selection pane="topRight" activeCell="B1" sqref="B1"/>
      <selection pane="bottomLeft" activeCell="A5" sqref="A5"/>
      <selection pane="bottomRight" activeCell="A2" sqref="A2:M2"/>
    </sheetView>
  </sheetViews>
  <sheetFormatPr baseColWidth="10" defaultColWidth="12.5703125" defaultRowHeight="15.75" customHeight="1" x14ac:dyDescent="0.25"/>
  <cols>
    <col min="1" max="1" width="20.7109375" customWidth="1"/>
    <col min="2" max="2" width="14.42578125" customWidth="1"/>
  </cols>
  <sheetData>
    <row r="1" spans="1:16" ht="13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6" customHeight="1" x14ac:dyDescent="0.25">
      <c r="A2" s="272" t="s">
        <v>61</v>
      </c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</row>
    <row r="3" spans="1:16" ht="13.5" x14ac:dyDescent="0.25">
      <c r="A3" s="1"/>
      <c r="B3" s="2"/>
      <c r="C3" s="2"/>
      <c r="D3" s="2"/>
      <c r="E3" s="2"/>
      <c r="F3" s="3"/>
      <c r="G3" s="2"/>
      <c r="H3" s="2"/>
      <c r="I3" s="2"/>
      <c r="J3" s="2"/>
      <c r="K3" s="2"/>
      <c r="L3" s="3"/>
      <c r="M3" s="2"/>
      <c r="N3" s="1"/>
      <c r="O3" s="1"/>
      <c r="P3" s="1"/>
    </row>
    <row r="4" spans="1:16" ht="25.5" x14ac:dyDescent="0.25">
      <c r="A4" s="85" t="s">
        <v>0</v>
      </c>
      <c r="B4" s="77" t="s">
        <v>1</v>
      </c>
      <c r="C4" s="77" t="s">
        <v>2</v>
      </c>
      <c r="D4" s="77" t="s">
        <v>3</v>
      </c>
      <c r="E4" s="77" t="s">
        <v>4</v>
      </c>
      <c r="F4" s="89" t="s">
        <v>5</v>
      </c>
      <c r="G4" s="77" t="s">
        <v>6</v>
      </c>
      <c r="H4" s="77" t="s">
        <v>7</v>
      </c>
      <c r="I4" s="77" t="s">
        <v>8</v>
      </c>
      <c r="J4" s="77" t="s">
        <v>9</v>
      </c>
      <c r="K4" s="77" t="s">
        <v>10</v>
      </c>
      <c r="L4" s="89" t="s">
        <v>11</v>
      </c>
      <c r="M4" s="77" t="s">
        <v>12</v>
      </c>
      <c r="N4" s="1"/>
      <c r="O4" s="1"/>
      <c r="P4" s="1"/>
    </row>
    <row r="5" spans="1:16" ht="14.25" thickBot="1" x14ac:dyDescent="0.3">
      <c r="A5" s="90"/>
      <c r="B5" s="91"/>
      <c r="C5" s="91"/>
      <c r="D5" s="91"/>
      <c r="E5" s="91"/>
      <c r="F5" s="92"/>
      <c r="G5" s="91"/>
      <c r="H5" s="91"/>
      <c r="I5" s="91"/>
      <c r="J5" s="91"/>
      <c r="K5" s="91"/>
      <c r="L5" s="92"/>
      <c r="M5" s="91"/>
      <c r="N5" s="1"/>
      <c r="O5" s="1"/>
      <c r="P5" s="1"/>
    </row>
    <row r="6" spans="1:16" ht="13.5" x14ac:dyDescent="0.25">
      <c r="A6" s="296" t="s">
        <v>62</v>
      </c>
      <c r="B6" s="96">
        <v>1</v>
      </c>
      <c r="C6" s="97">
        <v>3</v>
      </c>
      <c r="D6" s="97"/>
      <c r="E6" s="97">
        <v>1</v>
      </c>
      <c r="F6" s="98">
        <v>1</v>
      </c>
      <c r="G6" s="97"/>
      <c r="H6" s="97"/>
      <c r="I6" s="97">
        <v>2</v>
      </c>
      <c r="J6" s="97"/>
      <c r="K6" s="97"/>
      <c r="L6" s="98"/>
      <c r="M6" s="107">
        <v>45443</v>
      </c>
      <c r="N6" s="1"/>
      <c r="O6" s="1"/>
      <c r="P6" s="1"/>
    </row>
    <row r="7" spans="1:16" ht="13.5" x14ac:dyDescent="0.25">
      <c r="A7" s="297"/>
      <c r="B7" s="99"/>
      <c r="C7" s="100"/>
      <c r="D7" s="100"/>
      <c r="E7" s="100"/>
      <c r="F7" s="101"/>
      <c r="G7" s="100"/>
      <c r="H7" s="100"/>
      <c r="I7" s="100"/>
      <c r="J7" s="100"/>
      <c r="K7" s="100"/>
      <c r="L7" s="101"/>
      <c r="M7" s="102"/>
      <c r="N7" s="1"/>
      <c r="O7" s="1"/>
      <c r="P7" s="1"/>
    </row>
    <row r="8" spans="1:16" ht="14.25" thickBot="1" x14ac:dyDescent="0.3">
      <c r="A8" s="298"/>
      <c r="B8" s="103"/>
      <c r="C8" s="104"/>
      <c r="D8" s="104"/>
      <c r="E8" s="104"/>
      <c r="F8" s="105"/>
      <c r="G8" s="104"/>
      <c r="H8" s="104"/>
      <c r="I8" s="104"/>
      <c r="J8" s="104"/>
      <c r="K8" s="104"/>
      <c r="L8" s="105"/>
      <c r="M8" s="106"/>
      <c r="N8" s="1"/>
      <c r="O8" s="1"/>
      <c r="P8" s="1"/>
    </row>
    <row r="9" spans="1:16" ht="14.25" thickBot="1" x14ac:dyDescent="0.3">
      <c r="A9" s="93" t="s">
        <v>14</v>
      </c>
      <c r="B9" s="94">
        <f>SUM(B6:B8)</f>
        <v>1</v>
      </c>
      <c r="C9" s="94">
        <f t="shared" ref="C9:L9" si="0">SUM(C6:C8)</f>
        <v>3</v>
      </c>
      <c r="D9" s="94">
        <f t="shared" si="0"/>
        <v>0</v>
      </c>
      <c r="E9" s="94">
        <f t="shared" si="0"/>
        <v>1</v>
      </c>
      <c r="F9" s="94">
        <f t="shared" si="0"/>
        <v>1</v>
      </c>
      <c r="G9" s="94">
        <f t="shared" si="0"/>
        <v>0</v>
      </c>
      <c r="H9" s="94">
        <f t="shared" si="0"/>
        <v>0</v>
      </c>
      <c r="I9" s="94">
        <f t="shared" si="0"/>
        <v>2</v>
      </c>
      <c r="J9" s="94">
        <f t="shared" si="0"/>
        <v>0</v>
      </c>
      <c r="K9" s="94">
        <f t="shared" si="0"/>
        <v>0</v>
      </c>
      <c r="L9" s="94">
        <f t="shared" si="0"/>
        <v>0</v>
      </c>
      <c r="M9" s="95"/>
      <c r="N9" s="1"/>
      <c r="O9" s="1"/>
      <c r="P9" s="1"/>
    </row>
    <row r="10" spans="1:16" ht="14.25" thickBot="1" x14ac:dyDescent="0.3">
      <c r="A10" s="86"/>
      <c r="B10" s="87"/>
      <c r="C10" s="87"/>
      <c r="D10" s="87"/>
      <c r="E10" s="87"/>
      <c r="F10" s="88"/>
      <c r="G10" s="87"/>
      <c r="H10" s="87"/>
      <c r="I10" s="87"/>
      <c r="J10" s="87"/>
      <c r="K10" s="87"/>
      <c r="L10" s="88"/>
      <c r="M10" s="87"/>
      <c r="N10" s="1"/>
      <c r="O10" s="1"/>
      <c r="P10" s="1"/>
    </row>
    <row r="11" spans="1:16" ht="13.5" x14ac:dyDescent="0.25">
      <c r="A11" s="294" t="s">
        <v>0</v>
      </c>
      <c r="B11" s="17">
        <v>1</v>
      </c>
      <c r="C11" s="6">
        <v>3</v>
      </c>
      <c r="D11" s="6">
        <v>1</v>
      </c>
      <c r="E11" s="6"/>
      <c r="F11" s="6">
        <v>1</v>
      </c>
      <c r="G11" s="6"/>
      <c r="H11" s="6"/>
      <c r="I11" s="6">
        <v>1</v>
      </c>
      <c r="J11" s="6"/>
      <c r="K11" s="6"/>
      <c r="L11" s="6"/>
      <c r="M11" s="7">
        <v>45107</v>
      </c>
      <c r="N11" s="1"/>
      <c r="O11" s="1"/>
      <c r="P11" s="1"/>
    </row>
    <row r="12" spans="1:16" ht="13.5" x14ac:dyDescent="0.25">
      <c r="A12" s="295"/>
      <c r="B12" s="18"/>
      <c r="C12" s="8">
        <v>3</v>
      </c>
      <c r="D12" s="8"/>
      <c r="E12" s="8">
        <v>2</v>
      </c>
      <c r="F12" s="8">
        <v>1</v>
      </c>
      <c r="G12" s="8"/>
      <c r="H12" s="8"/>
      <c r="I12" s="8">
        <v>1</v>
      </c>
      <c r="J12" s="8">
        <v>1</v>
      </c>
      <c r="K12" s="8"/>
      <c r="L12" s="8"/>
      <c r="M12" s="9">
        <v>45224</v>
      </c>
      <c r="N12" s="1"/>
      <c r="O12" s="1"/>
      <c r="P12" s="1"/>
    </row>
    <row r="13" spans="1:16" ht="13.5" x14ac:dyDescent="0.25">
      <c r="A13" s="295"/>
      <c r="B13" s="43"/>
      <c r="C13" s="10"/>
      <c r="D13" s="10"/>
      <c r="E13" s="10"/>
      <c r="F13" s="10"/>
      <c r="G13" s="10"/>
      <c r="H13" s="10"/>
      <c r="I13" s="10"/>
      <c r="J13" s="10"/>
      <c r="K13" s="10">
        <v>1</v>
      </c>
      <c r="L13" s="10"/>
      <c r="M13" s="11">
        <v>45455</v>
      </c>
      <c r="N13" s="1"/>
      <c r="O13" s="1"/>
      <c r="P13" s="1"/>
    </row>
    <row r="14" spans="1:16" ht="14.25" thickBot="1" x14ac:dyDescent="0.3">
      <c r="A14" s="295"/>
      <c r="B14" s="108">
        <v>1</v>
      </c>
      <c r="C14" s="109">
        <v>1</v>
      </c>
      <c r="D14" s="109">
        <v>1</v>
      </c>
      <c r="E14" s="109">
        <v>1</v>
      </c>
      <c r="F14" s="109">
        <v>1</v>
      </c>
      <c r="G14" s="109"/>
      <c r="H14" s="109"/>
      <c r="I14" s="109">
        <v>1</v>
      </c>
      <c r="J14" s="109"/>
      <c r="K14" s="109">
        <v>1</v>
      </c>
      <c r="L14" s="109"/>
      <c r="M14" s="110">
        <v>45422</v>
      </c>
      <c r="N14" s="1"/>
      <c r="O14" s="1"/>
      <c r="P14" s="1"/>
    </row>
    <row r="15" spans="1:16" ht="20.100000000000001" customHeight="1" thickBot="1" x14ac:dyDescent="0.3">
      <c r="A15" s="114" t="s">
        <v>14</v>
      </c>
      <c r="B15" s="115">
        <f>SUM(B11:B14)</f>
        <v>2</v>
      </c>
      <c r="C15" s="115">
        <f t="shared" ref="C15:L15" si="1">SUM(C11:C14)</f>
        <v>7</v>
      </c>
      <c r="D15" s="115">
        <f t="shared" si="1"/>
        <v>2</v>
      </c>
      <c r="E15" s="115">
        <f t="shared" si="1"/>
        <v>3</v>
      </c>
      <c r="F15" s="115">
        <f t="shared" si="1"/>
        <v>3</v>
      </c>
      <c r="G15" s="115">
        <f t="shared" si="1"/>
        <v>0</v>
      </c>
      <c r="H15" s="115">
        <f t="shared" si="1"/>
        <v>0</v>
      </c>
      <c r="I15" s="115">
        <f t="shared" si="1"/>
        <v>3</v>
      </c>
      <c r="J15" s="115">
        <f t="shared" si="1"/>
        <v>1</v>
      </c>
      <c r="K15" s="115">
        <f t="shared" si="1"/>
        <v>2</v>
      </c>
      <c r="L15" s="115">
        <f t="shared" si="1"/>
        <v>0</v>
      </c>
      <c r="M15" s="116"/>
      <c r="N15" s="1"/>
      <c r="O15" s="1"/>
      <c r="P15" s="1"/>
    </row>
    <row r="16" spans="1:16" ht="13.5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"/>
      <c r="O16" s="1"/>
      <c r="P16" s="1"/>
    </row>
    <row r="17" spans="1:16" ht="13.5" x14ac:dyDescent="0.25">
      <c r="A17" s="302" t="s">
        <v>15</v>
      </c>
      <c r="B17" s="6">
        <v>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7">
        <v>44985</v>
      </c>
      <c r="N17" s="1"/>
      <c r="O17" s="1"/>
      <c r="P17" s="1"/>
    </row>
    <row r="18" spans="1:16" ht="13.5" x14ac:dyDescent="0.25">
      <c r="A18" s="303"/>
      <c r="B18" s="6"/>
      <c r="C18" s="6"/>
      <c r="D18" s="6">
        <v>1</v>
      </c>
      <c r="E18" s="6"/>
      <c r="F18" s="6">
        <v>1</v>
      </c>
      <c r="G18" s="6"/>
      <c r="H18" s="6"/>
      <c r="I18" s="6"/>
      <c r="J18" s="6"/>
      <c r="K18" s="6"/>
      <c r="L18" s="6"/>
      <c r="M18" s="7">
        <v>45082</v>
      </c>
      <c r="N18" s="1"/>
      <c r="O18" s="1"/>
      <c r="P18" s="1"/>
    </row>
    <row r="19" spans="1:16" ht="13.5" x14ac:dyDescent="0.25">
      <c r="A19" s="303"/>
      <c r="B19" s="6"/>
      <c r="C19" s="6">
        <v>1</v>
      </c>
      <c r="D19" s="6"/>
      <c r="E19" s="6">
        <v>1</v>
      </c>
      <c r="F19" s="6"/>
      <c r="G19" s="6"/>
      <c r="H19" s="6"/>
      <c r="I19" s="6"/>
      <c r="J19" s="6"/>
      <c r="K19" s="6"/>
      <c r="L19" s="6"/>
      <c r="M19" s="7">
        <v>45230</v>
      </c>
      <c r="N19" s="1"/>
      <c r="O19" s="1"/>
      <c r="P19" s="1"/>
    </row>
    <row r="20" spans="1:16" ht="14.25" thickBot="1" x14ac:dyDescent="0.3">
      <c r="A20" s="303"/>
      <c r="B20" s="8"/>
      <c r="C20" s="8">
        <v>1</v>
      </c>
      <c r="D20" s="8"/>
      <c r="E20" s="8"/>
      <c r="F20" s="8"/>
      <c r="G20" s="8"/>
      <c r="H20" s="8"/>
      <c r="I20" s="8">
        <v>1</v>
      </c>
      <c r="J20" s="8"/>
      <c r="K20" s="8"/>
      <c r="L20" s="8"/>
      <c r="M20" s="9">
        <v>45349</v>
      </c>
      <c r="N20" s="1"/>
      <c r="O20" s="1"/>
      <c r="P20" s="1"/>
    </row>
    <row r="21" spans="1:16" ht="20.100000000000001" customHeight="1" thickBot="1" x14ac:dyDescent="0.3">
      <c r="A21" s="24" t="s">
        <v>14</v>
      </c>
      <c r="B21" s="25">
        <f>SUM(B17:B20)</f>
        <v>1</v>
      </c>
      <c r="C21" s="25">
        <f t="shared" ref="C21:L21" si="2">SUM(C17:C20)</f>
        <v>2</v>
      </c>
      <c r="D21" s="25">
        <f t="shared" si="2"/>
        <v>1</v>
      </c>
      <c r="E21" s="25">
        <f t="shared" si="2"/>
        <v>1</v>
      </c>
      <c r="F21" s="25">
        <f t="shared" si="2"/>
        <v>1</v>
      </c>
      <c r="G21" s="25">
        <f t="shared" si="2"/>
        <v>0</v>
      </c>
      <c r="H21" s="25">
        <f t="shared" si="2"/>
        <v>0</v>
      </c>
      <c r="I21" s="25">
        <f t="shared" si="2"/>
        <v>1</v>
      </c>
      <c r="J21" s="25">
        <f t="shared" si="2"/>
        <v>0</v>
      </c>
      <c r="K21" s="25">
        <f t="shared" si="2"/>
        <v>0</v>
      </c>
      <c r="L21" s="25">
        <f t="shared" si="2"/>
        <v>0</v>
      </c>
      <c r="M21" s="111"/>
      <c r="N21" s="1"/>
      <c r="O21" s="1"/>
      <c r="P21" s="1"/>
    </row>
    <row r="22" spans="1:16" ht="14.25" thickBo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"/>
      <c r="O22" s="1"/>
      <c r="P22" s="1"/>
    </row>
    <row r="23" spans="1:16" ht="13.5" x14ac:dyDescent="0.25">
      <c r="A23" s="287" t="s">
        <v>41</v>
      </c>
      <c r="B23" s="17">
        <v>1</v>
      </c>
      <c r="C23" s="6">
        <v>3</v>
      </c>
      <c r="D23" s="6"/>
      <c r="E23" s="6">
        <v>2</v>
      </c>
      <c r="F23" s="6"/>
      <c r="G23" s="6"/>
      <c r="H23" s="6"/>
      <c r="I23" s="6">
        <v>3</v>
      </c>
      <c r="J23" s="6">
        <v>1</v>
      </c>
      <c r="K23" s="6"/>
      <c r="L23" s="6"/>
      <c r="M23" s="7">
        <v>44930</v>
      </c>
      <c r="N23" s="1"/>
      <c r="O23" s="1"/>
      <c r="P23" s="1"/>
    </row>
    <row r="24" spans="1:16" ht="13.5" x14ac:dyDescent="0.25">
      <c r="A24" s="288"/>
      <c r="B24" s="17"/>
      <c r="C24" s="6"/>
      <c r="D24" s="6">
        <v>1</v>
      </c>
      <c r="E24" s="6"/>
      <c r="F24" s="6"/>
      <c r="G24" s="6"/>
      <c r="H24" s="6"/>
      <c r="I24" s="6"/>
      <c r="J24" s="6"/>
      <c r="K24" s="6"/>
      <c r="L24" s="6"/>
      <c r="M24" s="7">
        <v>45044</v>
      </c>
      <c r="N24" s="1"/>
      <c r="O24" s="1"/>
      <c r="P24" s="1"/>
    </row>
    <row r="25" spans="1:16" ht="13.5" x14ac:dyDescent="0.25">
      <c r="A25" s="288"/>
      <c r="B25" s="17"/>
      <c r="C25" s="6"/>
      <c r="D25" s="6">
        <v>1</v>
      </c>
      <c r="E25" s="6"/>
      <c r="F25" s="6"/>
      <c r="G25" s="6"/>
      <c r="H25" s="6"/>
      <c r="I25" s="6"/>
      <c r="J25" s="6"/>
      <c r="K25" s="6"/>
      <c r="L25" s="6"/>
      <c r="M25" s="7">
        <v>44981</v>
      </c>
      <c r="N25" s="1"/>
      <c r="O25" s="1"/>
      <c r="P25" s="1"/>
    </row>
    <row r="26" spans="1:16" ht="13.5" x14ac:dyDescent="0.25">
      <c r="A26" s="288"/>
      <c r="B26" s="17"/>
      <c r="C26" s="6"/>
      <c r="D26" s="6"/>
      <c r="E26" s="6"/>
      <c r="F26" s="6"/>
      <c r="G26" s="6">
        <v>1</v>
      </c>
      <c r="H26" s="6"/>
      <c r="I26" s="6"/>
      <c r="J26" s="6"/>
      <c r="K26" s="6"/>
      <c r="L26" s="6"/>
      <c r="M26" s="7">
        <v>45225</v>
      </c>
      <c r="N26" s="1"/>
      <c r="O26" s="1"/>
      <c r="P26" s="1"/>
    </row>
    <row r="27" spans="1:16" ht="13.5" x14ac:dyDescent="0.25">
      <c r="A27" s="288"/>
      <c r="B27" s="17"/>
      <c r="C27" s="6">
        <v>3</v>
      </c>
      <c r="D27" s="6"/>
      <c r="E27" s="6">
        <v>2</v>
      </c>
      <c r="F27" s="6">
        <v>1</v>
      </c>
      <c r="G27" s="6"/>
      <c r="H27" s="6"/>
      <c r="I27" s="6">
        <v>1</v>
      </c>
      <c r="J27" s="6">
        <v>1</v>
      </c>
      <c r="K27" s="6"/>
      <c r="L27" s="6"/>
      <c r="M27" s="7">
        <v>45224</v>
      </c>
      <c r="N27" s="1"/>
      <c r="O27" s="1"/>
      <c r="P27" s="1"/>
    </row>
    <row r="28" spans="1:16" ht="14.25" thickBot="1" x14ac:dyDescent="0.3">
      <c r="A28" s="289"/>
      <c r="B28" s="18">
        <v>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>
        <v>45254</v>
      </c>
      <c r="N28" s="1"/>
      <c r="O28" s="1"/>
      <c r="P28" s="1"/>
    </row>
    <row r="29" spans="1:16" ht="20.100000000000001" customHeight="1" thickBot="1" x14ac:dyDescent="0.3">
      <c r="A29" s="114" t="s">
        <v>14</v>
      </c>
      <c r="B29" s="115">
        <f t="shared" ref="B29:L29" si="3">SUM(B23:B28)</f>
        <v>2</v>
      </c>
      <c r="C29" s="115">
        <f t="shared" si="3"/>
        <v>6</v>
      </c>
      <c r="D29" s="115">
        <f t="shared" si="3"/>
        <v>2</v>
      </c>
      <c r="E29" s="115">
        <f t="shared" si="3"/>
        <v>4</v>
      </c>
      <c r="F29" s="115">
        <f t="shared" si="3"/>
        <v>1</v>
      </c>
      <c r="G29" s="115">
        <f t="shared" si="3"/>
        <v>1</v>
      </c>
      <c r="H29" s="115">
        <f t="shared" si="3"/>
        <v>0</v>
      </c>
      <c r="I29" s="115">
        <f t="shared" si="3"/>
        <v>4</v>
      </c>
      <c r="J29" s="115">
        <f t="shared" si="3"/>
        <v>2</v>
      </c>
      <c r="K29" s="115">
        <f t="shared" si="3"/>
        <v>0</v>
      </c>
      <c r="L29" s="115">
        <f t="shared" si="3"/>
        <v>0</v>
      </c>
      <c r="M29" s="117"/>
      <c r="N29" s="1"/>
      <c r="O29" s="1"/>
      <c r="P29" s="1"/>
    </row>
    <row r="30" spans="1:16" ht="14.25" thickBo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"/>
      <c r="O30" s="1"/>
      <c r="P30" s="1"/>
    </row>
    <row r="31" spans="1:16" ht="13.5" x14ac:dyDescent="0.25">
      <c r="A31" s="299" t="s">
        <v>16</v>
      </c>
      <c r="B31" s="42">
        <v>1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5">
        <v>45128</v>
      </c>
      <c r="N31" s="1"/>
      <c r="O31" s="1"/>
      <c r="P31" s="1"/>
    </row>
    <row r="32" spans="1:16" ht="13.5" x14ac:dyDescent="0.25">
      <c r="A32" s="300"/>
      <c r="B32" s="17"/>
      <c r="C32" s="6">
        <v>1</v>
      </c>
      <c r="D32" s="6"/>
      <c r="E32" s="6"/>
      <c r="F32" s="6"/>
      <c r="G32" s="6"/>
      <c r="H32" s="6"/>
      <c r="I32" s="6"/>
      <c r="J32" s="6"/>
      <c r="K32" s="6"/>
      <c r="L32" s="6"/>
      <c r="M32" s="36">
        <v>45148</v>
      </c>
      <c r="N32" s="1"/>
      <c r="O32" s="1"/>
      <c r="P32" s="1"/>
    </row>
    <row r="33" spans="1:16" ht="13.5" x14ac:dyDescent="0.25">
      <c r="A33" s="300"/>
      <c r="B33" s="18"/>
      <c r="C33" s="8"/>
      <c r="D33" s="15"/>
      <c r="E33" s="8">
        <v>1</v>
      </c>
      <c r="F33" s="8">
        <v>1</v>
      </c>
      <c r="G33" s="8"/>
      <c r="H33" s="8"/>
      <c r="I33" s="8"/>
      <c r="J33" s="8"/>
      <c r="K33" s="8"/>
      <c r="L33" s="8"/>
      <c r="M33" s="37">
        <v>45173</v>
      </c>
      <c r="N33" s="1"/>
      <c r="O33" s="1"/>
      <c r="P33" s="1"/>
    </row>
    <row r="34" spans="1:16" ht="13.5" x14ac:dyDescent="0.25">
      <c r="A34" s="300"/>
      <c r="B34" s="43"/>
      <c r="C34" s="10">
        <v>3</v>
      </c>
      <c r="D34" s="16">
        <v>1</v>
      </c>
      <c r="E34" s="10">
        <v>2</v>
      </c>
      <c r="F34" s="10">
        <v>1</v>
      </c>
      <c r="G34" s="10"/>
      <c r="H34" s="10"/>
      <c r="I34" s="10">
        <v>1</v>
      </c>
      <c r="J34" s="10">
        <v>1</v>
      </c>
      <c r="K34" s="10"/>
      <c r="L34" s="10"/>
      <c r="M34" s="38">
        <v>45224</v>
      </c>
      <c r="N34" s="1"/>
      <c r="O34" s="1"/>
      <c r="P34" s="1"/>
    </row>
    <row r="35" spans="1:16" ht="14.25" thickBot="1" x14ac:dyDescent="0.3">
      <c r="A35" s="301"/>
      <c r="B35" s="39"/>
      <c r="C35" s="39"/>
      <c r="D35" s="40"/>
      <c r="E35" s="39"/>
      <c r="F35" s="39"/>
      <c r="G35" s="39"/>
      <c r="H35" s="39"/>
      <c r="I35" s="39">
        <v>1</v>
      </c>
      <c r="J35" s="39"/>
      <c r="K35" s="39"/>
      <c r="L35" s="39"/>
      <c r="M35" s="41">
        <v>45449</v>
      </c>
      <c r="N35" s="1"/>
      <c r="O35" s="1"/>
      <c r="P35" s="1"/>
    </row>
    <row r="36" spans="1:16" ht="20.100000000000001" customHeight="1" thickBot="1" x14ac:dyDescent="0.3">
      <c r="A36" s="112" t="s">
        <v>14</v>
      </c>
      <c r="B36" s="70">
        <f>SUM(B31:B35)</f>
        <v>1</v>
      </c>
      <c r="C36" s="70">
        <f t="shared" ref="C36:L36" si="4">SUM(C31:C35)</f>
        <v>4</v>
      </c>
      <c r="D36" s="70">
        <f t="shared" si="4"/>
        <v>1</v>
      </c>
      <c r="E36" s="70">
        <f t="shared" si="4"/>
        <v>3</v>
      </c>
      <c r="F36" s="70">
        <f t="shared" si="4"/>
        <v>2</v>
      </c>
      <c r="G36" s="70">
        <f t="shared" si="4"/>
        <v>0</v>
      </c>
      <c r="H36" s="70">
        <f t="shared" si="4"/>
        <v>0</v>
      </c>
      <c r="I36" s="70">
        <f t="shared" si="4"/>
        <v>2</v>
      </c>
      <c r="J36" s="70">
        <f t="shared" si="4"/>
        <v>1</v>
      </c>
      <c r="K36" s="70">
        <f t="shared" si="4"/>
        <v>0</v>
      </c>
      <c r="L36" s="70">
        <f t="shared" si="4"/>
        <v>0</v>
      </c>
      <c r="M36" s="70"/>
      <c r="N36" s="1"/>
      <c r="O36" s="1"/>
      <c r="P36" s="1"/>
    </row>
    <row r="37" spans="1:16" ht="14.25" thickBot="1" x14ac:dyDescent="0.3">
      <c r="A37" s="44"/>
      <c r="B37" s="14"/>
      <c r="C37" s="14"/>
      <c r="D37" s="45"/>
      <c r="E37" s="14"/>
      <c r="F37" s="14"/>
      <c r="G37" s="14"/>
      <c r="H37" s="14"/>
      <c r="I37" s="14"/>
      <c r="J37" s="14"/>
      <c r="K37" s="14"/>
      <c r="L37" s="14"/>
      <c r="M37" s="46"/>
      <c r="N37" s="1"/>
      <c r="O37" s="1"/>
      <c r="P37" s="1"/>
    </row>
    <row r="38" spans="1:16" ht="13.5" x14ac:dyDescent="0.25">
      <c r="A38" s="281" t="s">
        <v>17</v>
      </c>
      <c r="B38" s="42">
        <v>1</v>
      </c>
      <c r="C38" s="34">
        <v>2</v>
      </c>
      <c r="D38" s="34"/>
      <c r="E38" s="34"/>
      <c r="F38" s="34"/>
      <c r="G38" s="34"/>
      <c r="H38" s="34"/>
      <c r="I38" s="34"/>
      <c r="J38" s="34">
        <v>1</v>
      </c>
      <c r="K38" s="34"/>
      <c r="L38" s="34"/>
      <c r="M38" s="35">
        <v>44930</v>
      </c>
      <c r="N38" s="1"/>
      <c r="O38" s="1"/>
      <c r="P38" s="1"/>
    </row>
    <row r="39" spans="1:16" ht="13.5" x14ac:dyDescent="0.25">
      <c r="A39" s="292"/>
      <c r="B39" s="17"/>
      <c r="C39" s="6"/>
      <c r="D39" s="6"/>
      <c r="E39" s="6"/>
      <c r="F39" s="6">
        <v>1</v>
      </c>
      <c r="G39" s="6"/>
      <c r="H39" s="6"/>
      <c r="I39" s="6"/>
      <c r="J39" s="6"/>
      <c r="K39" s="6"/>
      <c r="L39" s="6"/>
      <c r="M39" s="36">
        <v>44981</v>
      </c>
      <c r="N39" s="1"/>
      <c r="O39" s="1"/>
      <c r="P39" s="1"/>
    </row>
    <row r="40" spans="1:16" ht="13.5" x14ac:dyDescent="0.25">
      <c r="A40" s="292"/>
      <c r="B40" s="17"/>
      <c r="C40" s="6"/>
      <c r="D40" s="6"/>
      <c r="E40" s="6"/>
      <c r="F40" s="6"/>
      <c r="G40" s="6"/>
      <c r="H40" s="6"/>
      <c r="I40" s="6">
        <v>1</v>
      </c>
      <c r="J40" s="6"/>
      <c r="K40" s="6"/>
      <c r="L40" s="6"/>
      <c r="M40" s="36">
        <v>45070</v>
      </c>
      <c r="N40" s="1"/>
      <c r="O40" s="1"/>
      <c r="P40" s="1"/>
    </row>
    <row r="41" spans="1:16" ht="13.5" x14ac:dyDescent="0.25">
      <c r="A41" s="292"/>
      <c r="B41" s="17"/>
      <c r="C41" s="6"/>
      <c r="D41" s="6"/>
      <c r="E41" s="6"/>
      <c r="F41" s="6"/>
      <c r="G41" s="6"/>
      <c r="H41" s="6"/>
      <c r="I41" s="6"/>
      <c r="J41" s="6"/>
      <c r="K41" s="6">
        <v>1</v>
      </c>
      <c r="L41" s="6"/>
      <c r="M41" s="36" t="s">
        <v>18</v>
      </c>
      <c r="N41" s="1"/>
      <c r="O41" s="1"/>
      <c r="P41" s="1"/>
    </row>
    <row r="42" spans="1:16" ht="13.5" x14ac:dyDescent="0.25">
      <c r="A42" s="292"/>
      <c r="B42" s="17">
        <v>1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36">
        <v>45170</v>
      </c>
      <c r="N42" s="1"/>
      <c r="O42" s="1"/>
      <c r="P42" s="1"/>
    </row>
    <row r="43" spans="1:16" ht="13.5" x14ac:dyDescent="0.25">
      <c r="A43" s="292"/>
      <c r="B43" s="17">
        <v>1</v>
      </c>
      <c r="C43" s="6">
        <v>3</v>
      </c>
      <c r="D43" s="6"/>
      <c r="E43" s="6"/>
      <c r="F43" s="6">
        <v>1</v>
      </c>
      <c r="G43" s="6"/>
      <c r="H43" s="6"/>
      <c r="I43" s="6">
        <v>1</v>
      </c>
      <c r="J43" s="6">
        <v>1</v>
      </c>
      <c r="K43" s="6"/>
      <c r="L43" s="6"/>
      <c r="M43" s="36">
        <v>45224</v>
      </c>
      <c r="N43" s="1"/>
      <c r="O43" s="1"/>
      <c r="P43" s="1"/>
    </row>
    <row r="44" spans="1:16" ht="13.5" x14ac:dyDescent="0.25">
      <c r="A44" s="292"/>
      <c r="B44" s="18"/>
      <c r="C44" s="8"/>
      <c r="D44" s="8"/>
      <c r="E44" s="8">
        <v>1</v>
      </c>
      <c r="F44" s="8">
        <v>1</v>
      </c>
      <c r="G44" s="8"/>
      <c r="H44" s="8"/>
      <c r="I44" s="8">
        <v>1</v>
      </c>
      <c r="J44" s="8"/>
      <c r="K44" s="8"/>
      <c r="L44" s="8"/>
      <c r="M44" s="37">
        <v>45415</v>
      </c>
      <c r="N44" s="1"/>
      <c r="O44" s="1"/>
      <c r="P44" s="1"/>
    </row>
    <row r="45" spans="1:16" ht="14.25" thickBot="1" x14ac:dyDescent="0.3">
      <c r="A45" s="293"/>
      <c r="B45" s="50"/>
      <c r="C45" s="39"/>
      <c r="D45" s="39">
        <v>1</v>
      </c>
      <c r="E45" s="39"/>
      <c r="F45" s="39"/>
      <c r="G45" s="39"/>
      <c r="H45" s="39"/>
      <c r="I45" s="39"/>
      <c r="J45" s="39"/>
      <c r="K45" s="39"/>
      <c r="L45" s="39"/>
      <c r="M45" s="41" t="s">
        <v>13</v>
      </c>
      <c r="N45" s="1"/>
      <c r="O45" s="1"/>
      <c r="P45" s="1"/>
    </row>
    <row r="46" spans="1:16" s="20" customFormat="1" ht="20.100000000000001" customHeight="1" thickBot="1" x14ac:dyDescent="0.3">
      <c r="A46" s="118" t="s">
        <v>14</v>
      </c>
      <c r="B46" s="115">
        <f t="shared" ref="B46:L46" si="5">SUM(B38:B45)</f>
        <v>3</v>
      </c>
      <c r="C46" s="115">
        <f t="shared" si="5"/>
        <v>5</v>
      </c>
      <c r="D46" s="115">
        <f t="shared" si="5"/>
        <v>1</v>
      </c>
      <c r="E46" s="115">
        <f t="shared" si="5"/>
        <v>1</v>
      </c>
      <c r="F46" s="115">
        <f t="shared" si="5"/>
        <v>3</v>
      </c>
      <c r="G46" s="115">
        <f t="shared" si="5"/>
        <v>0</v>
      </c>
      <c r="H46" s="115">
        <f t="shared" si="5"/>
        <v>0</v>
      </c>
      <c r="I46" s="115">
        <f t="shared" si="5"/>
        <v>3</v>
      </c>
      <c r="J46" s="115">
        <f t="shared" si="5"/>
        <v>2</v>
      </c>
      <c r="K46" s="115">
        <f t="shared" si="5"/>
        <v>1</v>
      </c>
      <c r="L46" s="115">
        <f t="shared" si="5"/>
        <v>0</v>
      </c>
      <c r="M46" s="117"/>
      <c r="N46" s="19"/>
      <c r="O46" s="19"/>
      <c r="P46" s="19"/>
    </row>
    <row r="47" spans="1:16" ht="14.25" thickBo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"/>
      <c r="O47" s="1"/>
      <c r="P47" s="1"/>
    </row>
    <row r="48" spans="1:16" ht="13.5" x14ac:dyDescent="0.25">
      <c r="A48" s="306" t="s">
        <v>19</v>
      </c>
      <c r="B48" s="34">
        <v>1</v>
      </c>
      <c r="C48" s="34">
        <v>3</v>
      </c>
      <c r="D48" s="34">
        <v>1</v>
      </c>
      <c r="E48" s="34">
        <v>1</v>
      </c>
      <c r="F48" s="34">
        <v>1</v>
      </c>
      <c r="G48" s="34"/>
      <c r="H48" s="34"/>
      <c r="I48" s="34">
        <v>1</v>
      </c>
      <c r="J48" s="34"/>
      <c r="K48" s="34"/>
      <c r="L48" s="34"/>
      <c r="M48" s="35">
        <v>45080</v>
      </c>
      <c r="N48" s="1"/>
      <c r="O48" s="1"/>
      <c r="P48" s="1"/>
    </row>
    <row r="49" spans="1:16" ht="13.5" x14ac:dyDescent="0.25">
      <c r="A49" s="307"/>
      <c r="B49" s="6"/>
      <c r="C49" s="6">
        <v>2</v>
      </c>
      <c r="D49" s="6"/>
      <c r="E49" s="6">
        <v>2</v>
      </c>
      <c r="F49" s="6">
        <v>1</v>
      </c>
      <c r="G49" s="6"/>
      <c r="H49" s="6"/>
      <c r="I49" s="6"/>
      <c r="J49" s="6"/>
      <c r="K49" s="6"/>
      <c r="L49" s="6"/>
      <c r="M49" s="36">
        <v>45224</v>
      </c>
      <c r="N49" s="1"/>
      <c r="O49" s="1"/>
      <c r="P49" s="1"/>
    </row>
    <row r="50" spans="1:16" ht="13.5" x14ac:dyDescent="0.25">
      <c r="A50" s="307"/>
      <c r="B50" s="6"/>
      <c r="C50" s="6"/>
      <c r="D50" s="6"/>
      <c r="E50" s="6"/>
      <c r="F50" s="6"/>
      <c r="G50" s="6"/>
      <c r="H50" s="6"/>
      <c r="I50" s="6"/>
      <c r="J50" s="6"/>
      <c r="K50" s="6">
        <v>1</v>
      </c>
      <c r="L50" s="6"/>
      <c r="M50" s="36" t="s">
        <v>13</v>
      </c>
      <c r="N50" s="1"/>
      <c r="O50" s="1"/>
      <c r="P50" s="1"/>
    </row>
    <row r="51" spans="1:16" ht="14.25" thickBot="1" x14ac:dyDescent="0.3">
      <c r="A51" s="308"/>
      <c r="B51" s="47"/>
      <c r="C51" s="47"/>
      <c r="D51" s="47"/>
      <c r="E51" s="47"/>
      <c r="F51" s="47"/>
      <c r="G51" s="47"/>
      <c r="H51" s="47"/>
      <c r="I51" s="47"/>
      <c r="J51" s="47">
        <v>1</v>
      </c>
      <c r="K51" s="47"/>
      <c r="L51" s="47"/>
      <c r="M51" s="48">
        <v>45302</v>
      </c>
      <c r="N51" s="1"/>
      <c r="O51" s="1"/>
      <c r="P51" s="1"/>
    </row>
    <row r="52" spans="1:16" ht="20.100000000000001" customHeight="1" thickBot="1" x14ac:dyDescent="0.3">
      <c r="A52" s="24" t="s">
        <v>14</v>
      </c>
      <c r="B52" s="25">
        <f t="shared" ref="B52:L52" si="6">SUM(B48:B51)</f>
        <v>1</v>
      </c>
      <c r="C52" s="25">
        <f t="shared" si="6"/>
        <v>5</v>
      </c>
      <c r="D52" s="25">
        <f t="shared" si="6"/>
        <v>1</v>
      </c>
      <c r="E52" s="25">
        <f t="shared" si="6"/>
        <v>3</v>
      </c>
      <c r="F52" s="25">
        <f t="shared" si="6"/>
        <v>2</v>
      </c>
      <c r="G52" s="25">
        <f t="shared" si="6"/>
        <v>0</v>
      </c>
      <c r="H52" s="25">
        <f t="shared" si="6"/>
        <v>0</v>
      </c>
      <c r="I52" s="25">
        <f t="shared" si="6"/>
        <v>1</v>
      </c>
      <c r="J52" s="25">
        <f t="shared" si="6"/>
        <v>1</v>
      </c>
      <c r="K52" s="25">
        <f t="shared" si="6"/>
        <v>1</v>
      </c>
      <c r="L52" s="25">
        <f t="shared" si="6"/>
        <v>0</v>
      </c>
      <c r="M52" s="111"/>
      <c r="N52" s="1"/>
      <c r="O52" s="1"/>
      <c r="P52" s="1"/>
    </row>
    <row r="53" spans="1:16" ht="14.25" thickBot="1" x14ac:dyDescent="0.3">
      <c r="A53" s="4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46"/>
      <c r="N53" s="1"/>
      <c r="O53" s="1"/>
      <c r="P53" s="1"/>
    </row>
    <row r="54" spans="1:16" ht="13.5" x14ac:dyDescent="0.25">
      <c r="A54" s="281" t="s">
        <v>20</v>
      </c>
      <c r="B54" s="42"/>
      <c r="C54" s="34">
        <v>1</v>
      </c>
      <c r="D54" s="34"/>
      <c r="E54" s="34"/>
      <c r="F54" s="34"/>
      <c r="G54" s="34"/>
      <c r="H54" s="34"/>
      <c r="I54" s="34"/>
      <c r="J54" s="34"/>
      <c r="K54" s="34"/>
      <c r="L54" s="34"/>
      <c r="M54" s="35">
        <v>45369</v>
      </c>
      <c r="N54" s="1"/>
      <c r="O54" s="1"/>
      <c r="P54" s="1"/>
    </row>
    <row r="55" spans="1:16" ht="13.5" x14ac:dyDescent="0.25">
      <c r="A55" s="282"/>
      <c r="B55" s="17">
        <v>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36">
        <v>45295</v>
      </c>
      <c r="N55" s="1"/>
      <c r="O55" s="1"/>
      <c r="P55" s="1"/>
    </row>
    <row r="56" spans="1:16" ht="13.5" x14ac:dyDescent="0.25">
      <c r="A56" s="282"/>
      <c r="B56" s="17"/>
      <c r="C56" s="6"/>
      <c r="D56" s="6"/>
      <c r="E56" s="6"/>
      <c r="F56" s="6"/>
      <c r="G56" s="6"/>
      <c r="H56" s="6"/>
      <c r="I56" s="6"/>
      <c r="J56" s="6"/>
      <c r="K56" s="6">
        <v>1</v>
      </c>
      <c r="L56" s="6"/>
      <c r="M56" s="36">
        <v>45286</v>
      </c>
      <c r="N56" s="1"/>
      <c r="O56" s="1"/>
      <c r="P56" s="1"/>
    </row>
    <row r="57" spans="1:16" ht="13.5" x14ac:dyDescent="0.25">
      <c r="A57" s="282"/>
      <c r="B57" s="17"/>
      <c r="C57" s="6">
        <v>3</v>
      </c>
      <c r="D57" s="6"/>
      <c r="E57" s="6">
        <v>2</v>
      </c>
      <c r="F57" s="6">
        <v>1</v>
      </c>
      <c r="G57" s="6"/>
      <c r="H57" s="6"/>
      <c r="I57" s="6">
        <v>1</v>
      </c>
      <c r="J57" s="6">
        <v>1</v>
      </c>
      <c r="K57" s="6"/>
      <c r="L57" s="6"/>
      <c r="M57" s="36">
        <v>45224</v>
      </c>
      <c r="N57" s="1"/>
      <c r="O57" s="1"/>
      <c r="P57" s="1"/>
    </row>
    <row r="58" spans="1:16" ht="14.25" thickBot="1" x14ac:dyDescent="0.3">
      <c r="A58" s="283"/>
      <c r="B58" s="49"/>
      <c r="C58" s="47">
        <v>3</v>
      </c>
      <c r="D58" s="47"/>
      <c r="E58" s="47"/>
      <c r="F58" s="47">
        <v>1</v>
      </c>
      <c r="G58" s="47"/>
      <c r="H58" s="47"/>
      <c r="I58" s="47">
        <v>1</v>
      </c>
      <c r="J58" s="47"/>
      <c r="K58" s="47"/>
      <c r="L58" s="47"/>
      <c r="M58" s="48">
        <v>45107</v>
      </c>
      <c r="N58" s="1"/>
      <c r="O58" s="1"/>
      <c r="P58" s="1"/>
    </row>
    <row r="59" spans="1:16" ht="20.100000000000001" customHeight="1" thickBot="1" x14ac:dyDescent="0.3">
      <c r="A59" s="114" t="s">
        <v>14</v>
      </c>
      <c r="B59" s="115">
        <f t="shared" ref="B59:L59" si="7">SUM(B54:B58)</f>
        <v>1</v>
      </c>
      <c r="C59" s="115">
        <f t="shared" si="7"/>
        <v>7</v>
      </c>
      <c r="D59" s="115">
        <f t="shared" si="7"/>
        <v>0</v>
      </c>
      <c r="E59" s="115">
        <f t="shared" si="7"/>
        <v>2</v>
      </c>
      <c r="F59" s="115">
        <f t="shared" si="7"/>
        <v>2</v>
      </c>
      <c r="G59" s="115">
        <f t="shared" si="7"/>
        <v>0</v>
      </c>
      <c r="H59" s="115">
        <f t="shared" si="7"/>
        <v>0</v>
      </c>
      <c r="I59" s="115">
        <f t="shared" si="7"/>
        <v>2</v>
      </c>
      <c r="J59" s="115">
        <f t="shared" si="7"/>
        <v>1</v>
      </c>
      <c r="K59" s="115">
        <f t="shared" si="7"/>
        <v>1</v>
      </c>
      <c r="L59" s="115">
        <f t="shared" si="7"/>
        <v>0</v>
      </c>
      <c r="M59" s="119"/>
      <c r="N59" s="1"/>
      <c r="O59" s="1"/>
      <c r="P59" s="1"/>
    </row>
    <row r="60" spans="1:16" ht="14.25" thickBo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"/>
      <c r="O60" s="1"/>
      <c r="P60" s="1"/>
    </row>
    <row r="61" spans="1:16" ht="13.5" x14ac:dyDescent="0.25">
      <c r="A61" s="278" t="s">
        <v>21</v>
      </c>
      <c r="B61" s="42"/>
      <c r="C61" s="34">
        <v>1</v>
      </c>
      <c r="D61" s="34"/>
      <c r="E61" s="34"/>
      <c r="F61" s="34"/>
      <c r="G61" s="34"/>
      <c r="H61" s="34"/>
      <c r="I61" s="34"/>
      <c r="J61" s="34"/>
      <c r="K61" s="34"/>
      <c r="L61" s="34"/>
      <c r="M61" s="35">
        <v>45148</v>
      </c>
      <c r="N61" s="1"/>
      <c r="O61" s="1"/>
      <c r="P61" s="1"/>
    </row>
    <row r="62" spans="1:16" ht="13.5" x14ac:dyDescent="0.25">
      <c r="A62" s="279"/>
      <c r="B62" s="17"/>
      <c r="C62" s="6">
        <v>3</v>
      </c>
      <c r="D62" s="6"/>
      <c r="E62" s="6">
        <v>2</v>
      </c>
      <c r="F62" s="6">
        <v>1</v>
      </c>
      <c r="G62" s="6"/>
      <c r="H62" s="6"/>
      <c r="I62" s="6">
        <v>1</v>
      </c>
      <c r="J62" s="6">
        <v>1</v>
      </c>
      <c r="K62" s="6"/>
      <c r="L62" s="6"/>
      <c r="M62" s="36">
        <v>45224</v>
      </c>
      <c r="N62" s="1"/>
      <c r="O62" s="1"/>
      <c r="P62" s="1"/>
    </row>
    <row r="63" spans="1:16" ht="13.5" x14ac:dyDescent="0.25">
      <c r="A63" s="279"/>
      <c r="B63" s="17"/>
      <c r="C63" s="6"/>
      <c r="D63" s="6"/>
      <c r="E63" s="6"/>
      <c r="F63" s="6"/>
      <c r="G63" s="6"/>
      <c r="H63" s="6"/>
      <c r="I63" s="6"/>
      <c r="J63" s="6"/>
      <c r="K63" s="6">
        <v>1</v>
      </c>
      <c r="L63" s="6"/>
      <c r="M63" s="36" t="s">
        <v>13</v>
      </c>
      <c r="N63" s="1"/>
      <c r="O63" s="1"/>
      <c r="P63" s="1"/>
    </row>
    <row r="64" spans="1:16" ht="13.5" x14ac:dyDescent="0.25">
      <c r="A64" s="279"/>
      <c r="B64" s="17">
        <v>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36">
        <v>45310</v>
      </c>
      <c r="N64" s="1"/>
      <c r="O64" s="1"/>
      <c r="P64" s="1"/>
    </row>
    <row r="65" spans="1:16" ht="14.25" thickBot="1" x14ac:dyDescent="0.3">
      <c r="A65" s="280"/>
      <c r="B65" s="49">
        <v>1</v>
      </c>
      <c r="C65" s="47"/>
      <c r="D65" s="47"/>
      <c r="E65" s="47"/>
      <c r="F65" s="47"/>
      <c r="G65" s="47"/>
      <c r="H65" s="47"/>
      <c r="I65" s="47">
        <v>1</v>
      </c>
      <c r="J65" s="47"/>
      <c r="K65" s="47"/>
      <c r="L65" s="47"/>
      <c r="M65" s="48">
        <v>45378</v>
      </c>
      <c r="N65" s="1"/>
      <c r="O65" s="1"/>
      <c r="P65" s="1"/>
    </row>
    <row r="66" spans="1:16" ht="20.100000000000001" customHeight="1" thickBot="1" x14ac:dyDescent="0.3">
      <c r="A66" s="24" t="s">
        <v>14</v>
      </c>
      <c r="B66" s="25">
        <f>SUM(B61:B65)</f>
        <v>2</v>
      </c>
      <c r="C66" s="25">
        <f t="shared" ref="C66:L66" si="8">SUM(C61:C65)</f>
        <v>4</v>
      </c>
      <c r="D66" s="25">
        <f t="shared" si="8"/>
        <v>0</v>
      </c>
      <c r="E66" s="25">
        <f t="shared" si="8"/>
        <v>2</v>
      </c>
      <c r="F66" s="25">
        <f t="shared" si="8"/>
        <v>1</v>
      </c>
      <c r="G66" s="25">
        <f t="shared" si="8"/>
        <v>0</v>
      </c>
      <c r="H66" s="25">
        <f t="shared" si="8"/>
        <v>0</v>
      </c>
      <c r="I66" s="25">
        <f t="shared" si="8"/>
        <v>2</v>
      </c>
      <c r="J66" s="25">
        <f t="shared" si="8"/>
        <v>1</v>
      </c>
      <c r="K66" s="25">
        <f t="shared" si="8"/>
        <v>1</v>
      </c>
      <c r="L66" s="25">
        <f t="shared" si="8"/>
        <v>0</v>
      </c>
      <c r="M66" s="111"/>
      <c r="N66" s="1"/>
      <c r="O66" s="1"/>
      <c r="P66" s="1"/>
    </row>
    <row r="67" spans="1:16" ht="14.25" thickBo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"/>
      <c r="O67" s="1"/>
      <c r="P67" s="1"/>
    </row>
    <row r="68" spans="1:16" ht="13.5" x14ac:dyDescent="0.25">
      <c r="A68" s="287" t="s">
        <v>22</v>
      </c>
      <c r="B68" s="42"/>
      <c r="C68" s="34">
        <v>4</v>
      </c>
      <c r="D68" s="34"/>
      <c r="E68" s="34">
        <v>1</v>
      </c>
      <c r="F68" s="34"/>
      <c r="G68" s="34"/>
      <c r="H68" s="34"/>
      <c r="I68" s="34">
        <v>2</v>
      </c>
      <c r="J68" s="34">
        <v>1</v>
      </c>
      <c r="K68" s="34"/>
      <c r="L68" s="34"/>
      <c r="M68" s="35">
        <v>44930</v>
      </c>
      <c r="N68" s="1"/>
      <c r="O68" s="1"/>
      <c r="P68" s="1"/>
    </row>
    <row r="69" spans="1:16" ht="13.5" x14ac:dyDescent="0.25">
      <c r="A69" s="288"/>
      <c r="B69" s="17"/>
      <c r="C69" s="6"/>
      <c r="D69" s="6">
        <v>1</v>
      </c>
      <c r="E69" s="6"/>
      <c r="F69" s="6"/>
      <c r="G69" s="6"/>
      <c r="H69" s="6"/>
      <c r="I69" s="6"/>
      <c r="J69" s="6"/>
      <c r="K69" s="6"/>
      <c r="L69" s="6"/>
      <c r="M69" s="36">
        <v>45044</v>
      </c>
      <c r="N69" s="1"/>
      <c r="O69" s="1"/>
      <c r="P69" s="1"/>
    </row>
    <row r="70" spans="1:16" ht="13.5" x14ac:dyDescent="0.25">
      <c r="A70" s="288"/>
      <c r="B70" s="17"/>
      <c r="C70" s="6"/>
      <c r="D70" s="6"/>
      <c r="E70" s="6"/>
      <c r="F70" s="6">
        <v>1</v>
      </c>
      <c r="G70" s="6"/>
      <c r="H70" s="6"/>
      <c r="I70" s="6"/>
      <c r="J70" s="6"/>
      <c r="K70" s="6"/>
      <c r="L70" s="6"/>
      <c r="M70" s="36">
        <v>45110</v>
      </c>
      <c r="N70" s="1"/>
      <c r="O70" s="1"/>
      <c r="P70" s="1"/>
    </row>
    <row r="71" spans="1:16" ht="13.5" x14ac:dyDescent="0.25">
      <c r="A71" s="288"/>
      <c r="B71" s="17">
        <v>1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36">
        <v>45128</v>
      </c>
      <c r="N71" s="1"/>
      <c r="O71" s="1"/>
      <c r="P71" s="1"/>
    </row>
    <row r="72" spans="1:16" ht="14.25" thickBot="1" x14ac:dyDescent="0.3">
      <c r="A72" s="289"/>
      <c r="B72" s="49"/>
      <c r="C72" s="47">
        <v>3</v>
      </c>
      <c r="D72" s="47"/>
      <c r="E72" s="47">
        <v>2</v>
      </c>
      <c r="F72" s="47">
        <v>1</v>
      </c>
      <c r="G72" s="47"/>
      <c r="H72" s="47"/>
      <c r="I72" s="47">
        <v>1</v>
      </c>
      <c r="J72" s="47">
        <v>1</v>
      </c>
      <c r="K72" s="47"/>
      <c r="L72" s="47"/>
      <c r="M72" s="48">
        <v>45224</v>
      </c>
      <c r="N72" s="1"/>
      <c r="O72" s="1"/>
      <c r="P72" s="1"/>
    </row>
    <row r="73" spans="1:16" ht="20.100000000000001" customHeight="1" thickBot="1" x14ac:dyDescent="0.3">
      <c r="A73" s="114" t="s">
        <v>14</v>
      </c>
      <c r="B73" s="115">
        <f t="shared" ref="B73:L73" si="9">SUM(B68:B72)</f>
        <v>1</v>
      </c>
      <c r="C73" s="115">
        <f t="shared" si="9"/>
        <v>7</v>
      </c>
      <c r="D73" s="115">
        <f t="shared" si="9"/>
        <v>1</v>
      </c>
      <c r="E73" s="115">
        <f t="shared" si="9"/>
        <v>3</v>
      </c>
      <c r="F73" s="115">
        <f t="shared" si="9"/>
        <v>2</v>
      </c>
      <c r="G73" s="115">
        <f t="shared" si="9"/>
        <v>0</v>
      </c>
      <c r="H73" s="115">
        <f t="shared" si="9"/>
        <v>0</v>
      </c>
      <c r="I73" s="115">
        <f t="shared" si="9"/>
        <v>3</v>
      </c>
      <c r="J73" s="115">
        <f t="shared" si="9"/>
        <v>2</v>
      </c>
      <c r="K73" s="115">
        <f t="shared" si="9"/>
        <v>0</v>
      </c>
      <c r="L73" s="115">
        <f t="shared" si="9"/>
        <v>0</v>
      </c>
      <c r="M73" s="117"/>
      <c r="N73" s="1"/>
      <c r="O73" s="1"/>
      <c r="P73" s="1"/>
    </row>
    <row r="74" spans="1:16" ht="14.25" thickBot="1" x14ac:dyDescent="0.3">
      <c r="A74" s="4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46"/>
      <c r="N74" s="1"/>
      <c r="O74" s="1"/>
      <c r="P74" s="1"/>
    </row>
    <row r="75" spans="1:16" ht="13.5" x14ac:dyDescent="0.25">
      <c r="A75" s="278" t="s">
        <v>23</v>
      </c>
      <c r="B75" s="42"/>
      <c r="C75" s="34">
        <v>3</v>
      </c>
      <c r="D75" s="34"/>
      <c r="E75" s="34">
        <v>2</v>
      </c>
      <c r="F75" s="34">
        <v>1</v>
      </c>
      <c r="G75" s="34"/>
      <c r="H75" s="34"/>
      <c r="I75" s="34"/>
      <c r="J75" s="34"/>
      <c r="K75" s="34"/>
      <c r="L75" s="34"/>
      <c r="M75" s="35">
        <v>45233</v>
      </c>
      <c r="N75" s="1"/>
      <c r="O75" s="1"/>
      <c r="P75" s="1"/>
    </row>
    <row r="76" spans="1:16" ht="13.5" x14ac:dyDescent="0.25">
      <c r="A76" s="304"/>
      <c r="B76" s="17"/>
      <c r="C76" s="6"/>
      <c r="D76" s="6"/>
      <c r="E76" s="6"/>
      <c r="F76" s="6"/>
      <c r="G76" s="6">
        <v>1</v>
      </c>
      <c r="H76" s="6"/>
      <c r="I76" s="6"/>
      <c r="J76" s="6"/>
      <c r="K76" s="6"/>
      <c r="L76" s="6"/>
      <c r="M76" s="36">
        <v>45225</v>
      </c>
      <c r="N76" s="1"/>
      <c r="O76" s="1"/>
      <c r="P76" s="1"/>
    </row>
    <row r="77" spans="1:16" ht="13.5" x14ac:dyDescent="0.25">
      <c r="A77" s="304"/>
      <c r="B77" s="17"/>
      <c r="C77" s="6"/>
      <c r="D77" s="6">
        <v>1</v>
      </c>
      <c r="E77" s="6"/>
      <c r="F77" s="6"/>
      <c r="G77" s="6"/>
      <c r="H77" s="6"/>
      <c r="I77" s="6"/>
      <c r="J77" s="6"/>
      <c r="K77" s="6"/>
      <c r="L77" s="6"/>
      <c r="M77" s="36">
        <v>45044</v>
      </c>
      <c r="N77" s="1"/>
      <c r="O77" s="1"/>
      <c r="P77" s="1"/>
    </row>
    <row r="78" spans="1:16" ht="13.5" x14ac:dyDescent="0.25">
      <c r="A78" s="304"/>
      <c r="B78" s="18">
        <v>1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37">
        <v>44985</v>
      </c>
      <c r="N78" s="1"/>
      <c r="O78" s="1"/>
      <c r="P78" s="1"/>
    </row>
    <row r="79" spans="1:16" ht="13.5" x14ac:dyDescent="0.25">
      <c r="A79" s="304"/>
      <c r="B79" s="43"/>
      <c r="C79" s="10">
        <v>2</v>
      </c>
      <c r="D79" s="10"/>
      <c r="E79" s="10">
        <v>2</v>
      </c>
      <c r="F79" s="10"/>
      <c r="G79" s="10"/>
      <c r="H79" s="10"/>
      <c r="I79" s="10"/>
      <c r="J79" s="10"/>
      <c r="K79" s="10"/>
      <c r="L79" s="10"/>
      <c r="M79" s="38" t="s">
        <v>13</v>
      </c>
      <c r="N79" s="1"/>
      <c r="O79" s="1"/>
      <c r="P79" s="1"/>
    </row>
    <row r="80" spans="1:16" ht="14.25" thickBot="1" x14ac:dyDescent="0.3">
      <c r="A80" s="305"/>
      <c r="B80" s="50"/>
      <c r="C80" s="39"/>
      <c r="D80" s="39"/>
      <c r="E80" s="39"/>
      <c r="F80" s="39"/>
      <c r="G80" s="39"/>
      <c r="H80" s="39"/>
      <c r="I80" s="39">
        <v>3</v>
      </c>
      <c r="J80" s="39"/>
      <c r="K80" s="39"/>
      <c r="L80" s="39"/>
      <c r="M80" s="41">
        <v>45447</v>
      </c>
      <c r="N80" s="1"/>
      <c r="O80" s="1"/>
      <c r="P80" s="1"/>
    </row>
    <row r="81" spans="1:16" ht="20.100000000000001" customHeight="1" thickBot="1" x14ac:dyDescent="0.3">
      <c r="A81" s="112" t="s">
        <v>14</v>
      </c>
      <c r="B81" s="70">
        <f>SUM(B75:B80)</f>
        <v>1</v>
      </c>
      <c r="C81" s="70">
        <f t="shared" ref="C81:L81" si="10">SUM(C75:C80)</f>
        <v>5</v>
      </c>
      <c r="D81" s="70">
        <f t="shared" si="10"/>
        <v>1</v>
      </c>
      <c r="E81" s="70">
        <f t="shared" si="10"/>
        <v>4</v>
      </c>
      <c r="F81" s="70">
        <f t="shared" si="10"/>
        <v>1</v>
      </c>
      <c r="G81" s="70">
        <f t="shared" si="10"/>
        <v>1</v>
      </c>
      <c r="H81" s="70">
        <f t="shared" si="10"/>
        <v>0</v>
      </c>
      <c r="I81" s="70">
        <f t="shared" si="10"/>
        <v>3</v>
      </c>
      <c r="J81" s="70">
        <f t="shared" si="10"/>
        <v>0</v>
      </c>
      <c r="K81" s="70">
        <f t="shared" si="10"/>
        <v>0</v>
      </c>
      <c r="L81" s="70">
        <f t="shared" si="10"/>
        <v>0</v>
      </c>
      <c r="M81" s="113"/>
      <c r="N81" s="1"/>
      <c r="O81" s="1"/>
      <c r="P81" s="1"/>
    </row>
    <row r="82" spans="1:16" ht="14.25" thickBo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"/>
      <c r="O82" s="1"/>
      <c r="P82" s="1"/>
    </row>
    <row r="83" spans="1:16" ht="13.5" x14ac:dyDescent="0.25">
      <c r="A83" s="287" t="s">
        <v>24</v>
      </c>
      <c r="B83" s="42">
        <v>1</v>
      </c>
      <c r="C83" s="34">
        <v>3</v>
      </c>
      <c r="D83" s="34"/>
      <c r="E83" s="34">
        <v>2</v>
      </c>
      <c r="F83" s="34"/>
      <c r="G83" s="34"/>
      <c r="H83" s="34"/>
      <c r="I83" s="34">
        <v>2</v>
      </c>
      <c r="J83" s="34">
        <v>2</v>
      </c>
      <c r="K83" s="34"/>
      <c r="L83" s="34"/>
      <c r="M83" s="35">
        <v>44930</v>
      </c>
      <c r="N83" s="1"/>
      <c r="O83" s="1"/>
      <c r="P83" s="1"/>
    </row>
    <row r="84" spans="1:16" ht="13.5" x14ac:dyDescent="0.25">
      <c r="A84" s="288"/>
      <c r="B84" s="17"/>
      <c r="C84" s="6"/>
      <c r="D84" s="6">
        <v>1</v>
      </c>
      <c r="E84" s="6"/>
      <c r="F84" s="6"/>
      <c r="G84" s="6"/>
      <c r="H84" s="6"/>
      <c r="I84" s="6"/>
      <c r="J84" s="6"/>
      <c r="K84" s="6"/>
      <c r="L84" s="6"/>
      <c r="M84" s="36">
        <v>45044</v>
      </c>
      <c r="N84" s="1"/>
      <c r="O84" s="1"/>
      <c r="P84" s="1"/>
    </row>
    <row r="85" spans="1:16" ht="13.5" x14ac:dyDescent="0.25">
      <c r="A85" s="288"/>
      <c r="B85" s="17"/>
      <c r="C85" s="6"/>
      <c r="D85" s="6"/>
      <c r="E85" s="6"/>
      <c r="F85" s="6">
        <v>1</v>
      </c>
      <c r="G85" s="6"/>
      <c r="H85" s="6"/>
      <c r="I85" s="6"/>
      <c r="J85" s="6"/>
      <c r="K85" s="6"/>
      <c r="L85" s="6"/>
      <c r="M85" s="36">
        <v>45091</v>
      </c>
      <c r="N85" s="1"/>
      <c r="O85" s="1"/>
      <c r="P85" s="1"/>
    </row>
    <row r="86" spans="1:16" ht="13.5" x14ac:dyDescent="0.25">
      <c r="A86" s="288"/>
      <c r="B86" s="17">
        <v>1</v>
      </c>
      <c r="C86" s="6">
        <v>3</v>
      </c>
      <c r="D86" s="6"/>
      <c r="E86" s="6">
        <v>2</v>
      </c>
      <c r="F86" s="6">
        <v>1</v>
      </c>
      <c r="G86" s="6"/>
      <c r="H86" s="6"/>
      <c r="I86" s="6">
        <v>1</v>
      </c>
      <c r="J86" s="6">
        <v>1</v>
      </c>
      <c r="K86" s="6"/>
      <c r="L86" s="6"/>
      <c r="M86" s="36">
        <v>45224</v>
      </c>
      <c r="N86" s="1"/>
      <c r="O86" s="1"/>
      <c r="P86" s="1"/>
    </row>
    <row r="87" spans="1:16" ht="14.25" thickBot="1" x14ac:dyDescent="0.3">
      <c r="A87" s="289"/>
      <c r="B87" s="49">
        <v>1</v>
      </c>
      <c r="C87" s="47">
        <v>1</v>
      </c>
      <c r="D87" s="47"/>
      <c r="E87" s="47"/>
      <c r="F87" s="47"/>
      <c r="G87" s="47"/>
      <c r="H87" s="47"/>
      <c r="I87" s="47">
        <v>1</v>
      </c>
      <c r="J87" s="47"/>
      <c r="K87" s="47"/>
      <c r="L87" s="47"/>
      <c r="M87" s="48">
        <v>45414</v>
      </c>
      <c r="N87" s="1"/>
      <c r="O87" s="1"/>
      <c r="P87" s="1"/>
    </row>
    <row r="88" spans="1:16" ht="20.100000000000001" customHeight="1" thickBot="1" x14ac:dyDescent="0.3">
      <c r="A88" s="114" t="s">
        <v>14</v>
      </c>
      <c r="B88" s="115">
        <f t="shared" ref="B88:L88" si="11">SUM(B83:B87)</f>
        <v>3</v>
      </c>
      <c r="C88" s="115">
        <f t="shared" si="11"/>
        <v>7</v>
      </c>
      <c r="D88" s="115">
        <f t="shared" si="11"/>
        <v>1</v>
      </c>
      <c r="E88" s="115">
        <f t="shared" si="11"/>
        <v>4</v>
      </c>
      <c r="F88" s="115">
        <f t="shared" si="11"/>
        <v>2</v>
      </c>
      <c r="G88" s="115">
        <f t="shared" si="11"/>
        <v>0</v>
      </c>
      <c r="H88" s="115">
        <f t="shared" si="11"/>
        <v>0</v>
      </c>
      <c r="I88" s="115">
        <f t="shared" si="11"/>
        <v>4</v>
      </c>
      <c r="J88" s="115">
        <f t="shared" si="11"/>
        <v>3</v>
      </c>
      <c r="K88" s="115">
        <f t="shared" si="11"/>
        <v>0</v>
      </c>
      <c r="L88" s="115">
        <f t="shared" si="11"/>
        <v>0</v>
      </c>
      <c r="M88" s="117"/>
      <c r="N88" s="1"/>
      <c r="O88" s="1"/>
      <c r="P88" s="1"/>
    </row>
    <row r="89" spans="1:16" ht="14.25" thickBo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"/>
      <c r="O89" s="1"/>
      <c r="P89" s="1"/>
    </row>
    <row r="90" spans="1:16" ht="13.5" x14ac:dyDescent="0.25">
      <c r="A90" s="278" t="s">
        <v>25</v>
      </c>
      <c r="B90" s="42">
        <v>1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5">
        <v>44986</v>
      </c>
      <c r="N90" s="1"/>
      <c r="O90" s="1"/>
      <c r="P90" s="1"/>
    </row>
    <row r="91" spans="1:16" ht="13.5" x14ac:dyDescent="0.25">
      <c r="A91" s="279"/>
      <c r="B91" s="17"/>
      <c r="C91" s="6"/>
      <c r="D91" s="6"/>
      <c r="E91" s="6"/>
      <c r="F91" s="6"/>
      <c r="G91" s="6"/>
      <c r="H91" s="6"/>
      <c r="I91" s="6">
        <v>1</v>
      </c>
      <c r="J91" s="6">
        <v>1</v>
      </c>
      <c r="K91" s="6"/>
      <c r="L91" s="6"/>
      <c r="M91" s="36">
        <v>45062</v>
      </c>
      <c r="N91" s="1"/>
      <c r="O91" s="1"/>
      <c r="P91" s="1"/>
    </row>
    <row r="92" spans="1:16" ht="13.5" x14ac:dyDescent="0.25">
      <c r="A92" s="279"/>
      <c r="B92" s="17"/>
      <c r="C92" s="6"/>
      <c r="D92" s="6"/>
      <c r="E92" s="6"/>
      <c r="F92" s="6"/>
      <c r="G92" s="6"/>
      <c r="H92" s="6"/>
      <c r="I92" s="6"/>
      <c r="J92" s="6"/>
      <c r="K92" s="6">
        <v>1</v>
      </c>
      <c r="L92" s="6"/>
      <c r="M92" s="36" t="s">
        <v>18</v>
      </c>
      <c r="N92" s="1"/>
      <c r="O92" s="1"/>
      <c r="P92" s="1"/>
    </row>
    <row r="93" spans="1:16" ht="13.5" x14ac:dyDescent="0.25">
      <c r="A93" s="279"/>
      <c r="B93" s="17"/>
      <c r="C93" s="6"/>
      <c r="D93" s="6">
        <v>1</v>
      </c>
      <c r="E93" s="6"/>
      <c r="F93" s="6"/>
      <c r="G93" s="6"/>
      <c r="H93" s="6">
        <v>1</v>
      </c>
      <c r="I93" s="6"/>
      <c r="J93" s="6"/>
      <c r="K93" s="6"/>
      <c r="L93" s="6"/>
      <c r="M93" s="36">
        <v>45096</v>
      </c>
      <c r="N93" s="1"/>
      <c r="O93" s="1"/>
      <c r="P93" s="1"/>
    </row>
    <row r="94" spans="1:16" ht="13.5" x14ac:dyDescent="0.25">
      <c r="A94" s="279"/>
      <c r="B94" s="17">
        <v>1</v>
      </c>
      <c r="C94" s="6">
        <v>3</v>
      </c>
      <c r="D94" s="6"/>
      <c r="E94" s="6">
        <v>1</v>
      </c>
      <c r="F94" s="6">
        <v>1</v>
      </c>
      <c r="G94" s="6"/>
      <c r="H94" s="6"/>
      <c r="I94" s="6">
        <v>1</v>
      </c>
      <c r="J94" s="6">
        <v>1</v>
      </c>
      <c r="K94" s="6"/>
      <c r="L94" s="6"/>
      <c r="M94" s="36">
        <v>45224</v>
      </c>
      <c r="N94" s="1"/>
      <c r="O94" s="1"/>
      <c r="P94" s="1"/>
    </row>
    <row r="95" spans="1:16" ht="13.5" x14ac:dyDescent="0.25">
      <c r="A95" s="279"/>
      <c r="B95" s="17"/>
      <c r="C95" s="6"/>
      <c r="D95" s="6"/>
      <c r="E95" s="6"/>
      <c r="F95" s="6"/>
      <c r="G95" s="6"/>
      <c r="H95" s="6"/>
      <c r="I95" s="6"/>
      <c r="J95" s="6"/>
      <c r="K95" s="6">
        <v>1</v>
      </c>
      <c r="L95" s="6"/>
      <c r="M95" s="36">
        <v>45317</v>
      </c>
      <c r="N95" s="1"/>
      <c r="O95" s="1"/>
      <c r="P95" s="1"/>
    </row>
    <row r="96" spans="1:16" ht="14.25" thickBot="1" x14ac:dyDescent="0.3">
      <c r="A96" s="280"/>
      <c r="B96" s="49"/>
      <c r="C96" s="47"/>
      <c r="D96" s="47"/>
      <c r="E96" s="47"/>
      <c r="F96" s="47"/>
      <c r="G96" s="47"/>
      <c r="H96" s="47"/>
      <c r="I96" s="47">
        <v>1</v>
      </c>
      <c r="J96" s="47"/>
      <c r="K96" s="47"/>
      <c r="L96" s="47"/>
      <c r="M96" s="48">
        <v>45419</v>
      </c>
      <c r="N96" s="1"/>
      <c r="O96" s="1"/>
      <c r="P96" s="1"/>
    </row>
    <row r="97" spans="1:16" ht="20.100000000000001" customHeight="1" thickBot="1" x14ac:dyDescent="0.3">
      <c r="A97" s="24" t="s">
        <v>14</v>
      </c>
      <c r="B97" s="25">
        <f t="shared" ref="B97:L97" si="12">SUM(B90:B96)</f>
        <v>2</v>
      </c>
      <c r="C97" s="25">
        <f t="shared" si="12"/>
        <v>3</v>
      </c>
      <c r="D97" s="25">
        <f t="shared" si="12"/>
        <v>1</v>
      </c>
      <c r="E97" s="25">
        <f t="shared" si="12"/>
        <v>1</v>
      </c>
      <c r="F97" s="25">
        <f t="shared" si="12"/>
        <v>1</v>
      </c>
      <c r="G97" s="25">
        <f t="shared" si="12"/>
        <v>0</v>
      </c>
      <c r="H97" s="25">
        <f t="shared" si="12"/>
        <v>1</v>
      </c>
      <c r="I97" s="25">
        <f t="shared" si="12"/>
        <v>3</v>
      </c>
      <c r="J97" s="25">
        <f t="shared" si="12"/>
        <v>2</v>
      </c>
      <c r="K97" s="25">
        <f t="shared" si="12"/>
        <v>2</v>
      </c>
      <c r="L97" s="25">
        <f t="shared" si="12"/>
        <v>0</v>
      </c>
      <c r="M97" s="111"/>
      <c r="N97" s="1"/>
      <c r="O97" s="1"/>
      <c r="P97" s="1"/>
    </row>
    <row r="98" spans="1:16" ht="14.25" thickBot="1" x14ac:dyDescent="0.3">
      <c r="A98" s="4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46"/>
      <c r="N98" s="1"/>
      <c r="O98" s="1"/>
      <c r="P98" s="1"/>
    </row>
    <row r="99" spans="1:16" ht="13.5" x14ac:dyDescent="0.25">
      <c r="A99" s="281" t="s">
        <v>26</v>
      </c>
      <c r="B99" s="42"/>
      <c r="C99" s="34">
        <v>3</v>
      </c>
      <c r="D99" s="34"/>
      <c r="E99" s="34"/>
      <c r="F99" s="34">
        <v>1</v>
      </c>
      <c r="G99" s="34"/>
      <c r="H99" s="34"/>
      <c r="I99" s="34">
        <v>1</v>
      </c>
      <c r="J99" s="34"/>
      <c r="K99" s="34"/>
      <c r="L99" s="34"/>
      <c r="M99" s="35">
        <v>45107</v>
      </c>
      <c r="N99" s="1"/>
      <c r="O99" s="1"/>
      <c r="P99" s="1"/>
    </row>
    <row r="100" spans="1:16" ht="13.5" x14ac:dyDescent="0.25">
      <c r="A100" s="282"/>
      <c r="B100" s="17"/>
      <c r="C100" s="6"/>
      <c r="D100" s="6"/>
      <c r="E100" s="6"/>
      <c r="F100" s="6"/>
      <c r="G100" s="6"/>
      <c r="H100" s="6"/>
      <c r="I100" s="6"/>
      <c r="J100" s="6"/>
      <c r="K100" s="6">
        <v>1</v>
      </c>
      <c r="L100" s="6"/>
      <c r="M100" s="36" t="s">
        <v>18</v>
      </c>
      <c r="N100" s="1"/>
      <c r="O100" s="1"/>
      <c r="P100" s="1"/>
    </row>
    <row r="101" spans="1:16" ht="13.5" x14ac:dyDescent="0.25">
      <c r="A101" s="282"/>
      <c r="B101" s="17"/>
      <c r="C101" s="6">
        <v>3</v>
      </c>
      <c r="D101" s="6"/>
      <c r="E101" s="6">
        <v>2</v>
      </c>
      <c r="F101" s="6">
        <v>1</v>
      </c>
      <c r="G101" s="6"/>
      <c r="H101" s="6"/>
      <c r="I101" s="6">
        <v>1</v>
      </c>
      <c r="J101" s="6">
        <v>1</v>
      </c>
      <c r="K101" s="6"/>
      <c r="L101" s="6"/>
      <c r="M101" s="36">
        <v>45224</v>
      </c>
      <c r="N101" s="1"/>
      <c r="O101" s="1"/>
      <c r="P101" s="1"/>
    </row>
    <row r="102" spans="1:16" ht="14.25" thickBot="1" x14ac:dyDescent="0.3">
      <c r="A102" s="283"/>
      <c r="B102" s="49">
        <v>1</v>
      </c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8">
        <v>45288</v>
      </c>
      <c r="N102" s="1"/>
      <c r="O102" s="1"/>
      <c r="P102" s="1"/>
    </row>
    <row r="103" spans="1:16" ht="20.100000000000001" customHeight="1" thickBot="1" x14ac:dyDescent="0.3">
      <c r="A103" s="120" t="s">
        <v>14</v>
      </c>
      <c r="B103" s="115">
        <f t="shared" ref="B103:L103" si="13">SUM(B99:B102)</f>
        <v>1</v>
      </c>
      <c r="C103" s="115">
        <f t="shared" si="13"/>
        <v>6</v>
      </c>
      <c r="D103" s="115">
        <f t="shared" si="13"/>
        <v>0</v>
      </c>
      <c r="E103" s="115">
        <f t="shared" si="13"/>
        <v>2</v>
      </c>
      <c r="F103" s="115">
        <f t="shared" si="13"/>
        <v>2</v>
      </c>
      <c r="G103" s="115">
        <f t="shared" si="13"/>
        <v>0</v>
      </c>
      <c r="H103" s="115">
        <f t="shared" si="13"/>
        <v>0</v>
      </c>
      <c r="I103" s="115">
        <f t="shared" si="13"/>
        <v>2</v>
      </c>
      <c r="J103" s="115">
        <f t="shared" si="13"/>
        <v>1</v>
      </c>
      <c r="K103" s="115">
        <f t="shared" si="13"/>
        <v>1</v>
      </c>
      <c r="L103" s="115">
        <f t="shared" si="13"/>
        <v>0</v>
      </c>
      <c r="M103" s="117"/>
      <c r="N103" s="1"/>
      <c r="O103" s="1"/>
      <c r="P103" s="1"/>
    </row>
    <row r="104" spans="1:16" ht="14.25" thickBo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"/>
      <c r="O104" s="1"/>
      <c r="P104" s="1"/>
    </row>
    <row r="105" spans="1:16" ht="13.5" x14ac:dyDescent="0.25">
      <c r="A105" s="284" t="s">
        <v>27</v>
      </c>
      <c r="B105" s="42"/>
      <c r="C105" s="34">
        <v>1</v>
      </c>
      <c r="D105" s="34"/>
      <c r="E105" s="34">
        <v>2</v>
      </c>
      <c r="F105" s="34"/>
      <c r="G105" s="34"/>
      <c r="H105" s="34"/>
      <c r="I105" s="34"/>
      <c r="J105" s="34"/>
      <c r="K105" s="34"/>
      <c r="L105" s="34"/>
      <c r="M105" s="35">
        <v>44930</v>
      </c>
      <c r="N105" s="1"/>
      <c r="O105" s="1"/>
      <c r="P105" s="1"/>
    </row>
    <row r="106" spans="1:16" ht="13.5" x14ac:dyDescent="0.25">
      <c r="A106" s="285"/>
      <c r="B106" s="17">
        <v>1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36">
        <v>44985</v>
      </c>
      <c r="N106" s="1"/>
      <c r="O106" s="1"/>
      <c r="P106" s="1"/>
    </row>
    <row r="107" spans="1:16" ht="13.5" x14ac:dyDescent="0.25">
      <c r="A107" s="285"/>
      <c r="B107" s="18"/>
      <c r="C107" s="8"/>
      <c r="D107" s="8">
        <v>1</v>
      </c>
      <c r="E107" s="8"/>
      <c r="F107" s="8"/>
      <c r="G107" s="8"/>
      <c r="H107" s="8"/>
      <c r="I107" s="8"/>
      <c r="J107" s="8"/>
      <c r="K107" s="8"/>
      <c r="L107" s="8"/>
      <c r="M107" s="37">
        <v>45044</v>
      </c>
      <c r="N107" s="1"/>
      <c r="O107" s="1"/>
      <c r="P107" s="1"/>
    </row>
    <row r="108" spans="1:16" ht="13.5" x14ac:dyDescent="0.25">
      <c r="A108" s="285"/>
      <c r="B108" s="43"/>
      <c r="C108" s="10"/>
      <c r="D108" s="10"/>
      <c r="E108" s="10"/>
      <c r="F108" s="10"/>
      <c r="G108" s="10">
        <v>1</v>
      </c>
      <c r="H108" s="10"/>
      <c r="I108" s="10"/>
      <c r="J108" s="10"/>
      <c r="K108" s="10"/>
      <c r="L108" s="10"/>
      <c r="M108" s="51">
        <v>45225</v>
      </c>
      <c r="N108" s="1"/>
      <c r="O108" s="1"/>
      <c r="P108" s="1"/>
    </row>
    <row r="109" spans="1:16" ht="14.25" thickBot="1" x14ac:dyDescent="0.3">
      <c r="A109" s="286"/>
      <c r="B109" s="50"/>
      <c r="C109" s="39"/>
      <c r="D109" s="39"/>
      <c r="E109" s="39"/>
      <c r="F109" s="39"/>
      <c r="G109" s="39"/>
      <c r="H109" s="39"/>
      <c r="I109" s="39">
        <v>3</v>
      </c>
      <c r="J109" s="39"/>
      <c r="K109" s="39"/>
      <c r="L109" s="52"/>
      <c r="M109" s="41">
        <v>45447</v>
      </c>
      <c r="N109" s="1"/>
      <c r="O109" s="1"/>
      <c r="P109" s="1"/>
    </row>
    <row r="110" spans="1:16" ht="20.100000000000001" customHeight="1" thickBot="1" x14ac:dyDescent="0.3">
      <c r="A110" s="112" t="s">
        <v>14</v>
      </c>
      <c r="B110" s="70">
        <f>SUM(B105:B109)</f>
        <v>1</v>
      </c>
      <c r="C110" s="70">
        <f t="shared" ref="C110:L110" si="14">SUM(C105:C109)</f>
        <v>1</v>
      </c>
      <c r="D110" s="70">
        <f t="shared" si="14"/>
        <v>1</v>
      </c>
      <c r="E110" s="70">
        <f t="shared" si="14"/>
        <v>2</v>
      </c>
      <c r="F110" s="70">
        <f t="shared" si="14"/>
        <v>0</v>
      </c>
      <c r="G110" s="70">
        <f t="shared" si="14"/>
        <v>1</v>
      </c>
      <c r="H110" s="70">
        <f t="shared" si="14"/>
        <v>0</v>
      </c>
      <c r="I110" s="70">
        <f t="shared" si="14"/>
        <v>3</v>
      </c>
      <c r="J110" s="70">
        <f t="shared" si="14"/>
        <v>0</v>
      </c>
      <c r="K110" s="70">
        <f t="shared" si="14"/>
        <v>0</v>
      </c>
      <c r="L110" s="70">
        <f t="shared" si="14"/>
        <v>0</v>
      </c>
      <c r="M110" s="70"/>
      <c r="N110" s="1"/>
      <c r="O110" s="1"/>
      <c r="P110" s="1"/>
    </row>
    <row r="111" spans="1:16" ht="14.25" thickBo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"/>
      <c r="O111" s="1"/>
      <c r="P111" s="1"/>
    </row>
    <row r="112" spans="1:16" ht="13.5" x14ac:dyDescent="0.25">
      <c r="A112" s="281" t="s">
        <v>28</v>
      </c>
      <c r="B112" s="53"/>
      <c r="C112" s="54">
        <v>2</v>
      </c>
      <c r="D112" s="54"/>
      <c r="E112" s="54">
        <v>1</v>
      </c>
      <c r="F112" s="54">
        <v>1</v>
      </c>
      <c r="G112" s="54"/>
      <c r="H112" s="54"/>
      <c r="I112" s="54"/>
      <c r="J112" s="54"/>
      <c r="K112" s="54"/>
      <c r="L112" s="54"/>
      <c r="M112" s="55">
        <v>45330</v>
      </c>
      <c r="N112" s="1"/>
      <c r="O112" s="1"/>
      <c r="P112" s="1"/>
    </row>
    <row r="113" spans="1:16" ht="13.5" x14ac:dyDescent="0.25">
      <c r="A113" s="292"/>
      <c r="B113" s="56"/>
      <c r="C113" s="10"/>
      <c r="D113" s="10"/>
      <c r="E113" s="10"/>
      <c r="F113" s="10"/>
      <c r="G113" s="10">
        <v>1</v>
      </c>
      <c r="H113" s="10"/>
      <c r="I113" s="10"/>
      <c r="J113" s="10"/>
      <c r="K113" s="10"/>
      <c r="L113" s="10"/>
      <c r="M113" s="38">
        <v>45377</v>
      </c>
      <c r="N113" s="1"/>
      <c r="O113" s="1"/>
      <c r="P113" s="1"/>
    </row>
    <row r="114" spans="1:16" ht="14.25" thickBot="1" x14ac:dyDescent="0.3">
      <c r="A114" s="293"/>
      <c r="B114" s="57"/>
      <c r="C114" s="39"/>
      <c r="D114" s="39"/>
      <c r="E114" s="39"/>
      <c r="F114" s="39"/>
      <c r="G114" s="39"/>
      <c r="H114" s="39"/>
      <c r="I114" s="39">
        <v>3</v>
      </c>
      <c r="J114" s="39"/>
      <c r="K114" s="39"/>
      <c r="L114" s="39"/>
      <c r="M114" s="41">
        <v>45447</v>
      </c>
      <c r="N114" s="1"/>
      <c r="O114" s="1"/>
      <c r="P114" s="1"/>
    </row>
    <row r="115" spans="1:16" s="21" customFormat="1" ht="20.100000000000001" customHeight="1" thickBot="1" x14ac:dyDescent="0.3">
      <c r="A115" s="121" t="s">
        <v>14</v>
      </c>
      <c r="B115" s="115">
        <f>SUM(B112:B114)</f>
        <v>0</v>
      </c>
      <c r="C115" s="115">
        <f t="shared" ref="C115:L115" si="15">SUM(C112:C114)</f>
        <v>2</v>
      </c>
      <c r="D115" s="115">
        <f t="shared" si="15"/>
        <v>0</v>
      </c>
      <c r="E115" s="115">
        <f t="shared" si="15"/>
        <v>1</v>
      </c>
      <c r="F115" s="115">
        <f t="shared" si="15"/>
        <v>1</v>
      </c>
      <c r="G115" s="115">
        <f t="shared" si="15"/>
        <v>1</v>
      </c>
      <c r="H115" s="115">
        <f t="shared" si="15"/>
        <v>0</v>
      </c>
      <c r="I115" s="115">
        <f t="shared" si="15"/>
        <v>3</v>
      </c>
      <c r="J115" s="115">
        <f t="shared" si="15"/>
        <v>0</v>
      </c>
      <c r="K115" s="115">
        <f t="shared" si="15"/>
        <v>0</v>
      </c>
      <c r="L115" s="115">
        <f t="shared" si="15"/>
        <v>0</v>
      </c>
      <c r="M115" s="117"/>
      <c r="N115" s="19"/>
      <c r="O115" s="19"/>
      <c r="P115" s="19"/>
    </row>
    <row r="116" spans="1:16" ht="14.25" thickBot="1" x14ac:dyDescent="0.3">
      <c r="A116" s="4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46"/>
      <c r="N116" s="1"/>
      <c r="O116" s="1"/>
      <c r="P116" s="1"/>
    </row>
    <row r="117" spans="1:16" ht="13.5" x14ac:dyDescent="0.25">
      <c r="A117" s="278" t="s">
        <v>29</v>
      </c>
      <c r="B117" s="58">
        <v>1</v>
      </c>
      <c r="C117" s="34">
        <v>3</v>
      </c>
      <c r="D117" s="34"/>
      <c r="E117" s="34"/>
      <c r="F117" s="34">
        <v>1</v>
      </c>
      <c r="G117" s="34"/>
      <c r="H117" s="34"/>
      <c r="I117" s="34">
        <v>1</v>
      </c>
      <c r="J117" s="34"/>
      <c r="K117" s="34"/>
      <c r="L117" s="34"/>
      <c r="M117" s="35">
        <v>45107</v>
      </c>
      <c r="N117" s="1"/>
      <c r="O117" s="1"/>
      <c r="P117" s="1"/>
    </row>
    <row r="118" spans="1:16" ht="13.5" x14ac:dyDescent="0.25">
      <c r="A118" s="279"/>
      <c r="B118" s="59"/>
      <c r="C118" s="6">
        <v>3</v>
      </c>
      <c r="D118" s="6"/>
      <c r="E118" s="6">
        <v>2</v>
      </c>
      <c r="F118" s="6">
        <v>1</v>
      </c>
      <c r="G118" s="6"/>
      <c r="H118" s="6"/>
      <c r="I118" s="6">
        <v>1</v>
      </c>
      <c r="J118" s="6">
        <v>1</v>
      </c>
      <c r="K118" s="6"/>
      <c r="L118" s="6"/>
      <c r="M118" s="36">
        <v>45224</v>
      </c>
      <c r="N118" s="1"/>
      <c r="O118" s="1"/>
      <c r="P118" s="1"/>
    </row>
    <row r="119" spans="1:16" ht="14.25" thickBot="1" x14ac:dyDescent="0.3">
      <c r="A119" s="280"/>
      <c r="B119" s="60"/>
      <c r="C119" s="47"/>
      <c r="D119" s="47"/>
      <c r="E119" s="47"/>
      <c r="F119" s="47"/>
      <c r="G119" s="47"/>
      <c r="H119" s="47"/>
      <c r="I119" s="47"/>
      <c r="J119" s="47"/>
      <c r="K119" s="47">
        <v>1</v>
      </c>
      <c r="L119" s="47"/>
      <c r="M119" s="48">
        <v>45286</v>
      </c>
      <c r="N119" s="1"/>
      <c r="O119" s="1"/>
      <c r="P119" s="1"/>
    </row>
    <row r="120" spans="1:16" ht="20.100000000000001" customHeight="1" thickBot="1" x14ac:dyDescent="0.3">
      <c r="A120" s="24" t="s">
        <v>14</v>
      </c>
      <c r="B120" s="25">
        <f>SUM(B117:B119)</f>
        <v>1</v>
      </c>
      <c r="C120" s="25">
        <f t="shared" ref="C120:L120" si="16">SUM(C117:C119)</f>
        <v>6</v>
      </c>
      <c r="D120" s="25">
        <f t="shared" si="16"/>
        <v>0</v>
      </c>
      <c r="E120" s="25">
        <f t="shared" si="16"/>
        <v>2</v>
      </c>
      <c r="F120" s="25">
        <f t="shared" si="16"/>
        <v>2</v>
      </c>
      <c r="G120" s="25">
        <f t="shared" si="16"/>
        <v>0</v>
      </c>
      <c r="H120" s="25">
        <f t="shared" si="16"/>
        <v>0</v>
      </c>
      <c r="I120" s="25">
        <f t="shared" si="16"/>
        <v>2</v>
      </c>
      <c r="J120" s="25">
        <f t="shared" si="16"/>
        <v>1</v>
      </c>
      <c r="K120" s="25">
        <f t="shared" si="16"/>
        <v>1</v>
      </c>
      <c r="L120" s="25">
        <f t="shared" si="16"/>
        <v>0</v>
      </c>
      <c r="M120" s="26"/>
      <c r="N120" s="1"/>
      <c r="O120" s="1"/>
      <c r="P120" s="1"/>
    </row>
    <row r="121" spans="1:16" ht="15" customHeight="1" thickBot="1" x14ac:dyDescent="0.3">
      <c r="A121" s="22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23"/>
      <c r="N121" s="1"/>
      <c r="O121" s="1"/>
      <c r="P121" s="1"/>
    </row>
    <row r="122" spans="1:16" ht="13.5" x14ac:dyDescent="0.25">
      <c r="A122" s="287" t="s">
        <v>30</v>
      </c>
      <c r="B122" s="58">
        <v>1</v>
      </c>
      <c r="C122" s="34">
        <v>4</v>
      </c>
      <c r="D122" s="34"/>
      <c r="E122" s="34">
        <v>1</v>
      </c>
      <c r="F122" s="34"/>
      <c r="G122" s="34"/>
      <c r="H122" s="34"/>
      <c r="I122" s="34">
        <v>2</v>
      </c>
      <c r="J122" s="34">
        <v>2</v>
      </c>
      <c r="K122" s="34"/>
      <c r="L122" s="34"/>
      <c r="M122" s="35">
        <v>44930</v>
      </c>
      <c r="N122" s="1"/>
      <c r="O122" s="1"/>
      <c r="P122" s="1"/>
    </row>
    <row r="123" spans="1:16" ht="13.5" x14ac:dyDescent="0.25">
      <c r="A123" s="288"/>
      <c r="B123" s="59"/>
      <c r="C123" s="6"/>
      <c r="D123" s="6">
        <v>1</v>
      </c>
      <c r="E123" s="6"/>
      <c r="F123" s="6"/>
      <c r="G123" s="6"/>
      <c r="H123" s="6"/>
      <c r="I123" s="6"/>
      <c r="J123" s="6"/>
      <c r="K123" s="6"/>
      <c r="L123" s="6"/>
      <c r="M123" s="36">
        <v>45044</v>
      </c>
      <c r="N123" s="1"/>
      <c r="O123" s="1"/>
      <c r="P123" s="1"/>
    </row>
    <row r="124" spans="1:16" ht="13.5" x14ac:dyDescent="0.25">
      <c r="A124" s="288"/>
      <c r="B124" s="59"/>
      <c r="C124" s="6"/>
      <c r="D124" s="6"/>
      <c r="E124" s="6"/>
      <c r="F124" s="6">
        <v>1</v>
      </c>
      <c r="G124" s="6"/>
      <c r="H124" s="6"/>
      <c r="I124" s="6"/>
      <c r="J124" s="6"/>
      <c r="K124" s="6"/>
      <c r="L124" s="6"/>
      <c r="M124" s="36">
        <v>45070</v>
      </c>
      <c r="N124" s="1"/>
      <c r="O124" s="1"/>
      <c r="P124" s="1"/>
    </row>
    <row r="125" spans="1:16" ht="13.5" x14ac:dyDescent="0.25">
      <c r="A125" s="288"/>
      <c r="B125" s="59"/>
      <c r="C125" s="6">
        <v>1</v>
      </c>
      <c r="D125" s="6"/>
      <c r="E125" s="6"/>
      <c r="F125" s="6"/>
      <c r="G125" s="6"/>
      <c r="H125" s="6"/>
      <c r="I125" s="6"/>
      <c r="J125" s="6"/>
      <c r="K125" s="6"/>
      <c r="L125" s="6"/>
      <c r="M125" s="36">
        <v>45142</v>
      </c>
      <c r="N125" s="1"/>
      <c r="O125" s="1"/>
      <c r="P125" s="1"/>
    </row>
    <row r="126" spans="1:16" ht="13.5" x14ac:dyDescent="0.25">
      <c r="A126" s="288"/>
      <c r="B126" s="59"/>
      <c r="C126" s="6">
        <v>3</v>
      </c>
      <c r="D126" s="6"/>
      <c r="E126" s="6">
        <v>1</v>
      </c>
      <c r="F126" s="6">
        <v>1</v>
      </c>
      <c r="G126" s="6"/>
      <c r="H126" s="6"/>
      <c r="I126" s="6">
        <v>1</v>
      </c>
      <c r="J126" s="6">
        <v>1</v>
      </c>
      <c r="K126" s="6"/>
      <c r="L126" s="6"/>
      <c r="M126" s="36">
        <v>45224</v>
      </c>
      <c r="N126" s="1"/>
      <c r="O126" s="1"/>
      <c r="P126" s="1"/>
    </row>
    <row r="127" spans="1:16" ht="14.25" thickBot="1" x14ac:dyDescent="0.3">
      <c r="A127" s="289"/>
      <c r="B127" s="60"/>
      <c r="C127" s="47">
        <v>2</v>
      </c>
      <c r="D127" s="47"/>
      <c r="E127" s="47"/>
      <c r="F127" s="47"/>
      <c r="G127" s="47"/>
      <c r="H127" s="47"/>
      <c r="I127" s="47">
        <v>1</v>
      </c>
      <c r="J127" s="47"/>
      <c r="K127" s="47"/>
      <c r="L127" s="47"/>
      <c r="M127" s="48">
        <v>45419</v>
      </c>
      <c r="N127" s="1"/>
      <c r="O127" s="1"/>
      <c r="P127" s="1"/>
    </row>
    <row r="128" spans="1:16" ht="20.100000000000001" customHeight="1" thickBot="1" x14ac:dyDescent="0.3">
      <c r="A128" s="114" t="s">
        <v>14</v>
      </c>
      <c r="B128" s="115">
        <f t="shared" ref="B128:L128" si="17">SUM(B122:B127)</f>
        <v>1</v>
      </c>
      <c r="C128" s="115">
        <f t="shared" si="17"/>
        <v>10</v>
      </c>
      <c r="D128" s="115">
        <f t="shared" si="17"/>
        <v>1</v>
      </c>
      <c r="E128" s="115">
        <f t="shared" si="17"/>
        <v>2</v>
      </c>
      <c r="F128" s="115">
        <f t="shared" si="17"/>
        <v>2</v>
      </c>
      <c r="G128" s="115">
        <f t="shared" si="17"/>
        <v>0</v>
      </c>
      <c r="H128" s="115">
        <f t="shared" si="17"/>
        <v>0</v>
      </c>
      <c r="I128" s="115">
        <f t="shared" si="17"/>
        <v>4</v>
      </c>
      <c r="J128" s="115">
        <f t="shared" si="17"/>
        <v>3</v>
      </c>
      <c r="K128" s="115">
        <f t="shared" si="17"/>
        <v>0</v>
      </c>
      <c r="L128" s="115">
        <f t="shared" si="17"/>
        <v>0</v>
      </c>
      <c r="M128" s="117"/>
      <c r="N128" s="1"/>
      <c r="O128" s="1"/>
      <c r="P128" s="1"/>
    </row>
    <row r="129" spans="1:16" ht="14.25" thickBot="1" x14ac:dyDescent="0.3">
      <c r="A129" s="61" t="s">
        <v>31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46"/>
      <c r="N129" s="1"/>
      <c r="O129" s="1"/>
      <c r="P129" s="1"/>
    </row>
    <row r="130" spans="1:16" ht="13.5" x14ac:dyDescent="0.25">
      <c r="A130" s="284" t="s">
        <v>63</v>
      </c>
      <c r="B130" s="81"/>
      <c r="C130" s="79">
        <v>4</v>
      </c>
      <c r="D130" s="79"/>
      <c r="E130" s="79">
        <v>3</v>
      </c>
      <c r="F130" s="79"/>
      <c r="G130" s="79"/>
      <c r="H130" s="79"/>
      <c r="I130" s="79">
        <v>3</v>
      </c>
      <c r="J130" s="79"/>
      <c r="K130" s="79"/>
      <c r="L130" s="79"/>
      <c r="M130" s="80" t="s">
        <v>13</v>
      </c>
      <c r="N130" s="1"/>
      <c r="O130" s="1"/>
      <c r="P130" s="1"/>
    </row>
    <row r="131" spans="1:16" ht="14.25" thickBot="1" x14ac:dyDescent="0.3">
      <c r="A131" s="285"/>
      <c r="B131" s="82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1"/>
      <c r="O131" s="1"/>
      <c r="P131" s="1"/>
    </row>
    <row r="132" spans="1:16" ht="14.25" thickBot="1" x14ac:dyDescent="0.3">
      <c r="A132" s="24" t="s">
        <v>14</v>
      </c>
      <c r="B132" s="126"/>
      <c r="C132" s="25">
        <f>SUM(C130:C131)</f>
        <v>4</v>
      </c>
      <c r="D132" s="25">
        <f t="shared" ref="D132:L132" si="18">SUM(D130:D131)</f>
        <v>0</v>
      </c>
      <c r="E132" s="25">
        <f t="shared" si="18"/>
        <v>3</v>
      </c>
      <c r="F132" s="25">
        <f t="shared" si="18"/>
        <v>0</v>
      </c>
      <c r="G132" s="25">
        <f t="shared" si="18"/>
        <v>0</v>
      </c>
      <c r="H132" s="25">
        <f t="shared" si="18"/>
        <v>0</v>
      </c>
      <c r="I132" s="25">
        <f t="shared" si="18"/>
        <v>3</v>
      </c>
      <c r="J132" s="25">
        <f t="shared" si="18"/>
        <v>0</v>
      </c>
      <c r="K132" s="25">
        <f t="shared" si="18"/>
        <v>0</v>
      </c>
      <c r="L132" s="25">
        <f t="shared" si="18"/>
        <v>0</v>
      </c>
      <c r="M132" s="127"/>
      <c r="N132" s="1"/>
      <c r="O132" s="1"/>
      <c r="P132" s="1"/>
    </row>
    <row r="133" spans="1:16" ht="14.25" thickBot="1" x14ac:dyDescent="0.3">
      <c r="A133" s="78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23"/>
      <c r="N133" s="1"/>
      <c r="O133" s="1"/>
      <c r="P133" s="1"/>
    </row>
    <row r="134" spans="1:16" ht="13.5" x14ac:dyDescent="0.25">
      <c r="A134" s="281" t="s">
        <v>32</v>
      </c>
      <c r="B134" s="58"/>
      <c r="C134" s="34">
        <v>3</v>
      </c>
      <c r="D134" s="34"/>
      <c r="E134" s="34">
        <v>1</v>
      </c>
      <c r="F134" s="34">
        <v>1</v>
      </c>
      <c r="G134" s="34"/>
      <c r="H134" s="34"/>
      <c r="I134" s="34">
        <v>1</v>
      </c>
      <c r="J134" s="34">
        <v>1</v>
      </c>
      <c r="K134" s="34"/>
      <c r="L134" s="34"/>
      <c r="M134" s="62">
        <v>44572</v>
      </c>
      <c r="N134" s="1"/>
      <c r="O134" s="1"/>
      <c r="P134" s="1"/>
    </row>
    <row r="135" spans="1:16" ht="13.5" x14ac:dyDescent="0.25">
      <c r="A135" s="290"/>
      <c r="B135" s="59">
        <v>1</v>
      </c>
      <c r="C135" s="6">
        <v>1</v>
      </c>
      <c r="D135" s="6"/>
      <c r="E135" s="6"/>
      <c r="F135" s="6"/>
      <c r="G135" s="6"/>
      <c r="H135" s="6">
        <v>1</v>
      </c>
      <c r="I135" s="6"/>
      <c r="J135" s="6"/>
      <c r="K135" s="6"/>
      <c r="L135" s="6"/>
      <c r="M135" s="63">
        <v>44670</v>
      </c>
      <c r="N135" s="1"/>
      <c r="O135" s="1"/>
      <c r="P135" s="1"/>
    </row>
    <row r="136" spans="1:16" ht="13.5" x14ac:dyDescent="0.25">
      <c r="A136" s="290"/>
      <c r="B136" s="59"/>
      <c r="C136" s="6">
        <v>3</v>
      </c>
      <c r="D136" s="6"/>
      <c r="E136" s="6">
        <v>1</v>
      </c>
      <c r="F136" s="6"/>
      <c r="G136" s="6"/>
      <c r="H136" s="6"/>
      <c r="I136" s="6">
        <v>1</v>
      </c>
      <c r="J136" s="6">
        <v>2</v>
      </c>
      <c r="K136" s="6"/>
      <c r="L136" s="6"/>
      <c r="M136" s="63">
        <v>44930</v>
      </c>
      <c r="N136" s="1"/>
      <c r="O136" s="1"/>
      <c r="P136" s="1"/>
    </row>
    <row r="137" spans="1:16" ht="13.5" x14ac:dyDescent="0.25">
      <c r="A137" s="290"/>
      <c r="B137" s="59"/>
      <c r="C137" s="6"/>
      <c r="D137" s="6"/>
      <c r="E137" s="6"/>
      <c r="F137" s="6"/>
      <c r="G137" s="6"/>
      <c r="H137" s="6"/>
      <c r="I137" s="6"/>
      <c r="J137" s="6"/>
      <c r="K137" s="6">
        <v>1</v>
      </c>
      <c r="M137" s="64" t="s">
        <v>18</v>
      </c>
      <c r="N137" s="1"/>
      <c r="O137" s="1"/>
      <c r="P137" s="1"/>
    </row>
    <row r="138" spans="1:16" ht="13.5" x14ac:dyDescent="0.25">
      <c r="A138" s="290"/>
      <c r="B138" s="59"/>
      <c r="C138" s="6"/>
      <c r="D138" s="6">
        <v>1</v>
      </c>
      <c r="E138" s="6"/>
      <c r="F138" s="6"/>
      <c r="G138" s="6"/>
      <c r="H138" s="6"/>
      <c r="I138" s="6"/>
      <c r="J138" s="6"/>
      <c r="K138" s="6"/>
      <c r="L138" s="6"/>
      <c r="M138" s="63">
        <v>45048</v>
      </c>
      <c r="N138" s="1"/>
      <c r="O138" s="1"/>
      <c r="P138" s="1"/>
    </row>
    <row r="139" spans="1:16" ht="13.5" x14ac:dyDescent="0.25">
      <c r="A139" s="290"/>
      <c r="B139" s="59">
        <v>1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3">
        <v>45113</v>
      </c>
      <c r="N139" s="1"/>
      <c r="O139" s="1"/>
      <c r="P139" s="1"/>
    </row>
    <row r="140" spans="1:16" ht="14.25" thickBot="1" x14ac:dyDescent="0.3">
      <c r="A140" s="291"/>
      <c r="B140" s="60"/>
      <c r="C140" s="47">
        <v>3</v>
      </c>
      <c r="D140" s="47"/>
      <c r="E140" s="47">
        <v>2</v>
      </c>
      <c r="F140" s="47">
        <v>1</v>
      </c>
      <c r="G140" s="47"/>
      <c r="H140" s="47"/>
      <c r="I140" s="47">
        <v>1</v>
      </c>
      <c r="J140" s="47">
        <v>1</v>
      </c>
      <c r="K140" s="47"/>
      <c r="L140" s="47"/>
      <c r="M140" s="65">
        <v>45225</v>
      </c>
      <c r="N140" s="1"/>
      <c r="O140" s="1"/>
      <c r="P140" s="1"/>
    </row>
    <row r="141" spans="1:16" ht="20.100000000000001" customHeight="1" thickBot="1" x14ac:dyDescent="0.3">
      <c r="A141" s="114" t="s">
        <v>14</v>
      </c>
      <c r="B141" s="115">
        <f>SUM(B134:B140)</f>
        <v>2</v>
      </c>
      <c r="C141" s="115">
        <f t="shared" ref="C141:L141" si="19">SUM(C134:C140)</f>
        <v>10</v>
      </c>
      <c r="D141" s="115">
        <f t="shared" si="19"/>
        <v>1</v>
      </c>
      <c r="E141" s="115">
        <f t="shared" si="19"/>
        <v>4</v>
      </c>
      <c r="F141" s="115">
        <f t="shared" si="19"/>
        <v>2</v>
      </c>
      <c r="G141" s="115">
        <f t="shared" si="19"/>
        <v>0</v>
      </c>
      <c r="H141" s="115">
        <f t="shared" si="19"/>
        <v>1</v>
      </c>
      <c r="I141" s="115">
        <f t="shared" si="19"/>
        <v>3</v>
      </c>
      <c r="J141" s="115">
        <f t="shared" si="19"/>
        <v>4</v>
      </c>
      <c r="K141" s="115">
        <f t="shared" si="19"/>
        <v>1</v>
      </c>
      <c r="L141" s="115">
        <f t="shared" si="19"/>
        <v>0</v>
      </c>
      <c r="M141" s="122"/>
      <c r="N141" s="1"/>
      <c r="O141" s="1"/>
      <c r="P141" s="1"/>
    </row>
    <row r="142" spans="1:16" ht="14.2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3.5" x14ac:dyDescent="0.25">
      <c r="A143" s="278" t="s">
        <v>33</v>
      </c>
      <c r="B143" s="58"/>
      <c r="C143" s="34">
        <v>2</v>
      </c>
      <c r="D143" s="34"/>
      <c r="E143" s="34"/>
      <c r="F143" s="34"/>
      <c r="G143" s="34"/>
      <c r="H143" s="34"/>
      <c r="I143" s="34"/>
      <c r="J143" s="34"/>
      <c r="K143" s="34"/>
      <c r="L143" s="68"/>
      <c r="M143" s="66">
        <v>45296</v>
      </c>
      <c r="N143" s="1"/>
      <c r="O143" s="1"/>
      <c r="P143" s="1"/>
    </row>
    <row r="144" spans="1:16" ht="13.5" x14ac:dyDescent="0.25">
      <c r="A144" s="279"/>
      <c r="B144" s="59"/>
      <c r="C144" s="6">
        <v>2</v>
      </c>
      <c r="D144" s="6"/>
      <c r="E144" s="6"/>
      <c r="F144" s="6"/>
      <c r="G144" s="6"/>
      <c r="H144" s="6"/>
      <c r="I144" s="6"/>
      <c r="J144" s="6">
        <v>1</v>
      </c>
      <c r="K144" s="6"/>
      <c r="L144" s="64"/>
      <c r="M144" s="66">
        <v>45329</v>
      </c>
      <c r="N144" s="1"/>
      <c r="O144" s="1"/>
      <c r="P144" s="1"/>
    </row>
    <row r="145" spans="1:16" ht="13.5" x14ac:dyDescent="0.25">
      <c r="A145" s="279"/>
      <c r="B145" s="59"/>
      <c r="C145" s="6"/>
      <c r="D145" s="6"/>
      <c r="E145" s="6"/>
      <c r="F145" s="6"/>
      <c r="G145" s="6"/>
      <c r="H145" s="6"/>
      <c r="I145" s="6"/>
      <c r="J145" s="6"/>
      <c r="K145" s="6">
        <v>1</v>
      </c>
      <c r="L145" s="64"/>
      <c r="M145" s="17" t="s">
        <v>18</v>
      </c>
      <c r="N145" s="1"/>
      <c r="O145" s="1"/>
      <c r="P145" s="1"/>
    </row>
    <row r="146" spans="1:16" ht="13.5" x14ac:dyDescent="0.25">
      <c r="A146" s="279"/>
      <c r="B146" s="59"/>
      <c r="C146" s="6"/>
      <c r="D146" s="6"/>
      <c r="E146" s="6"/>
      <c r="F146" s="6">
        <v>1</v>
      </c>
      <c r="G146" s="6"/>
      <c r="H146" s="6"/>
      <c r="I146" s="6">
        <v>1</v>
      </c>
      <c r="J146" s="6"/>
      <c r="K146" s="6">
        <v>1</v>
      </c>
      <c r="L146" s="64"/>
      <c r="M146" s="66">
        <v>45357</v>
      </c>
      <c r="N146" s="1"/>
      <c r="O146" s="1"/>
      <c r="P146" s="1"/>
    </row>
    <row r="147" spans="1:16" ht="14.25" thickBot="1" x14ac:dyDescent="0.3">
      <c r="A147" s="280"/>
      <c r="B147" s="60">
        <v>1</v>
      </c>
      <c r="C147" s="47"/>
      <c r="D147" s="47"/>
      <c r="E147" s="47"/>
      <c r="F147" s="47"/>
      <c r="G147" s="47"/>
      <c r="H147" s="47"/>
      <c r="I147" s="47"/>
      <c r="J147" s="47"/>
      <c r="K147" s="47"/>
      <c r="L147" s="69"/>
      <c r="M147" s="67">
        <v>45385</v>
      </c>
      <c r="N147" s="1"/>
      <c r="O147" s="1"/>
      <c r="P147" s="1"/>
    </row>
    <row r="148" spans="1:16" ht="20.100000000000001" customHeight="1" thickBot="1" x14ac:dyDescent="0.3">
      <c r="A148" s="24" t="s">
        <v>14</v>
      </c>
      <c r="B148" s="25">
        <f>SUM(B143:B147)</f>
        <v>1</v>
      </c>
      <c r="C148" s="25">
        <f t="shared" ref="C148:L148" si="20">SUM(C143:C147)</f>
        <v>4</v>
      </c>
      <c r="D148" s="25">
        <f t="shared" si="20"/>
        <v>0</v>
      </c>
      <c r="E148" s="25">
        <f t="shared" si="20"/>
        <v>0</v>
      </c>
      <c r="F148" s="25">
        <f t="shared" si="20"/>
        <v>1</v>
      </c>
      <c r="G148" s="25">
        <f t="shared" si="20"/>
        <v>0</v>
      </c>
      <c r="H148" s="25">
        <f t="shared" si="20"/>
        <v>0</v>
      </c>
      <c r="I148" s="25">
        <f t="shared" si="20"/>
        <v>1</v>
      </c>
      <c r="J148" s="25">
        <f t="shared" si="20"/>
        <v>1</v>
      </c>
      <c r="K148" s="25">
        <f t="shared" si="20"/>
        <v>2</v>
      </c>
      <c r="L148" s="25">
        <f t="shared" si="20"/>
        <v>0</v>
      </c>
      <c r="M148" s="26"/>
      <c r="N148" s="1"/>
      <c r="O148" s="1"/>
      <c r="P148" s="1"/>
    </row>
    <row r="149" spans="1:16" ht="14.25" thickBot="1" x14ac:dyDescent="0.3">
      <c r="A149" s="22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23"/>
      <c r="N149" s="1"/>
      <c r="O149" s="1"/>
      <c r="P149" s="1"/>
    </row>
    <row r="150" spans="1:16" ht="13.5" x14ac:dyDescent="0.25">
      <c r="A150" s="281" t="s">
        <v>34</v>
      </c>
      <c r="B150" s="58"/>
      <c r="C150" s="34">
        <v>2</v>
      </c>
      <c r="D150" s="34"/>
      <c r="E150" s="34"/>
      <c r="F150" s="34">
        <v>1</v>
      </c>
      <c r="G150" s="34"/>
      <c r="H150" s="34"/>
      <c r="I150" s="34"/>
      <c r="J150" s="34"/>
      <c r="K150" s="34"/>
      <c r="L150" s="34"/>
      <c r="M150" s="62">
        <v>45113</v>
      </c>
      <c r="N150" s="1"/>
      <c r="O150" s="1"/>
      <c r="P150" s="1"/>
    </row>
    <row r="151" spans="1:16" ht="13.5" x14ac:dyDescent="0.25">
      <c r="A151" s="282"/>
      <c r="B151" s="59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3">
        <v>45128</v>
      </c>
      <c r="N151" s="1"/>
      <c r="O151" s="1"/>
      <c r="P151" s="1"/>
    </row>
    <row r="152" spans="1:16" ht="13.5" x14ac:dyDescent="0.25">
      <c r="A152" s="282"/>
      <c r="B152" s="59"/>
      <c r="C152" s="6">
        <v>3</v>
      </c>
      <c r="D152" s="6"/>
      <c r="E152" s="6">
        <v>2</v>
      </c>
      <c r="F152" s="6">
        <v>1</v>
      </c>
      <c r="G152" s="6"/>
      <c r="H152" s="6"/>
      <c r="I152" s="6">
        <v>1</v>
      </c>
      <c r="J152" s="6">
        <v>1</v>
      </c>
      <c r="K152" s="6"/>
      <c r="L152" s="6"/>
      <c r="M152" s="63">
        <v>45224</v>
      </c>
      <c r="N152" s="1"/>
      <c r="O152" s="1"/>
      <c r="P152" s="1"/>
    </row>
    <row r="153" spans="1:16" ht="13.5" x14ac:dyDescent="0.25">
      <c r="A153" s="282"/>
      <c r="B153" s="59"/>
      <c r="C153" s="6"/>
      <c r="D153" s="6"/>
      <c r="E153" s="6"/>
      <c r="F153" s="6"/>
      <c r="G153" s="6">
        <v>1</v>
      </c>
      <c r="H153" s="6"/>
      <c r="I153" s="6"/>
      <c r="J153" s="6"/>
      <c r="K153" s="6"/>
      <c r="L153" s="6"/>
      <c r="M153" s="63">
        <v>45225</v>
      </c>
      <c r="N153" s="1"/>
      <c r="O153" s="1"/>
      <c r="P153" s="1"/>
    </row>
    <row r="154" spans="1:16" ht="14.25" thickBot="1" x14ac:dyDescent="0.3">
      <c r="A154" s="283"/>
      <c r="B154" s="60">
        <v>1</v>
      </c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65">
        <v>45272</v>
      </c>
      <c r="N154" s="1"/>
      <c r="O154" s="1"/>
      <c r="P154" s="1"/>
    </row>
    <row r="155" spans="1:16" ht="20.100000000000001" customHeight="1" thickBot="1" x14ac:dyDescent="0.3">
      <c r="A155" s="114" t="s">
        <v>14</v>
      </c>
      <c r="B155" s="123">
        <f>SUM(B150:B154)</f>
        <v>1</v>
      </c>
      <c r="C155" s="123">
        <f t="shared" ref="C155:L155" si="21">SUM(C150:C154)</f>
        <v>5</v>
      </c>
      <c r="D155" s="123">
        <f t="shared" si="21"/>
        <v>0</v>
      </c>
      <c r="E155" s="123">
        <f t="shared" si="21"/>
        <v>2</v>
      </c>
      <c r="F155" s="123">
        <f t="shared" si="21"/>
        <v>2</v>
      </c>
      <c r="G155" s="123">
        <f t="shared" si="21"/>
        <v>1</v>
      </c>
      <c r="H155" s="123">
        <f t="shared" si="21"/>
        <v>0</v>
      </c>
      <c r="I155" s="123">
        <f t="shared" si="21"/>
        <v>1</v>
      </c>
      <c r="J155" s="123">
        <f t="shared" si="21"/>
        <v>1</v>
      </c>
      <c r="K155" s="123">
        <f t="shared" si="21"/>
        <v>0</v>
      </c>
      <c r="L155" s="123">
        <f t="shared" si="21"/>
        <v>0</v>
      </c>
      <c r="M155" s="124"/>
      <c r="N155" s="1"/>
      <c r="O155" s="1"/>
      <c r="P155" s="1"/>
    </row>
    <row r="156" spans="1:16" ht="14.25" thickBo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"/>
      <c r="O156" s="1"/>
      <c r="P156" s="1"/>
    </row>
    <row r="157" spans="1:16" ht="14.25" thickBot="1" x14ac:dyDescent="0.3">
      <c r="A157" s="128" t="s">
        <v>35</v>
      </c>
      <c r="B157" s="71"/>
      <c r="C157" s="71">
        <v>3</v>
      </c>
      <c r="D157" s="71"/>
      <c r="E157" s="71">
        <v>1</v>
      </c>
      <c r="F157" s="71">
        <v>1</v>
      </c>
      <c r="G157" s="71"/>
      <c r="H157" s="71"/>
      <c r="I157" s="71">
        <v>1</v>
      </c>
      <c r="J157" s="71">
        <v>1</v>
      </c>
      <c r="K157" s="71"/>
      <c r="L157" s="71"/>
      <c r="M157" s="72">
        <v>45313</v>
      </c>
      <c r="N157" s="1"/>
      <c r="O157" s="1"/>
      <c r="P157" s="1"/>
    </row>
    <row r="158" spans="1:16" ht="20.100000000000001" customHeight="1" thickBot="1" x14ac:dyDescent="0.3">
      <c r="A158" s="27" t="s">
        <v>14</v>
      </c>
      <c r="B158" s="25"/>
      <c r="C158" s="25">
        <f>SUM(C157)</f>
        <v>3</v>
      </c>
      <c r="D158" s="25">
        <f t="shared" ref="D158:L158" si="22">SUM(D157)</f>
        <v>0</v>
      </c>
      <c r="E158" s="25">
        <f t="shared" si="22"/>
        <v>1</v>
      </c>
      <c r="F158" s="25">
        <f t="shared" si="22"/>
        <v>1</v>
      </c>
      <c r="G158" s="25">
        <f t="shared" si="22"/>
        <v>0</v>
      </c>
      <c r="H158" s="25">
        <f t="shared" si="22"/>
        <v>0</v>
      </c>
      <c r="I158" s="25">
        <f t="shared" si="22"/>
        <v>1</v>
      </c>
      <c r="J158" s="25">
        <f t="shared" si="22"/>
        <v>1</v>
      </c>
      <c r="K158" s="25">
        <f t="shared" si="22"/>
        <v>0</v>
      </c>
      <c r="L158" s="25">
        <f t="shared" si="22"/>
        <v>0</v>
      </c>
      <c r="M158" s="26"/>
      <c r="N158" s="1"/>
      <c r="O158" s="1"/>
      <c r="P158" s="1"/>
    </row>
    <row r="159" spans="1:16" ht="14.25" thickBot="1" x14ac:dyDescent="0.3">
      <c r="A159" s="7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46"/>
      <c r="N159" s="1"/>
      <c r="O159" s="1"/>
      <c r="P159" s="1"/>
    </row>
    <row r="160" spans="1:16" ht="13.5" x14ac:dyDescent="0.25">
      <c r="A160" s="281" t="s">
        <v>36</v>
      </c>
      <c r="B160" s="42"/>
      <c r="C160" s="34">
        <v>3</v>
      </c>
      <c r="D160" s="34"/>
      <c r="E160" s="34">
        <v>2</v>
      </c>
      <c r="F160" s="34">
        <v>2</v>
      </c>
      <c r="G160" s="34"/>
      <c r="H160" s="34"/>
      <c r="I160" s="34">
        <v>2</v>
      </c>
      <c r="J160" s="34">
        <v>2</v>
      </c>
      <c r="K160" s="34"/>
      <c r="L160" s="34"/>
      <c r="M160" s="62">
        <v>44575</v>
      </c>
      <c r="N160" s="1"/>
      <c r="O160" s="1"/>
      <c r="P160" s="1"/>
    </row>
    <row r="161" spans="1:16" ht="13.5" x14ac:dyDescent="0.25">
      <c r="A161" s="282"/>
      <c r="B161" s="17">
        <v>2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3">
        <v>44670</v>
      </c>
      <c r="N161" s="1"/>
      <c r="O161" s="1"/>
      <c r="P161" s="1"/>
    </row>
    <row r="162" spans="1:16" ht="13.5" x14ac:dyDescent="0.25">
      <c r="A162" s="282"/>
      <c r="B162" s="17">
        <v>1</v>
      </c>
      <c r="C162" s="6">
        <v>4</v>
      </c>
      <c r="D162" s="6"/>
      <c r="E162" s="6">
        <v>1</v>
      </c>
      <c r="F162" s="6"/>
      <c r="G162" s="6"/>
      <c r="H162" s="6"/>
      <c r="I162" s="6">
        <v>1</v>
      </c>
      <c r="J162" s="6">
        <v>1</v>
      </c>
      <c r="K162" s="6"/>
      <c r="L162" s="6"/>
      <c r="M162" s="63">
        <v>44930</v>
      </c>
      <c r="N162" s="1"/>
      <c r="O162" s="1"/>
      <c r="P162" s="1"/>
    </row>
    <row r="163" spans="1:16" ht="13.5" x14ac:dyDescent="0.25">
      <c r="A163" s="282"/>
      <c r="B163" s="17"/>
      <c r="C163" s="6"/>
      <c r="D163" s="6"/>
      <c r="E163" s="6"/>
      <c r="F163" s="6">
        <v>1</v>
      </c>
      <c r="G163" s="6"/>
      <c r="H163" s="6"/>
      <c r="I163" s="6"/>
      <c r="J163" s="6"/>
      <c r="K163" s="6"/>
      <c r="L163" s="6"/>
      <c r="M163" s="63">
        <v>44981</v>
      </c>
      <c r="N163" s="1"/>
      <c r="O163" s="1"/>
      <c r="P163" s="1"/>
    </row>
    <row r="164" spans="1:16" ht="13.5" x14ac:dyDescent="0.25">
      <c r="A164" s="282"/>
      <c r="B164" s="17"/>
      <c r="C164" s="6"/>
      <c r="D164" s="6">
        <v>1</v>
      </c>
      <c r="E164" s="6"/>
      <c r="F164" s="6"/>
      <c r="G164" s="6"/>
      <c r="H164" s="6"/>
      <c r="I164" s="6"/>
      <c r="J164" s="6"/>
      <c r="K164" s="6"/>
      <c r="L164" s="6"/>
      <c r="M164" s="63">
        <v>45044</v>
      </c>
      <c r="N164" s="1"/>
      <c r="O164" s="1"/>
      <c r="P164" s="1"/>
    </row>
    <row r="165" spans="1:16" ht="13.5" x14ac:dyDescent="0.25">
      <c r="A165" s="282"/>
      <c r="B165" s="17">
        <v>1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3">
        <v>45138</v>
      </c>
      <c r="N165" s="1"/>
      <c r="O165" s="1"/>
      <c r="P165" s="1"/>
    </row>
    <row r="166" spans="1:16" ht="13.5" x14ac:dyDescent="0.25">
      <c r="A166" s="282"/>
      <c r="B166" s="17"/>
      <c r="C166" s="6">
        <v>3</v>
      </c>
      <c r="D166" s="6"/>
      <c r="E166" s="6">
        <v>2</v>
      </c>
      <c r="F166" s="6">
        <v>1</v>
      </c>
      <c r="G166" s="6"/>
      <c r="H166" s="6"/>
      <c r="I166" s="6">
        <v>1</v>
      </c>
      <c r="J166" s="6">
        <v>1</v>
      </c>
      <c r="K166" s="6"/>
      <c r="L166" s="6"/>
      <c r="M166" s="63">
        <v>45224</v>
      </c>
      <c r="N166" s="1"/>
      <c r="O166" s="1"/>
      <c r="P166" s="1"/>
    </row>
    <row r="167" spans="1:16" ht="13.5" x14ac:dyDescent="0.25">
      <c r="A167" s="282"/>
      <c r="B167" s="17"/>
      <c r="C167" s="6"/>
      <c r="D167" s="6"/>
      <c r="E167" s="6"/>
      <c r="F167" s="6"/>
      <c r="G167" s="6">
        <v>1</v>
      </c>
      <c r="H167" s="6"/>
      <c r="I167" s="6"/>
      <c r="J167" s="6"/>
      <c r="K167" s="6"/>
      <c r="L167" s="6"/>
      <c r="M167" s="63">
        <v>45233</v>
      </c>
      <c r="N167" s="1"/>
      <c r="O167" s="1"/>
      <c r="P167" s="1"/>
    </row>
    <row r="168" spans="1:16" ht="13.5" x14ac:dyDescent="0.25">
      <c r="A168" s="282"/>
      <c r="B168" s="17">
        <v>1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3">
        <v>45254</v>
      </c>
      <c r="N168" s="1"/>
      <c r="O168" s="1"/>
      <c r="P168" s="1"/>
    </row>
    <row r="169" spans="1:16" ht="14.25" thickBot="1" x14ac:dyDescent="0.3">
      <c r="A169" s="283"/>
      <c r="B169" s="49"/>
      <c r="C169" s="47"/>
      <c r="D169" s="47"/>
      <c r="E169" s="47"/>
      <c r="F169" s="47"/>
      <c r="G169" s="47"/>
      <c r="H169" s="47"/>
      <c r="I169" s="47"/>
      <c r="J169" s="47"/>
      <c r="K169" s="47">
        <v>1</v>
      </c>
      <c r="L169" s="47"/>
      <c r="M169" s="65">
        <v>45286</v>
      </c>
      <c r="N169" s="1"/>
      <c r="O169" s="1"/>
      <c r="P169" s="1"/>
    </row>
    <row r="170" spans="1:16" ht="20.100000000000001" customHeight="1" thickBot="1" x14ac:dyDescent="0.3">
      <c r="A170" s="114" t="s">
        <v>14</v>
      </c>
      <c r="B170" s="115">
        <f>SUM(B160:B169)</f>
        <v>5</v>
      </c>
      <c r="C170" s="115">
        <f t="shared" ref="C170:L170" si="23">SUM(C160:C169)</f>
        <v>10</v>
      </c>
      <c r="D170" s="115">
        <f t="shared" si="23"/>
        <v>1</v>
      </c>
      <c r="E170" s="115">
        <f t="shared" si="23"/>
        <v>5</v>
      </c>
      <c r="F170" s="115">
        <f t="shared" si="23"/>
        <v>4</v>
      </c>
      <c r="G170" s="115">
        <f t="shared" si="23"/>
        <v>1</v>
      </c>
      <c r="H170" s="115">
        <f t="shared" si="23"/>
        <v>0</v>
      </c>
      <c r="I170" s="115">
        <f t="shared" si="23"/>
        <v>4</v>
      </c>
      <c r="J170" s="115">
        <f t="shared" si="23"/>
        <v>4</v>
      </c>
      <c r="K170" s="115">
        <f t="shared" si="23"/>
        <v>1</v>
      </c>
      <c r="L170" s="115">
        <f t="shared" si="23"/>
        <v>0</v>
      </c>
      <c r="M170" s="122"/>
      <c r="N170" s="1"/>
      <c r="O170" s="1"/>
      <c r="P170" s="1"/>
    </row>
    <row r="171" spans="1:16" ht="14.25" thickBo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"/>
      <c r="O171" s="1"/>
      <c r="P171" s="1"/>
    </row>
    <row r="172" spans="1:16" ht="13.5" x14ac:dyDescent="0.25">
      <c r="A172" s="278" t="s">
        <v>37</v>
      </c>
      <c r="B172" s="42">
        <v>1</v>
      </c>
      <c r="C172" s="34">
        <v>2</v>
      </c>
      <c r="D172" s="34"/>
      <c r="E172" s="34"/>
      <c r="F172" s="34"/>
      <c r="G172" s="34"/>
      <c r="H172" s="34">
        <v>2</v>
      </c>
      <c r="I172" s="34"/>
      <c r="J172" s="34"/>
      <c r="K172" s="34">
        <v>1</v>
      </c>
      <c r="L172" s="34"/>
      <c r="M172" s="62">
        <v>44670</v>
      </c>
      <c r="N172" s="1"/>
      <c r="O172" s="1"/>
      <c r="P172" s="1"/>
    </row>
    <row r="173" spans="1:16" ht="13.5" x14ac:dyDescent="0.25">
      <c r="A173" s="279"/>
      <c r="B173" s="17">
        <v>1</v>
      </c>
      <c r="C173" s="6">
        <v>1</v>
      </c>
      <c r="D173" s="6"/>
      <c r="E173" s="6">
        <v>2</v>
      </c>
      <c r="F173" s="6"/>
      <c r="G173" s="6"/>
      <c r="H173" s="6"/>
      <c r="I173" s="6">
        <v>2</v>
      </c>
      <c r="J173" s="6">
        <v>2</v>
      </c>
      <c r="K173" s="6"/>
      <c r="L173" s="6"/>
      <c r="M173" s="63">
        <v>44930</v>
      </c>
      <c r="N173" s="1"/>
      <c r="O173" s="1"/>
      <c r="P173" s="1"/>
    </row>
    <row r="174" spans="1:16" ht="13.5" x14ac:dyDescent="0.25">
      <c r="A174" s="279"/>
      <c r="B174" s="17"/>
      <c r="C174" s="6"/>
      <c r="D174" s="6">
        <v>1</v>
      </c>
      <c r="E174" s="6"/>
      <c r="F174" s="6"/>
      <c r="G174" s="6"/>
      <c r="H174" s="6"/>
      <c r="I174" s="6"/>
      <c r="J174" s="6"/>
      <c r="K174" s="6"/>
      <c r="L174" s="6"/>
      <c r="M174" s="63">
        <v>45050</v>
      </c>
      <c r="N174" s="1"/>
      <c r="O174" s="1"/>
      <c r="P174" s="1"/>
    </row>
    <row r="175" spans="1:16" ht="13.5" x14ac:dyDescent="0.25">
      <c r="A175" s="279"/>
      <c r="B175" s="17"/>
      <c r="C175" s="6"/>
      <c r="D175" s="6"/>
      <c r="E175" s="6"/>
      <c r="F175" s="6">
        <v>1</v>
      </c>
      <c r="G175" s="6"/>
      <c r="H175" s="6"/>
      <c r="I175" s="6"/>
      <c r="J175" s="6"/>
      <c r="K175" s="6"/>
      <c r="L175" s="6"/>
      <c r="M175" s="63">
        <v>45090</v>
      </c>
      <c r="N175" s="1"/>
      <c r="O175" s="1"/>
      <c r="P175" s="1"/>
    </row>
    <row r="176" spans="1:16" ht="13.5" x14ac:dyDescent="0.25">
      <c r="A176" s="279"/>
      <c r="B176" s="17"/>
      <c r="C176" s="6"/>
      <c r="D176" s="6"/>
      <c r="E176" s="6"/>
      <c r="F176" s="6"/>
      <c r="G176" s="6">
        <v>1</v>
      </c>
      <c r="H176" s="6"/>
      <c r="I176" s="6"/>
      <c r="J176" s="6"/>
      <c r="K176" s="6"/>
      <c r="L176" s="6"/>
      <c r="M176" s="63">
        <v>45225</v>
      </c>
      <c r="N176" s="1"/>
      <c r="O176" s="1"/>
      <c r="P176" s="1"/>
    </row>
    <row r="177" spans="1:28" ht="14.25" thickBot="1" x14ac:dyDescent="0.3">
      <c r="A177" s="280"/>
      <c r="B177" s="49">
        <v>1</v>
      </c>
      <c r="C177" s="47">
        <v>3</v>
      </c>
      <c r="D177" s="47"/>
      <c r="E177" s="47">
        <v>2</v>
      </c>
      <c r="F177" s="47">
        <v>1</v>
      </c>
      <c r="G177" s="47"/>
      <c r="H177" s="47"/>
      <c r="I177" s="47">
        <v>1</v>
      </c>
      <c r="J177" s="47">
        <v>1</v>
      </c>
      <c r="K177" s="47"/>
      <c r="L177" s="47"/>
      <c r="M177" s="65">
        <v>45224</v>
      </c>
      <c r="N177" s="1"/>
      <c r="O177" s="1"/>
      <c r="P177" s="1"/>
    </row>
    <row r="178" spans="1:28" ht="20.100000000000001" customHeight="1" thickBot="1" x14ac:dyDescent="0.3">
      <c r="A178" s="24" t="s">
        <v>14</v>
      </c>
      <c r="B178" s="25">
        <f>SUM(B172:B177)</f>
        <v>3</v>
      </c>
      <c r="C178" s="25">
        <f t="shared" ref="C178:L178" si="24">SUM(C172:C177)</f>
        <v>6</v>
      </c>
      <c r="D178" s="25">
        <f t="shared" si="24"/>
        <v>1</v>
      </c>
      <c r="E178" s="25">
        <f t="shared" si="24"/>
        <v>4</v>
      </c>
      <c r="F178" s="25">
        <f t="shared" si="24"/>
        <v>2</v>
      </c>
      <c r="G178" s="25">
        <f t="shared" si="24"/>
        <v>1</v>
      </c>
      <c r="H178" s="25">
        <f t="shared" si="24"/>
        <v>2</v>
      </c>
      <c r="I178" s="25">
        <f t="shared" si="24"/>
        <v>3</v>
      </c>
      <c r="J178" s="25">
        <f t="shared" si="24"/>
        <v>3</v>
      </c>
      <c r="K178" s="25">
        <f t="shared" si="24"/>
        <v>1</v>
      </c>
      <c r="L178" s="25">
        <f t="shared" si="24"/>
        <v>0</v>
      </c>
      <c r="M178" s="26"/>
      <c r="N178" s="1"/>
      <c r="O178" s="1"/>
      <c r="P178" s="1"/>
    </row>
    <row r="179" spans="1:28" ht="14.25" thickBo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"/>
      <c r="O179" s="1"/>
      <c r="P179" s="1"/>
    </row>
    <row r="180" spans="1:28" ht="14.25" thickBot="1" x14ac:dyDescent="0.3">
      <c r="A180" s="125" t="s">
        <v>38</v>
      </c>
      <c r="B180" s="71">
        <v>1</v>
      </c>
      <c r="C180" s="71">
        <v>3</v>
      </c>
      <c r="D180" s="71"/>
      <c r="E180" s="71"/>
      <c r="F180" s="71">
        <v>2</v>
      </c>
      <c r="G180" s="71"/>
      <c r="H180" s="71"/>
      <c r="I180" s="71">
        <v>2</v>
      </c>
      <c r="J180" s="71"/>
      <c r="K180" s="71"/>
      <c r="L180" s="71"/>
      <c r="M180" s="74">
        <v>2024</v>
      </c>
      <c r="N180" s="1"/>
      <c r="O180" s="1"/>
      <c r="P180" s="1"/>
    </row>
    <row r="181" spans="1:28" s="20" customFormat="1" ht="20.100000000000001" customHeight="1" thickBot="1" x14ac:dyDescent="0.3">
      <c r="A181" s="118" t="s">
        <v>14</v>
      </c>
      <c r="B181" s="115">
        <f>SUM(B180)</f>
        <v>1</v>
      </c>
      <c r="C181" s="115">
        <f t="shared" ref="C181:L181" si="25">SUM(C180)</f>
        <v>3</v>
      </c>
      <c r="D181" s="115">
        <f t="shared" si="25"/>
        <v>0</v>
      </c>
      <c r="E181" s="115">
        <f t="shared" si="25"/>
        <v>0</v>
      </c>
      <c r="F181" s="115">
        <f t="shared" si="25"/>
        <v>2</v>
      </c>
      <c r="G181" s="115">
        <f t="shared" si="25"/>
        <v>0</v>
      </c>
      <c r="H181" s="115">
        <f t="shared" si="25"/>
        <v>0</v>
      </c>
      <c r="I181" s="115">
        <f t="shared" si="25"/>
        <v>2</v>
      </c>
      <c r="J181" s="115">
        <f t="shared" si="25"/>
        <v>0</v>
      </c>
      <c r="K181" s="115">
        <f t="shared" si="25"/>
        <v>0</v>
      </c>
      <c r="L181" s="115">
        <f t="shared" si="25"/>
        <v>0</v>
      </c>
      <c r="M181" s="116"/>
      <c r="N181" s="19"/>
      <c r="O181" s="19"/>
      <c r="P181" s="19"/>
    </row>
    <row r="182" spans="1:28" ht="13.5" x14ac:dyDescent="0.25">
      <c r="N182" s="1"/>
      <c r="O182" s="1"/>
      <c r="P182" s="1"/>
    </row>
    <row r="183" spans="1:28" ht="13.5" x14ac:dyDescent="0.25">
      <c r="N183" s="1"/>
      <c r="O183" s="1"/>
      <c r="P183" s="1"/>
    </row>
    <row r="184" spans="1:28" ht="13.5" x14ac:dyDescent="0.25">
      <c r="N184" s="1"/>
      <c r="O184" s="1"/>
      <c r="P184" s="1"/>
    </row>
    <row r="185" spans="1:28" ht="14.25" thickBot="1" x14ac:dyDescent="0.3">
      <c r="N185" s="1"/>
      <c r="O185" s="1"/>
      <c r="P185" s="1"/>
    </row>
    <row r="186" spans="1:28" ht="20.100000000000001" customHeight="1" thickBot="1" x14ac:dyDescent="0.3">
      <c r="A186" s="75" t="s">
        <v>14</v>
      </c>
      <c r="B186" s="76">
        <f>B181+B178+B170+B158+B155+B148+B141+B132+B128+B120+B115+B110+B103+B97+B88+B81+B73+B66+B59+B52+B46+B36+B29+B15+B9+B21</f>
        <v>38</v>
      </c>
      <c r="C186" s="76">
        <f t="shared" ref="C186:L186" si="26">C181+C178+C170+C158+C155+C148+C141+C132+C128+C120+C115+C110+C103+C97+C88+C81+C73+C66+C59+C52+C46+C36+C29+C15+C9+C21</f>
        <v>135</v>
      </c>
      <c r="D186" s="76">
        <f t="shared" si="26"/>
        <v>17</v>
      </c>
      <c r="E186" s="76">
        <f t="shared" si="26"/>
        <v>60</v>
      </c>
      <c r="F186" s="76">
        <f t="shared" si="26"/>
        <v>43</v>
      </c>
      <c r="G186" s="76">
        <f t="shared" si="26"/>
        <v>7</v>
      </c>
      <c r="H186" s="76">
        <f t="shared" si="26"/>
        <v>4</v>
      </c>
      <c r="I186" s="76">
        <f t="shared" si="26"/>
        <v>65</v>
      </c>
      <c r="J186" s="76">
        <f t="shared" si="26"/>
        <v>35</v>
      </c>
      <c r="K186" s="76">
        <f t="shared" si="26"/>
        <v>15</v>
      </c>
      <c r="L186" s="76">
        <f t="shared" si="26"/>
        <v>0</v>
      </c>
      <c r="M186" s="129">
        <v>45455</v>
      </c>
      <c r="N186" s="19"/>
      <c r="O186" s="19"/>
      <c r="P186" s="19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spans="1:28" ht="13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28" ht="13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28" ht="13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28" ht="13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28" ht="13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28" ht="13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3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3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3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3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3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3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3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3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3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3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3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3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3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3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3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3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3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3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3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3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3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3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3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3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3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3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3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3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3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3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3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3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3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3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3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3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3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3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3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3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3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3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3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3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3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3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3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3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3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3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3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3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3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3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3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3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3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3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3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3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3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3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3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3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3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3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3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3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3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3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3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3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3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3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3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3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3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3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3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3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3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3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3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3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3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3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3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3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3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3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3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3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3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3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3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3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3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3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3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3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3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3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3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3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3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3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3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3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3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3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3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3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3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3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3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3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3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3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3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3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3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3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3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3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3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3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3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3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3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3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3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3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3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3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3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3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3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3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3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3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3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3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3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3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3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3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3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3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3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3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3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3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3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3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3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3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3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3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3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3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3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3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3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3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3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3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3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3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3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3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3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3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3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3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3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3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3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3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3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3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3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3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3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3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3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3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3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3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3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3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3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3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3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3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3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3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3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3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3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3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3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3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3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3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3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3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3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3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3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3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3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3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3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3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3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3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3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3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3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3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3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3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3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3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3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3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3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3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3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3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3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3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3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3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3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3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3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3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3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3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3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3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3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3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3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3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3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3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3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3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3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3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3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3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3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3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3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3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3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3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3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3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3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3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3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3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3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3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3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3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3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3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3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3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3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3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3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3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3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3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3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3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3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3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3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3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3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3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3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3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3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3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3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3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3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3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3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3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3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3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3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3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3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3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3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3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3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3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3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3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3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3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3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3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3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3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3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3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3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3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3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3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3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3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3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3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3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3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3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3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3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3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3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3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3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3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3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3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3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3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3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3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3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3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3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3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3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3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3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3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3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3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3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3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3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3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3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3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3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3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3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3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3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3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3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3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3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3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3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3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3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3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3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3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3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3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3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3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3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3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3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3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3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3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3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3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3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3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3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3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3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3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3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3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3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3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3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3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3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3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3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3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3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3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3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3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3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3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3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3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3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3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3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3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3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3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3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3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3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3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3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3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3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3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3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3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3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3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3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3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3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3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3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3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3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3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3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3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3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3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3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3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3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3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3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3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3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3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3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3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3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3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3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3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3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3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3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3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3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3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3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3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3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3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3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3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3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3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3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3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3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3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3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3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3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3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3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3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3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3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3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3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3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3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3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3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3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3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3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3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3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3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3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3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3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3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3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3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3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3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3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3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3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3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3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3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3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3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3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3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3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3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3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3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3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3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3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3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3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3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3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3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3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3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3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3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3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3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3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3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3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3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3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3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3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3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3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3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3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3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3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3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3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3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3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3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3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3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3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3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3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3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3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3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3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3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3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3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3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3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3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3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3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3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3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3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3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3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3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3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3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3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3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3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3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3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3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3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3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3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3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3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3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3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3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3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3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3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3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3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3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3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3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3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3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3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3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3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3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3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3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3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3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3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3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3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3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3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3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3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3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3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3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3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3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3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3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3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3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3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3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3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3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3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3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3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3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3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3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3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3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3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3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3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3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3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3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3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3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3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3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3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3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3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3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3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3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3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3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3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3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3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3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3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3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3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3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3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3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3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3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3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3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3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3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3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3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3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3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3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3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3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3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3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3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3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3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3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3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3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3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3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3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3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3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3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3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3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3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3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3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3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3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3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3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3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3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3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3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3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3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3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3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3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3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3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3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3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3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3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3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3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3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3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3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3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3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3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3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3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3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3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3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3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3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3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3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3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3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3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3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3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3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3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3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3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3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3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3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3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3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3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3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3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3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3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3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3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3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3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3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3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 ht="13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 ht="13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3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 ht="13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 ht="13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 ht="13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 ht="13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 ht="13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 ht="13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 ht="13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 ht="13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 ht="13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 ht="13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 ht="13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 ht="13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 ht="13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 ht="13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 ht="13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 ht="13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 ht="13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 ht="13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 ht="13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 ht="13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 ht="13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 ht="13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 ht="13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 ht="13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 ht="13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 ht="13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 ht="13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 ht="13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 ht="13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 ht="13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 ht="13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 ht="13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 ht="13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 ht="13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 ht="13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 ht="13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 ht="13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 ht="13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 ht="13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 ht="13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 ht="13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 ht="13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 ht="13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 ht="13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 ht="13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 ht="13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 ht="13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 ht="13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 ht="13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3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 ht="13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 ht="13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 ht="13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 ht="13.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 ht="13.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 ht="13.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 ht="13.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 ht="13.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 ht="13.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 ht="13.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 ht="13.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 ht="13.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 ht="13.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 ht="13.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 ht="13.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 ht="13.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 ht="13.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 ht="13.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 ht="13.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 ht="13.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 ht="13.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 ht="13.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 ht="13.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 ht="13.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 ht="13.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 ht="13.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</sheetData>
  <mergeCells count="25">
    <mergeCell ref="A11:A14"/>
    <mergeCell ref="A6:A8"/>
    <mergeCell ref="A31:A35"/>
    <mergeCell ref="A2:M2"/>
    <mergeCell ref="A83:A87"/>
    <mergeCell ref="A17:A20"/>
    <mergeCell ref="A61:A65"/>
    <mergeCell ref="A68:A72"/>
    <mergeCell ref="A75:A80"/>
    <mergeCell ref="A23:A28"/>
    <mergeCell ref="A38:A45"/>
    <mergeCell ref="A48:A51"/>
    <mergeCell ref="A54:A58"/>
    <mergeCell ref="A172:A177"/>
    <mergeCell ref="A90:A96"/>
    <mergeCell ref="A99:A102"/>
    <mergeCell ref="A117:A119"/>
    <mergeCell ref="A105:A109"/>
    <mergeCell ref="A122:A127"/>
    <mergeCell ref="A134:A140"/>
    <mergeCell ref="A143:A147"/>
    <mergeCell ref="A150:A154"/>
    <mergeCell ref="A160:A169"/>
    <mergeCell ref="A112:A114"/>
    <mergeCell ref="A130:A1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313B-5F1C-4837-9071-27A03D12C12B}">
  <sheetPr>
    <tabColor theme="2" tint="-0.499984740745262"/>
  </sheetPr>
  <dimension ref="A1:K23"/>
  <sheetViews>
    <sheetView workbookViewId="0">
      <selection activeCell="B7" sqref="B7"/>
    </sheetView>
  </sheetViews>
  <sheetFormatPr baseColWidth="10" defaultRowHeight="13.5" x14ac:dyDescent="0.25"/>
  <sheetData>
    <row r="1" spans="1:11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1" ht="21.75" thickBot="1" x14ac:dyDescent="0.3">
      <c r="A2" s="310" t="s">
        <v>40</v>
      </c>
      <c r="B2" s="311"/>
      <c r="C2" s="312"/>
      <c r="D2" s="313"/>
      <c r="E2" s="314" t="s">
        <v>60</v>
      </c>
      <c r="F2" s="315"/>
      <c r="G2" s="315"/>
      <c r="H2" s="315"/>
      <c r="I2" s="315"/>
      <c r="J2" s="315"/>
      <c r="K2" s="315"/>
    </row>
    <row r="3" spans="1:11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1" ht="20.100000000000001" customHeight="1" x14ac:dyDescent="0.25">
      <c r="A4" s="7">
        <v>45054</v>
      </c>
      <c r="B4" s="6">
        <v>3</v>
      </c>
      <c r="C4" s="6"/>
      <c r="D4" s="6"/>
      <c r="E4" s="6"/>
      <c r="F4" s="6"/>
      <c r="G4" s="6"/>
      <c r="H4" s="6"/>
      <c r="I4" s="6"/>
      <c r="J4" s="6"/>
      <c r="K4" s="6"/>
    </row>
    <row r="5" spans="1:11" ht="20.100000000000001" customHeight="1" x14ac:dyDescent="0.25">
      <c r="A5" s="9">
        <v>45100</v>
      </c>
      <c r="B5" s="8">
        <v>1</v>
      </c>
      <c r="C5" s="8"/>
      <c r="D5" s="8"/>
      <c r="E5" s="8"/>
      <c r="F5" s="8"/>
      <c r="G5" s="8"/>
      <c r="H5" s="8"/>
      <c r="I5" s="8"/>
      <c r="J5" s="8"/>
      <c r="K5" s="8"/>
    </row>
    <row r="6" spans="1:11" ht="20.100000000000001" customHeight="1" x14ac:dyDescent="0.25">
      <c r="A6" s="11">
        <v>45156</v>
      </c>
      <c r="B6" s="10">
        <v>1</v>
      </c>
      <c r="C6" s="10"/>
      <c r="D6" s="10"/>
      <c r="E6" s="10"/>
      <c r="F6" s="10"/>
      <c r="G6" s="10"/>
      <c r="H6" s="10"/>
      <c r="I6" s="10"/>
      <c r="J6" s="10"/>
      <c r="K6" s="10"/>
    </row>
    <row r="7" spans="1:11" ht="20.100000000000001" customHeight="1" x14ac:dyDescent="0.25">
      <c r="A7" s="11">
        <v>45337</v>
      </c>
      <c r="B7" s="10">
        <v>1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ht="20.100000000000001" customHeight="1" x14ac:dyDescent="0.25">
      <c r="A8" s="11">
        <v>45415</v>
      </c>
      <c r="B8" s="10">
        <v>1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ht="20.100000000000001" customHeight="1" x14ac:dyDescent="0.25">
      <c r="A9" s="11">
        <v>45419</v>
      </c>
      <c r="B9" s="10">
        <v>2</v>
      </c>
      <c r="C9" s="10"/>
      <c r="D9" s="10"/>
      <c r="E9" s="10"/>
      <c r="F9" s="10"/>
      <c r="G9" s="10"/>
      <c r="H9" s="10"/>
      <c r="I9" s="10"/>
      <c r="J9" s="10"/>
      <c r="K9" s="10"/>
    </row>
    <row r="10" spans="1:11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0.100000000000001" customHeight="1" thickBot="1" x14ac:dyDescent="0.3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0.100000000000001" customHeight="1" thickBot="1" x14ac:dyDescent="0.3">
      <c r="A12" s="12" t="s">
        <v>14</v>
      </c>
      <c r="B12" s="13">
        <f>SUM(B4:B11)</f>
        <v>9</v>
      </c>
      <c r="C12" s="13">
        <f t="shared" ref="C12:K12" si="0">SUM(C4:C11)</f>
        <v>0</v>
      </c>
      <c r="D12" s="13">
        <f t="shared" si="0"/>
        <v>0</v>
      </c>
      <c r="E12" s="13">
        <f t="shared" si="0"/>
        <v>0</v>
      </c>
      <c r="F12" s="13">
        <f t="shared" si="0"/>
        <v>0</v>
      </c>
      <c r="G12" s="13">
        <f t="shared" si="0"/>
        <v>0</v>
      </c>
      <c r="H12" s="13">
        <f t="shared" si="0"/>
        <v>0</v>
      </c>
      <c r="I12" s="13">
        <f t="shared" si="0"/>
        <v>0</v>
      </c>
      <c r="J12" s="13">
        <f t="shared" si="0"/>
        <v>0</v>
      </c>
      <c r="K12" s="13">
        <f t="shared" si="0"/>
        <v>0</v>
      </c>
    </row>
    <row r="13" spans="1:11" ht="20.100000000000001" customHeight="1" x14ac:dyDescent="0.25"/>
    <row r="14" spans="1:11" ht="20.100000000000001" customHeight="1" x14ac:dyDescent="0.25"/>
    <row r="15" spans="1:11" ht="20.100000000000001" customHeight="1" x14ac:dyDescent="0.25"/>
    <row r="16" spans="1:11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3">
    <mergeCell ref="A1:K1"/>
    <mergeCell ref="A2:D2"/>
    <mergeCell ref="E2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2B75-1E07-4C29-95F5-8BC5643E5826}">
  <dimension ref="A1:O5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7" sqref="A7"/>
    </sheetView>
  </sheetViews>
  <sheetFormatPr baseColWidth="10" defaultRowHeight="12.75" x14ac:dyDescent="0.25"/>
  <cols>
    <col min="1" max="1" width="9.28515625" style="157" customWidth="1"/>
    <col min="2" max="2" width="30.7109375" style="157" customWidth="1"/>
    <col min="3" max="3" width="17.85546875" style="157" customWidth="1"/>
    <col min="4" max="9" width="10.7109375" style="157" customWidth="1"/>
    <col min="10" max="14" width="10.7109375" style="161" customWidth="1"/>
    <col min="15" max="15" width="16" style="157" customWidth="1"/>
    <col min="16" max="16384" width="11.42578125" style="157"/>
  </cols>
  <sheetData>
    <row r="1" spans="1:15" ht="50.1" customHeight="1" x14ac:dyDescent="0.25">
      <c r="A1" s="156"/>
      <c r="B1" s="316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8"/>
    </row>
    <row r="2" spans="1:15" ht="25.5" x14ac:dyDescent="0.25">
      <c r="A2" s="166" t="s">
        <v>73</v>
      </c>
      <c r="B2" s="167" t="s">
        <v>74</v>
      </c>
      <c r="C2" s="167" t="s">
        <v>75</v>
      </c>
      <c r="D2" s="168" t="s">
        <v>118</v>
      </c>
      <c r="E2" s="168" t="s">
        <v>76</v>
      </c>
      <c r="F2" s="169" t="s">
        <v>3</v>
      </c>
      <c r="G2" s="168" t="s">
        <v>77</v>
      </c>
      <c r="H2" s="168" t="s">
        <v>78</v>
      </c>
      <c r="I2" s="168" t="s">
        <v>6</v>
      </c>
      <c r="J2" s="168" t="s">
        <v>8</v>
      </c>
      <c r="K2" s="168" t="s">
        <v>9</v>
      </c>
      <c r="L2" s="167" t="s">
        <v>10</v>
      </c>
      <c r="M2" s="168" t="s">
        <v>49</v>
      </c>
      <c r="N2" s="168" t="s">
        <v>72</v>
      </c>
      <c r="O2" s="198" t="s">
        <v>156</v>
      </c>
    </row>
    <row r="3" spans="1:15" ht="24.95" customHeight="1" x14ac:dyDescent="0.25">
      <c r="A3" s="158">
        <v>1</v>
      </c>
      <c r="B3" s="210" t="s">
        <v>62</v>
      </c>
      <c r="C3" s="205" t="s">
        <v>117</v>
      </c>
      <c r="D3" s="165">
        <v>1</v>
      </c>
      <c r="E3" s="162">
        <v>6</v>
      </c>
      <c r="F3" s="162">
        <v>0</v>
      </c>
      <c r="G3" s="162">
        <v>1</v>
      </c>
      <c r="H3" s="162">
        <v>1</v>
      </c>
      <c r="I3" s="162">
        <v>0</v>
      </c>
      <c r="J3" s="162">
        <v>2</v>
      </c>
      <c r="K3" s="162">
        <v>0</v>
      </c>
      <c r="L3" s="162">
        <v>0</v>
      </c>
      <c r="M3" s="162">
        <v>0</v>
      </c>
      <c r="N3" s="162">
        <v>0</v>
      </c>
      <c r="O3" s="207"/>
    </row>
    <row r="4" spans="1:15" ht="24.95" customHeight="1" x14ac:dyDescent="0.25">
      <c r="A4" s="215">
        <v>2</v>
      </c>
      <c r="B4" s="159" t="s">
        <v>79</v>
      </c>
      <c r="C4" s="160" t="s">
        <v>80</v>
      </c>
      <c r="D4" s="165">
        <v>2</v>
      </c>
      <c r="E4" s="162">
        <v>4</v>
      </c>
      <c r="F4" s="162">
        <v>0</v>
      </c>
      <c r="G4" s="162">
        <v>3</v>
      </c>
      <c r="H4" s="162">
        <v>2</v>
      </c>
      <c r="I4" s="162">
        <v>0</v>
      </c>
      <c r="J4" s="162">
        <v>5</v>
      </c>
      <c r="K4" s="162">
        <v>2</v>
      </c>
      <c r="L4" s="162">
        <v>1</v>
      </c>
      <c r="M4" s="162">
        <v>0</v>
      </c>
      <c r="N4" s="162">
        <v>1</v>
      </c>
      <c r="O4" s="201"/>
    </row>
    <row r="5" spans="1:15" ht="24.95" customHeight="1" x14ac:dyDescent="0.25">
      <c r="A5" s="158">
        <v>3</v>
      </c>
      <c r="B5" s="210" t="s">
        <v>85</v>
      </c>
      <c r="C5" s="205" t="s">
        <v>86</v>
      </c>
      <c r="D5" s="164">
        <v>1</v>
      </c>
      <c r="E5" s="162">
        <v>5</v>
      </c>
      <c r="F5" s="162">
        <v>1</v>
      </c>
      <c r="G5" s="162">
        <v>1</v>
      </c>
      <c r="H5" s="162">
        <v>1</v>
      </c>
      <c r="I5" s="162">
        <v>1</v>
      </c>
      <c r="J5" s="162">
        <v>2</v>
      </c>
      <c r="K5" s="162">
        <v>1</v>
      </c>
      <c r="L5" s="162">
        <v>1</v>
      </c>
      <c r="M5" s="162">
        <v>0</v>
      </c>
      <c r="N5" s="162">
        <v>1</v>
      </c>
      <c r="O5" s="208">
        <v>45422</v>
      </c>
    </row>
    <row r="6" spans="1:15" ht="24.95" customHeight="1" x14ac:dyDescent="0.25">
      <c r="A6" s="215">
        <v>4</v>
      </c>
      <c r="B6" s="159" t="s">
        <v>15</v>
      </c>
      <c r="C6" s="160" t="s">
        <v>119</v>
      </c>
      <c r="D6" s="165">
        <v>1</v>
      </c>
      <c r="E6" s="162">
        <v>2</v>
      </c>
      <c r="F6" s="162">
        <v>1</v>
      </c>
      <c r="G6" s="162">
        <v>1</v>
      </c>
      <c r="H6" s="162">
        <v>1</v>
      </c>
      <c r="I6" s="162">
        <v>0</v>
      </c>
      <c r="J6" s="162">
        <v>1</v>
      </c>
      <c r="K6" s="162">
        <v>0</v>
      </c>
      <c r="L6" s="162">
        <v>0</v>
      </c>
      <c r="M6" s="162">
        <v>0</v>
      </c>
      <c r="N6" s="162">
        <v>0</v>
      </c>
      <c r="O6" s="201"/>
    </row>
    <row r="7" spans="1:15" ht="24.95" customHeight="1" x14ac:dyDescent="0.25">
      <c r="A7" s="158">
        <v>5</v>
      </c>
      <c r="B7" s="159" t="s">
        <v>115</v>
      </c>
      <c r="C7" s="160" t="s">
        <v>116</v>
      </c>
      <c r="D7" s="165">
        <v>1</v>
      </c>
      <c r="E7" s="162">
        <v>5</v>
      </c>
      <c r="F7" s="162">
        <v>0</v>
      </c>
      <c r="G7" s="162">
        <v>2</v>
      </c>
      <c r="H7" s="162">
        <v>1</v>
      </c>
      <c r="I7" s="162">
        <v>0</v>
      </c>
      <c r="J7" s="162">
        <v>3</v>
      </c>
      <c r="K7" s="162">
        <v>2</v>
      </c>
      <c r="L7" s="162">
        <v>2</v>
      </c>
      <c r="M7" s="162">
        <v>0</v>
      </c>
      <c r="N7" s="162">
        <v>0</v>
      </c>
      <c r="O7" s="201"/>
    </row>
    <row r="8" spans="1:15" ht="24.95" customHeight="1" x14ac:dyDescent="0.25">
      <c r="A8" s="158">
        <v>6</v>
      </c>
      <c r="B8" s="159" t="s">
        <v>87</v>
      </c>
      <c r="C8" s="160" t="s">
        <v>88</v>
      </c>
      <c r="D8" s="164">
        <v>0</v>
      </c>
      <c r="E8" s="162">
        <v>3</v>
      </c>
      <c r="F8" s="162">
        <v>1</v>
      </c>
      <c r="G8" s="162">
        <v>2</v>
      </c>
      <c r="H8" s="162">
        <v>1</v>
      </c>
      <c r="I8" s="162">
        <v>1</v>
      </c>
      <c r="J8" s="163">
        <v>1</v>
      </c>
      <c r="K8" s="163">
        <v>1</v>
      </c>
      <c r="L8" s="163">
        <v>0</v>
      </c>
      <c r="M8" s="163">
        <v>0</v>
      </c>
      <c r="N8" s="162">
        <v>1</v>
      </c>
      <c r="O8" s="201"/>
    </row>
    <row r="9" spans="1:15" ht="24.95" customHeight="1" x14ac:dyDescent="0.25">
      <c r="A9" s="158">
        <v>7</v>
      </c>
      <c r="B9" s="210" t="s">
        <v>44</v>
      </c>
      <c r="C9" s="205" t="s">
        <v>89</v>
      </c>
      <c r="D9" s="164">
        <v>0</v>
      </c>
      <c r="E9" s="162">
        <v>5</v>
      </c>
      <c r="F9" s="162">
        <v>0</v>
      </c>
      <c r="G9" s="162">
        <v>0</v>
      </c>
      <c r="H9" s="162">
        <v>1</v>
      </c>
      <c r="I9" s="162">
        <v>1</v>
      </c>
      <c r="J9" s="162">
        <v>2</v>
      </c>
      <c r="K9" s="162">
        <v>1</v>
      </c>
      <c r="L9" s="162">
        <v>1</v>
      </c>
      <c r="M9" s="162">
        <v>0</v>
      </c>
      <c r="N9" s="162">
        <v>0</v>
      </c>
      <c r="O9" s="201"/>
    </row>
    <row r="10" spans="1:15" ht="24.95" customHeight="1" x14ac:dyDescent="0.25">
      <c r="A10" s="158">
        <v>8</v>
      </c>
      <c r="B10" s="159" t="s">
        <v>58</v>
      </c>
      <c r="C10" s="206" t="s">
        <v>160</v>
      </c>
      <c r="D10" s="164">
        <v>2</v>
      </c>
      <c r="E10" s="162">
        <v>5</v>
      </c>
      <c r="F10" s="162">
        <v>1</v>
      </c>
      <c r="G10" s="162">
        <v>3</v>
      </c>
      <c r="H10" s="162">
        <v>2</v>
      </c>
      <c r="I10" s="162">
        <v>0</v>
      </c>
      <c r="J10" s="162">
        <v>4</v>
      </c>
      <c r="K10" s="162">
        <v>2</v>
      </c>
      <c r="L10" s="162">
        <v>1</v>
      </c>
      <c r="M10" s="162">
        <v>0</v>
      </c>
      <c r="N10" s="162">
        <v>0</v>
      </c>
      <c r="O10" s="200" t="s">
        <v>167</v>
      </c>
    </row>
    <row r="11" spans="1:15" ht="24.95" customHeight="1" x14ac:dyDescent="0.25">
      <c r="A11" s="158">
        <v>9</v>
      </c>
      <c r="B11" s="159" t="s">
        <v>81</v>
      </c>
      <c r="C11" s="160" t="s">
        <v>82</v>
      </c>
      <c r="D11" s="165">
        <v>1</v>
      </c>
      <c r="E11" s="162">
        <v>3</v>
      </c>
      <c r="F11" s="162">
        <v>1</v>
      </c>
      <c r="G11" s="162">
        <v>3</v>
      </c>
      <c r="H11" s="162">
        <v>2</v>
      </c>
      <c r="I11" s="162">
        <v>0</v>
      </c>
      <c r="J11" s="163">
        <v>1</v>
      </c>
      <c r="K11" s="163">
        <v>2</v>
      </c>
      <c r="L11" s="163">
        <v>0</v>
      </c>
      <c r="M11" s="163">
        <v>0</v>
      </c>
      <c r="N11" s="163">
        <v>1</v>
      </c>
      <c r="O11" s="208">
        <v>45470</v>
      </c>
    </row>
    <row r="12" spans="1:15" ht="24.95" customHeight="1" x14ac:dyDescent="0.25">
      <c r="A12" s="158">
        <v>10</v>
      </c>
      <c r="B12" s="211" t="s">
        <v>90</v>
      </c>
      <c r="C12" s="205" t="s">
        <v>91</v>
      </c>
      <c r="D12" s="164">
        <v>2</v>
      </c>
      <c r="E12" s="162">
        <v>3</v>
      </c>
      <c r="F12" s="162">
        <v>0</v>
      </c>
      <c r="G12" s="162">
        <v>1</v>
      </c>
      <c r="H12" s="162">
        <v>1</v>
      </c>
      <c r="I12" s="162">
        <v>0</v>
      </c>
      <c r="J12" s="162">
        <v>2</v>
      </c>
      <c r="K12" s="162">
        <v>1</v>
      </c>
      <c r="L12" s="162">
        <v>1</v>
      </c>
      <c r="M12" s="162">
        <v>0</v>
      </c>
      <c r="N12" s="162">
        <v>1</v>
      </c>
      <c r="O12" s="201"/>
    </row>
    <row r="13" spans="1:15" ht="24.95" customHeight="1" x14ac:dyDescent="0.25">
      <c r="A13" s="158">
        <v>11</v>
      </c>
      <c r="B13" s="210" t="s">
        <v>92</v>
      </c>
      <c r="C13" s="205" t="s">
        <v>93</v>
      </c>
      <c r="D13" s="164">
        <v>0</v>
      </c>
      <c r="E13" s="162">
        <v>3</v>
      </c>
      <c r="F13" s="162">
        <v>1</v>
      </c>
      <c r="G13" s="162">
        <v>2</v>
      </c>
      <c r="H13" s="162">
        <v>1</v>
      </c>
      <c r="I13" s="162">
        <v>0</v>
      </c>
      <c r="J13" s="162">
        <v>1</v>
      </c>
      <c r="K13" s="162">
        <v>1</v>
      </c>
      <c r="L13" s="162">
        <v>1</v>
      </c>
      <c r="M13" s="162">
        <v>0</v>
      </c>
      <c r="N13" s="162">
        <v>0</v>
      </c>
      <c r="O13" s="201"/>
    </row>
    <row r="14" spans="1:15" ht="24.95" customHeight="1" x14ac:dyDescent="0.25">
      <c r="A14" s="158"/>
      <c r="B14" s="210" t="s">
        <v>185</v>
      </c>
      <c r="C14" s="205" t="s">
        <v>186</v>
      </c>
      <c r="D14" s="164">
        <v>2</v>
      </c>
      <c r="E14" s="162">
        <v>1</v>
      </c>
      <c r="F14" s="162">
        <v>0</v>
      </c>
      <c r="G14" s="162">
        <v>1</v>
      </c>
      <c r="H14" s="162">
        <v>0</v>
      </c>
      <c r="I14" s="162">
        <v>0</v>
      </c>
      <c r="J14" s="162">
        <v>0</v>
      </c>
      <c r="K14" s="162">
        <v>0</v>
      </c>
      <c r="L14" s="162">
        <v>1</v>
      </c>
      <c r="M14" s="162">
        <v>0</v>
      </c>
      <c r="N14" s="162">
        <v>0</v>
      </c>
      <c r="O14" s="201"/>
    </row>
    <row r="15" spans="1:15" ht="24.95" customHeight="1" x14ac:dyDescent="0.25">
      <c r="A15" s="158">
        <v>12</v>
      </c>
      <c r="B15" s="159" t="s">
        <v>94</v>
      </c>
      <c r="C15" s="160" t="s">
        <v>95</v>
      </c>
      <c r="D15" s="164">
        <v>2</v>
      </c>
      <c r="E15" s="162">
        <v>5</v>
      </c>
      <c r="F15" s="162">
        <v>1</v>
      </c>
      <c r="G15" s="162">
        <v>1</v>
      </c>
      <c r="H15" s="162">
        <v>0</v>
      </c>
      <c r="I15" s="162">
        <v>0</v>
      </c>
      <c r="J15" s="162">
        <v>1</v>
      </c>
      <c r="K15" s="162">
        <v>1</v>
      </c>
      <c r="L15" s="162">
        <v>0</v>
      </c>
      <c r="M15" s="162">
        <v>0</v>
      </c>
      <c r="N15" s="162">
        <v>0</v>
      </c>
      <c r="O15" s="201"/>
    </row>
    <row r="16" spans="1:15" ht="24.95" customHeight="1" x14ac:dyDescent="0.25">
      <c r="A16" s="158">
        <v>13</v>
      </c>
      <c r="B16" s="159" t="s">
        <v>96</v>
      </c>
      <c r="C16" s="160" t="s">
        <v>97</v>
      </c>
      <c r="D16" s="164">
        <v>0</v>
      </c>
      <c r="E16" s="162">
        <v>0</v>
      </c>
      <c r="F16" s="162">
        <v>1</v>
      </c>
      <c r="G16" s="162">
        <v>0</v>
      </c>
      <c r="H16" s="162">
        <v>1</v>
      </c>
      <c r="I16" s="162">
        <v>1</v>
      </c>
      <c r="J16" s="162">
        <v>3</v>
      </c>
      <c r="K16" s="162">
        <v>0</v>
      </c>
      <c r="L16" s="162">
        <v>0</v>
      </c>
      <c r="M16" s="162">
        <v>0</v>
      </c>
      <c r="N16" s="162">
        <v>0</v>
      </c>
      <c r="O16" s="201"/>
    </row>
    <row r="17" spans="1:15" ht="24.95" customHeight="1" x14ac:dyDescent="0.25">
      <c r="A17" s="158">
        <v>14</v>
      </c>
      <c r="B17" s="159" t="s">
        <v>98</v>
      </c>
      <c r="C17" s="160" t="s">
        <v>99</v>
      </c>
      <c r="D17" s="164">
        <v>2</v>
      </c>
      <c r="E17" s="162">
        <v>4</v>
      </c>
      <c r="F17" s="162">
        <v>1</v>
      </c>
      <c r="G17" s="162">
        <v>1</v>
      </c>
      <c r="H17" s="162">
        <v>0</v>
      </c>
      <c r="I17" s="162">
        <v>0</v>
      </c>
      <c r="J17" s="163">
        <v>2</v>
      </c>
      <c r="K17" s="163">
        <v>2</v>
      </c>
      <c r="L17" s="163">
        <v>0</v>
      </c>
      <c r="M17" s="163">
        <v>0</v>
      </c>
      <c r="N17" s="162">
        <v>0</v>
      </c>
      <c r="O17" s="201" t="s">
        <v>168</v>
      </c>
    </row>
    <row r="18" spans="1:15" ht="24.95" customHeight="1" x14ac:dyDescent="0.25">
      <c r="A18" s="158">
        <v>15</v>
      </c>
      <c r="B18" s="159" t="s">
        <v>54</v>
      </c>
      <c r="C18" s="160" t="s">
        <v>120</v>
      </c>
      <c r="D18" s="164">
        <v>0</v>
      </c>
      <c r="E18" s="162">
        <v>6</v>
      </c>
      <c r="F18" s="162">
        <v>1</v>
      </c>
      <c r="G18" s="162">
        <v>2</v>
      </c>
      <c r="H18" s="162">
        <v>2</v>
      </c>
      <c r="I18" s="162">
        <v>0</v>
      </c>
      <c r="J18" s="163">
        <v>3</v>
      </c>
      <c r="K18" s="163">
        <v>1</v>
      </c>
      <c r="L18" s="163">
        <v>0</v>
      </c>
      <c r="M18" s="163">
        <v>0</v>
      </c>
      <c r="N18" s="162">
        <v>0</v>
      </c>
      <c r="O18" s="201"/>
    </row>
    <row r="19" spans="1:15" ht="24.95" customHeight="1" x14ac:dyDescent="0.25">
      <c r="A19" s="158">
        <v>16</v>
      </c>
      <c r="B19" s="159" t="s">
        <v>55</v>
      </c>
      <c r="C19" s="160" t="s">
        <v>121</v>
      </c>
      <c r="D19" s="164">
        <v>1</v>
      </c>
      <c r="E19" s="162">
        <v>6</v>
      </c>
      <c r="F19" s="162">
        <v>0</v>
      </c>
      <c r="G19" s="162">
        <v>2</v>
      </c>
      <c r="H19" s="162">
        <v>3</v>
      </c>
      <c r="I19" s="162">
        <v>0</v>
      </c>
      <c r="J19" s="163">
        <v>3</v>
      </c>
      <c r="K19" s="163">
        <v>1</v>
      </c>
      <c r="L19" s="163">
        <v>0</v>
      </c>
      <c r="M19" s="163">
        <v>0</v>
      </c>
      <c r="N19" s="162">
        <v>1</v>
      </c>
      <c r="O19" s="208">
        <v>45504</v>
      </c>
    </row>
    <row r="20" spans="1:15" ht="24.95" customHeight="1" x14ac:dyDescent="0.25">
      <c r="A20" s="158">
        <v>17</v>
      </c>
      <c r="B20" s="159" t="s">
        <v>83</v>
      </c>
      <c r="C20" s="160" t="s">
        <v>84</v>
      </c>
      <c r="D20" s="162">
        <v>1</v>
      </c>
      <c r="E20" s="162">
        <v>4</v>
      </c>
      <c r="F20" s="162">
        <v>0</v>
      </c>
      <c r="G20" s="162">
        <v>2</v>
      </c>
      <c r="H20" s="162">
        <v>1</v>
      </c>
      <c r="I20" s="162">
        <v>0</v>
      </c>
      <c r="J20" s="163">
        <v>2</v>
      </c>
      <c r="K20" s="163">
        <v>1</v>
      </c>
      <c r="L20" s="163">
        <v>1</v>
      </c>
      <c r="M20" s="163">
        <v>0</v>
      </c>
      <c r="N20" s="162">
        <v>0</v>
      </c>
      <c r="O20" s="208">
        <v>45470</v>
      </c>
    </row>
    <row r="21" spans="1:15" ht="24.95" customHeight="1" x14ac:dyDescent="0.25">
      <c r="A21" s="158">
        <v>18</v>
      </c>
      <c r="B21" s="159" t="s">
        <v>100</v>
      </c>
      <c r="C21" s="160" t="s">
        <v>101</v>
      </c>
      <c r="D21" s="164">
        <v>1</v>
      </c>
      <c r="E21" s="162">
        <v>3</v>
      </c>
      <c r="F21" s="162">
        <v>1</v>
      </c>
      <c r="G21" s="162">
        <v>2</v>
      </c>
      <c r="H21" s="162">
        <v>1</v>
      </c>
      <c r="I21" s="162">
        <v>0</v>
      </c>
      <c r="J21" s="162">
        <v>2</v>
      </c>
      <c r="K21" s="162">
        <v>1</v>
      </c>
      <c r="L21" s="162">
        <v>0</v>
      </c>
      <c r="M21" s="162">
        <v>0</v>
      </c>
      <c r="N21" s="162">
        <v>1</v>
      </c>
      <c r="O21" s="200" t="s">
        <v>169</v>
      </c>
    </row>
    <row r="22" spans="1:15" ht="24.95" customHeight="1" x14ac:dyDescent="0.25">
      <c r="A22" s="158">
        <v>19</v>
      </c>
      <c r="B22" s="159" t="s">
        <v>102</v>
      </c>
      <c r="C22" s="160" t="s">
        <v>103</v>
      </c>
      <c r="D22" s="164">
        <v>0</v>
      </c>
      <c r="E22" s="162">
        <v>1</v>
      </c>
      <c r="F22" s="162">
        <v>1</v>
      </c>
      <c r="G22" s="162">
        <v>1</v>
      </c>
      <c r="H22" s="162">
        <v>1</v>
      </c>
      <c r="I22" s="162">
        <v>1</v>
      </c>
      <c r="J22" s="162">
        <v>3</v>
      </c>
      <c r="K22" s="162">
        <v>0</v>
      </c>
      <c r="L22" s="162">
        <v>0</v>
      </c>
      <c r="M22" s="162">
        <v>0</v>
      </c>
      <c r="N22" s="162">
        <v>0</v>
      </c>
      <c r="O22" s="201"/>
    </row>
    <row r="23" spans="1:15" ht="24.95" customHeight="1" x14ac:dyDescent="0.25">
      <c r="A23" s="158">
        <v>20</v>
      </c>
      <c r="B23" s="159" t="s">
        <v>28</v>
      </c>
      <c r="C23" s="160" t="s">
        <v>122</v>
      </c>
      <c r="D23" s="164">
        <v>1</v>
      </c>
      <c r="E23" s="162">
        <v>3</v>
      </c>
      <c r="F23" s="162">
        <v>0</v>
      </c>
      <c r="G23" s="162">
        <v>1</v>
      </c>
      <c r="H23" s="162">
        <v>3</v>
      </c>
      <c r="I23" s="162">
        <v>1</v>
      </c>
      <c r="J23" s="162">
        <v>3</v>
      </c>
      <c r="K23" s="162">
        <v>0</v>
      </c>
      <c r="L23" s="162">
        <v>0</v>
      </c>
      <c r="M23" s="162">
        <v>0</v>
      </c>
      <c r="N23" s="162">
        <v>0</v>
      </c>
      <c r="O23" s="201" t="s">
        <v>162</v>
      </c>
    </row>
    <row r="24" spans="1:15" ht="24.95" customHeight="1" x14ac:dyDescent="0.25">
      <c r="A24" s="158">
        <v>21</v>
      </c>
      <c r="B24" s="159" t="s">
        <v>104</v>
      </c>
      <c r="C24" s="160" t="s">
        <v>105</v>
      </c>
      <c r="D24" s="164">
        <v>2</v>
      </c>
      <c r="E24" s="162">
        <v>5</v>
      </c>
      <c r="F24" s="162">
        <v>1</v>
      </c>
      <c r="G24" s="162">
        <v>2</v>
      </c>
      <c r="H24" s="162">
        <v>1</v>
      </c>
      <c r="I24" s="162">
        <v>0</v>
      </c>
      <c r="J24" s="162">
        <v>2</v>
      </c>
      <c r="K24" s="162">
        <v>1</v>
      </c>
      <c r="L24" s="162">
        <v>1</v>
      </c>
      <c r="M24" s="162">
        <v>0</v>
      </c>
      <c r="N24" s="162">
        <v>1</v>
      </c>
      <c r="O24" s="200" t="s">
        <v>170</v>
      </c>
    </row>
    <row r="25" spans="1:15" ht="24.95" customHeight="1" x14ac:dyDescent="0.25">
      <c r="A25" s="158"/>
      <c r="B25" s="210" t="s">
        <v>188</v>
      </c>
      <c r="C25" s="160" t="s">
        <v>189</v>
      </c>
      <c r="D25" s="164">
        <v>0</v>
      </c>
      <c r="E25" s="162">
        <v>2</v>
      </c>
      <c r="F25" s="162">
        <v>0</v>
      </c>
      <c r="G25" s="162">
        <v>0</v>
      </c>
      <c r="H25" s="162">
        <v>0</v>
      </c>
      <c r="I25" s="162">
        <v>0</v>
      </c>
      <c r="J25" s="162">
        <v>0</v>
      </c>
      <c r="K25" s="162">
        <v>1</v>
      </c>
      <c r="L25" s="162">
        <v>1</v>
      </c>
      <c r="M25" s="162">
        <v>0</v>
      </c>
      <c r="N25" s="162">
        <v>0</v>
      </c>
      <c r="O25" s="200"/>
    </row>
    <row r="26" spans="1:15" ht="24.95" customHeight="1" x14ac:dyDescent="0.25">
      <c r="A26" s="158">
        <v>22</v>
      </c>
      <c r="B26" s="159" t="s">
        <v>106</v>
      </c>
      <c r="C26" s="160" t="s">
        <v>107</v>
      </c>
      <c r="D26" s="164">
        <v>2</v>
      </c>
      <c r="E26" s="162">
        <v>10</v>
      </c>
      <c r="F26" s="162">
        <v>1</v>
      </c>
      <c r="G26" s="162">
        <v>3</v>
      </c>
      <c r="H26" s="162">
        <v>3</v>
      </c>
      <c r="I26" s="162">
        <v>0</v>
      </c>
      <c r="J26" s="163">
        <v>2</v>
      </c>
      <c r="K26" s="163">
        <v>3</v>
      </c>
      <c r="L26" s="163">
        <v>1</v>
      </c>
      <c r="M26" s="163">
        <v>0</v>
      </c>
      <c r="N26" s="162">
        <v>0</v>
      </c>
      <c r="O26" s="201" t="s">
        <v>171</v>
      </c>
    </row>
    <row r="27" spans="1:15" ht="24.95" customHeight="1" x14ac:dyDescent="0.25">
      <c r="A27" s="158">
        <v>23</v>
      </c>
      <c r="B27" s="159" t="s">
        <v>63</v>
      </c>
      <c r="C27" s="160" t="s">
        <v>108</v>
      </c>
      <c r="D27" s="164">
        <v>0</v>
      </c>
      <c r="E27" s="162">
        <v>4</v>
      </c>
      <c r="F27" s="162">
        <v>0</v>
      </c>
      <c r="G27" s="162">
        <v>3</v>
      </c>
      <c r="H27" s="162">
        <v>0</v>
      </c>
      <c r="I27" s="162">
        <v>0</v>
      </c>
      <c r="J27" s="163">
        <v>3</v>
      </c>
      <c r="K27" s="163">
        <v>0</v>
      </c>
      <c r="L27" s="163">
        <v>0</v>
      </c>
      <c r="M27" s="163">
        <v>0</v>
      </c>
      <c r="N27" s="162">
        <v>0</v>
      </c>
      <c r="O27" s="201"/>
    </row>
    <row r="28" spans="1:15" ht="24.95" customHeight="1" x14ac:dyDescent="0.25">
      <c r="A28" s="158">
        <v>24</v>
      </c>
      <c r="B28" s="159" t="s">
        <v>109</v>
      </c>
      <c r="C28" s="160" t="s">
        <v>110</v>
      </c>
      <c r="D28" s="164">
        <v>2</v>
      </c>
      <c r="E28" s="162">
        <v>4</v>
      </c>
      <c r="F28" s="162">
        <v>1</v>
      </c>
      <c r="G28" s="162">
        <v>1</v>
      </c>
      <c r="H28" s="162">
        <v>1</v>
      </c>
      <c r="I28" s="162">
        <v>0</v>
      </c>
      <c r="J28" s="162">
        <v>0</v>
      </c>
      <c r="K28" s="162">
        <v>1</v>
      </c>
      <c r="L28" s="162">
        <v>0</v>
      </c>
      <c r="M28" s="162">
        <v>0</v>
      </c>
      <c r="N28" s="162">
        <v>0</v>
      </c>
      <c r="O28" s="200" t="s">
        <v>172</v>
      </c>
    </row>
    <row r="29" spans="1:15" ht="24.95" customHeight="1" x14ac:dyDescent="0.25">
      <c r="A29" s="158"/>
      <c r="B29" s="210" t="s">
        <v>140</v>
      </c>
      <c r="C29" s="160" t="s">
        <v>177</v>
      </c>
      <c r="D29" s="164">
        <v>0</v>
      </c>
      <c r="E29" s="162">
        <v>2</v>
      </c>
      <c r="F29" s="162">
        <v>0</v>
      </c>
      <c r="G29" s="162">
        <v>0</v>
      </c>
      <c r="H29" s="162">
        <v>0</v>
      </c>
      <c r="I29" s="162">
        <v>0</v>
      </c>
      <c r="J29" s="162">
        <v>0</v>
      </c>
      <c r="K29" s="162">
        <v>2</v>
      </c>
      <c r="L29" s="162">
        <v>0</v>
      </c>
      <c r="M29" s="162">
        <v>0</v>
      </c>
      <c r="N29" s="162">
        <v>0</v>
      </c>
      <c r="O29" s="200"/>
    </row>
    <row r="30" spans="1:15" ht="24.95" customHeight="1" x14ac:dyDescent="0.25">
      <c r="A30" s="158">
        <v>25</v>
      </c>
      <c r="B30" s="159" t="s">
        <v>33</v>
      </c>
      <c r="C30" s="160" t="s">
        <v>111</v>
      </c>
      <c r="D30" s="164">
        <v>2</v>
      </c>
      <c r="E30" s="162">
        <v>7</v>
      </c>
      <c r="F30" s="162">
        <v>1</v>
      </c>
      <c r="G30" s="162">
        <v>2</v>
      </c>
      <c r="H30" s="162">
        <v>2</v>
      </c>
      <c r="I30" s="162">
        <v>0</v>
      </c>
      <c r="J30" s="162">
        <v>3</v>
      </c>
      <c r="K30" s="162">
        <v>2</v>
      </c>
      <c r="L30" s="162">
        <v>2</v>
      </c>
      <c r="M30" s="162">
        <v>0</v>
      </c>
      <c r="N30" s="162">
        <v>1</v>
      </c>
      <c r="O30" s="201" t="s">
        <v>173</v>
      </c>
    </row>
    <row r="31" spans="1:15" ht="24.95" customHeight="1" x14ac:dyDescent="0.25">
      <c r="A31" s="158"/>
      <c r="B31" s="210" t="s">
        <v>190</v>
      </c>
      <c r="C31" s="160" t="s">
        <v>205</v>
      </c>
      <c r="D31" s="164">
        <v>0</v>
      </c>
      <c r="E31" s="162">
        <v>2</v>
      </c>
      <c r="F31" s="162">
        <v>0</v>
      </c>
      <c r="G31" s="162">
        <v>2</v>
      </c>
      <c r="H31" s="162">
        <v>1</v>
      </c>
      <c r="I31" s="162">
        <v>0</v>
      </c>
      <c r="J31" s="162">
        <v>1</v>
      </c>
      <c r="K31" s="162">
        <v>1</v>
      </c>
      <c r="L31" s="162">
        <v>0</v>
      </c>
      <c r="M31" s="162">
        <v>0</v>
      </c>
      <c r="N31" s="162">
        <v>0</v>
      </c>
      <c r="O31" s="201"/>
    </row>
    <row r="32" spans="1:15" ht="24.95" customHeight="1" x14ac:dyDescent="0.25">
      <c r="A32" s="158"/>
      <c r="B32" s="159" t="s">
        <v>35</v>
      </c>
      <c r="C32" s="160" t="s">
        <v>187</v>
      </c>
      <c r="D32" s="164">
        <v>0</v>
      </c>
      <c r="E32" s="162">
        <v>3</v>
      </c>
      <c r="F32" s="162">
        <v>1</v>
      </c>
      <c r="G32" s="162">
        <v>2</v>
      </c>
      <c r="H32" s="162">
        <v>1</v>
      </c>
      <c r="I32" s="162">
        <v>0</v>
      </c>
      <c r="J32" s="162">
        <v>2</v>
      </c>
      <c r="K32" s="162">
        <v>1</v>
      </c>
      <c r="L32" s="162">
        <v>0</v>
      </c>
      <c r="M32" s="162">
        <v>0</v>
      </c>
      <c r="N32" s="162">
        <v>0</v>
      </c>
      <c r="O32" s="201"/>
    </row>
    <row r="33" spans="1:15" ht="24.95" customHeight="1" x14ac:dyDescent="0.25">
      <c r="A33" s="158">
        <v>26</v>
      </c>
      <c r="B33" s="159" t="s">
        <v>34</v>
      </c>
      <c r="C33" s="160" t="s">
        <v>112</v>
      </c>
      <c r="D33" s="164">
        <v>0</v>
      </c>
      <c r="E33" s="162">
        <v>3</v>
      </c>
      <c r="F33" s="162">
        <v>1</v>
      </c>
      <c r="G33" s="162">
        <v>3</v>
      </c>
      <c r="H33" s="162">
        <v>1</v>
      </c>
      <c r="I33" s="162">
        <v>1</v>
      </c>
      <c r="J33" s="162">
        <v>2</v>
      </c>
      <c r="K33" s="162">
        <v>0</v>
      </c>
      <c r="L33" s="162">
        <v>0</v>
      </c>
      <c r="M33" s="162">
        <v>0</v>
      </c>
      <c r="N33" s="162">
        <v>0</v>
      </c>
      <c r="O33" s="201"/>
    </row>
    <row r="34" spans="1:15" ht="24.95" customHeight="1" x14ac:dyDescent="0.25">
      <c r="A34" s="158">
        <v>27</v>
      </c>
      <c r="B34" s="159" t="s">
        <v>113</v>
      </c>
      <c r="C34" s="160" t="s">
        <v>114</v>
      </c>
      <c r="D34" s="164">
        <v>1</v>
      </c>
      <c r="E34" s="162">
        <v>4</v>
      </c>
      <c r="F34" s="162">
        <v>1</v>
      </c>
      <c r="G34" s="162">
        <v>3</v>
      </c>
      <c r="H34" s="162">
        <v>1</v>
      </c>
      <c r="I34" s="162">
        <v>1</v>
      </c>
      <c r="J34" s="162">
        <v>1</v>
      </c>
      <c r="K34" s="162">
        <v>2</v>
      </c>
      <c r="L34" s="162">
        <v>1</v>
      </c>
      <c r="M34" s="162">
        <v>0</v>
      </c>
      <c r="N34" s="162">
        <v>1</v>
      </c>
      <c r="O34" s="208">
        <v>45463</v>
      </c>
    </row>
    <row r="35" spans="1:15" ht="24.95" customHeight="1" x14ac:dyDescent="0.25">
      <c r="A35" s="158">
        <v>28</v>
      </c>
      <c r="B35" s="159" t="s">
        <v>133</v>
      </c>
      <c r="C35" s="160" t="s">
        <v>164</v>
      </c>
      <c r="D35" s="164">
        <v>1</v>
      </c>
      <c r="E35" s="162">
        <v>2</v>
      </c>
      <c r="F35" s="162">
        <v>0</v>
      </c>
      <c r="G35" s="162">
        <v>1</v>
      </c>
      <c r="H35" s="162">
        <v>1</v>
      </c>
      <c r="I35" s="162">
        <v>0</v>
      </c>
      <c r="J35" s="162">
        <v>1</v>
      </c>
      <c r="K35" s="162">
        <v>1</v>
      </c>
      <c r="L35" s="162">
        <v>1</v>
      </c>
      <c r="M35" s="162">
        <v>0</v>
      </c>
      <c r="N35" s="162">
        <v>0</v>
      </c>
      <c r="O35" s="208"/>
    </row>
    <row r="36" spans="1:15" ht="24.95" customHeight="1" x14ac:dyDescent="0.25">
      <c r="A36" s="158">
        <v>29</v>
      </c>
      <c r="B36" s="159" t="s">
        <v>53</v>
      </c>
      <c r="C36" s="160" t="s">
        <v>123</v>
      </c>
      <c r="D36" s="164">
        <v>1</v>
      </c>
      <c r="E36" s="162">
        <v>3</v>
      </c>
      <c r="F36" s="162">
        <v>1</v>
      </c>
      <c r="G36" s="162">
        <v>2</v>
      </c>
      <c r="H36" s="162">
        <v>1</v>
      </c>
      <c r="I36" s="162">
        <v>1</v>
      </c>
      <c r="J36" s="163">
        <v>1</v>
      </c>
      <c r="K36" s="163">
        <v>2</v>
      </c>
      <c r="L36" s="163">
        <v>2</v>
      </c>
      <c r="M36" s="163">
        <v>0</v>
      </c>
      <c r="N36" s="162">
        <v>0</v>
      </c>
      <c r="O36" s="208">
        <v>45605</v>
      </c>
    </row>
    <row r="37" spans="1:15" ht="24.95" customHeight="1" x14ac:dyDescent="0.25">
      <c r="A37" s="158">
        <v>30</v>
      </c>
      <c r="B37" s="159" t="s">
        <v>38</v>
      </c>
      <c r="C37" s="160" t="s">
        <v>155</v>
      </c>
      <c r="D37" s="164">
        <v>0</v>
      </c>
      <c r="E37" s="162">
        <v>3</v>
      </c>
      <c r="F37" s="162">
        <v>0</v>
      </c>
      <c r="G37" s="162">
        <v>2</v>
      </c>
      <c r="H37" s="162">
        <v>1</v>
      </c>
      <c r="I37" s="162">
        <v>0</v>
      </c>
      <c r="J37" s="163">
        <v>4</v>
      </c>
      <c r="K37" s="163">
        <v>0</v>
      </c>
      <c r="L37" s="163">
        <v>0</v>
      </c>
      <c r="M37" s="163">
        <v>0</v>
      </c>
      <c r="N37" s="162">
        <v>0</v>
      </c>
      <c r="O37" s="209"/>
    </row>
    <row r="38" spans="1:15" ht="24.95" customHeight="1" x14ac:dyDescent="0.25">
      <c r="A38" s="158">
        <v>31</v>
      </c>
      <c r="B38" s="159" t="s">
        <v>141</v>
      </c>
      <c r="C38" s="160" t="s">
        <v>166</v>
      </c>
      <c r="D38" s="164">
        <v>1</v>
      </c>
      <c r="E38" s="162">
        <v>3</v>
      </c>
      <c r="F38" s="162">
        <v>0</v>
      </c>
      <c r="G38" s="162">
        <v>0</v>
      </c>
      <c r="H38" s="162">
        <v>1</v>
      </c>
      <c r="I38" s="162">
        <v>0</v>
      </c>
      <c r="J38" s="163">
        <v>3</v>
      </c>
      <c r="K38" s="163">
        <v>1</v>
      </c>
      <c r="L38" s="163">
        <v>0</v>
      </c>
      <c r="M38" s="163">
        <v>0</v>
      </c>
      <c r="N38" s="162">
        <v>0</v>
      </c>
      <c r="O38" s="209">
        <v>45593</v>
      </c>
    </row>
    <row r="39" spans="1:15" ht="24.95" customHeight="1" x14ac:dyDescent="0.25">
      <c r="A39" s="158">
        <v>32</v>
      </c>
      <c r="B39" s="210" t="s">
        <v>135</v>
      </c>
      <c r="C39" s="160" t="s">
        <v>174</v>
      </c>
      <c r="D39" s="164">
        <v>1</v>
      </c>
      <c r="E39" s="162">
        <v>3</v>
      </c>
      <c r="F39" s="162">
        <v>0</v>
      </c>
      <c r="G39" s="162">
        <v>1</v>
      </c>
      <c r="H39" s="162">
        <v>1</v>
      </c>
      <c r="I39" s="162">
        <v>0</v>
      </c>
      <c r="J39" s="163">
        <v>1</v>
      </c>
      <c r="K39" s="163">
        <v>3</v>
      </c>
      <c r="L39" s="163">
        <v>0</v>
      </c>
      <c r="M39" s="163">
        <v>0</v>
      </c>
      <c r="N39" s="162">
        <v>0</v>
      </c>
      <c r="O39" s="209" t="s">
        <v>197</v>
      </c>
    </row>
    <row r="40" spans="1:15" ht="24.95" customHeight="1" x14ac:dyDescent="0.25">
      <c r="A40" s="158">
        <v>33</v>
      </c>
      <c r="B40" s="210" t="s">
        <v>175</v>
      </c>
      <c r="C40" s="160" t="s">
        <v>120</v>
      </c>
      <c r="D40" s="164">
        <v>1</v>
      </c>
      <c r="E40" s="162">
        <v>3</v>
      </c>
      <c r="F40" s="162">
        <v>0</v>
      </c>
      <c r="G40" s="162">
        <v>0</v>
      </c>
      <c r="H40" s="162">
        <v>0</v>
      </c>
      <c r="I40" s="162">
        <v>0</v>
      </c>
      <c r="J40" s="163">
        <v>0</v>
      </c>
      <c r="K40" s="163">
        <v>1</v>
      </c>
      <c r="L40" s="163">
        <v>1</v>
      </c>
      <c r="M40" s="163">
        <v>0</v>
      </c>
      <c r="N40" s="162">
        <v>0</v>
      </c>
      <c r="O40" s="209" t="s">
        <v>197</v>
      </c>
    </row>
    <row r="41" spans="1:15" ht="24.95" customHeight="1" x14ac:dyDescent="0.25">
      <c r="A41" s="158">
        <v>34</v>
      </c>
      <c r="B41" s="210" t="s">
        <v>176</v>
      </c>
      <c r="C41" s="160" t="s">
        <v>182</v>
      </c>
      <c r="D41" s="164">
        <v>1</v>
      </c>
      <c r="E41" s="162">
        <v>2</v>
      </c>
      <c r="F41" s="162">
        <v>0</v>
      </c>
      <c r="G41" s="162">
        <v>0</v>
      </c>
      <c r="H41" s="162">
        <v>0</v>
      </c>
      <c r="I41" s="162">
        <v>0</v>
      </c>
      <c r="J41" s="163">
        <v>0</v>
      </c>
      <c r="K41" s="163">
        <v>1</v>
      </c>
      <c r="L41" s="163">
        <v>1</v>
      </c>
      <c r="M41" s="163">
        <v>0</v>
      </c>
      <c r="N41" s="162">
        <v>0</v>
      </c>
      <c r="O41" s="209" t="s">
        <v>197</v>
      </c>
    </row>
    <row r="42" spans="1:15" ht="24.95" customHeight="1" x14ac:dyDescent="0.25">
      <c r="A42" s="158">
        <v>35</v>
      </c>
      <c r="B42" s="210" t="s">
        <v>183</v>
      </c>
      <c r="C42" s="160" t="s">
        <v>206</v>
      </c>
      <c r="D42" s="164">
        <v>0</v>
      </c>
      <c r="E42" s="162">
        <v>0</v>
      </c>
      <c r="F42" s="162">
        <v>0</v>
      </c>
      <c r="G42" s="162">
        <v>0</v>
      </c>
      <c r="H42" s="162">
        <v>0</v>
      </c>
      <c r="I42" s="162">
        <v>0</v>
      </c>
      <c r="J42" s="163">
        <v>0</v>
      </c>
      <c r="K42" s="163">
        <v>1</v>
      </c>
      <c r="L42" s="163">
        <v>0</v>
      </c>
      <c r="M42" s="163">
        <v>0</v>
      </c>
      <c r="N42" s="162">
        <v>0</v>
      </c>
      <c r="O42" s="209" t="s">
        <v>196</v>
      </c>
    </row>
    <row r="43" spans="1:15" ht="24.95" customHeight="1" x14ac:dyDescent="0.25">
      <c r="A43" s="158">
        <v>36</v>
      </c>
      <c r="B43" s="210" t="s">
        <v>184</v>
      </c>
      <c r="C43" s="160" t="s">
        <v>93</v>
      </c>
      <c r="D43" s="164">
        <v>1</v>
      </c>
      <c r="E43" s="162">
        <v>1</v>
      </c>
      <c r="F43" s="162">
        <v>0</v>
      </c>
      <c r="G43" s="162">
        <v>0</v>
      </c>
      <c r="H43" s="162">
        <v>1</v>
      </c>
      <c r="I43" s="162">
        <v>0</v>
      </c>
      <c r="J43" s="163">
        <v>1</v>
      </c>
      <c r="K43" s="163">
        <v>1</v>
      </c>
      <c r="L43" s="163">
        <v>0</v>
      </c>
      <c r="M43" s="163">
        <v>0</v>
      </c>
      <c r="N43" s="162">
        <v>0</v>
      </c>
      <c r="O43" s="209" t="s">
        <v>196</v>
      </c>
    </row>
    <row r="44" spans="1:15" ht="24.95" customHeight="1" x14ac:dyDescent="0.25">
      <c r="A44" s="158">
        <v>37</v>
      </c>
      <c r="B44" s="210" t="s">
        <v>191</v>
      </c>
      <c r="C44" s="160"/>
      <c r="D44" s="164">
        <v>0</v>
      </c>
      <c r="E44" s="162">
        <v>1</v>
      </c>
      <c r="F44" s="162">
        <v>0</v>
      </c>
      <c r="G44" s="162">
        <v>0</v>
      </c>
      <c r="H44" s="162">
        <v>0</v>
      </c>
      <c r="I44" s="162">
        <v>0</v>
      </c>
      <c r="J44" s="163">
        <v>0</v>
      </c>
      <c r="K44" s="163">
        <v>0</v>
      </c>
      <c r="L44" s="163">
        <v>0</v>
      </c>
      <c r="M44" s="163">
        <v>0</v>
      </c>
      <c r="N44" s="162">
        <v>0</v>
      </c>
      <c r="O44" s="209" t="s">
        <v>197</v>
      </c>
    </row>
    <row r="45" spans="1:15" ht="24.95" customHeight="1" x14ac:dyDescent="0.25">
      <c r="A45" s="158">
        <v>38</v>
      </c>
      <c r="B45" s="210" t="s">
        <v>192</v>
      </c>
      <c r="C45" s="160"/>
      <c r="D45" s="164">
        <v>0</v>
      </c>
      <c r="E45" s="162">
        <v>1</v>
      </c>
      <c r="F45" s="162">
        <v>0</v>
      </c>
      <c r="G45" s="162">
        <v>0</v>
      </c>
      <c r="H45" s="162">
        <v>0</v>
      </c>
      <c r="I45" s="162">
        <v>0</v>
      </c>
      <c r="J45" s="163">
        <v>0</v>
      </c>
      <c r="K45" s="163">
        <v>0</v>
      </c>
      <c r="L45" s="163">
        <v>0</v>
      </c>
      <c r="M45" s="163">
        <v>0</v>
      </c>
      <c r="N45" s="162">
        <v>0</v>
      </c>
      <c r="O45" s="209" t="s">
        <v>197</v>
      </c>
    </row>
    <row r="46" spans="1:15" ht="24.95" customHeight="1" x14ac:dyDescent="0.25">
      <c r="A46" s="158">
        <v>39</v>
      </c>
      <c r="B46" s="210" t="s">
        <v>193</v>
      </c>
      <c r="C46" s="160" t="s">
        <v>93</v>
      </c>
      <c r="D46" s="164">
        <v>1</v>
      </c>
      <c r="E46" s="162">
        <v>2</v>
      </c>
      <c r="F46" s="162">
        <v>0</v>
      </c>
      <c r="G46" s="162">
        <v>0</v>
      </c>
      <c r="H46" s="162">
        <v>0</v>
      </c>
      <c r="I46" s="162">
        <v>0</v>
      </c>
      <c r="J46" s="163">
        <v>1</v>
      </c>
      <c r="K46" s="163">
        <v>0</v>
      </c>
      <c r="L46" s="163">
        <v>0</v>
      </c>
      <c r="M46" s="163">
        <v>0</v>
      </c>
      <c r="N46" s="162">
        <v>0</v>
      </c>
      <c r="O46" s="209" t="s">
        <v>197</v>
      </c>
    </row>
    <row r="47" spans="1:15" ht="24.95" customHeight="1" x14ac:dyDescent="0.25">
      <c r="A47" s="158">
        <v>40</v>
      </c>
      <c r="B47" s="210" t="s">
        <v>60</v>
      </c>
      <c r="C47" s="160" t="s">
        <v>60</v>
      </c>
      <c r="D47" s="164">
        <v>4</v>
      </c>
      <c r="E47" s="162">
        <v>0</v>
      </c>
      <c r="F47" s="162">
        <v>0</v>
      </c>
      <c r="G47" s="162">
        <v>0</v>
      </c>
      <c r="H47" s="162">
        <v>0</v>
      </c>
      <c r="I47" s="162">
        <v>0</v>
      </c>
      <c r="J47" s="163">
        <v>0</v>
      </c>
      <c r="K47" s="163">
        <v>0</v>
      </c>
      <c r="L47" s="163">
        <v>0</v>
      </c>
      <c r="M47" s="163">
        <v>0</v>
      </c>
      <c r="N47" s="162">
        <v>0</v>
      </c>
      <c r="O47" s="209"/>
    </row>
    <row r="48" spans="1:15" ht="24.95" customHeight="1" x14ac:dyDescent="0.25">
      <c r="A48" s="158">
        <v>41</v>
      </c>
      <c r="B48" s="210" t="s">
        <v>194</v>
      </c>
      <c r="C48" s="160"/>
      <c r="D48" s="164">
        <v>0</v>
      </c>
      <c r="E48" s="162">
        <v>1</v>
      </c>
      <c r="F48" s="162">
        <v>0</v>
      </c>
      <c r="G48" s="162">
        <v>0</v>
      </c>
      <c r="H48" s="162">
        <v>0</v>
      </c>
      <c r="I48" s="162">
        <v>0</v>
      </c>
      <c r="J48" s="163">
        <v>0</v>
      </c>
      <c r="K48" s="163">
        <v>0</v>
      </c>
      <c r="L48" s="163">
        <v>0</v>
      </c>
      <c r="M48" s="163">
        <v>0</v>
      </c>
      <c r="N48" s="162">
        <v>0</v>
      </c>
      <c r="O48" s="209" t="s">
        <v>197</v>
      </c>
    </row>
    <row r="49" spans="1:15" ht="24.95" customHeight="1" x14ac:dyDescent="0.25">
      <c r="A49" s="158">
        <v>42</v>
      </c>
      <c r="B49" s="210" t="s">
        <v>59</v>
      </c>
      <c r="C49" s="160" t="s">
        <v>200</v>
      </c>
      <c r="D49" s="164">
        <v>1</v>
      </c>
      <c r="E49" s="162">
        <v>3</v>
      </c>
      <c r="F49" s="162">
        <v>0</v>
      </c>
      <c r="G49" s="162">
        <v>1</v>
      </c>
      <c r="H49" s="162">
        <v>1</v>
      </c>
      <c r="I49" s="162">
        <v>0</v>
      </c>
      <c r="J49" s="163">
        <v>3</v>
      </c>
      <c r="K49" s="163">
        <v>0</v>
      </c>
      <c r="L49" s="163">
        <v>0</v>
      </c>
      <c r="M49" s="163">
        <v>0</v>
      </c>
      <c r="N49" s="162">
        <v>0</v>
      </c>
      <c r="O49" s="209" t="s">
        <v>196</v>
      </c>
    </row>
    <row r="50" spans="1:15" ht="24.95" customHeight="1" x14ac:dyDescent="0.25">
      <c r="A50" s="158">
        <v>43</v>
      </c>
      <c r="B50" s="210" t="s">
        <v>195</v>
      </c>
      <c r="C50" s="160" t="s">
        <v>200</v>
      </c>
      <c r="D50" s="164">
        <v>0</v>
      </c>
      <c r="E50" s="162">
        <v>1</v>
      </c>
      <c r="F50" s="162">
        <v>0</v>
      </c>
      <c r="G50" s="162">
        <v>0</v>
      </c>
      <c r="H50" s="162">
        <v>0</v>
      </c>
      <c r="I50" s="162">
        <v>0</v>
      </c>
      <c r="J50" s="163">
        <v>1</v>
      </c>
      <c r="K50" s="163">
        <v>0</v>
      </c>
      <c r="L50" s="163">
        <v>0</v>
      </c>
      <c r="M50" s="163">
        <v>0</v>
      </c>
      <c r="N50" s="162">
        <v>0</v>
      </c>
      <c r="O50" s="209" t="s">
        <v>196</v>
      </c>
    </row>
    <row r="51" spans="1:15" ht="24.95" customHeight="1" x14ac:dyDescent="0.25">
      <c r="A51" s="158">
        <v>44</v>
      </c>
      <c r="B51" s="210" t="s">
        <v>136</v>
      </c>
      <c r="C51" s="160"/>
      <c r="D51" s="164">
        <v>1</v>
      </c>
      <c r="E51" s="162">
        <v>4</v>
      </c>
      <c r="F51" s="162">
        <v>0</v>
      </c>
      <c r="G51" s="162">
        <v>1</v>
      </c>
      <c r="H51" s="162">
        <v>2</v>
      </c>
      <c r="I51" s="162">
        <v>0</v>
      </c>
      <c r="J51" s="163">
        <v>3</v>
      </c>
      <c r="K51" s="163">
        <v>2</v>
      </c>
      <c r="L51" s="163">
        <v>1</v>
      </c>
      <c r="M51" s="163">
        <v>0</v>
      </c>
      <c r="N51" s="162">
        <v>0</v>
      </c>
      <c r="O51" s="209" t="s">
        <v>196</v>
      </c>
    </row>
    <row r="52" spans="1:15" ht="24.95" customHeight="1" x14ac:dyDescent="0.25">
      <c r="A52" s="158">
        <v>45</v>
      </c>
      <c r="B52" s="210" t="s">
        <v>198</v>
      </c>
      <c r="C52" s="160" t="s">
        <v>199</v>
      </c>
      <c r="D52" s="164">
        <v>1</v>
      </c>
      <c r="E52" s="162">
        <v>2</v>
      </c>
      <c r="F52" s="162">
        <v>0</v>
      </c>
      <c r="G52" s="162">
        <v>0</v>
      </c>
      <c r="H52" s="162">
        <v>0</v>
      </c>
      <c r="I52" s="162">
        <v>0</v>
      </c>
      <c r="J52" s="163">
        <v>0</v>
      </c>
      <c r="K52" s="163">
        <v>1</v>
      </c>
      <c r="L52" s="163">
        <v>0</v>
      </c>
      <c r="M52" s="163">
        <v>0</v>
      </c>
      <c r="N52" s="162">
        <v>0</v>
      </c>
      <c r="O52" s="209" t="s">
        <v>197</v>
      </c>
    </row>
    <row r="53" spans="1:15" ht="24.95" customHeight="1" x14ac:dyDescent="0.25">
      <c r="A53" s="158">
        <v>46</v>
      </c>
      <c r="B53" s="210" t="s">
        <v>201</v>
      </c>
      <c r="C53" s="160" t="s">
        <v>199</v>
      </c>
      <c r="D53" s="164">
        <v>0</v>
      </c>
      <c r="E53" s="162">
        <v>0</v>
      </c>
      <c r="F53" s="162">
        <v>0</v>
      </c>
      <c r="G53" s="162">
        <v>0</v>
      </c>
      <c r="H53" s="162">
        <v>0</v>
      </c>
      <c r="I53" s="162">
        <v>0</v>
      </c>
      <c r="J53" s="163">
        <v>0</v>
      </c>
      <c r="K53" s="163">
        <v>0</v>
      </c>
      <c r="L53" s="163">
        <v>1</v>
      </c>
      <c r="M53" s="163">
        <v>0</v>
      </c>
      <c r="N53" s="162">
        <v>0</v>
      </c>
      <c r="O53" s="209"/>
    </row>
    <row r="54" spans="1:15" ht="24.95" customHeight="1" x14ac:dyDescent="0.25">
      <c r="A54" s="158">
        <v>47</v>
      </c>
      <c r="B54" s="210" t="s">
        <v>202</v>
      </c>
      <c r="C54" s="160" t="s">
        <v>199</v>
      </c>
      <c r="D54" s="164">
        <v>1</v>
      </c>
      <c r="E54" s="162">
        <v>0</v>
      </c>
      <c r="F54" s="162">
        <v>0</v>
      </c>
      <c r="G54" s="162">
        <v>0</v>
      </c>
      <c r="H54" s="162">
        <v>0</v>
      </c>
      <c r="I54" s="162">
        <v>0</v>
      </c>
      <c r="J54" s="163">
        <v>0</v>
      </c>
      <c r="K54" s="163">
        <v>0</v>
      </c>
      <c r="L54" s="163">
        <v>0</v>
      </c>
      <c r="M54" s="163">
        <v>0</v>
      </c>
      <c r="N54" s="162">
        <v>0</v>
      </c>
      <c r="O54" s="209" t="s">
        <v>197</v>
      </c>
    </row>
    <row r="55" spans="1:15" ht="24.95" customHeight="1" x14ac:dyDescent="0.25">
      <c r="A55" s="158">
        <v>48</v>
      </c>
      <c r="B55" s="210" t="s">
        <v>203</v>
      </c>
      <c r="C55" s="160" t="s">
        <v>199</v>
      </c>
      <c r="D55" s="164">
        <v>0</v>
      </c>
      <c r="E55" s="162">
        <v>1</v>
      </c>
      <c r="F55" s="162">
        <v>0</v>
      </c>
      <c r="G55" s="162">
        <v>0</v>
      </c>
      <c r="H55" s="162">
        <v>0</v>
      </c>
      <c r="I55" s="162">
        <v>0</v>
      </c>
      <c r="J55" s="163">
        <v>0</v>
      </c>
      <c r="K55" s="163">
        <v>0</v>
      </c>
      <c r="L55" s="163">
        <v>1</v>
      </c>
      <c r="M55" s="163">
        <v>0</v>
      </c>
      <c r="N55" s="162">
        <v>0</v>
      </c>
      <c r="O55" s="209" t="s">
        <v>197</v>
      </c>
    </row>
    <row r="56" spans="1:15" ht="24.95" customHeight="1" x14ac:dyDescent="0.25">
      <c r="A56" s="158">
        <v>49</v>
      </c>
      <c r="B56" s="210" t="s">
        <v>204</v>
      </c>
      <c r="C56" s="160" t="s">
        <v>199</v>
      </c>
      <c r="D56" s="164">
        <v>0</v>
      </c>
      <c r="E56" s="162">
        <v>1</v>
      </c>
      <c r="F56" s="162">
        <v>0</v>
      </c>
      <c r="G56" s="162">
        <v>0</v>
      </c>
      <c r="H56" s="162">
        <v>0</v>
      </c>
      <c r="I56" s="162">
        <v>0</v>
      </c>
      <c r="J56" s="163">
        <v>0</v>
      </c>
      <c r="K56" s="163">
        <v>0</v>
      </c>
      <c r="L56" s="163">
        <v>1</v>
      </c>
      <c r="M56" s="163">
        <v>0</v>
      </c>
      <c r="N56" s="162">
        <v>0</v>
      </c>
      <c r="O56" s="209" t="s">
        <v>197</v>
      </c>
    </row>
    <row r="57" spans="1:15" ht="24.95" customHeight="1" x14ac:dyDescent="0.25">
      <c r="A57" s="158">
        <v>50</v>
      </c>
      <c r="B57" s="212" t="s">
        <v>178</v>
      </c>
      <c r="C57" s="160" t="s">
        <v>178</v>
      </c>
      <c r="D57" s="164">
        <v>5</v>
      </c>
      <c r="E57" s="162">
        <v>33</v>
      </c>
      <c r="F57" s="162">
        <v>0</v>
      </c>
      <c r="G57" s="162">
        <v>0</v>
      </c>
      <c r="H57" s="162">
        <v>3</v>
      </c>
      <c r="I57" s="162">
        <v>0</v>
      </c>
      <c r="J57" s="163">
        <v>5</v>
      </c>
      <c r="K57" s="163">
        <v>8</v>
      </c>
      <c r="L57" s="163">
        <v>6</v>
      </c>
      <c r="M57" s="163">
        <v>0</v>
      </c>
      <c r="N57" s="162">
        <v>0</v>
      </c>
      <c r="O57" s="209"/>
    </row>
    <row r="58" spans="1:15" ht="24.95" customHeight="1" x14ac:dyDescent="0.25">
      <c r="A58" s="158">
        <v>51</v>
      </c>
      <c r="B58" s="212" t="s">
        <v>179</v>
      </c>
      <c r="C58" s="160" t="s">
        <v>179</v>
      </c>
      <c r="D58" s="164">
        <v>1</v>
      </c>
      <c r="E58" s="162">
        <v>17</v>
      </c>
      <c r="F58" s="162">
        <v>0</v>
      </c>
      <c r="G58" s="162">
        <v>0</v>
      </c>
      <c r="H58" s="162">
        <v>5</v>
      </c>
      <c r="I58" s="162">
        <v>0</v>
      </c>
      <c r="J58" s="163">
        <v>1</v>
      </c>
      <c r="K58" s="163">
        <v>1</v>
      </c>
      <c r="L58" s="163">
        <v>0</v>
      </c>
      <c r="M58" s="163">
        <v>0</v>
      </c>
      <c r="N58" s="162">
        <v>0</v>
      </c>
      <c r="O58" s="209"/>
    </row>
    <row r="59" spans="1:15" s="174" customFormat="1" ht="24.95" customHeight="1" x14ac:dyDescent="0.25">
      <c r="A59" s="170"/>
      <c r="B59" s="171" t="s">
        <v>14</v>
      </c>
      <c r="C59" s="172"/>
      <c r="D59" s="173">
        <f>SUM(D3:D58)</f>
        <v>52</v>
      </c>
      <c r="E59" s="173">
        <f t="shared" ref="E59:N59" si="0">SUM(E3:E58)</f>
        <v>210</v>
      </c>
      <c r="F59" s="173">
        <f t="shared" si="0"/>
        <v>20</v>
      </c>
      <c r="G59" s="173">
        <f t="shared" si="0"/>
        <v>61</v>
      </c>
      <c r="H59" s="173">
        <f t="shared" si="0"/>
        <v>54</v>
      </c>
      <c r="I59" s="173">
        <f t="shared" si="0"/>
        <v>9</v>
      </c>
      <c r="J59" s="173">
        <f t="shared" si="0"/>
        <v>87</v>
      </c>
      <c r="K59" s="173">
        <f t="shared" si="0"/>
        <v>57</v>
      </c>
      <c r="L59" s="173">
        <f t="shared" si="0"/>
        <v>31</v>
      </c>
      <c r="M59" s="173">
        <f t="shared" si="0"/>
        <v>0</v>
      </c>
      <c r="N59" s="173">
        <f t="shared" si="0"/>
        <v>10</v>
      </c>
      <c r="O59" s="197"/>
    </row>
  </sheetData>
  <mergeCells count="1">
    <mergeCell ref="B1:N1"/>
  </mergeCells>
  <pageMargins left="0.70866141732283472" right="0.11811023622047245" top="0.98425196850393704" bottom="0.15748031496062992" header="0.31496062992125984" footer="0.31496062992125984"/>
  <pageSetup paperSize="9" scale="50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FCA1-B271-4222-BD21-0BE43AE08AD7}">
  <dimension ref="A1:Q3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4" sqref="E4"/>
    </sheetView>
  </sheetViews>
  <sheetFormatPr baseColWidth="10" defaultRowHeight="12.75" x14ac:dyDescent="0.25"/>
  <cols>
    <col min="1" max="1" width="9.28515625" style="157" customWidth="1"/>
    <col min="2" max="2" width="30.7109375" style="157" customWidth="1"/>
    <col min="3" max="3" width="17.85546875" style="157" customWidth="1"/>
    <col min="4" max="5" width="10.7109375" style="157" customWidth="1"/>
    <col min="6" max="6" width="12.7109375" style="157" customWidth="1"/>
    <col min="7" max="10" width="10.7109375" style="157" customWidth="1"/>
    <col min="11" max="15" width="10.7109375" style="161" customWidth="1"/>
    <col min="16" max="16" width="11.42578125" style="157"/>
    <col min="17" max="17" width="15.7109375" style="157" customWidth="1"/>
    <col min="18" max="16384" width="11.42578125" style="157"/>
  </cols>
  <sheetData>
    <row r="1" spans="1:17" ht="50.1" customHeight="1" x14ac:dyDescent="0.25">
      <c r="A1" s="156"/>
      <c r="B1" s="316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8"/>
    </row>
    <row r="2" spans="1:17" ht="25.5" x14ac:dyDescent="0.25">
      <c r="A2" s="166" t="s">
        <v>73</v>
      </c>
      <c r="B2" s="167" t="s">
        <v>74</v>
      </c>
      <c r="C2" s="167" t="s">
        <v>75</v>
      </c>
      <c r="D2" s="168" t="s">
        <v>118</v>
      </c>
      <c r="E2" s="168" t="s">
        <v>76</v>
      </c>
      <c r="F2" s="214" t="s">
        <v>180</v>
      </c>
      <c r="G2" s="169" t="s">
        <v>3</v>
      </c>
      <c r="H2" s="168" t="s">
        <v>77</v>
      </c>
      <c r="I2" s="168" t="s">
        <v>78</v>
      </c>
      <c r="J2" s="168" t="s">
        <v>6</v>
      </c>
      <c r="K2" s="168" t="s">
        <v>8</v>
      </c>
      <c r="L2" s="168" t="s">
        <v>9</v>
      </c>
      <c r="M2" s="167" t="s">
        <v>10</v>
      </c>
      <c r="N2" s="168" t="s">
        <v>49</v>
      </c>
      <c r="O2" s="168" t="s">
        <v>72</v>
      </c>
      <c r="P2" s="199" t="s">
        <v>157</v>
      </c>
      <c r="Q2" s="198" t="s">
        <v>156</v>
      </c>
    </row>
    <row r="3" spans="1:17" ht="24.95" customHeight="1" x14ac:dyDescent="0.25">
      <c r="A3" s="158">
        <v>1</v>
      </c>
      <c r="B3" s="159" t="s">
        <v>79</v>
      </c>
      <c r="C3" s="160" t="s">
        <v>80</v>
      </c>
      <c r="D3" s="165">
        <v>1</v>
      </c>
      <c r="E3" s="162">
        <v>3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96" t="s">
        <v>162</v>
      </c>
      <c r="Q3" s="196"/>
    </row>
    <row r="4" spans="1:17" ht="24.95" customHeight="1" x14ac:dyDescent="0.25">
      <c r="A4" s="158">
        <v>2</v>
      </c>
      <c r="B4" s="159" t="s">
        <v>149</v>
      </c>
      <c r="C4" s="160" t="s">
        <v>158</v>
      </c>
      <c r="D4" s="165">
        <v>1</v>
      </c>
      <c r="E4" s="162">
        <v>2</v>
      </c>
      <c r="F4" s="162"/>
      <c r="G4" s="162"/>
      <c r="H4" s="162"/>
      <c r="I4" s="162">
        <v>1</v>
      </c>
      <c r="J4" s="162"/>
      <c r="K4" s="162">
        <v>1</v>
      </c>
      <c r="L4" s="162"/>
      <c r="M4" s="162"/>
      <c r="N4" s="162"/>
      <c r="O4" s="162"/>
      <c r="P4" s="202">
        <v>45748</v>
      </c>
      <c r="Q4" s="200" t="s">
        <v>159</v>
      </c>
    </row>
    <row r="5" spans="1:17" ht="24.95" customHeight="1" x14ac:dyDescent="0.25">
      <c r="A5" s="158">
        <v>3</v>
      </c>
      <c r="B5" s="159" t="s">
        <v>115</v>
      </c>
      <c r="C5" s="160" t="s">
        <v>116</v>
      </c>
      <c r="D5" s="165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ht="24.95" customHeight="1" x14ac:dyDescent="0.25">
      <c r="A6" s="158">
        <v>4</v>
      </c>
      <c r="B6" s="159" t="s">
        <v>87</v>
      </c>
      <c r="C6" s="160" t="s">
        <v>88</v>
      </c>
      <c r="D6" s="164"/>
      <c r="E6" s="162"/>
      <c r="F6" s="162"/>
      <c r="G6" s="162"/>
      <c r="H6" s="162"/>
      <c r="I6" s="162"/>
      <c r="J6" s="162"/>
      <c r="K6" s="163"/>
      <c r="L6" s="163"/>
      <c r="M6" s="163"/>
      <c r="N6" s="163"/>
      <c r="O6" s="162"/>
      <c r="P6" s="162"/>
      <c r="Q6" s="162"/>
    </row>
    <row r="7" spans="1:17" ht="24.95" customHeight="1" x14ac:dyDescent="0.25">
      <c r="A7" s="158">
        <v>5</v>
      </c>
      <c r="B7" s="159" t="s">
        <v>58</v>
      </c>
      <c r="C7" s="160" t="s">
        <v>160</v>
      </c>
      <c r="D7" s="164"/>
      <c r="E7" s="162"/>
      <c r="F7" s="162"/>
      <c r="G7" s="162"/>
      <c r="H7" s="162"/>
      <c r="I7" s="162"/>
      <c r="J7" s="162"/>
      <c r="K7" s="163"/>
      <c r="L7" s="163"/>
      <c r="M7" s="163"/>
      <c r="N7" s="163"/>
      <c r="O7" s="162"/>
      <c r="P7" s="162"/>
      <c r="Q7" s="162"/>
    </row>
    <row r="8" spans="1:17" ht="24.95" customHeight="1" x14ac:dyDescent="0.25">
      <c r="A8" s="158">
        <v>6</v>
      </c>
      <c r="B8" s="159" t="s">
        <v>81</v>
      </c>
      <c r="C8" s="160" t="s">
        <v>82</v>
      </c>
      <c r="D8" s="165">
        <v>1</v>
      </c>
      <c r="E8" s="162">
        <v>1</v>
      </c>
      <c r="F8" s="162"/>
      <c r="G8" s="162"/>
      <c r="H8" s="162"/>
      <c r="I8" s="162"/>
      <c r="J8" s="162"/>
      <c r="K8" s="163"/>
      <c r="L8" s="163"/>
      <c r="M8" s="163"/>
      <c r="N8" s="163"/>
      <c r="O8" s="163"/>
      <c r="P8" s="203">
        <v>45722</v>
      </c>
      <c r="Q8" s="162"/>
    </row>
    <row r="9" spans="1:17" ht="24.95" customHeight="1" x14ac:dyDescent="0.25">
      <c r="A9" s="158">
        <v>7</v>
      </c>
      <c r="B9" s="159" t="s">
        <v>94</v>
      </c>
      <c r="C9" s="160" t="s">
        <v>95</v>
      </c>
      <c r="D9" s="164"/>
      <c r="E9" s="162"/>
      <c r="F9" s="162"/>
      <c r="G9" s="162"/>
      <c r="H9" s="162"/>
      <c r="I9" s="162"/>
      <c r="J9" s="162"/>
      <c r="K9" s="162"/>
      <c r="L9" s="162"/>
      <c r="M9" s="162"/>
      <c r="N9" s="162"/>
      <c r="O9" s="162"/>
      <c r="P9" s="162"/>
      <c r="Q9" s="162"/>
    </row>
    <row r="10" spans="1:17" ht="24.95" customHeight="1" x14ac:dyDescent="0.25">
      <c r="A10" s="158">
        <v>8</v>
      </c>
      <c r="B10" s="159" t="s">
        <v>96</v>
      </c>
      <c r="C10" s="160" t="s">
        <v>97</v>
      </c>
      <c r="D10" s="164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</row>
    <row r="11" spans="1:17" ht="24.95" customHeight="1" x14ac:dyDescent="0.25">
      <c r="A11" s="158">
        <v>9</v>
      </c>
      <c r="B11" s="159" t="s">
        <v>143</v>
      </c>
      <c r="C11" s="160" t="s">
        <v>154</v>
      </c>
      <c r="D11" s="164"/>
      <c r="E11" s="162">
        <v>3</v>
      </c>
      <c r="F11" s="162"/>
      <c r="G11" s="162"/>
      <c r="H11" s="162">
        <v>2</v>
      </c>
      <c r="I11" s="162">
        <v>1</v>
      </c>
      <c r="J11" s="162"/>
      <c r="K11" s="162">
        <v>1</v>
      </c>
      <c r="L11" s="162">
        <v>2</v>
      </c>
      <c r="M11" s="162"/>
      <c r="N11" s="162"/>
      <c r="O11" s="162"/>
      <c r="P11" s="162"/>
      <c r="Q11" s="162"/>
    </row>
    <row r="12" spans="1:17" ht="24.95" customHeight="1" x14ac:dyDescent="0.25">
      <c r="A12" s="158">
        <v>10</v>
      </c>
      <c r="B12" s="159" t="s">
        <v>98</v>
      </c>
      <c r="C12" s="160" t="s">
        <v>99</v>
      </c>
      <c r="D12" s="164"/>
      <c r="E12" s="162"/>
      <c r="F12" s="162"/>
      <c r="G12" s="162"/>
      <c r="H12" s="162"/>
      <c r="I12" s="162"/>
      <c r="J12" s="162"/>
      <c r="K12" s="163"/>
      <c r="L12" s="163"/>
      <c r="M12" s="163"/>
      <c r="N12" s="163"/>
      <c r="O12" s="162"/>
      <c r="P12" s="162"/>
      <c r="Q12" s="162"/>
    </row>
    <row r="13" spans="1:17" ht="24.95" customHeight="1" x14ac:dyDescent="0.25">
      <c r="A13" s="158">
        <v>11</v>
      </c>
      <c r="B13" s="159" t="s">
        <v>54</v>
      </c>
      <c r="C13" s="160" t="s">
        <v>120</v>
      </c>
      <c r="D13" s="164"/>
      <c r="E13" s="162"/>
      <c r="F13" s="162"/>
      <c r="G13" s="162"/>
      <c r="H13" s="162"/>
      <c r="I13" s="162"/>
      <c r="J13" s="162"/>
      <c r="K13" s="163"/>
      <c r="L13" s="163"/>
      <c r="M13" s="163"/>
      <c r="N13" s="163"/>
      <c r="O13" s="162"/>
      <c r="P13" s="162"/>
      <c r="Q13" s="162"/>
    </row>
    <row r="14" spans="1:17" ht="24.95" customHeight="1" x14ac:dyDescent="0.25">
      <c r="A14" s="158">
        <v>12</v>
      </c>
      <c r="B14" s="159" t="s">
        <v>55</v>
      </c>
      <c r="C14" s="160" t="s">
        <v>121</v>
      </c>
      <c r="D14" s="164"/>
      <c r="E14" s="162">
        <v>2</v>
      </c>
      <c r="F14" s="162"/>
      <c r="G14" s="162"/>
      <c r="H14" s="162"/>
      <c r="I14" s="162"/>
      <c r="J14" s="162"/>
      <c r="K14" s="163"/>
      <c r="L14" s="163"/>
      <c r="M14" s="163"/>
      <c r="N14" s="163"/>
      <c r="O14" s="162"/>
      <c r="P14" s="162"/>
      <c r="Q14" s="162"/>
    </row>
    <row r="15" spans="1:17" ht="24.95" customHeight="1" x14ac:dyDescent="0.25">
      <c r="A15" s="158">
        <v>13</v>
      </c>
      <c r="B15" s="159" t="s">
        <v>83</v>
      </c>
      <c r="C15" s="160" t="s">
        <v>84</v>
      </c>
      <c r="D15" s="162"/>
      <c r="E15" s="162"/>
      <c r="F15" s="162"/>
      <c r="G15" s="162"/>
      <c r="H15" s="162"/>
      <c r="I15" s="162"/>
      <c r="J15" s="162"/>
      <c r="K15" s="163"/>
      <c r="L15" s="163"/>
      <c r="M15" s="163"/>
      <c r="N15" s="163"/>
      <c r="O15" s="162"/>
      <c r="P15" s="162"/>
      <c r="Q15" s="162"/>
    </row>
    <row r="16" spans="1:17" ht="24.95" customHeight="1" x14ac:dyDescent="0.25">
      <c r="A16" s="158">
        <v>14</v>
      </c>
      <c r="B16" s="159" t="s">
        <v>100</v>
      </c>
      <c r="C16" s="160" t="s">
        <v>101</v>
      </c>
      <c r="D16" s="164">
        <v>1</v>
      </c>
      <c r="E16" s="162">
        <v>4</v>
      </c>
      <c r="F16" s="162"/>
      <c r="G16" s="162"/>
      <c r="H16" s="162">
        <v>1</v>
      </c>
      <c r="I16" s="162"/>
      <c r="J16" s="162"/>
      <c r="K16" s="162"/>
      <c r="L16" s="162">
        <v>3</v>
      </c>
      <c r="M16" s="162"/>
      <c r="N16" s="162"/>
      <c r="O16" s="162">
        <v>1</v>
      </c>
      <c r="P16" s="203">
        <v>45721</v>
      </c>
      <c r="Q16" s="201" t="s">
        <v>161</v>
      </c>
    </row>
    <row r="17" spans="1:17" ht="24.95" customHeight="1" x14ac:dyDescent="0.25">
      <c r="A17" s="158">
        <v>15</v>
      </c>
      <c r="B17" s="159" t="s">
        <v>102</v>
      </c>
      <c r="C17" s="160" t="s">
        <v>103</v>
      </c>
      <c r="D17" s="164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</row>
    <row r="18" spans="1:17" ht="24.95" customHeight="1" x14ac:dyDescent="0.25">
      <c r="A18" s="158">
        <v>16</v>
      </c>
      <c r="B18" s="159" t="s">
        <v>28</v>
      </c>
      <c r="C18" s="160" t="s">
        <v>122</v>
      </c>
      <c r="D18" s="164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</row>
    <row r="19" spans="1:17" ht="24.95" customHeight="1" x14ac:dyDescent="0.25">
      <c r="A19" s="158">
        <v>17</v>
      </c>
      <c r="B19" s="159" t="s">
        <v>104</v>
      </c>
      <c r="C19" s="160" t="s">
        <v>105</v>
      </c>
      <c r="D19" s="164">
        <v>1</v>
      </c>
      <c r="E19" s="162">
        <v>3</v>
      </c>
      <c r="F19" s="162"/>
      <c r="G19" s="162"/>
      <c r="H19" s="162">
        <v>1</v>
      </c>
      <c r="I19" s="162">
        <v>1</v>
      </c>
      <c r="J19" s="162"/>
      <c r="K19" s="162"/>
      <c r="L19" s="162">
        <v>2</v>
      </c>
      <c r="M19" s="162"/>
      <c r="N19" s="162"/>
      <c r="O19" s="162">
        <v>1</v>
      </c>
      <c r="P19" s="203">
        <v>45729</v>
      </c>
      <c r="Q19" s="162"/>
    </row>
    <row r="20" spans="1:17" ht="24.95" customHeight="1" x14ac:dyDescent="0.25">
      <c r="A20" s="158">
        <v>18</v>
      </c>
      <c r="B20" s="159" t="s">
        <v>106</v>
      </c>
      <c r="C20" s="160" t="s">
        <v>107</v>
      </c>
      <c r="D20" s="164">
        <v>1</v>
      </c>
      <c r="E20" s="162">
        <v>1</v>
      </c>
      <c r="F20" s="162"/>
      <c r="G20" s="162"/>
      <c r="H20" s="162"/>
      <c r="I20" s="162"/>
      <c r="J20" s="162"/>
      <c r="K20" s="163"/>
      <c r="L20" s="163"/>
      <c r="M20" s="163"/>
      <c r="N20" s="163"/>
      <c r="O20" s="162"/>
      <c r="P20" s="203">
        <v>45751</v>
      </c>
      <c r="Q20" s="162"/>
    </row>
    <row r="21" spans="1:17" ht="24.95" customHeight="1" x14ac:dyDescent="0.25">
      <c r="A21" s="158">
        <v>19</v>
      </c>
      <c r="B21" s="159" t="s">
        <v>63</v>
      </c>
      <c r="C21" s="160" t="s">
        <v>108</v>
      </c>
      <c r="D21" s="164"/>
      <c r="E21" s="162"/>
      <c r="F21" s="162"/>
      <c r="G21" s="162"/>
      <c r="H21" s="162"/>
      <c r="I21" s="162"/>
      <c r="J21" s="162"/>
      <c r="K21" s="163"/>
      <c r="L21" s="163"/>
      <c r="M21" s="163"/>
      <c r="N21" s="163"/>
      <c r="O21" s="162"/>
      <c r="P21" s="162"/>
      <c r="Q21" s="162"/>
    </row>
    <row r="22" spans="1:17" ht="24.95" customHeight="1" x14ac:dyDescent="0.25">
      <c r="A22" s="158">
        <v>20</v>
      </c>
      <c r="B22" s="159" t="s">
        <v>109</v>
      </c>
      <c r="C22" s="160" t="s">
        <v>110</v>
      </c>
      <c r="D22" s="164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</row>
    <row r="23" spans="1:17" ht="24.95" customHeight="1" x14ac:dyDescent="0.25">
      <c r="A23" s="158">
        <v>21</v>
      </c>
      <c r="B23" s="210" t="s">
        <v>140</v>
      </c>
      <c r="C23" s="160" t="s">
        <v>177</v>
      </c>
      <c r="D23" s="164">
        <v>1</v>
      </c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203">
        <v>45728</v>
      </c>
      <c r="Q23" s="162"/>
    </row>
    <row r="24" spans="1:17" ht="24.95" customHeight="1" x14ac:dyDescent="0.25">
      <c r="A24" s="158">
        <v>22</v>
      </c>
      <c r="B24" s="159" t="s">
        <v>33</v>
      </c>
      <c r="C24" s="160" t="s">
        <v>111</v>
      </c>
      <c r="D24" s="164">
        <v>2</v>
      </c>
      <c r="E24" s="162">
        <v>1</v>
      </c>
      <c r="F24" s="162"/>
      <c r="G24" s="162"/>
      <c r="H24" s="162"/>
      <c r="I24" s="162"/>
      <c r="J24" s="162"/>
      <c r="K24" s="162"/>
      <c r="L24" s="162">
        <v>1</v>
      </c>
      <c r="M24" s="162"/>
      <c r="N24" s="162"/>
      <c r="O24" s="162"/>
      <c r="P24" s="162" t="s">
        <v>163</v>
      </c>
      <c r="Q24" s="162"/>
    </row>
    <row r="25" spans="1:17" ht="24.95" customHeight="1" x14ac:dyDescent="0.25">
      <c r="A25" s="158">
        <v>23</v>
      </c>
      <c r="B25" s="159" t="s">
        <v>34</v>
      </c>
      <c r="C25" s="160" t="s">
        <v>112</v>
      </c>
      <c r="D25" s="164"/>
      <c r="E25" s="162">
        <v>2</v>
      </c>
      <c r="F25" s="162"/>
      <c r="G25" s="162"/>
      <c r="H25" s="162">
        <v>1</v>
      </c>
      <c r="I25" s="162"/>
      <c r="J25" s="162"/>
      <c r="K25" s="162"/>
      <c r="L25" s="162"/>
      <c r="M25" s="162"/>
      <c r="N25" s="162"/>
      <c r="O25" s="162"/>
      <c r="P25" s="162"/>
      <c r="Q25" s="162"/>
    </row>
    <row r="26" spans="1:17" ht="24.95" customHeight="1" x14ac:dyDescent="0.25">
      <c r="A26" s="158">
        <v>24</v>
      </c>
      <c r="B26" s="159" t="s">
        <v>113</v>
      </c>
      <c r="C26" s="160" t="s">
        <v>114</v>
      </c>
      <c r="D26" s="164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</row>
    <row r="27" spans="1:17" ht="24.95" customHeight="1" x14ac:dyDescent="0.25">
      <c r="A27" s="158">
        <v>25</v>
      </c>
      <c r="B27" s="159" t="s">
        <v>133</v>
      </c>
      <c r="C27" s="160" t="s">
        <v>164</v>
      </c>
      <c r="D27" s="164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</row>
    <row r="28" spans="1:17" ht="24.95" customHeight="1" x14ac:dyDescent="0.25">
      <c r="A28" s="158">
        <v>26</v>
      </c>
      <c r="B28" s="159" t="s">
        <v>53</v>
      </c>
      <c r="C28" s="160" t="s">
        <v>123</v>
      </c>
      <c r="D28" s="164"/>
      <c r="E28" s="162"/>
      <c r="F28" s="162"/>
      <c r="G28" s="162"/>
      <c r="H28" s="162"/>
      <c r="I28" s="162"/>
      <c r="J28" s="162"/>
      <c r="K28" s="163"/>
      <c r="L28" s="163"/>
      <c r="M28" s="163"/>
      <c r="N28" s="163"/>
      <c r="O28" s="162"/>
      <c r="P28" s="162"/>
      <c r="Q28" s="162"/>
    </row>
    <row r="29" spans="1:17" ht="24.95" customHeight="1" x14ac:dyDescent="0.25">
      <c r="A29" s="158">
        <v>27</v>
      </c>
      <c r="B29" s="159" t="s">
        <v>38</v>
      </c>
      <c r="C29" s="160" t="s">
        <v>155</v>
      </c>
      <c r="D29" s="164">
        <v>1</v>
      </c>
      <c r="E29" s="162"/>
      <c r="F29" s="162"/>
      <c r="G29" s="162"/>
      <c r="H29" s="162"/>
      <c r="I29" s="162"/>
      <c r="J29" s="162"/>
      <c r="K29" s="163"/>
      <c r="L29" s="163"/>
      <c r="M29" s="163"/>
      <c r="N29" s="163"/>
      <c r="O29" s="162"/>
      <c r="P29" s="203">
        <v>45736</v>
      </c>
      <c r="Q29" s="162"/>
    </row>
    <row r="30" spans="1:17" ht="24.95" customHeight="1" x14ac:dyDescent="0.25">
      <c r="A30" s="158">
        <v>28</v>
      </c>
      <c r="B30" s="159" t="s">
        <v>150</v>
      </c>
      <c r="C30" s="160" t="s">
        <v>165</v>
      </c>
      <c r="D30" s="164">
        <v>1</v>
      </c>
      <c r="E30" s="162">
        <v>3</v>
      </c>
      <c r="F30" s="162"/>
      <c r="G30" s="162"/>
      <c r="H30" s="162"/>
      <c r="I30" s="162">
        <v>1</v>
      </c>
      <c r="J30" s="162"/>
      <c r="K30" s="163"/>
      <c r="L30" s="163"/>
      <c r="M30" s="163"/>
      <c r="N30" s="163"/>
      <c r="O30" s="162"/>
      <c r="P30" s="204">
        <v>45750</v>
      </c>
      <c r="Q30" s="197"/>
    </row>
    <row r="31" spans="1:17" ht="24.95" customHeight="1" x14ac:dyDescent="0.25">
      <c r="A31" s="158">
        <v>29</v>
      </c>
      <c r="B31" s="159" t="s">
        <v>141</v>
      </c>
      <c r="C31" s="160" t="s">
        <v>166</v>
      </c>
      <c r="D31" s="164"/>
      <c r="E31" s="162"/>
      <c r="F31" s="162"/>
      <c r="G31" s="162"/>
      <c r="H31" s="162"/>
      <c r="I31" s="162"/>
      <c r="J31" s="162"/>
      <c r="K31" s="163"/>
      <c r="L31" s="163">
        <v>1</v>
      </c>
      <c r="M31" s="163"/>
      <c r="N31" s="163"/>
      <c r="O31" s="162"/>
      <c r="P31" s="204"/>
      <c r="Q31" s="197"/>
    </row>
    <row r="32" spans="1:17" ht="24.95" customHeight="1" x14ac:dyDescent="0.25">
      <c r="A32" s="158">
        <v>30</v>
      </c>
      <c r="B32" s="210" t="s">
        <v>146</v>
      </c>
      <c r="C32" s="160" t="s">
        <v>181</v>
      </c>
      <c r="D32" s="164"/>
      <c r="E32" s="162">
        <v>2</v>
      </c>
      <c r="F32" s="162"/>
      <c r="G32" s="162"/>
      <c r="H32" s="162"/>
      <c r="I32" s="162"/>
      <c r="J32" s="162"/>
      <c r="K32" s="163"/>
      <c r="L32" s="163"/>
      <c r="M32" s="163"/>
      <c r="N32" s="163"/>
      <c r="O32" s="162"/>
      <c r="P32" s="204"/>
      <c r="Q32" s="197"/>
    </row>
    <row r="33" spans="1:17" ht="24.95" customHeight="1" x14ac:dyDescent="0.25">
      <c r="A33" s="195"/>
      <c r="B33" s="212" t="s">
        <v>178</v>
      </c>
      <c r="C33" s="160" t="s">
        <v>178</v>
      </c>
      <c r="D33" s="164">
        <v>1</v>
      </c>
      <c r="E33" s="162"/>
      <c r="F33" s="162">
        <v>23</v>
      </c>
      <c r="G33" s="162"/>
      <c r="H33" s="162"/>
      <c r="I33" s="162"/>
      <c r="J33" s="162"/>
      <c r="K33" s="163"/>
      <c r="L33" s="163"/>
      <c r="M33" s="163"/>
      <c r="N33" s="163"/>
      <c r="O33" s="162"/>
      <c r="P33" s="204"/>
      <c r="Q33" s="197"/>
    </row>
    <row r="34" spans="1:17" ht="24.95" customHeight="1" x14ac:dyDescent="0.25">
      <c r="A34" s="195"/>
      <c r="B34" s="212" t="s">
        <v>179</v>
      </c>
      <c r="C34" s="160" t="s">
        <v>179</v>
      </c>
      <c r="D34" s="164">
        <v>1</v>
      </c>
      <c r="E34" s="162">
        <v>3</v>
      </c>
      <c r="F34" s="162">
        <v>28</v>
      </c>
      <c r="G34" s="162"/>
      <c r="H34" s="162"/>
      <c r="I34" s="162"/>
      <c r="J34" s="162"/>
      <c r="K34" s="163">
        <v>1</v>
      </c>
      <c r="L34" s="163">
        <v>1</v>
      </c>
      <c r="M34" s="163"/>
      <c r="N34" s="163"/>
      <c r="O34" s="162"/>
      <c r="P34" s="204"/>
      <c r="Q34" s="197"/>
    </row>
    <row r="35" spans="1:17" s="174" customFormat="1" ht="24.95" customHeight="1" x14ac:dyDescent="0.25">
      <c r="A35" s="170"/>
      <c r="B35" s="171" t="s">
        <v>14</v>
      </c>
      <c r="C35" s="172"/>
      <c r="D35" s="173">
        <f>SUM(D3:D34)</f>
        <v>13</v>
      </c>
      <c r="E35" s="173">
        <f t="shared" ref="E35:O35" si="0">SUM(E3:E34)</f>
        <v>30</v>
      </c>
      <c r="F35" s="213">
        <f t="shared" si="0"/>
        <v>51</v>
      </c>
      <c r="G35" s="173">
        <f t="shared" si="0"/>
        <v>0</v>
      </c>
      <c r="H35" s="173">
        <f t="shared" si="0"/>
        <v>5</v>
      </c>
      <c r="I35" s="173">
        <f t="shared" si="0"/>
        <v>4</v>
      </c>
      <c r="J35" s="173">
        <f t="shared" si="0"/>
        <v>0</v>
      </c>
      <c r="K35" s="173">
        <f t="shared" si="0"/>
        <v>3</v>
      </c>
      <c r="L35" s="173">
        <f t="shared" si="0"/>
        <v>10</v>
      </c>
      <c r="M35" s="173">
        <f t="shared" si="0"/>
        <v>0</v>
      </c>
      <c r="N35" s="173">
        <f t="shared" si="0"/>
        <v>0</v>
      </c>
      <c r="O35" s="173">
        <f t="shared" si="0"/>
        <v>2</v>
      </c>
      <c r="P35" s="197"/>
      <c r="Q35" s="197"/>
    </row>
  </sheetData>
  <mergeCells count="1">
    <mergeCell ref="B1:O1"/>
  </mergeCells>
  <pageMargins left="1.8897637795275593" right="0.11811023622047245" top="0.15748031496062992" bottom="0.15748031496062992" header="0.31496062992125984" footer="0.31496062992125984"/>
  <pageSetup paperSize="9" scale="6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D5F3-53DC-4288-95E0-068CE82C3C26}">
  <dimension ref="A1:Q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XFD2"/>
    </sheetView>
  </sheetViews>
  <sheetFormatPr baseColWidth="10" defaultRowHeight="12.75" x14ac:dyDescent="0.25"/>
  <cols>
    <col min="1" max="1" width="9.28515625" style="157" customWidth="1"/>
    <col min="2" max="2" width="30.7109375" style="157" customWidth="1"/>
    <col min="3" max="3" width="17.85546875" style="157" customWidth="1"/>
    <col min="4" max="5" width="10.7109375" style="157" customWidth="1"/>
    <col min="6" max="6" width="12.7109375" style="157" customWidth="1"/>
    <col min="7" max="10" width="10.7109375" style="157" customWidth="1"/>
    <col min="11" max="15" width="10.7109375" style="161" customWidth="1"/>
    <col min="16" max="16" width="11.42578125" style="157"/>
    <col min="17" max="17" width="15.7109375" style="157" customWidth="1"/>
    <col min="18" max="16384" width="11.42578125" style="157"/>
  </cols>
  <sheetData>
    <row r="1" spans="1:17" ht="50.1" customHeight="1" x14ac:dyDescent="0.25">
      <c r="A1" s="156"/>
      <c r="B1" s="316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8"/>
    </row>
    <row r="2" spans="1:17" ht="25.5" x14ac:dyDescent="0.25">
      <c r="A2" s="166" t="s">
        <v>73</v>
      </c>
      <c r="B2" s="167" t="s">
        <v>74</v>
      </c>
      <c r="C2" s="167" t="s">
        <v>75</v>
      </c>
      <c r="D2" s="168" t="s">
        <v>118</v>
      </c>
      <c r="E2" s="168" t="s">
        <v>76</v>
      </c>
      <c r="F2" s="214" t="s">
        <v>180</v>
      </c>
      <c r="G2" s="169" t="s">
        <v>3</v>
      </c>
      <c r="H2" s="168" t="s">
        <v>77</v>
      </c>
      <c r="I2" s="168" t="s">
        <v>78</v>
      </c>
      <c r="J2" s="168" t="s">
        <v>6</v>
      </c>
      <c r="K2" s="168" t="s">
        <v>8</v>
      </c>
      <c r="L2" s="168" t="s">
        <v>9</v>
      </c>
      <c r="M2" s="167" t="s">
        <v>10</v>
      </c>
      <c r="N2" s="168" t="s">
        <v>49</v>
      </c>
      <c r="O2" s="168" t="s">
        <v>72</v>
      </c>
      <c r="P2" s="199" t="s">
        <v>157</v>
      </c>
      <c r="Q2" s="198" t="s">
        <v>156</v>
      </c>
    </row>
    <row r="3" spans="1:17" ht="24.95" customHeight="1" x14ac:dyDescent="0.25">
      <c r="A3" s="158">
        <v>2</v>
      </c>
      <c r="B3" s="159" t="s">
        <v>149</v>
      </c>
      <c r="C3" s="160" t="s">
        <v>158</v>
      </c>
      <c r="D3" s="165">
        <v>1</v>
      </c>
      <c r="E3" s="162">
        <v>2</v>
      </c>
      <c r="F3" s="162"/>
      <c r="G3" s="162"/>
      <c r="H3" s="162"/>
      <c r="I3" s="162">
        <v>1</v>
      </c>
      <c r="J3" s="162"/>
      <c r="K3" s="162">
        <v>1</v>
      </c>
      <c r="L3" s="162"/>
      <c r="M3" s="162"/>
      <c r="N3" s="162"/>
      <c r="O3" s="162"/>
      <c r="P3" s="202">
        <v>45748</v>
      </c>
      <c r="Q3" s="200" t="s">
        <v>159</v>
      </c>
    </row>
    <row r="4" spans="1:17" ht="24.95" customHeight="1" x14ac:dyDescent="0.25">
      <c r="A4" s="158">
        <v>3</v>
      </c>
      <c r="B4" s="159" t="s">
        <v>115</v>
      </c>
      <c r="C4" s="160" t="s">
        <v>116</v>
      </c>
      <c r="D4" s="165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ht="24.95" customHeight="1" x14ac:dyDescent="0.25">
      <c r="A5" s="158">
        <v>4</v>
      </c>
      <c r="B5" s="159" t="s">
        <v>87</v>
      </c>
      <c r="C5" s="160" t="s">
        <v>88</v>
      </c>
      <c r="D5" s="164"/>
      <c r="E5" s="162"/>
      <c r="F5" s="162"/>
      <c r="G5" s="162"/>
      <c r="H5" s="162"/>
      <c r="I5" s="162"/>
      <c r="J5" s="162"/>
      <c r="K5" s="163"/>
      <c r="L5" s="163"/>
      <c r="M5" s="163"/>
      <c r="N5" s="163"/>
      <c r="O5" s="162"/>
      <c r="P5" s="162"/>
      <c r="Q5" s="162"/>
    </row>
    <row r="6" spans="1:17" ht="24.95" customHeight="1" x14ac:dyDescent="0.25">
      <c r="A6" s="158">
        <v>6</v>
      </c>
      <c r="B6" s="159" t="s">
        <v>81</v>
      </c>
      <c r="C6" s="160" t="s">
        <v>82</v>
      </c>
      <c r="D6" s="165">
        <v>1</v>
      </c>
      <c r="E6" s="162">
        <v>1</v>
      </c>
      <c r="F6" s="162"/>
      <c r="G6" s="162"/>
      <c r="H6" s="162"/>
      <c r="I6" s="162"/>
      <c r="J6" s="162"/>
      <c r="K6" s="163"/>
      <c r="L6" s="163"/>
      <c r="M6" s="163"/>
      <c r="N6" s="163"/>
      <c r="O6" s="163"/>
      <c r="P6" s="203">
        <v>45722</v>
      </c>
      <c r="Q6" s="162"/>
    </row>
    <row r="7" spans="1:17" ht="24.95" customHeight="1" x14ac:dyDescent="0.25">
      <c r="A7" s="158">
        <v>8</v>
      </c>
      <c r="B7" s="159" t="s">
        <v>96</v>
      </c>
      <c r="C7" s="160" t="s">
        <v>97</v>
      </c>
      <c r="D7" s="164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24.95" customHeight="1" x14ac:dyDescent="0.25">
      <c r="A8" s="158">
        <v>9</v>
      </c>
      <c r="B8" s="159" t="s">
        <v>143</v>
      </c>
      <c r="C8" s="160" t="s">
        <v>154</v>
      </c>
      <c r="D8" s="164"/>
      <c r="E8" s="162">
        <v>3</v>
      </c>
      <c r="F8" s="162"/>
      <c r="G8" s="162"/>
      <c r="H8" s="162">
        <v>2</v>
      </c>
      <c r="I8" s="162">
        <v>1</v>
      </c>
      <c r="J8" s="162"/>
      <c r="K8" s="162">
        <v>1</v>
      </c>
      <c r="L8" s="162">
        <v>2</v>
      </c>
      <c r="M8" s="162"/>
      <c r="N8" s="162"/>
      <c r="O8" s="162"/>
      <c r="P8" s="162"/>
      <c r="Q8" s="162"/>
    </row>
    <row r="9" spans="1:17" ht="24.95" customHeight="1" x14ac:dyDescent="0.25">
      <c r="A9" s="158">
        <v>10</v>
      </c>
      <c r="B9" s="159" t="s">
        <v>98</v>
      </c>
      <c r="C9" s="160" t="s">
        <v>99</v>
      </c>
      <c r="D9" s="164"/>
      <c r="E9" s="162"/>
      <c r="F9" s="162"/>
      <c r="G9" s="162"/>
      <c r="H9" s="162"/>
      <c r="I9" s="162"/>
      <c r="J9" s="162"/>
      <c r="K9" s="163"/>
      <c r="L9" s="163"/>
      <c r="M9" s="163"/>
      <c r="N9" s="163"/>
      <c r="O9" s="162"/>
      <c r="P9" s="162"/>
      <c r="Q9" s="162"/>
    </row>
    <row r="10" spans="1:17" ht="24.95" customHeight="1" x14ac:dyDescent="0.25">
      <c r="A10" s="158">
        <v>11</v>
      </c>
      <c r="B10" s="159" t="s">
        <v>54</v>
      </c>
      <c r="C10" s="160" t="s">
        <v>120</v>
      </c>
      <c r="D10" s="164"/>
      <c r="E10" s="162"/>
      <c r="F10" s="162"/>
      <c r="G10" s="162"/>
      <c r="H10" s="162"/>
      <c r="I10" s="162"/>
      <c r="J10" s="162"/>
      <c r="K10" s="163"/>
      <c r="L10" s="163"/>
      <c r="M10" s="163"/>
      <c r="N10" s="163"/>
      <c r="O10" s="162"/>
      <c r="P10" s="162"/>
      <c r="Q10" s="162"/>
    </row>
    <row r="11" spans="1:17" ht="24.95" customHeight="1" x14ac:dyDescent="0.25">
      <c r="A11" s="158">
        <v>12</v>
      </c>
      <c r="B11" s="159" t="s">
        <v>55</v>
      </c>
      <c r="C11" s="160" t="s">
        <v>121</v>
      </c>
      <c r="D11" s="164"/>
      <c r="E11" s="162">
        <v>2</v>
      </c>
      <c r="F11" s="162"/>
      <c r="G11" s="162"/>
      <c r="H11" s="162"/>
      <c r="I11" s="162"/>
      <c r="J11" s="162"/>
      <c r="K11" s="163"/>
      <c r="L11" s="163"/>
      <c r="M11" s="163"/>
      <c r="N11" s="163"/>
      <c r="O11" s="162"/>
      <c r="P11" s="162"/>
      <c r="Q11" s="162"/>
    </row>
    <row r="12" spans="1:17" ht="24.95" customHeight="1" x14ac:dyDescent="0.25">
      <c r="A12" s="158">
        <v>13</v>
      </c>
      <c r="B12" s="159" t="s">
        <v>83</v>
      </c>
      <c r="C12" s="160" t="s">
        <v>84</v>
      </c>
      <c r="D12" s="162"/>
      <c r="E12" s="162"/>
      <c r="F12" s="162"/>
      <c r="G12" s="162"/>
      <c r="H12" s="162"/>
      <c r="I12" s="162"/>
      <c r="J12" s="162"/>
      <c r="K12" s="163"/>
      <c r="L12" s="163"/>
      <c r="M12" s="163"/>
      <c r="N12" s="163"/>
      <c r="O12" s="162"/>
      <c r="P12" s="162"/>
      <c r="Q12" s="162"/>
    </row>
    <row r="13" spans="1:17" ht="24.95" customHeight="1" x14ac:dyDescent="0.25">
      <c r="A13" s="158">
        <v>14</v>
      </c>
      <c r="B13" s="159" t="s">
        <v>100</v>
      </c>
      <c r="C13" s="160" t="s">
        <v>101</v>
      </c>
      <c r="D13" s="164">
        <v>1</v>
      </c>
      <c r="E13" s="162">
        <v>4</v>
      </c>
      <c r="F13" s="162"/>
      <c r="G13" s="162"/>
      <c r="H13" s="162">
        <v>1</v>
      </c>
      <c r="I13" s="162"/>
      <c r="J13" s="162"/>
      <c r="K13" s="162"/>
      <c r="L13" s="162">
        <v>3</v>
      </c>
      <c r="M13" s="162"/>
      <c r="N13" s="162"/>
      <c r="O13" s="162">
        <v>1</v>
      </c>
      <c r="P13" s="203">
        <v>45721</v>
      </c>
      <c r="Q13" s="201" t="s">
        <v>161</v>
      </c>
    </row>
    <row r="14" spans="1:17" ht="24.95" customHeight="1" x14ac:dyDescent="0.25">
      <c r="A14" s="158">
        <v>15</v>
      </c>
      <c r="B14" s="159" t="s">
        <v>102</v>
      </c>
      <c r="C14" s="160" t="s">
        <v>103</v>
      </c>
      <c r="D14" s="164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</row>
    <row r="15" spans="1:17" ht="24.95" customHeight="1" x14ac:dyDescent="0.25">
      <c r="A15" s="158">
        <v>16</v>
      </c>
      <c r="B15" s="159" t="s">
        <v>28</v>
      </c>
      <c r="C15" s="160" t="s">
        <v>122</v>
      </c>
      <c r="D15" s="164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</row>
    <row r="16" spans="1:17" ht="24.95" customHeight="1" x14ac:dyDescent="0.25">
      <c r="A16" s="158">
        <v>17</v>
      </c>
      <c r="B16" s="159" t="s">
        <v>104</v>
      </c>
      <c r="C16" s="160" t="s">
        <v>105</v>
      </c>
      <c r="D16" s="164">
        <v>1</v>
      </c>
      <c r="E16" s="162">
        <v>3</v>
      </c>
      <c r="F16" s="162"/>
      <c r="G16" s="162"/>
      <c r="H16" s="162">
        <v>1</v>
      </c>
      <c r="I16" s="162">
        <v>1</v>
      </c>
      <c r="J16" s="162"/>
      <c r="K16" s="162"/>
      <c r="L16" s="162">
        <v>2</v>
      </c>
      <c r="M16" s="162"/>
      <c r="N16" s="162"/>
      <c r="O16" s="162">
        <v>1</v>
      </c>
      <c r="P16" s="203">
        <v>45729</v>
      </c>
      <c r="Q16" s="162"/>
    </row>
    <row r="17" spans="1:17" ht="24.95" customHeight="1" x14ac:dyDescent="0.25">
      <c r="A17" s="158">
        <v>18</v>
      </c>
      <c r="B17" s="159" t="s">
        <v>106</v>
      </c>
      <c r="C17" s="160" t="s">
        <v>107</v>
      </c>
      <c r="D17" s="164">
        <v>1</v>
      </c>
      <c r="E17" s="162">
        <v>1</v>
      </c>
      <c r="F17" s="162"/>
      <c r="G17" s="162"/>
      <c r="H17" s="162"/>
      <c r="I17" s="162"/>
      <c r="J17" s="162"/>
      <c r="K17" s="163"/>
      <c r="L17" s="163"/>
      <c r="M17" s="163"/>
      <c r="N17" s="163"/>
      <c r="O17" s="162"/>
      <c r="P17" s="203">
        <v>45751</v>
      </c>
      <c r="Q17" s="162"/>
    </row>
    <row r="18" spans="1:17" ht="24.95" customHeight="1" x14ac:dyDescent="0.25">
      <c r="A18" s="158">
        <v>19</v>
      </c>
      <c r="B18" s="159" t="s">
        <v>63</v>
      </c>
      <c r="C18" s="160" t="s">
        <v>108</v>
      </c>
      <c r="D18" s="164"/>
      <c r="E18" s="162"/>
      <c r="F18" s="162"/>
      <c r="G18" s="162"/>
      <c r="H18" s="162"/>
      <c r="I18" s="162"/>
      <c r="J18" s="162"/>
      <c r="K18" s="163"/>
      <c r="L18" s="163"/>
      <c r="M18" s="163"/>
      <c r="N18" s="163"/>
      <c r="O18" s="162"/>
      <c r="P18" s="162"/>
      <c r="Q18" s="162"/>
    </row>
    <row r="19" spans="1:17" ht="24.95" customHeight="1" x14ac:dyDescent="0.25">
      <c r="A19" s="158">
        <v>20</v>
      </c>
      <c r="B19" s="159" t="s">
        <v>109</v>
      </c>
      <c r="C19" s="160" t="s">
        <v>110</v>
      </c>
      <c r="D19" s="164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</row>
    <row r="20" spans="1:17" ht="24.95" customHeight="1" x14ac:dyDescent="0.25">
      <c r="A20" s="158">
        <v>22</v>
      </c>
      <c r="B20" s="159" t="s">
        <v>33</v>
      </c>
      <c r="C20" s="160" t="s">
        <v>111</v>
      </c>
      <c r="D20" s="164">
        <v>2</v>
      </c>
      <c r="E20" s="162">
        <v>1</v>
      </c>
      <c r="F20" s="162"/>
      <c r="G20" s="162"/>
      <c r="H20" s="162"/>
      <c r="I20" s="162"/>
      <c r="J20" s="162"/>
      <c r="K20" s="162"/>
      <c r="L20" s="162">
        <v>1</v>
      </c>
      <c r="M20" s="162"/>
      <c r="N20" s="162"/>
      <c r="O20" s="162"/>
      <c r="P20" s="162" t="s">
        <v>163</v>
      </c>
      <c r="Q20" s="162"/>
    </row>
    <row r="21" spans="1:17" ht="24.95" customHeight="1" x14ac:dyDescent="0.25">
      <c r="A21" s="158">
        <v>23</v>
      </c>
      <c r="B21" s="159" t="s">
        <v>34</v>
      </c>
      <c r="C21" s="160" t="s">
        <v>112</v>
      </c>
      <c r="D21" s="164"/>
      <c r="E21" s="162">
        <v>2</v>
      </c>
      <c r="F21" s="162"/>
      <c r="G21" s="162"/>
      <c r="H21" s="162">
        <v>1</v>
      </c>
      <c r="I21" s="162"/>
      <c r="J21" s="162"/>
      <c r="K21" s="162"/>
      <c r="L21" s="162"/>
      <c r="M21" s="162"/>
      <c r="N21" s="162"/>
      <c r="O21" s="162"/>
      <c r="P21" s="162"/>
      <c r="Q21" s="162"/>
    </row>
    <row r="22" spans="1:17" ht="24.95" customHeight="1" x14ac:dyDescent="0.25">
      <c r="A22" s="158">
        <v>24</v>
      </c>
      <c r="B22" s="159" t="s">
        <v>113</v>
      </c>
      <c r="C22" s="160" t="s">
        <v>114</v>
      </c>
      <c r="D22" s="164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</row>
    <row r="23" spans="1:17" ht="24.95" customHeight="1" x14ac:dyDescent="0.25">
      <c r="A23" s="158">
        <v>25</v>
      </c>
      <c r="B23" s="159" t="s">
        <v>133</v>
      </c>
      <c r="C23" s="160" t="s">
        <v>164</v>
      </c>
      <c r="D23" s="164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</row>
    <row r="24" spans="1:17" ht="24.95" customHeight="1" x14ac:dyDescent="0.25">
      <c r="A24" s="158">
        <v>26</v>
      </c>
      <c r="B24" s="159" t="s">
        <v>53</v>
      </c>
      <c r="C24" s="160" t="s">
        <v>123</v>
      </c>
      <c r="D24" s="164"/>
      <c r="E24" s="162"/>
      <c r="F24" s="162"/>
      <c r="G24" s="162"/>
      <c r="H24" s="162"/>
      <c r="I24" s="162"/>
      <c r="J24" s="162"/>
      <c r="K24" s="163"/>
      <c r="L24" s="163"/>
      <c r="M24" s="163"/>
      <c r="N24" s="163"/>
      <c r="O24" s="162"/>
      <c r="P24" s="162"/>
      <c r="Q24" s="162"/>
    </row>
    <row r="25" spans="1:17" ht="24.95" customHeight="1" x14ac:dyDescent="0.25">
      <c r="A25" s="158">
        <v>29</v>
      </c>
      <c r="B25" s="159" t="s">
        <v>141</v>
      </c>
      <c r="C25" s="160" t="s">
        <v>166</v>
      </c>
      <c r="D25" s="164"/>
      <c r="E25" s="162"/>
      <c r="F25" s="162"/>
      <c r="G25" s="162"/>
      <c r="H25" s="162"/>
      <c r="I25" s="162"/>
      <c r="J25" s="162"/>
      <c r="K25" s="163"/>
      <c r="L25" s="163">
        <v>1</v>
      </c>
      <c r="M25" s="163"/>
      <c r="N25" s="163"/>
      <c r="O25" s="162"/>
      <c r="P25" s="204"/>
      <c r="Q25" s="197"/>
    </row>
    <row r="26" spans="1:17" ht="24.95" customHeight="1" x14ac:dyDescent="0.25">
      <c r="A26" s="195"/>
      <c r="B26" s="212" t="s">
        <v>178</v>
      </c>
      <c r="C26" s="160" t="s">
        <v>178</v>
      </c>
      <c r="D26" s="164">
        <v>1</v>
      </c>
      <c r="E26" s="162"/>
      <c r="F26" s="162">
        <v>23</v>
      </c>
      <c r="G26" s="162"/>
      <c r="H26" s="162"/>
      <c r="I26" s="162"/>
      <c r="J26" s="162"/>
      <c r="K26" s="163"/>
      <c r="L26" s="163"/>
      <c r="M26" s="163"/>
      <c r="N26" s="163"/>
      <c r="O26" s="162"/>
      <c r="P26" s="204"/>
      <c r="Q26" s="197"/>
    </row>
    <row r="27" spans="1:17" s="174" customFormat="1" ht="24.95" customHeight="1" x14ac:dyDescent="0.25">
      <c r="A27" s="170"/>
      <c r="B27" s="171" t="s">
        <v>14</v>
      </c>
      <c r="C27" s="172"/>
      <c r="D27" s="173">
        <f t="shared" ref="D27:O27" si="0">SUM(D3:D26)</f>
        <v>8</v>
      </c>
      <c r="E27" s="173">
        <f t="shared" si="0"/>
        <v>19</v>
      </c>
      <c r="F27" s="213">
        <f t="shared" si="0"/>
        <v>23</v>
      </c>
      <c r="G27" s="173">
        <f t="shared" si="0"/>
        <v>0</v>
      </c>
      <c r="H27" s="173">
        <f t="shared" si="0"/>
        <v>5</v>
      </c>
      <c r="I27" s="173">
        <f t="shared" si="0"/>
        <v>3</v>
      </c>
      <c r="J27" s="173">
        <f t="shared" si="0"/>
        <v>0</v>
      </c>
      <c r="K27" s="173">
        <f t="shared" si="0"/>
        <v>2</v>
      </c>
      <c r="L27" s="173">
        <f t="shared" si="0"/>
        <v>9</v>
      </c>
      <c r="M27" s="173">
        <f t="shared" si="0"/>
        <v>0</v>
      </c>
      <c r="N27" s="173">
        <f t="shared" si="0"/>
        <v>0</v>
      </c>
      <c r="O27" s="173">
        <f t="shared" si="0"/>
        <v>2</v>
      </c>
      <c r="P27" s="197"/>
      <c r="Q27" s="197"/>
    </row>
  </sheetData>
  <mergeCells count="1">
    <mergeCell ref="B1:O1"/>
  </mergeCells>
  <pageMargins left="1.8897637795275593" right="0.11811023622047245" top="0.15748031496062992" bottom="0.15748031496062992" header="0.31496062992125984" footer="0.31496062992125984"/>
  <pageSetup paperSize="9" scale="6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5EAF1-12CC-41C0-B5C2-84E8610E816E}">
  <dimension ref="A1:M32"/>
  <sheetViews>
    <sheetView workbookViewId="0">
      <selection activeCell="N5" sqref="N5"/>
    </sheetView>
  </sheetViews>
  <sheetFormatPr baseColWidth="10" defaultRowHeight="13.5" x14ac:dyDescent="0.25"/>
  <sheetData>
    <row r="1" spans="1:13" ht="50.1" customHeight="1" thickBot="1" x14ac:dyDescent="0.3">
      <c r="A1" s="319" t="s">
        <v>39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1"/>
    </row>
    <row r="2" spans="1:13" ht="21.75" thickBot="1" x14ac:dyDescent="0.3">
      <c r="A2" s="268" t="s">
        <v>287</v>
      </c>
      <c r="B2" s="269"/>
      <c r="C2" s="270"/>
      <c r="D2" s="271"/>
      <c r="E2" s="322" t="s">
        <v>62</v>
      </c>
      <c r="F2" s="323"/>
      <c r="G2" s="323"/>
      <c r="H2" s="323"/>
      <c r="I2" s="323"/>
      <c r="J2" s="323"/>
      <c r="K2" s="323"/>
      <c r="L2" s="324"/>
    </row>
    <row r="3" spans="1:13" ht="24" x14ac:dyDescent="0.25">
      <c r="A3" s="241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242" t="s">
        <v>72</v>
      </c>
    </row>
    <row r="4" spans="1:13" ht="20.100000000000001" customHeight="1" x14ac:dyDescent="0.25">
      <c r="A4" s="243">
        <v>46027</v>
      </c>
      <c r="B4" s="6">
        <v>1</v>
      </c>
      <c r="C4" s="6"/>
      <c r="D4" s="6"/>
      <c r="E4" s="6">
        <v>1</v>
      </c>
      <c r="F4" s="6"/>
      <c r="G4" s="6"/>
      <c r="H4" s="6">
        <v>1</v>
      </c>
      <c r="I4" s="6">
        <v>1</v>
      </c>
      <c r="J4" s="6"/>
      <c r="K4" s="150"/>
      <c r="L4" s="244"/>
    </row>
    <row r="5" spans="1:13" ht="24.95" customHeight="1" x14ac:dyDescent="0.25">
      <c r="A5" s="245">
        <v>46030</v>
      </c>
      <c r="B5" s="8"/>
      <c r="C5" s="8"/>
      <c r="D5" s="8"/>
      <c r="E5" s="8">
        <v>2</v>
      </c>
      <c r="F5" s="8">
        <v>1</v>
      </c>
      <c r="G5" s="8"/>
      <c r="H5" s="8"/>
      <c r="I5" s="8"/>
      <c r="J5" s="8"/>
      <c r="K5" s="139"/>
      <c r="L5" s="244"/>
    </row>
    <row r="6" spans="1:13" ht="20.100000000000001" customHeight="1" x14ac:dyDescent="0.25">
      <c r="A6" s="246">
        <v>46113</v>
      </c>
      <c r="B6" s="10"/>
      <c r="C6" s="10"/>
      <c r="D6" s="10"/>
      <c r="E6" s="10">
        <v>1</v>
      </c>
      <c r="F6" s="10"/>
      <c r="G6" s="10"/>
      <c r="H6" s="10"/>
      <c r="I6" s="10"/>
      <c r="J6" s="10"/>
      <c r="K6" s="140"/>
      <c r="L6" s="244"/>
    </row>
    <row r="7" spans="1:13" ht="20.100000000000001" customHeight="1" x14ac:dyDescent="0.25">
      <c r="A7" s="246">
        <v>46161</v>
      </c>
      <c r="B7" s="10"/>
      <c r="C7" s="10"/>
      <c r="D7" s="10">
        <v>1</v>
      </c>
      <c r="E7" s="10"/>
      <c r="F7" s="10"/>
      <c r="G7" s="10"/>
      <c r="H7" s="10"/>
      <c r="I7" s="10"/>
      <c r="J7" s="10"/>
      <c r="K7" s="140"/>
      <c r="L7" s="244"/>
      <c r="M7" s="30"/>
    </row>
    <row r="8" spans="1:13" ht="20.100000000000001" customHeight="1" x14ac:dyDescent="0.25">
      <c r="A8" s="246"/>
      <c r="B8" s="10"/>
      <c r="C8" s="10"/>
      <c r="D8" s="10"/>
      <c r="E8" s="10"/>
      <c r="F8" s="10"/>
      <c r="G8" s="10"/>
      <c r="H8" s="10"/>
      <c r="I8" s="10"/>
      <c r="J8" s="10"/>
      <c r="K8" s="140"/>
      <c r="L8" s="244"/>
      <c r="M8" s="30"/>
    </row>
    <row r="9" spans="1:13" ht="20.100000000000001" customHeight="1" x14ac:dyDescent="0.25">
      <c r="A9" s="246"/>
      <c r="B9" s="10"/>
      <c r="C9" s="10"/>
      <c r="D9" s="10"/>
      <c r="E9" s="10"/>
      <c r="F9" s="10"/>
      <c r="G9" s="10"/>
      <c r="H9" s="10"/>
      <c r="I9" s="10"/>
      <c r="J9" s="10"/>
      <c r="K9" s="140"/>
      <c r="L9" s="244"/>
      <c r="M9" s="30"/>
    </row>
    <row r="10" spans="1:13" ht="20.100000000000001" customHeight="1" x14ac:dyDescent="0.25">
      <c r="A10" s="246"/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244"/>
    </row>
    <row r="11" spans="1:13" ht="20.100000000000001" customHeight="1" x14ac:dyDescent="0.25">
      <c r="A11" s="246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244"/>
    </row>
    <row r="12" spans="1:13" ht="20.100000000000001" customHeight="1" x14ac:dyDescent="0.25">
      <c r="A12" s="246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244"/>
    </row>
    <row r="13" spans="1:13" ht="20.100000000000001" customHeight="1" x14ac:dyDescent="0.25">
      <c r="A13" s="246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244"/>
      <c r="M13" s="30"/>
    </row>
    <row r="14" spans="1:13" ht="20.100000000000001" customHeight="1" x14ac:dyDescent="0.25">
      <c r="A14" s="246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244"/>
      <c r="M14" s="30"/>
    </row>
    <row r="15" spans="1:13" ht="20.100000000000001" customHeight="1" x14ac:dyDescent="0.25">
      <c r="A15" s="246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244"/>
      <c r="M15" s="30"/>
    </row>
    <row r="16" spans="1:13" ht="20.100000000000001" customHeight="1" x14ac:dyDescent="0.25">
      <c r="A16" s="246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244"/>
      <c r="M16" s="30"/>
    </row>
    <row r="17" spans="1:13" ht="20.100000000000001" customHeight="1" x14ac:dyDescent="0.25">
      <c r="A17" s="246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244"/>
      <c r="M17" s="30"/>
    </row>
    <row r="18" spans="1:13" ht="20.100000000000001" customHeight="1" x14ac:dyDescent="0.25">
      <c r="A18" s="246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244"/>
      <c r="M18" s="30"/>
    </row>
    <row r="19" spans="1:13" ht="20.100000000000001" customHeight="1" x14ac:dyDescent="0.25">
      <c r="A19" s="246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244"/>
      <c r="M19" s="30"/>
    </row>
    <row r="20" spans="1:13" ht="20.100000000000001" customHeight="1" x14ac:dyDescent="0.25">
      <c r="A20" s="246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244"/>
      <c r="M20" s="30"/>
    </row>
    <row r="21" spans="1:13" ht="20.100000000000001" customHeight="1" thickBot="1" x14ac:dyDescent="0.3">
      <c r="A21" s="31"/>
      <c r="B21" s="13">
        <f>SUM(B4:B20)</f>
        <v>1</v>
      </c>
      <c r="C21" s="13">
        <f t="shared" ref="C21:L21" si="0">SUM(C4:C20)</f>
        <v>0</v>
      </c>
      <c r="D21" s="13">
        <f t="shared" si="0"/>
        <v>1</v>
      </c>
      <c r="E21" s="13">
        <f t="shared" si="0"/>
        <v>4</v>
      </c>
      <c r="F21" s="13">
        <f t="shared" si="0"/>
        <v>1</v>
      </c>
      <c r="G21" s="13">
        <f t="shared" si="0"/>
        <v>0</v>
      </c>
      <c r="H21" s="13">
        <f t="shared" si="0"/>
        <v>1</v>
      </c>
      <c r="I21" s="13">
        <f t="shared" si="0"/>
        <v>1</v>
      </c>
      <c r="J21" s="13">
        <f t="shared" si="0"/>
        <v>0</v>
      </c>
      <c r="K21" s="151">
        <f t="shared" si="0"/>
        <v>0</v>
      </c>
      <c r="L21" s="247">
        <f t="shared" si="0"/>
        <v>0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6EC4-315F-4D95-8606-19ED5B1954E3}">
  <dimension ref="A1:M32"/>
  <sheetViews>
    <sheetView tabSelected="1" workbookViewId="0">
      <selection activeCell="A21" sqref="A1:L21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288</v>
      </c>
      <c r="B2" s="269"/>
      <c r="C2" s="270"/>
      <c r="D2" s="271"/>
      <c r="E2" s="322" t="s">
        <v>235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>
        <v>45966</v>
      </c>
      <c r="B4" s="6"/>
      <c r="C4" s="6">
        <v>1</v>
      </c>
      <c r="D4" s="6"/>
      <c r="E4" s="6">
        <v>1</v>
      </c>
      <c r="F4" s="6">
        <v>1</v>
      </c>
      <c r="G4" s="6"/>
      <c r="H4" s="6"/>
      <c r="I4" s="6">
        <v>1</v>
      </c>
      <c r="J4" s="6"/>
      <c r="K4" s="150"/>
      <c r="L4" s="10"/>
    </row>
    <row r="5" spans="1:13" ht="24.95" customHeight="1" x14ac:dyDescent="0.25">
      <c r="A5" s="32">
        <v>45971</v>
      </c>
      <c r="B5" s="8"/>
      <c r="C5" s="8"/>
      <c r="D5" s="8">
        <v>1</v>
      </c>
      <c r="E5" s="8"/>
      <c r="F5" s="8"/>
      <c r="G5" s="8"/>
      <c r="H5" s="8"/>
      <c r="I5" s="8"/>
      <c r="J5" s="8"/>
      <c r="K5" s="139"/>
      <c r="L5" s="10"/>
    </row>
    <row r="6" spans="1:13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40"/>
      <c r="L6" s="10"/>
    </row>
    <row r="7" spans="1:13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40"/>
      <c r="L7" s="10"/>
      <c r="M7" s="30"/>
    </row>
    <row r="8" spans="1:13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40"/>
      <c r="L8" s="10"/>
      <c r="M8" s="30"/>
    </row>
    <row r="9" spans="1:13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40"/>
      <c r="L9" s="10"/>
      <c r="M9" s="30"/>
    </row>
    <row r="10" spans="1:13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/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/>
      <c r="B21" s="13">
        <f>SUM(B4:B20)</f>
        <v>0</v>
      </c>
      <c r="C21" s="13">
        <f t="shared" ref="C21:L21" si="0">SUM(C4:C20)</f>
        <v>1</v>
      </c>
      <c r="D21" s="13">
        <f t="shared" si="0"/>
        <v>1</v>
      </c>
      <c r="E21" s="13">
        <f t="shared" si="0"/>
        <v>1</v>
      </c>
      <c r="F21" s="13">
        <f t="shared" si="0"/>
        <v>1</v>
      </c>
      <c r="G21" s="13">
        <f t="shared" si="0"/>
        <v>0</v>
      </c>
      <c r="H21" s="13">
        <f t="shared" si="0"/>
        <v>0</v>
      </c>
      <c r="I21" s="13">
        <f t="shared" si="0"/>
        <v>1</v>
      </c>
      <c r="J21" s="13">
        <f t="shared" si="0"/>
        <v>0</v>
      </c>
      <c r="K21" s="151">
        <f t="shared" si="0"/>
        <v>0</v>
      </c>
      <c r="L21" s="142">
        <f t="shared" si="0"/>
        <v>0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4C13-7614-4EAB-AF72-00D83C1246A8}">
  <dimension ref="A1:K23"/>
  <sheetViews>
    <sheetView topLeftCell="A2" workbookViewId="0">
      <selection activeCell="L10" sqref="L10"/>
    </sheetView>
  </sheetViews>
  <sheetFormatPr baseColWidth="10" defaultRowHeight="13.5" x14ac:dyDescent="0.25"/>
  <sheetData>
    <row r="1" spans="1:11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1" ht="21.75" thickBot="1" x14ac:dyDescent="0.3">
      <c r="A2" s="268" t="s">
        <v>71</v>
      </c>
      <c r="B2" s="269"/>
      <c r="C2" s="270"/>
      <c r="D2" s="271"/>
      <c r="E2" s="314" t="s">
        <v>15</v>
      </c>
      <c r="F2" s="315"/>
      <c r="G2" s="315"/>
      <c r="H2" s="315"/>
      <c r="I2" s="315"/>
      <c r="J2" s="315"/>
      <c r="K2" s="315"/>
    </row>
    <row r="3" spans="1:11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1" ht="20.100000000000001" customHeight="1" x14ac:dyDescent="0.25">
      <c r="A4" s="7">
        <v>44985</v>
      </c>
      <c r="B4" s="6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1:11" ht="20.100000000000001" customHeight="1" x14ac:dyDescent="0.25">
      <c r="A5" s="9">
        <v>45082</v>
      </c>
      <c r="B5" s="8"/>
      <c r="C5" s="8"/>
      <c r="D5" s="8">
        <v>1</v>
      </c>
      <c r="E5" s="8"/>
      <c r="F5" s="8">
        <v>1</v>
      </c>
      <c r="G5" s="8"/>
      <c r="H5" s="8"/>
      <c r="I5" s="8"/>
      <c r="J5" s="8"/>
      <c r="K5" s="8"/>
    </row>
    <row r="6" spans="1:11" ht="20.100000000000001" customHeight="1" x14ac:dyDescent="0.25">
      <c r="A6" s="11">
        <v>45230</v>
      </c>
      <c r="B6" s="10"/>
      <c r="C6" s="10">
        <v>1</v>
      </c>
      <c r="D6" s="10"/>
      <c r="E6" s="10">
        <v>1</v>
      </c>
      <c r="F6" s="10"/>
      <c r="G6" s="10"/>
      <c r="H6" s="10"/>
      <c r="I6" s="10"/>
      <c r="J6" s="10"/>
      <c r="K6" s="10"/>
    </row>
    <row r="7" spans="1:11" ht="20.100000000000001" customHeight="1" x14ac:dyDescent="0.25">
      <c r="A7" s="11">
        <v>45349</v>
      </c>
      <c r="B7" s="10"/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</row>
    <row r="8" spans="1:11" ht="20.100000000000001" customHeight="1" x14ac:dyDescent="0.25">
      <c r="A8" s="240" t="s">
        <v>234</v>
      </c>
      <c r="B8" s="10"/>
      <c r="C8" s="10"/>
      <c r="D8" s="10"/>
      <c r="E8" s="10"/>
      <c r="F8" s="10"/>
      <c r="G8" s="10"/>
      <c r="H8" s="10"/>
      <c r="I8" s="10">
        <v>1</v>
      </c>
      <c r="J8" s="10"/>
      <c r="K8" s="10"/>
    </row>
    <row r="9" spans="1:11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ht="20.100000000000001" customHeight="1" thickBot="1" x14ac:dyDescent="0.3">
      <c r="A12" s="31" t="s">
        <v>14</v>
      </c>
      <c r="B12" s="13">
        <f>SUM(B4:B11)</f>
        <v>1</v>
      </c>
      <c r="C12" s="13">
        <f t="shared" ref="C12:K12" si="0">SUM(C4:C11)</f>
        <v>2</v>
      </c>
      <c r="D12" s="13">
        <f t="shared" si="0"/>
        <v>1</v>
      </c>
      <c r="E12" s="13">
        <f t="shared" si="0"/>
        <v>1</v>
      </c>
      <c r="F12" s="13">
        <f t="shared" si="0"/>
        <v>1</v>
      </c>
      <c r="G12" s="13">
        <f t="shared" si="0"/>
        <v>0</v>
      </c>
      <c r="H12" s="13">
        <f t="shared" si="0"/>
        <v>1</v>
      </c>
      <c r="I12" s="13">
        <f t="shared" si="0"/>
        <v>1</v>
      </c>
      <c r="J12" s="13">
        <f t="shared" si="0"/>
        <v>0</v>
      </c>
      <c r="K12" s="13">
        <f t="shared" si="0"/>
        <v>0</v>
      </c>
    </row>
    <row r="13" spans="1:11" ht="20.100000000000001" customHeight="1" x14ac:dyDescent="0.25"/>
    <row r="14" spans="1:11" ht="20.100000000000001" customHeight="1" x14ac:dyDescent="0.25"/>
    <row r="15" spans="1:11" ht="20.100000000000001" customHeight="1" x14ac:dyDescent="0.25"/>
    <row r="16" spans="1:11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3">
    <mergeCell ref="A1:K1"/>
    <mergeCell ref="A2:D2"/>
    <mergeCell ref="E2:K2"/>
  </mergeCells>
  <pageMargins left="1.299212598425197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5136-95D5-4175-BD92-FAC3E8B6AFE6}">
  <dimension ref="A1:N24"/>
  <sheetViews>
    <sheetView workbookViewId="0">
      <selection activeCell="A13" sqref="A1:M13"/>
    </sheetView>
  </sheetViews>
  <sheetFormatPr baseColWidth="10" defaultRowHeight="13.5" x14ac:dyDescent="0.25"/>
  <sheetData>
    <row r="1" spans="1:14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4" ht="21.75" thickBot="1" x14ac:dyDescent="0.3">
      <c r="A2" s="268" t="s">
        <v>289</v>
      </c>
      <c r="B2" s="269"/>
      <c r="C2" s="270"/>
      <c r="D2" s="271"/>
      <c r="E2" s="314" t="s">
        <v>149</v>
      </c>
      <c r="F2" s="315"/>
      <c r="G2" s="315"/>
      <c r="H2" s="315"/>
      <c r="I2" s="315"/>
      <c r="J2" s="315"/>
      <c r="K2" s="315"/>
      <c r="L2" s="315"/>
      <c r="M2" s="315"/>
    </row>
    <row r="3" spans="1:14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33" t="s">
        <v>49</v>
      </c>
      <c r="L3" s="5" t="s">
        <v>50</v>
      </c>
      <c r="M3" s="5" t="s">
        <v>51</v>
      </c>
    </row>
    <row r="4" spans="1:14" ht="20.100000000000001" customHeight="1" x14ac:dyDescent="0.25">
      <c r="A4" s="7">
        <v>45748</v>
      </c>
      <c r="B4" s="6">
        <v>1</v>
      </c>
      <c r="C4" s="6">
        <v>2</v>
      </c>
      <c r="D4" s="6"/>
      <c r="E4" s="6"/>
      <c r="F4" s="6">
        <v>1</v>
      </c>
      <c r="G4" s="6"/>
      <c r="H4" s="6">
        <v>1</v>
      </c>
      <c r="I4" s="6"/>
      <c r="J4" s="6"/>
      <c r="K4" s="6"/>
      <c r="L4" s="6">
        <v>1</v>
      </c>
      <c r="M4" s="6">
        <v>1</v>
      </c>
      <c r="N4" t="s">
        <v>132</v>
      </c>
    </row>
    <row r="5" spans="1:14" ht="24.95" customHeight="1" x14ac:dyDescent="0.25">
      <c r="A5" s="32">
        <v>45820</v>
      </c>
      <c r="B5" s="8"/>
      <c r="C5" s="8">
        <v>3</v>
      </c>
      <c r="D5" s="8">
        <v>1</v>
      </c>
      <c r="E5" s="8">
        <v>2</v>
      </c>
      <c r="F5" s="8">
        <v>1</v>
      </c>
      <c r="G5" s="8"/>
      <c r="H5" s="8">
        <v>1</v>
      </c>
      <c r="I5" s="8"/>
      <c r="J5" s="8"/>
      <c r="K5" s="8"/>
      <c r="L5" s="8"/>
      <c r="M5" s="8"/>
    </row>
    <row r="6" spans="1:14" ht="20.100000000000001" customHeight="1" x14ac:dyDescent="0.25">
      <c r="A6" s="11">
        <v>45944</v>
      </c>
      <c r="B6" s="10">
        <v>1</v>
      </c>
      <c r="C6" s="10">
        <v>2</v>
      </c>
      <c r="D6" s="10"/>
      <c r="E6" s="10"/>
      <c r="F6" s="10"/>
      <c r="G6" s="10"/>
      <c r="H6" s="10"/>
      <c r="I6" s="10">
        <v>1</v>
      </c>
      <c r="J6" s="10"/>
      <c r="K6" s="10"/>
      <c r="L6" s="10"/>
      <c r="M6" s="10"/>
      <c r="N6" s="30" t="s">
        <v>236</v>
      </c>
    </row>
    <row r="7" spans="1:14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4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4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4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30"/>
    </row>
    <row r="11" spans="1:14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30"/>
    </row>
    <row r="12" spans="1:14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30"/>
    </row>
    <row r="13" spans="1:14" ht="20.100000000000001" customHeight="1" thickBot="1" x14ac:dyDescent="0.3">
      <c r="A13" s="31" t="s">
        <v>14</v>
      </c>
      <c r="B13" s="13">
        <f>SUM(B4:B12)</f>
        <v>2</v>
      </c>
      <c r="C13" s="13">
        <f t="shared" ref="C13:M13" si="0">SUM(C4:C12)</f>
        <v>7</v>
      </c>
      <c r="D13" s="13">
        <f t="shared" si="0"/>
        <v>1</v>
      </c>
      <c r="E13" s="13">
        <f t="shared" si="0"/>
        <v>2</v>
      </c>
      <c r="F13" s="13">
        <f t="shared" si="0"/>
        <v>2</v>
      </c>
      <c r="G13" s="13">
        <f t="shared" si="0"/>
        <v>0</v>
      </c>
      <c r="H13" s="13">
        <f t="shared" si="0"/>
        <v>2</v>
      </c>
      <c r="I13" s="13">
        <f t="shared" si="0"/>
        <v>1</v>
      </c>
      <c r="J13" s="13">
        <f t="shared" si="0"/>
        <v>0</v>
      </c>
      <c r="K13" s="13">
        <f t="shared" si="0"/>
        <v>0</v>
      </c>
      <c r="L13" s="13">
        <f t="shared" si="0"/>
        <v>1</v>
      </c>
      <c r="M13" s="13">
        <f t="shared" si="0"/>
        <v>1</v>
      </c>
    </row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</sheetData>
  <mergeCells count="3">
    <mergeCell ref="A1:M1"/>
    <mergeCell ref="A2:D2"/>
    <mergeCell ref="E2:M2"/>
  </mergeCells>
  <pageMargins left="1.299212598425197" right="0.70866141732283472" top="1.3385826771653544" bottom="0.74803149606299213" header="0.31496062992125984" footer="0.31496062992125984"/>
  <pageSetup paperSize="9" scale="9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EC84-832E-401C-83A7-C51FB8D83470}">
  <dimension ref="A1:M32"/>
  <sheetViews>
    <sheetView workbookViewId="0">
      <selection activeCell="A21" sqref="A1:M21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287</v>
      </c>
      <c r="B2" s="269"/>
      <c r="C2" s="270"/>
      <c r="D2" s="271"/>
      <c r="E2" s="322" t="s">
        <v>237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238</v>
      </c>
    </row>
    <row r="4" spans="1:13" ht="20.100000000000001" customHeight="1" x14ac:dyDescent="0.25">
      <c r="A4" s="7">
        <v>45861</v>
      </c>
      <c r="B4" s="6">
        <v>1</v>
      </c>
      <c r="C4" s="6">
        <v>2</v>
      </c>
      <c r="D4" s="6"/>
      <c r="E4" s="6"/>
      <c r="F4" s="6">
        <v>1</v>
      </c>
      <c r="G4" s="6"/>
      <c r="H4" s="6">
        <v>1</v>
      </c>
      <c r="I4" s="6"/>
      <c r="J4" s="6"/>
      <c r="K4" s="150"/>
      <c r="L4" s="10">
        <v>1</v>
      </c>
    </row>
    <row r="5" spans="1:13" ht="24.95" customHeight="1" x14ac:dyDescent="0.25">
      <c r="A5" s="32">
        <v>45939</v>
      </c>
      <c r="B5" s="8"/>
      <c r="C5" s="8">
        <v>2</v>
      </c>
      <c r="D5" s="8"/>
      <c r="E5" s="8"/>
      <c r="F5" s="8"/>
      <c r="G5" s="8"/>
      <c r="H5" s="8"/>
      <c r="I5" s="8">
        <v>1</v>
      </c>
      <c r="J5" s="8"/>
      <c r="K5" s="139"/>
      <c r="L5" s="10"/>
    </row>
    <row r="6" spans="1:13" ht="20.100000000000001" customHeight="1" x14ac:dyDescent="0.25">
      <c r="A6" s="11" t="s">
        <v>13</v>
      </c>
      <c r="B6" s="10">
        <v>1</v>
      </c>
      <c r="C6" s="10"/>
      <c r="D6" s="10"/>
      <c r="E6" s="10"/>
      <c r="F6" s="10"/>
      <c r="G6" s="10"/>
      <c r="H6" s="10"/>
      <c r="I6" s="10"/>
      <c r="J6" s="10"/>
      <c r="K6" s="140"/>
      <c r="L6" s="10"/>
      <c r="M6" t="s">
        <v>67</v>
      </c>
    </row>
    <row r="7" spans="1:13" ht="20.100000000000001" customHeight="1" x14ac:dyDescent="0.25">
      <c r="A7" s="11">
        <v>45992</v>
      </c>
      <c r="B7" s="10"/>
      <c r="C7" s="10"/>
      <c r="D7" s="10"/>
      <c r="E7" s="10"/>
      <c r="F7" s="10">
        <v>1</v>
      </c>
      <c r="G7" s="10"/>
      <c r="H7" s="10"/>
      <c r="I7" s="10"/>
      <c r="J7" s="10"/>
      <c r="K7" s="140"/>
      <c r="L7" s="10"/>
      <c r="M7" s="30"/>
    </row>
    <row r="8" spans="1:13" ht="20.100000000000001" customHeight="1" x14ac:dyDescent="0.25">
      <c r="A8" s="11">
        <v>46000</v>
      </c>
      <c r="B8" s="10"/>
      <c r="C8" s="10">
        <v>1</v>
      </c>
      <c r="D8" s="10"/>
      <c r="E8" s="10"/>
      <c r="F8" s="10"/>
      <c r="G8" s="10"/>
      <c r="H8" s="10"/>
      <c r="I8" s="10">
        <v>1</v>
      </c>
      <c r="J8" s="10"/>
      <c r="K8" s="140"/>
      <c r="L8" s="10"/>
      <c r="M8" s="30" t="s">
        <v>241</v>
      </c>
    </row>
    <row r="9" spans="1:13" ht="20.100000000000001" customHeight="1" x14ac:dyDescent="0.25">
      <c r="A9" s="11">
        <v>46111</v>
      </c>
      <c r="B9" s="10">
        <v>1</v>
      </c>
      <c r="C9" s="10">
        <v>1</v>
      </c>
      <c r="D9" s="10"/>
      <c r="E9" s="10"/>
      <c r="F9" s="10"/>
      <c r="G9" s="10"/>
      <c r="H9" s="10"/>
      <c r="I9" s="10"/>
      <c r="J9" s="10"/>
      <c r="K9" s="140"/>
      <c r="L9" s="10"/>
      <c r="M9" s="30" t="s">
        <v>241</v>
      </c>
    </row>
    <row r="10" spans="1:13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/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/>
      <c r="B21" s="13">
        <f>SUM(B4:B20)</f>
        <v>3</v>
      </c>
      <c r="C21" s="13">
        <f t="shared" ref="C21:L21" si="0">SUM(C4:C20)</f>
        <v>6</v>
      </c>
      <c r="D21" s="13">
        <f t="shared" si="0"/>
        <v>0</v>
      </c>
      <c r="E21" s="13">
        <f t="shared" si="0"/>
        <v>0</v>
      </c>
      <c r="F21" s="13">
        <f t="shared" si="0"/>
        <v>2</v>
      </c>
      <c r="G21" s="13">
        <f t="shared" si="0"/>
        <v>0</v>
      </c>
      <c r="H21" s="13">
        <f t="shared" si="0"/>
        <v>1</v>
      </c>
      <c r="I21" s="13">
        <f t="shared" si="0"/>
        <v>2</v>
      </c>
      <c r="J21" s="13">
        <f t="shared" si="0"/>
        <v>0</v>
      </c>
      <c r="K21" s="151">
        <f t="shared" si="0"/>
        <v>0</v>
      </c>
      <c r="L21" s="142">
        <f t="shared" si="0"/>
        <v>1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845F-74DB-4E6E-B806-FCD11BE2155F}">
  <dimension ref="A1:M32"/>
  <sheetViews>
    <sheetView workbookViewId="0">
      <selection activeCell="N14" sqref="N14"/>
    </sheetView>
  </sheetViews>
  <sheetFormatPr baseColWidth="10" defaultRowHeight="13.5" x14ac:dyDescent="0.25"/>
  <sheetData>
    <row r="1" spans="1:13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136"/>
    </row>
    <row r="2" spans="1:13" ht="21.75" thickBot="1" x14ac:dyDescent="0.3">
      <c r="A2" s="268" t="s">
        <v>289</v>
      </c>
      <c r="B2" s="269"/>
      <c r="C2" s="270"/>
      <c r="D2" s="271"/>
      <c r="E2" s="314" t="s">
        <v>41</v>
      </c>
      <c r="F2" s="315"/>
      <c r="G2" s="315"/>
      <c r="H2" s="315"/>
      <c r="I2" s="315"/>
      <c r="J2" s="315"/>
      <c r="K2" s="315"/>
      <c r="L2" s="137"/>
    </row>
    <row r="3" spans="1:13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38" t="s">
        <v>11</v>
      </c>
      <c r="L3" s="143" t="s">
        <v>72</v>
      </c>
    </row>
    <row r="4" spans="1:13" ht="20.100000000000001" hidden="1" customHeight="1" x14ac:dyDescent="0.25">
      <c r="A4" s="7">
        <v>44930</v>
      </c>
      <c r="B4" s="6">
        <v>1</v>
      </c>
      <c r="C4" s="6">
        <v>3</v>
      </c>
      <c r="D4" s="6"/>
      <c r="E4" s="6">
        <v>2</v>
      </c>
      <c r="F4" s="6"/>
      <c r="G4" s="6"/>
      <c r="H4" s="6">
        <v>3</v>
      </c>
      <c r="I4" s="6">
        <v>1</v>
      </c>
      <c r="J4" s="6"/>
      <c r="K4" s="150"/>
      <c r="L4" s="10"/>
    </row>
    <row r="5" spans="1:13" ht="24.95" hidden="1" customHeight="1" x14ac:dyDescent="0.25">
      <c r="A5" s="29" t="s">
        <v>42</v>
      </c>
      <c r="B5" s="8"/>
      <c r="C5" s="8"/>
      <c r="D5" s="8"/>
      <c r="E5" s="8"/>
      <c r="F5" s="8">
        <v>1</v>
      </c>
      <c r="G5" s="8"/>
      <c r="H5" s="8"/>
      <c r="I5" s="8"/>
      <c r="J5" s="8"/>
      <c r="K5" s="139"/>
      <c r="L5" s="10"/>
    </row>
    <row r="6" spans="1:13" ht="20.100000000000001" hidden="1" customHeight="1" x14ac:dyDescent="0.25">
      <c r="A6" s="11">
        <v>45044</v>
      </c>
      <c r="B6" s="10"/>
      <c r="C6" s="10"/>
      <c r="D6" s="10">
        <v>1</v>
      </c>
      <c r="E6" s="10"/>
      <c r="F6" s="10"/>
      <c r="G6" s="10"/>
      <c r="H6" s="10"/>
      <c r="I6" s="10"/>
      <c r="J6" s="10"/>
      <c r="K6" s="140"/>
      <c r="L6" s="10"/>
    </row>
    <row r="7" spans="1:13" ht="20.100000000000001" hidden="1" customHeight="1" x14ac:dyDescent="0.25">
      <c r="A7" s="11">
        <v>45225</v>
      </c>
      <c r="B7" s="10"/>
      <c r="C7" s="10"/>
      <c r="D7" s="10"/>
      <c r="E7" s="10"/>
      <c r="F7" s="10"/>
      <c r="G7" s="10">
        <v>1</v>
      </c>
      <c r="H7" s="10"/>
      <c r="I7" s="10"/>
      <c r="J7" s="10"/>
      <c r="K7" s="140"/>
      <c r="L7" s="10"/>
    </row>
    <row r="8" spans="1:13" ht="20.100000000000001" hidden="1" customHeight="1" x14ac:dyDescent="0.25">
      <c r="A8" s="11">
        <v>45224</v>
      </c>
      <c r="B8" s="10"/>
      <c r="C8" s="10">
        <v>3</v>
      </c>
      <c r="D8" s="10"/>
      <c r="E8" s="10">
        <v>2</v>
      </c>
      <c r="F8" s="10">
        <v>1</v>
      </c>
      <c r="G8" s="10"/>
      <c r="H8" s="10">
        <v>1</v>
      </c>
      <c r="I8" s="10">
        <v>1</v>
      </c>
      <c r="J8" s="10"/>
      <c r="K8" s="140"/>
      <c r="L8" s="10"/>
    </row>
    <row r="9" spans="1:13" ht="20.100000000000001" hidden="1" customHeight="1" x14ac:dyDescent="0.25">
      <c r="A9" s="11">
        <v>45254</v>
      </c>
      <c r="B9" s="10">
        <v>1</v>
      </c>
      <c r="C9" s="10"/>
      <c r="D9" s="10"/>
      <c r="E9" s="10"/>
      <c r="F9" s="10"/>
      <c r="G9" s="10"/>
      <c r="H9" s="10"/>
      <c r="I9" s="10"/>
      <c r="J9" s="10"/>
      <c r="K9" s="140"/>
      <c r="L9" s="10"/>
      <c r="M9" s="30" t="s">
        <v>43</v>
      </c>
    </row>
    <row r="10" spans="1:13" ht="20.100000000000001" customHeight="1" x14ac:dyDescent="0.25">
      <c r="A10" s="11">
        <v>45474</v>
      </c>
      <c r="B10" s="10"/>
      <c r="C10" s="10"/>
      <c r="D10" s="10"/>
      <c r="E10" s="10">
        <v>1</v>
      </c>
      <c r="F10" s="10">
        <v>0</v>
      </c>
      <c r="G10" s="10"/>
      <c r="H10" s="10">
        <v>1</v>
      </c>
      <c r="I10" s="10"/>
      <c r="J10" s="10"/>
      <c r="K10" s="140"/>
      <c r="L10" s="10"/>
      <c r="M10" s="30"/>
    </row>
    <row r="11" spans="1:13" ht="20.100000000000001" customHeight="1" x14ac:dyDescent="0.25">
      <c r="A11" s="11">
        <v>45478</v>
      </c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>
        <v>1</v>
      </c>
      <c r="M11" s="30"/>
    </row>
    <row r="12" spans="1:13" ht="20.100000000000001" customHeight="1" x14ac:dyDescent="0.25">
      <c r="A12" s="11">
        <v>45539</v>
      </c>
      <c r="B12" s="10"/>
      <c r="C12" s="10">
        <v>3</v>
      </c>
      <c r="D12" s="10"/>
      <c r="E12" s="10">
        <v>1</v>
      </c>
      <c r="F12" s="10"/>
      <c r="G12" s="10"/>
      <c r="H12" s="10"/>
      <c r="I12" s="10">
        <v>1</v>
      </c>
      <c r="J12" s="10"/>
      <c r="K12" s="140"/>
      <c r="L12" s="10"/>
      <c r="M12" s="30"/>
    </row>
    <row r="13" spans="1:13" ht="20.100000000000001" customHeight="1" x14ac:dyDescent="0.25">
      <c r="A13" s="11">
        <v>45820</v>
      </c>
      <c r="B13" s="10"/>
      <c r="C13" s="10">
        <v>3</v>
      </c>
      <c r="D13" s="10">
        <v>1</v>
      </c>
      <c r="E13" s="10">
        <v>2</v>
      </c>
      <c r="F13" s="10">
        <v>0</v>
      </c>
      <c r="G13" s="10"/>
      <c r="H13" s="10">
        <v>2</v>
      </c>
      <c r="I13" s="10"/>
      <c r="J13" s="10"/>
      <c r="K13" s="140"/>
      <c r="L13" s="10"/>
      <c r="M13" s="30"/>
    </row>
    <row r="14" spans="1:13" ht="20.100000000000001" customHeight="1" x14ac:dyDescent="0.25">
      <c r="A14" s="11">
        <v>45831</v>
      </c>
      <c r="B14" s="10">
        <v>1</v>
      </c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>
        <v>45856</v>
      </c>
      <c r="B15" s="10"/>
      <c r="C15" s="10"/>
      <c r="D15" s="10"/>
      <c r="E15" s="10"/>
      <c r="F15" s="10">
        <v>1</v>
      </c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 t="s">
        <v>13</v>
      </c>
      <c r="B16" s="10"/>
      <c r="C16" s="10">
        <v>1</v>
      </c>
      <c r="D16" s="10"/>
      <c r="E16" s="10">
        <v>1</v>
      </c>
      <c r="F16" s="10"/>
      <c r="G16" s="10"/>
      <c r="H16" s="10"/>
      <c r="I16" s="10">
        <v>1</v>
      </c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 t="s">
        <v>14</v>
      </c>
      <c r="B21" s="13">
        <f>SUM(B10:B20)</f>
        <v>1</v>
      </c>
      <c r="C21" s="13">
        <f t="shared" ref="C21:L21" si="0">SUM(C10:C20)</f>
        <v>7</v>
      </c>
      <c r="D21" s="13">
        <f t="shared" si="0"/>
        <v>1</v>
      </c>
      <c r="E21" s="13">
        <f>SUM(E10:E20)</f>
        <v>5</v>
      </c>
      <c r="F21" s="13">
        <f t="shared" si="0"/>
        <v>1</v>
      </c>
      <c r="G21" s="13">
        <v>1</v>
      </c>
      <c r="H21" s="13">
        <f t="shared" si="0"/>
        <v>3</v>
      </c>
      <c r="I21" s="13">
        <f t="shared" si="0"/>
        <v>2</v>
      </c>
      <c r="J21" s="13">
        <f t="shared" si="0"/>
        <v>0</v>
      </c>
      <c r="K21" s="13">
        <f t="shared" si="0"/>
        <v>0</v>
      </c>
      <c r="L21" s="13">
        <f t="shared" si="0"/>
        <v>1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K1"/>
    <mergeCell ref="A2:D2"/>
    <mergeCell ref="E2:K2"/>
  </mergeCells>
  <pageMargins left="1.299212598425197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D588-55BE-4763-A7BD-DD366A42C1B3}">
  <dimension ref="A1:M37"/>
  <sheetViews>
    <sheetView workbookViewId="0">
      <selection activeCell="A26" sqref="A1:M26"/>
    </sheetView>
  </sheetViews>
  <sheetFormatPr baseColWidth="10" defaultRowHeight="13.5" x14ac:dyDescent="0.25"/>
  <sheetData>
    <row r="1" spans="1:13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136"/>
    </row>
    <row r="2" spans="1:13" ht="21.75" thickBot="1" x14ac:dyDescent="0.3">
      <c r="A2" s="268" t="s">
        <v>290</v>
      </c>
      <c r="B2" s="269"/>
      <c r="C2" s="270"/>
      <c r="D2" s="271"/>
      <c r="E2" s="314" t="s">
        <v>17</v>
      </c>
      <c r="F2" s="315"/>
      <c r="G2" s="315"/>
      <c r="H2" s="315"/>
      <c r="I2" s="315"/>
      <c r="J2" s="315"/>
      <c r="K2" s="315"/>
      <c r="L2" s="137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11</v>
      </c>
      <c r="L3" s="143" t="s">
        <v>72</v>
      </c>
    </row>
    <row r="4" spans="1:13" ht="20.100000000000001" hidden="1" customHeight="1" x14ac:dyDescent="0.25">
      <c r="A4" s="7">
        <v>44930</v>
      </c>
      <c r="B4" s="6"/>
      <c r="C4" s="6">
        <v>0</v>
      </c>
      <c r="D4" s="6"/>
      <c r="E4" s="6"/>
      <c r="F4" s="6"/>
      <c r="G4" s="6"/>
      <c r="H4" s="6"/>
      <c r="I4" s="6">
        <v>0</v>
      </c>
      <c r="J4" s="6"/>
      <c r="K4" s="150"/>
      <c r="L4" s="10"/>
    </row>
    <row r="5" spans="1:13" ht="20.100000000000001" hidden="1" customHeight="1" x14ac:dyDescent="0.25">
      <c r="A5" s="11">
        <v>45224</v>
      </c>
      <c r="B5" s="10">
        <v>0</v>
      </c>
      <c r="C5" s="10">
        <v>0</v>
      </c>
      <c r="D5" s="10"/>
      <c r="E5" s="10"/>
      <c r="F5" s="10">
        <v>0</v>
      </c>
      <c r="G5" s="10"/>
      <c r="H5" s="10">
        <v>0</v>
      </c>
      <c r="I5" s="10">
        <v>0</v>
      </c>
      <c r="J5" s="10"/>
      <c r="K5" s="140"/>
      <c r="L5" s="10"/>
    </row>
    <row r="6" spans="1:13" ht="20.100000000000001" hidden="1" customHeight="1" x14ac:dyDescent="0.25">
      <c r="A6" s="11">
        <v>45415</v>
      </c>
      <c r="B6" s="10"/>
      <c r="C6" s="10"/>
      <c r="D6" s="10"/>
      <c r="E6" s="10">
        <v>0</v>
      </c>
      <c r="F6" s="10">
        <v>0</v>
      </c>
      <c r="G6" s="10"/>
      <c r="H6" s="10">
        <v>0</v>
      </c>
      <c r="I6" s="10"/>
      <c r="J6" s="10"/>
      <c r="K6" s="140"/>
      <c r="L6" s="10"/>
      <c r="M6" s="30"/>
    </row>
    <row r="7" spans="1:13" ht="20.100000000000001" hidden="1" customHeight="1" x14ac:dyDescent="0.25">
      <c r="A7" s="11" t="s">
        <v>13</v>
      </c>
      <c r="B7" s="10"/>
      <c r="C7" s="10"/>
      <c r="D7" s="10">
        <v>0</v>
      </c>
      <c r="E7" s="10"/>
      <c r="F7" s="10"/>
      <c r="G7" s="10"/>
      <c r="H7" s="10"/>
      <c r="I7" s="10"/>
      <c r="J7" s="10"/>
      <c r="K7" s="140"/>
      <c r="L7" s="10"/>
      <c r="M7" s="30"/>
    </row>
    <row r="8" spans="1:13" ht="20.100000000000001" hidden="1" customHeight="1" x14ac:dyDescent="0.25">
      <c r="A8" s="11">
        <v>45470</v>
      </c>
      <c r="B8" s="10">
        <v>0</v>
      </c>
      <c r="C8" s="10"/>
      <c r="D8" s="10"/>
      <c r="E8" s="10">
        <v>0</v>
      </c>
      <c r="F8" s="10"/>
      <c r="G8" s="10"/>
      <c r="H8" s="10"/>
      <c r="I8" s="10"/>
      <c r="J8" s="10"/>
      <c r="K8" s="140"/>
      <c r="L8" s="10"/>
      <c r="M8" s="30"/>
    </row>
    <row r="9" spans="1:13" ht="20.100000000000001" hidden="1" customHeight="1" x14ac:dyDescent="0.25">
      <c r="A9" s="11">
        <v>45474</v>
      </c>
      <c r="B9" s="10"/>
      <c r="C9" s="10"/>
      <c r="D9" s="10"/>
      <c r="E9" s="10"/>
      <c r="F9" s="10">
        <v>1</v>
      </c>
      <c r="G9" s="10"/>
      <c r="H9" s="10"/>
      <c r="I9" s="10"/>
      <c r="J9" s="10"/>
      <c r="K9" s="140"/>
      <c r="L9" s="10"/>
      <c r="M9" s="30"/>
    </row>
    <row r="10" spans="1:13" ht="20.100000000000001" hidden="1" customHeight="1" x14ac:dyDescent="0.25">
      <c r="A10" s="11">
        <v>45478</v>
      </c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>
        <v>1</v>
      </c>
      <c r="M10" s="30"/>
    </row>
    <row r="11" spans="1:13" ht="20.100000000000001" hidden="1" customHeight="1" x14ac:dyDescent="0.25">
      <c r="A11" s="11">
        <v>45533</v>
      </c>
      <c r="B11" s="10"/>
      <c r="C11" s="10">
        <v>3</v>
      </c>
      <c r="D11" s="10"/>
      <c r="E11" s="10">
        <v>0</v>
      </c>
      <c r="F11" s="10">
        <v>1</v>
      </c>
      <c r="G11" s="10"/>
      <c r="H11" s="10"/>
      <c r="I11" s="10">
        <v>0</v>
      </c>
      <c r="J11" s="10"/>
      <c r="K11" s="140"/>
      <c r="L11" s="10"/>
      <c r="M11" s="30"/>
    </row>
    <row r="12" spans="1:13" ht="20.100000000000001" hidden="1" customHeight="1" x14ac:dyDescent="0.25">
      <c r="A12" s="11" t="s">
        <v>13</v>
      </c>
      <c r="B12" s="10"/>
      <c r="C12" s="10"/>
      <c r="D12" s="10"/>
      <c r="E12" s="10">
        <v>1</v>
      </c>
      <c r="F12" s="10"/>
      <c r="G12" s="10"/>
      <c r="H12" s="10"/>
      <c r="I12" s="10">
        <v>0</v>
      </c>
      <c r="J12" s="10"/>
      <c r="K12" s="140"/>
      <c r="L12" s="10"/>
      <c r="M12" s="30"/>
    </row>
    <row r="13" spans="1:13" ht="20.100000000000001" customHeight="1" x14ac:dyDescent="0.25">
      <c r="A13" s="11">
        <v>45679</v>
      </c>
      <c r="B13" s="10"/>
      <c r="C13" s="10">
        <v>1</v>
      </c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>
        <v>45722</v>
      </c>
      <c r="B14" s="10">
        <v>0</v>
      </c>
      <c r="C14" s="10">
        <v>0</v>
      </c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>
        <v>45820</v>
      </c>
      <c r="B15" s="10"/>
      <c r="C15" s="10">
        <v>2</v>
      </c>
      <c r="D15" s="10">
        <v>1</v>
      </c>
      <c r="E15" s="10">
        <v>0</v>
      </c>
      <c r="F15" s="10">
        <v>1</v>
      </c>
      <c r="G15" s="10"/>
      <c r="H15" s="10">
        <v>1</v>
      </c>
      <c r="I15" s="10"/>
      <c r="J15" s="10"/>
      <c r="K15" s="140"/>
      <c r="L15" s="10"/>
      <c r="M15" s="30"/>
    </row>
    <row r="16" spans="1:13" ht="20.100000000000001" customHeight="1" x14ac:dyDescent="0.25">
      <c r="A16" s="11">
        <v>45831</v>
      </c>
      <c r="B16" s="10">
        <v>1</v>
      </c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 t="s">
        <v>67</v>
      </c>
    </row>
    <row r="17" spans="1:13" ht="20.100000000000001" customHeight="1" x14ac:dyDescent="0.25">
      <c r="A17" s="11">
        <v>45939</v>
      </c>
      <c r="B17" s="10"/>
      <c r="C17" s="10">
        <v>1</v>
      </c>
      <c r="D17" s="10"/>
      <c r="E17" s="10">
        <v>1</v>
      </c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>
        <v>45981</v>
      </c>
      <c r="B18" s="10"/>
      <c r="C18" s="10"/>
      <c r="D18" s="10"/>
      <c r="E18" s="10"/>
      <c r="F18" s="10">
        <v>1</v>
      </c>
      <c r="G18" s="10"/>
      <c r="H18" s="10"/>
      <c r="I18" s="10">
        <v>0</v>
      </c>
      <c r="J18" s="10"/>
      <c r="K18" s="140"/>
      <c r="L18" s="10"/>
      <c r="M18" s="30"/>
    </row>
    <row r="19" spans="1:13" ht="20.100000000000001" customHeight="1" x14ac:dyDescent="0.25">
      <c r="A19" s="11">
        <v>45996</v>
      </c>
      <c r="B19" s="10"/>
      <c r="C19" s="10"/>
      <c r="D19" s="10"/>
      <c r="E19" s="10">
        <v>2</v>
      </c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>
        <v>46030</v>
      </c>
      <c r="B20" s="10"/>
      <c r="C20" s="10"/>
      <c r="D20" s="10"/>
      <c r="E20" s="10">
        <v>1</v>
      </c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x14ac:dyDescent="0.25">
      <c r="A21" s="11">
        <v>46101</v>
      </c>
      <c r="B21" s="10"/>
      <c r="C21" s="10"/>
      <c r="D21" s="10"/>
      <c r="E21" s="10">
        <v>1</v>
      </c>
      <c r="F21" s="10"/>
      <c r="G21" s="10"/>
      <c r="H21" s="10"/>
      <c r="I21" s="10"/>
      <c r="J21" s="10"/>
      <c r="K21" s="140"/>
      <c r="L21" s="10"/>
      <c r="M21" s="30"/>
    </row>
    <row r="22" spans="1:13" ht="20.100000000000001" customHeight="1" x14ac:dyDescent="0.25">
      <c r="A22" s="11">
        <v>46239</v>
      </c>
      <c r="B22" s="10">
        <v>1</v>
      </c>
      <c r="C22" s="10"/>
      <c r="D22" s="10"/>
      <c r="E22" s="10">
        <v>1</v>
      </c>
      <c r="F22" s="10"/>
      <c r="G22" s="10"/>
      <c r="H22" s="10"/>
      <c r="I22" s="10"/>
      <c r="J22" s="10"/>
      <c r="K22" s="140"/>
      <c r="L22" s="10"/>
      <c r="M22" s="30" t="s">
        <v>291</v>
      </c>
    </row>
    <row r="23" spans="1:13" ht="20.100000000000001" customHeight="1" x14ac:dyDescent="0.25">
      <c r="A23" s="11"/>
      <c r="B23" s="10"/>
      <c r="C23" s="10"/>
      <c r="D23" s="10"/>
      <c r="E23" s="10"/>
      <c r="F23" s="10"/>
      <c r="G23" s="10"/>
      <c r="H23" s="10"/>
      <c r="I23" s="10"/>
      <c r="J23" s="10"/>
      <c r="K23" s="140"/>
      <c r="L23" s="10"/>
      <c r="M23" s="30"/>
    </row>
    <row r="24" spans="1:13" ht="20.100000000000001" customHeight="1" x14ac:dyDescent="0.25">
      <c r="A24" s="11"/>
      <c r="B24" s="10"/>
      <c r="C24" s="10"/>
      <c r="D24" s="10"/>
      <c r="E24" s="10"/>
      <c r="F24" s="10"/>
      <c r="G24" s="10"/>
      <c r="H24" s="10"/>
      <c r="I24" s="10"/>
      <c r="J24" s="10"/>
      <c r="K24" s="140"/>
      <c r="L24" s="10"/>
      <c r="M24" s="30"/>
    </row>
    <row r="25" spans="1:13" ht="20.100000000000001" customHeight="1" x14ac:dyDescent="0.25">
      <c r="A25" s="11"/>
      <c r="B25" s="10"/>
      <c r="C25" s="10"/>
      <c r="D25" s="10"/>
      <c r="E25" s="10"/>
      <c r="F25" s="10"/>
      <c r="G25" s="10"/>
      <c r="H25" s="10"/>
      <c r="I25" s="10"/>
      <c r="J25" s="10"/>
      <c r="K25" s="140"/>
      <c r="L25" s="10"/>
      <c r="M25" s="30"/>
    </row>
    <row r="26" spans="1:13" ht="20.100000000000001" customHeight="1" thickBot="1" x14ac:dyDescent="0.3">
      <c r="A26" s="31" t="s">
        <v>14</v>
      </c>
      <c r="B26" s="13">
        <f t="shared" ref="B26:E26" si="0">SUM(B13:B25)</f>
        <v>2</v>
      </c>
      <c r="C26" s="13">
        <f t="shared" si="0"/>
        <v>4</v>
      </c>
      <c r="D26" s="13">
        <f t="shared" si="0"/>
        <v>1</v>
      </c>
      <c r="E26" s="13">
        <f t="shared" si="0"/>
        <v>6</v>
      </c>
      <c r="F26" s="13">
        <f>SUM(F13:F25)</f>
        <v>2</v>
      </c>
      <c r="G26" s="13">
        <f t="shared" ref="G26:L26" si="1">SUM(G13:G25)</f>
        <v>0</v>
      </c>
      <c r="H26" s="13">
        <f t="shared" si="1"/>
        <v>1</v>
      </c>
      <c r="I26" s="13">
        <f t="shared" si="1"/>
        <v>0</v>
      </c>
      <c r="J26" s="13">
        <f t="shared" si="1"/>
        <v>0</v>
      </c>
      <c r="K26" s="13">
        <f t="shared" si="1"/>
        <v>0</v>
      </c>
      <c r="L26" s="13">
        <f t="shared" si="1"/>
        <v>0</v>
      </c>
    </row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mergeCells count="3">
    <mergeCell ref="A1:K1"/>
    <mergeCell ref="A2:D2"/>
    <mergeCell ref="E2:K2"/>
  </mergeCells>
  <pageMargins left="0.70866141732283472" right="0.70866141732283472" top="1.1417322834645669" bottom="0.74803149606299213" header="0.31496062992125984" footer="0.31496062992125984"/>
  <pageSetup paperSize="9" scale="9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A29A-274E-44AD-B01F-91774E11FE59}">
  <dimension ref="A1:M32"/>
  <sheetViews>
    <sheetView workbookViewId="0">
      <selection activeCell="A21" sqref="A1:M21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292</v>
      </c>
      <c r="B2" s="269"/>
      <c r="C2" s="270"/>
      <c r="D2" s="271"/>
      <c r="E2" s="322" t="s">
        <v>221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>
        <v>45825</v>
      </c>
      <c r="B4" s="6"/>
      <c r="C4" s="6">
        <v>2</v>
      </c>
      <c r="D4" s="6"/>
      <c r="E4" s="6"/>
      <c r="F4" s="6">
        <v>1</v>
      </c>
      <c r="G4" s="6"/>
      <c r="H4" s="6">
        <v>1</v>
      </c>
      <c r="I4" s="6"/>
      <c r="J4" s="6"/>
      <c r="K4" s="150"/>
      <c r="L4" s="10"/>
    </row>
    <row r="5" spans="1:13" ht="24.95" customHeight="1" x14ac:dyDescent="0.25">
      <c r="A5" s="32">
        <v>45832</v>
      </c>
      <c r="B5" s="8"/>
      <c r="C5" s="8"/>
      <c r="D5" s="8">
        <v>1</v>
      </c>
      <c r="E5" s="8"/>
      <c r="F5" s="8"/>
      <c r="G5" s="8"/>
      <c r="H5" s="8">
        <v>1</v>
      </c>
      <c r="I5" s="8"/>
      <c r="J5" s="8"/>
      <c r="K5" s="139"/>
      <c r="L5" s="10"/>
    </row>
    <row r="6" spans="1:13" ht="20.100000000000001" customHeight="1" x14ac:dyDescent="0.25">
      <c r="A6" s="11">
        <v>46312</v>
      </c>
      <c r="B6" s="10">
        <v>1</v>
      </c>
      <c r="C6" s="10">
        <v>1</v>
      </c>
      <c r="D6" s="10"/>
      <c r="E6" s="10">
        <v>1</v>
      </c>
      <c r="F6" s="10"/>
      <c r="G6" s="10"/>
      <c r="H6" s="10">
        <v>1</v>
      </c>
      <c r="I6" s="10">
        <v>0</v>
      </c>
      <c r="J6" s="10"/>
      <c r="K6" s="140"/>
      <c r="L6" s="10"/>
      <c r="M6" t="s">
        <v>67</v>
      </c>
    </row>
    <row r="7" spans="1:13" ht="20.100000000000001" customHeight="1" x14ac:dyDescent="0.25">
      <c r="A7" s="11">
        <v>46030</v>
      </c>
      <c r="B7" s="10"/>
      <c r="C7" s="10"/>
      <c r="D7" s="10"/>
      <c r="E7" s="10">
        <v>1</v>
      </c>
      <c r="F7" s="10"/>
      <c r="G7" s="10"/>
      <c r="H7" s="10"/>
      <c r="I7" s="10">
        <v>0</v>
      </c>
      <c r="J7" s="10"/>
      <c r="K7" s="140"/>
      <c r="L7" s="10"/>
      <c r="M7" s="30"/>
    </row>
    <row r="8" spans="1:13" ht="20.100000000000001" customHeight="1" x14ac:dyDescent="0.25">
      <c r="A8" s="11">
        <v>46073</v>
      </c>
      <c r="B8" s="10"/>
      <c r="C8" s="10"/>
      <c r="D8" s="10"/>
      <c r="E8" s="10">
        <v>1</v>
      </c>
      <c r="F8" s="10"/>
      <c r="G8" s="10"/>
      <c r="H8" s="10">
        <v>1</v>
      </c>
      <c r="I8" s="10"/>
      <c r="J8" s="10"/>
      <c r="K8" s="140"/>
      <c r="L8" s="10"/>
      <c r="M8" s="30"/>
    </row>
    <row r="9" spans="1:13" ht="20.100000000000001" customHeight="1" x14ac:dyDescent="0.25">
      <c r="A9" s="11">
        <v>46132</v>
      </c>
      <c r="B9" s="10"/>
      <c r="C9" s="10"/>
      <c r="D9" s="10"/>
      <c r="E9" s="10">
        <v>1</v>
      </c>
      <c r="F9" s="10">
        <v>1</v>
      </c>
      <c r="G9" s="10"/>
      <c r="H9" s="10"/>
      <c r="I9" s="10"/>
      <c r="J9" s="10"/>
      <c r="K9" s="140"/>
      <c r="L9" s="10"/>
      <c r="M9" s="30" t="s">
        <v>254</v>
      </c>
    </row>
    <row r="10" spans="1:13" ht="20.100000000000001" customHeight="1" x14ac:dyDescent="0.25">
      <c r="A10" s="11">
        <v>46240</v>
      </c>
      <c r="B10" s="10">
        <v>1</v>
      </c>
      <c r="C10" s="10">
        <v>1</v>
      </c>
      <c r="D10" s="10"/>
      <c r="E10" s="10">
        <v>1</v>
      </c>
      <c r="F10" s="10"/>
      <c r="G10" s="10"/>
      <c r="H10" s="10">
        <v>1</v>
      </c>
      <c r="I10" s="10"/>
      <c r="J10" s="10"/>
      <c r="K10" s="140"/>
      <c r="L10" s="10"/>
      <c r="M10" t="s">
        <v>241</v>
      </c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/>
      <c r="B21" s="13">
        <f>SUM(B4:B20)</f>
        <v>2</v>
      </c>
      <c r="C21" s="13">
        <f t="shared" ref="C21:L21" si="0">SUM(C4:C20)</f>
        <v>4</v>
      </c>
      <c r="D21" s="13">
        <f t="shared" si="0"/>
        <v>1</v>
      </c>
      <c r="E21" s="13">
        <f t="shared" si="0"/>
        <v>5</v>
      </c>
      <c r="F21" s="13">
        <f t="shared" si="0"/>
        <v>2</v>
      </c>
      <c r="G21" s="13">
        <f t="shared" si="0"/>
        <v>0</v>
      </c>
      <c r="H21" s="13">
        <f t="shared" si="0"/>
        <v>5</v>
      </c>
      <c r="I21" s="13">
        <f t="shared" si="0"/>
        <v>0</v>
      </c>
      <c r="J21" s="13">
        <f t="shared" si="0"/>
        <v>0</v>
      </c>
      <c r="K21" s="151">
        <f t="shared" si="0"/>
        <v>0</v>
      </c>
      <c r="L21" s="142">
        <f t="shared" si="0"/>
        <v>0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C28C-0568-4D20-9806-FF022C7B4E22}">
  <dimension ref="A1:L28"/>
  <sheetViews>
    <sheetView workbookViewId="0">
      <selection activeCell="A17" sqref="A1:L17"/>
    </sheetView>
  </sheetViews>
  <sheetFormatPr baseColWidth="10" defaultRowHeight="13.5" x14ac:dyDescent="0.25"/>
  <cols>
    <col min="12" max="12" width="17.7109375" customWidth="1"/>
  </cols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289</v>
      </c>
      <c r="B2" s="269"/>
      <c r="C2" s="270"/>
      <c r="D2" s="271"/>
      <c r="E2" s="314" t="s">
        <v>255</v>
      </c>
      <c r="F2" s="315"/>
      <c r="G2" s="315"/>
      <c r="H2" s="315"/>
      <c r="I2" s="315"/>
      <c r="J2" s="315"/>
      <c r="K2" s="315"/>
    </row>
    <row r="3" spans="1:12" ht="30.75" customHeight="1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customHeight="1" x14ac:dyDescent="0.25">
      <c r="A4" s="7">
        <v>46045</v>
      </c>
      <c r="B4" s="6"/>
      <c r="C4" s="6">
        <v>1</v>
      </c>
      <c r="D4" s="6"/>
      <c r="E4" s="6">
        <v>1</v>
      </c>
      <c r="F4" s="6">
        <v>1</v>
      </c>
      <c r="G4" s="6"/>
      <c r="H4" s="6"/>
      <c r="I4" s="6">
        <v>0</v>
      </c>
      <c r="J4" s="6"/>
      <c r="K4" s="6"/>
    </row>
    <row r="5" spans="1:12" ht="24.95" customHeight="1" x14ac:dyDescent="0.25">
      <c r="A5" s="32">
        <v>46079</v>
      </c>
      <c r="B5" s="8">
        <v>0</v>
      </c>
      <c r="C5" s="8"/>
      <c r="D5" s="8"/>
      <c r="E5" s="8"/>
      <c r="F5" s="8"/>
      <c r="G5" s="8"/>
      <c r="H5" s="8"/>
      <c r="I5" s="8"/>
      <c r="J5" s="8"/>
      <c r="K5" s="8"/>
      <c r="L5" s="263" t="s">
        <v>293</v>
      </c>
    </row>
    <row r="6" spans="1:12" ht="20.100000000000001" customHeight="1" x14ac:dyDescent="0.25">
      <c r="A6" s="11">
        <v>46136</v>
      </c>
      <c r="B6" s="10"/>
      <c r="C6" s="10">
        <v>2</v>
      </c>
      <c r="D6" s="10"/>
      <c r="E6" s="10"/>
      <c r="F6" s="10">
        <v>1</v>
      </c>
      <c r="G6" s="10"/>
      <c r="H6" s="10">
        <v>1</v>
      </c>
      <c r="I6" s="10"/>
      <c r="J6" s="10"/>
      <c r="K6" s="10"/>
    </row>
    <row r="7" spans="1:12" ht="20.100000000000001" customHeight="1" x14ac:dyDescent="0.25">
      <c r="A7" s="11">
        <v>46262</v>
      </c>
      <c r="B7" s="10"/>
      <c r="C7" s="10">
        <v>1</v>
      </c>
      <c r="D7" s="10"/>
      <c r="E7" s="10"/>
      <c r="F7" s="10"/>
      <c r="G7" s="10"/>
      <c r="H7" s="10"/>
      <c r="I7" s="10"/>
      <c r="J7" s="10"/>
      <c r="K7" s="10"/>
      <c r="L7" s="30"/>
    </row>
    <row r="8" spans="1:12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2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3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0"/>
    </row>
    <row r="14" spans="1:12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2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0"/>
    </row>
    <row r="17" spans="1:11" ht="20.100000000000001" customHeight="1" thickBot="1" x14ac:dyDescent="0.3">
      <c r="A17" s="31" t="s">
        <v>14</v>
      </c>
      <c r="B17" s="13">
        <f>SUM(B4:B16)</f>
        <v>0</v>
      </c>
      <c r="C17" s="13">
        <f t="shared" ref="C17:K17" si="0">SUM(C4:C16)</f>
        <v>4</v>
      </c>
      <c r="D17" s="13">
        <f t="shared" si="0"/>
        <v>0</v>
      </c>
      <c r="E17" s="13">
        <f t="shared" si="0"/>
        <v>1</v>
      </c>
      <c r="F17" s="13">
        <f t="shared" si="0"/>
        <v>2</v>
      </c>
      <c r="G17" s="13">
        <f t="shared" si="0"/>
        <v>0</v>
      </c>
      <c r="H17" s="13">
        <f t="shared" si="0"/>
        <v>1</v>
      </c>
      <c r="I17" s="13">
        <f t="shared" si="0"/>
        <v>0</v>
      </c>
      <c r="J17" s="13">
        <f t="shared" si="0"/>
        <v>0</v>
      </c>
      <c r="K17" s="13">
        <f t="shared" si="0"/>
        <v>0</v>
      </c>
    </row>
    <row r="18" spans="1:11" ht="20.100000000000001" customHeight="1" x14ac:dyDescent="0.25"/>
    <row r="19" spans="1:11" ht="20.100000000000001" customHeight="1" x14ac:dyDescent="0.25"/>
    <row r="20" spans="1:11" ht="20.100000000000001" customHeight="1" x14ac:dyDescent="0.25"/>
    <row r="21" spans="1:11" ht="20.100000000000001" customHeight="1" x14ac:dyDescent="0.25"/>
    <row r="22" spans="1:11" ht="20.100000000000001" customHeight="1" x14ac:dyDescent="0.25"/>
    <row r="23" spans="1:11" ht="20.100000000000001" customHeight="1" x14ac:dyDescent="0.25"/>
    <row r="24" spans="1:11" ht="20.100000000000001" customHeight="1" x14ac:dyDescent="0.25"/>
    <row r="25" spans="1:11" ht="20.100000000000001" customHeight="1" x14ac:dyDescent="0.25"/>
    <row r="26" spans="1:11" ht="20.100000000000001" customHeight="1" x14ac:dyDescent="0.25"/>
    <row r="27" spans="1:11" ht="20.100000000000001" customHeight="1" x14ac:dyDescent="0.25"/>
    <row r="28" spans="1:11" ht="20.100000000000001" customHeight="1" x14ac:dyDescent="0.25"/>
  </sheetData>
  <mergeCells count="3">
    <mergeCell ref="A1:K1"/>
    <mergeCell ref="A2:D2"/>
    <mergeCell ref="E2:K2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50BE-2741-4530-ACE9-7CF68AAD31DD}">
  <dimension ref="A1:L32"/>
  <sheetViews>
    <sheetView workbookViewId="0">
      <selection activeCell="N11" sqref="N11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289</v>
      </c>
      <c r="B2" s="269"/>
      <c r="C2" s="270"/>
      <c r="D2" s="271"/>
      <c r="E2" s="314" t="s">
        <v>23</v>
      </c>
      <c r="F2" s="315"/>
      <c r="G2" s="315"/>
      <c r="H2" s="315"/>
      <c r="I2" s="315"/>
      <c r="J2" s="315"/>
      <c r="K2" s="315"/>
    </row>
    <row r="3" spans="1:12" ht="30.75" customHeight="1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hidden="1" customHeight="1" x14ac:dyDescent="0.25">
      <c r="A4" s="7" t="s">
        <v>13</v>
      </c>
      <c r="B4" s="6"/>
      <c r="C4" s="6">
        <v>0</v>
      </c>
      <c r="D4" s="6"/>
      <c r="E4" s="6">
        <v>0</v>
      </c>
      <c r="F4" s="6"/>
      <c r="G4" s="6"/>
      <c r="H4" s="6"/>
      <c r="I4" s="6"/>
      <c r="J4" s="6"/>
      <c r="K4" s="6"/>
    </row>
    <row r="5" spans="1:12" ht="24.95" hidden="1" customHeight="1" x14ac:dyDescent="0.25">
      <c r="A5" s="32">
        <v>44985</v>
      </c>
      <c r="B5" s="8">
        <v>1</v>
      </c>
      <c r="C5" s="8"/>
      <c r="D5" s="8"/>
      <c r="E5" s="8"/>
      <c r="F5" s="8"/>
      <c r="G5" s="8"/>
      <c r="H5" s="8"/>
      <c r="I5" s="8"/>
      <c r="J5" s="8"/>
      <c r="K5" s="8"/>
    </row>
    <row r="6" spans="1:12" ht="20.100000000000001" hidden="1" customHeight="1" x14ac:dyDescent="0.25">
      <c r="A6" s="11">
        <v>45044</v>
      </c>
      <c r="B6" s="10"/>
      <c r="C6" s="10"/>
      <c r="D6" s="10">
        <v>1</v>
      </c>
      <c r="E6" s="10"/>
      <c r="F6" s="10"/>
      <c r="G6" s="10"/>
      <c r="H6" s="10"/>
      <c r="I6" s="10"/>
      <c r="J6" s="10"/>
      <c r="K6" s="10"/>
    </row>
    <row r="7" spans="1:12" ht="20.100000000000001" hidden="1" customHeight="1" x14ac:dyDescent="0.25">
      <c r="A7" s="11">
        <v>45225</v>
      </c>
      <c r="B7" s="10"/>
      <c r="C7" s="10"/>
      <c r="D7" s="10"/>
      <c r="E7" s="10"/>
      <c r="F7" s="10"/>
      <c r="G7" s="10">
        <v>1</v>
      </c>
      <c r="H7" s="10"/>
      <c r="I7" s="10"/>
      <c r="J7" s="10"/>
      <c r="K7" s="10"/>
      <c r="L7" s="30"/>
    </row>
    <row r="8" spans="1:12" ht="20.100000000000001" hidden="1" customHeight="1" x14ac:dyDescent="0.25">
      <c r="A8" s="11">
        <v>45233</v>
      </c>
      <c r="B8" s="10"/>
      <c r="C8" s="10">
        <v>1</v>
      </c>
      <c r="D8" s="10"/>
      <c r="E8" s="10">
        <v>1</v>
      </c>
      <c r="F8" s="10">
        <v>0</v>
      </c>
      <c r="G8" s="10"/>
      <c r="H8" s="10"/>
      <c r="I8" s="10"/>
      <c r="J8" s="10"/>
      <c r="K8" s="10"/>
    </row>
    <row r="9" spans="1:12" ht="20.100000000000001" hidden="1" customHeight="1" x14ac:dyDescent="0.25">
      <c r="A9" s="11">
        <v>45447</v>
      </c>
      <c r="B9" s="10"/>
      <c r="C9" s="10"/>
      <c r="D9" s="10"/>
      <c r="E9" s="10"/>
      <c r="F9" s="10"/>
      <c r="G9" s="10"/>
      <c r="H9" s="10">
        <v>0</v>
      </c>
      <c r="I9" s="10"/>
      <c r="J9" s="10"/>
      <c r="K9" s="10"/>
      <c r="L9" s="30" t="s">
        <v>46</v>
      </c>
    </row>
    <row r="10" spans="1:12" ht="20.100000000000001" hidden="1" customHeight="1" x14ac:dyDescent="0.25">
      <c r="A10" s="11">
        <v>45474</v>
      </c>
      <c r="B10" s="10"/>
      <c r="C10" s="10"/>
      <c r="D10" s="10"/>
      <c r="E10" s="10"/>
      <c r="F10" s="10">
        <v>0</v>
      </c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>
        <v>45826</v>
      </c>
      <c r="B11" s="10"/>
      <c r="C11" s="10"/>
      <c r="D11" s="10">
        <v>1</v>
      </c>
      <c r="E11" s="10"/>
      <c r="F11" s="10">
        <v>1</v>
      </c>
      <c r="G11" s="10"/>
      <c r="H11" s="10"/>
      <c r="I11" s="10"/>
      <c r="J11" s="10"/>
      <c r="K11" s="10"/>
      <c r="L11" s="30"/>
    </row>
    <row r="12" spans="1:12" ht="20.100000000000001" customHeight="1" x14ac:dyDescent="0.25">
      <c r="A12" s="11">
        <v>45957</v>
      </c>
      <c r="B12" s="10"/>
      <c r="C12" s="10"/>
      <c r="D12" s="10"/>
      <c r="E12" s="10">
        <v>1</v>
      </c>
      <c r="F12" s="10"/>
      <c r="G12" s="10"/>
      <c r="H12" s="10"/>
      <c r="I12" s="10"/>
      <c r="J12" s="10"/>
      <c r="K12" s="10"/>
      <c r="L12" s="30"/>
    </row>
    <row r="13" spans="1:12" ht="20.100000000000001" customHeight="1" x14ac:dyDescent="0.25">
      <c r="A13" s="11">
        <v>45991</v>
      </c>
      <c r="B13" s="10"/>
      <c r="C13" s="10">
        <v>1</v>
      </c>
      <c r="D13" s="10"/>
      <c r="E13" s="10"/>
      <c r="F13" s="10"/>
      <c r="G13" s="10"/>
      <c r="H13" s="10"/>
      <c r="I13" s="10"/>
      <c r="J13" s="10"/>
      <c r="K13" s="10"/>
      <c r="L13" s="30"/>
    </row>
    <row r="14" spans="1:12" ht="20.100000000000001" customHeight="1" x14ac:dyDescent="0.25">
      <c r="A14" s="11">
        <v>46090</v>
      </c>
      <c r="B14" s="10"/>
      <c r="C14" s="10"/>
      <c r="D14" s="10"/>
      <c r="E14" s="10"/>
      <c r="F14" s="10">
        <v>1</v>
      </c>
      <c r="G14" s="10"/>
      <c r="H14" s="10"/>
      <c r="I14" s="10"/>
      <c r="J14" s="10"/>
      <c r="K14" s="10"/>
      <c r="L14" s="30"/>
    </row>
    <row r="15" spans="1:12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0"/>
    </row>
    <row r="16" spans="1:12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0"/>
    </row>
    <row r="17" spans="1:12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0"/>
    </row>
    <row r="18" spans="1:12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0"/>
    </row>
    <row r="19" spans="1:12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2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0"/>
    </row>
    <row r="21" spans="1:12" ht="20.100000000000001" customHeight="1" thickBot="1" x14ac:dyDescent="0.3">
      <c r="A21" s="31" t="s">
        <v>14</v>
      </c>
      <c r="B21" s="13">
        <f>SUM(B11:B20)</f>
        <v>0</v>
      </c>
      <c r="C21" s="13">
        <f t="shared" ref="C21:K21" si="0">SUM(C11:C20)</f>
        <v>1</v>
      </c>
      <c r="D21" s="13">
        <f t="shared" si="0"/>
        <v>1</v>
      </c>
      <c r="E21" s="13">
        <f t="shared" si="0"/>
        <v>1</v>
      </c>
      <c r="F21" s="13">
        <f t="shared" si="0"/>
        <v>2</v>
      </c>
      <c r="G21" s="13">
        <f t="shared" si="0"/>
        <v>0</v>
      </c>
      <c r="H21" s="13">
        <f t="shared" si="0"/>
        <v>0</v>
      </c>
      <c r="I21" s="13">
        <f t="shared" si="0"/>
        <v>0</v>
      </c>
      <c r="J21" s="13">
        <f t="shared" si="0"/>
        <v>0</v>
      </c>
      <c r="K21" s="13">
        <f t="shared" si="0"/>
        <v>0</v>
      </c>
    </row>
    <row r="22" spans="1:12" ht="20.100000000000001" customHeight="1" x14ac:dyDescent="0.25"/>
    <row r="23" spans="1:12" ht="20.100000000000001" customHeight="1" x14ac:dyDescent="0.25"/>
    <row r="24" spans="1:12" ht="20.100000000000001" customHeight="1" x14ac:dyDescent="0.25"/>
    <row r="25" spans="1:12" ht="20.100000000000001" customHeight="1" x14ac:dyDescent="0.25"/>
    <row r="26" spans="1:12" ht="20.100000000000001" customHeight="1" x14ac:dyDescent="0.25"/>
    <row r="27" spans="1:12" ht="20.100000000000001" customHeight="1" x14ac:dyDescent="0.25"/>
    <row r="28" spans="1:12" ht="20.100000000000001" customHeight="1" x14ac:dyDescent="0.25"/>
    <row r="29" spans="1:12" ht="20.100000000000001" customHeight="1" x14ac:dyDescent="0.25"/>
    <row r="30" spans="1:12" ht="20.100000000000001" customHeight="1" x14ac:dyDescent="0.25"/>
    <row r="31" spans="1:12" ht="20.100000000000001" customHeight="1" x14ac:dyDescent="0.25"/>
    <row r="32" spans="1:12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49BD-081A-4F4B-844D-01A0FF48EA8D}">
  <dimension ref="A1:L26"/>
  <sheetViews>
    <sheetView workbookViewId="0">
      <selection activeCell="A15" sqref="A1:L15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289</v>
      </c>
      <c r="B2" s="269"/>
      <c r="C2" s="270"/>
      <c r="D2" s="271"/>
      <c r="E2" s="314" t="s">
        <v>143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44.25" customHeight="1" x14ac:dyDescent="0.25">
      <c r="A4" s="7">
        <v>45688</v>
      </c>
      <c r="B4" s="6"/>
      <c r="C4" s="6">
        <v>0</v>
      </c>
      <c r="D4" s="6"/>
      <c r="E4" s="6">
        <v>0</v>
      </c>
      <c r="F4" s="6">
        <v>0</v>
      </c>
      <c r="G4" s="6">
        <v>1</v>
      </c>
      <c r="H4" s="6">
        <v>1</v>
      </c>
      <c r="I4" s="6">
        <v>2</v>
      </c>
      <c r="J4" s="6"/>
      <c r="K4" s="6"/>
      <c r="L4" s="263" t="s">
        <v>257</v>
      </c>
    </row>
    <row r="5" spans="1:12" ht="24.95" customHeight="1" x14ac:dyDescent="0.25">
      <c r="A5" s="32">
        <v>45826</v>
      </c>
      <c r="B5" s="8"/>
      <c r="C5" s="8">
        <v>2</v>
      </c>
      <c r="D5" s="8">
        <v>1</v>
      </c>
      <c r="E5" s="8">
        <v>1</v>
      </c>
      <c r="F5" s="8">
        <v>1</v>
      </c>
      <c r="G5" s="8"/>
      <c r="H5" s="8">
        <v>2</v>
      </c>
      <c r="I5" s="8"/>
      <c r="J5" s="8"/>
      <c r="K5" s="8"/>
    </row>
    <row r="6" spans="1:12" ht="20.100000000000001" customHeight="1" x14ac:dyDescent="0.25">
      <c r="A6" s="11">
        <v>45831</v>
      </c>
      <c r="B6" s="10">
        <v>1</v>
      </c>
      <c r="C6" s="10"/>
      <c r="D6" s="10"/>
      <c r="E6" s="10"/>
      <c r="F6" s="10"/>
      <c r="G6" s="10"/>
      <c r="H6" s="10"/>
      <c r="I6" s="10"/>
      <c r="J6" s="10"/>
      <c r="K6" s="10"/>
      <c r="L6" t="s">
        <v>43</v>
      </c>
    </row>
    <row r="7" spans="1:12" ht="20.100000000000001" customHeight="1" x14ac:dyDescent="0.25">
      <c r="A7" s="11">
        <v>45987</v>
      </c>
      <c r="B7" s="10"/>
      <c r="C7" s="10"/>
      <c r="D7" s="10"/>
      <c r="E7" s="10">
        <v>2</v>
      </c>
      <c r="F7" s="10"/>
      <c r="G7" s="10"/>
      <c r="H7" s="10"/>
      <c r="I7" s="10"/>
      <c r="J7" s="10"/>
      <c r="K7" s="10"/>
      <c r="L7" s="30"/>
    </row>
    <row r="8" spans="1:12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2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3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2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thickBot="1" x14ac:dyDescent="0.3">
      <c r="A15" s="31" t="s">
        <v>14</v>
      </c>
      <c r="B15" s="13">
        <f>SUM(B4:B14)</f>
        <v>1</v>
      </c>
      <c r="C15" s="13">
        <f t="shared" ref="C15:K15" si="0">SUM(C4:C14)</f>
        <v>2</v>
      </c>
      <c r="D15" s="13">
        <f t="shared" si="0"/>
        <v>1</v>
      </c>
      <c r="E15" s="13">
        <f t="shared" si="0"/>
        <v>3</v>
      </c>
      <c r="F15" s="13">
        <f t="shared" si="0"/>
        <v>1</v>
      </c>
      <c r="G15" s="13">
        <f t="shared" si="0"/>
        <v>1</v>
      </c>
      <c r="H15" s="13">
        <f t="shared" si="0"/>
        <v>3</v>
      </c>
      <c r="I15" s="13">
        <f t="shared" si="0"/>
        <v>2</v>
      </c>
      <c r="J15" s="13">
        <f t="shared" si="0"/>
        <v>0</v>
      </c>
      <c r="K15" s="13">
        <f t="shared" si="0"/>
        <v>0</v>
      </c>
    </row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</sheetData>
  <mergeCells count="3">
    <mergeCell ref="A1:K1"/>
    <mergeCell ref="A2:D2"/>
    <mergeCell ref="E2:K2"/>
  </mergeCells>
  <pageMargins left="0.70866141732283472" right="0.70866141732283472" top="1.1417322834645669" bottom="0.74803149606299213" header="0.31496062992125984" footer="0.31496062992125984"/>
  <pageSetup paperSize="9" scale="9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C784-B624-4C28-8CC5-E0FC17EE8C19}">
  <dimension ref="A1:L26"/>
  <sheetViews>
    <sheetView workbookViewId="0">
      <selection activeCell="A15" sqref="A1:L15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289</v>
      </c>
      <c r="B2" s="269"/>
      <c r="C2" s="270"/>
      <c r="D2" s="271"/>
      <c r="E2" s="314" t="s">
        <v>242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customHeight="1" x14ac:dyDescent="0.25">
      <c r="A4" s="7">
        <v>46030</v>
      </c>
      <c r="B4" s="6">
        <v>1</v>
      </c>
      <c r="C4" s="6">
        <v>1</v>
      </c>
      <c r="D4" s="6"/>
      <c r="E4" s="6">
        <v>1</v>
      </c>
      <c r="F4" s="6">
        <v>1</v>
      </c>
      <c r="G4" s="6"/>
      <c r="H4" s="6">
        <v>1</v>
      </c>
      <c r="I4" s="6">
        <v>1</v>
      </c>
      <c r="J4" s="6"/>
      <c r="K4" s="6"/>
      <c r="L4" t="s">
        <v>132</v>
      </c>
    </row>
    <row r="5" spans="1:12" ht="24.95" customHeight="1" x14ac:dyDescent="0.25">
      <c r="A5" s="32">
        <v>46132</v>
      </c>
      <c r="B5" s="8"/>
      <c r="C5" s="8"/>
      <c r="D5" s="8">
        <v>1</v>
      </c>
      <c r="E5" s="8"/>
      <c r="F5" s="8"/>
      <c r="G5" s="8"/>
      <c r="H5" s="8"/>
      <c r="I5" s="8"/>
      <c r="J5" s="8"/>
      <c r="K5" s="8"/>
    </row>
    <row r="6" spans="1:12" ht="20.100000000000001" customHeight="1" x14ac:dyDescent="0.25">
      <c r="A6" s="11">
        <v>46239</v>
      </c>
      <c r="B6" s="10">
        <v>1</v>
      </c>
      <c r="C6" s="10"/>
      <c r="D6" s="10"/>
      <c r="E6" s="10"/>
      <c r="F6" s="10"/>
      <c r="G6" s="10"/>
      <c r="H6" s="10"/>
      <c r="I6" s="10"/>
      <c r="J6" s="10"/>
      <c r="K6" s="10"/>
      <c r="L6" t="s">
        <v>291</v>
      </c>
    </row>
    <row r="7" spans="1:12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30"/>
    </row>
    <row r="8" spans="1:12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2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3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2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thickBot="1" x14ac:dyDescent="0.3">
      <c r="A15" s="31" t="s">
        <v>14</v>
      </c>
      <c r="B15" s="13">
        <f>SUM(B4:B14)</f>
        <v>2</v>
      </c>
      <c r="C15" s="13">
        <f t="shared" ref="C15:K15" si="0">SUM(C4:C14)</f>
        <v>1</v>
      </c>
      <c r="D15" s="13">
        <f t="shared" si="0"/>
        <v>1</v>
      </c>
      <c r="E15" s="13">
        <f t="shared" si="0"/>
        <v>1</v>
      </c>
      <c r="F15" s="13">
        <f t="shared" si="0"/>
        <v>1</v>
      </c>
      <c r="G15" s="13">
        <f t="shared" si="0"/>
        <v>0</v>
      </c>
      <c r="H15" s="13">
        <f t="shared" si="0"/>
        <v>1</v>
      </c>
      <c r="I15" s="13">
        <f t="shared" si="0"/>
        <v>1</v>
      </c>
      <c r="J15" s="13">
        <f t="shared" si="0"/>
        <v>0</v>
      </c>
      <c r="K15" s="13">
        <f t="shared" si="0"/>
        <v>0</v>
      </c>
    </row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</sheetData>
  <mergeCells count="3">
    <mergeCell ref="A1:K1"/>
    <mergeCell ref="A2:D2"/>
    <mergeCell ref="E2:K2"/>
  </mergeCells>
  <pageMargins left="0.70866141732283472" right="0.70866141732283472" top="1.1417322834645669" bottom="0.74803149606299213" header="0.31496062992125984" footer="0.31496062992125984"/>
  <pageSetup paperSize="9" scale="95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B893-AE0B-4D66-8C76-1CCB01367BA7}">
  <dimension ref="A1:L35"/>
  <sheetViews>
    <sheetView workbookViewId="0">
      <selection activeCell="A2" sqref="A2:D2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289</v>
      </c>
      <c r="B2" s="269"/>
      <c r="C2" s="270"/>
      <c r="D2" s="271"/>
      <c r="E2" s="314" t="s">
        <v>24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hidden="1" customHeight="1" x14ac:dyDescent="0.25">
      <c r="A4" s="7">
        <v>44930</v>
      </c>
      <c r="B4" s="6">
        <v>0</v>
      </c>
      <c r="C4" s="6">
        <v>0</v>
      </c>
      <c r="D4" s="6"/>
      <c r="E4" s="6">
        <v>2</v>
      </c>
      <c r="F4" s="6"/>
      <c r="G4" s="6"/>
      <c r="H4" s="6">
        <v>0</v>
      </c>
      <c r="I4" s="6">
        <v>2</v>
      </c>
      <c r="J4" s="6"/>
      <c r="K4" s="6"/>
    </row>
    <row r="5" spans="1:12" ht="24.95" hidden="1" customHeight="1" x14ac:dyDescent="0.25">
      <c r="A5" s="32">
        <v>45044</v>
      </c>
      <c r="B5" s="8"/>
      <c r="C5" s="8"/>
      <c r="D5" s="8">
        <v>1</v>
      </c>
      <c r="E5" s="8"/>
      <c r="F5" s="8"/>
      <c r="G5" s="8"/>
      <c r="H5" s="8"/>
      <c r="I5" s="8"/>
      <c r="J5" s="8"/>
      <c r="K5" s="8"/>
    </row>
    <row r="6" spans="1:12" ht="20.100000000000001" hidden="1" customHeight="1" x14ac:dyDescent="0.25">
      <c r="A6" s="11">
        <v>45091</v>
      </c>
      <c r="B6" s="10"/>
      <c r="C6" s="10"/>
      <c r="D6" s="10"/>
      <c r="E6" s="10"/>
      <c r="F6" s="10">
        <v>1</v>
      </c>
      <c r="G6" s="10"/>
      <c r="H6" s="10"/>
      <c r="I6" s="10"/>
      <c r="J6" s="10"/>
      <c r="K6" s="10"/>
    </row>
    <row r="7" spans="1:12" ht="20.100000000000001" hidden="1" customHeight="1" x14ac:dyDescent="0.25">
      <c r="A7" s="11">
        <v>45224</v>
      </c>
      <c r="B7" s="10">
        <v>1</v>
      </c>
      <c r="C7" s="10">
        <v>3</v>
      </c>
      <c r="D7" s="10"/>
      <c r="E7" s="10">
        <v>2</v>
      </c>
      <c r="F7" s="10">
        <v>1</v>
      </c>
      <c r="G7" s="10"/>
      <c r="H7" s="10">
        <v>0</v>
      </c>
      <c r="I7" s="10">
        <v>1</v>
      </c>
      <c r="J7" s="10"/>
      <c r="K7" s="10"/>
      <c r="L7" s="30"/>
    </row>
    <row r="8" spans="1:12" ht="20.100000000000001" hidden="1" customHeight="1" x14ac:dyDescent="0.25">
      <c r="A8" s="11">
        <v>45414</v>
      </c>
      <c r="B8" s="10">
        <v>0</v>
      </c>
      <c r="C8" s="10">
        <v>1</v>
      </c>
      <c r="D8" s="10"/>
      <c r="E8" s="10"/>
      <c r="F8" s="10"/>
      <c r="G8" s="10"/>
      <c r="H8" s="10">
        <v>1</v>
      </c>
      <c r="I8" s="10"/>
      <c r="J8" s="10"/>
      <c r="K8" s="10"/>
    </row>
    <row r="9" spans="1:12" ht="20.100000000000001" hidden="1" customHeight="1" x14ac:dyDescent="0.25">
      <c r="A9" s="11">
        <v>45463</v>
      </c>
      <c r="B9" s="10"/>
      <c r="C9" s="10"/>
      <c r="D9" s="10"/>
      <c r="E9" s="10">
        <v>1</v>
      </c>
      <c r="F9" s="10"/>
      <c r="G9" s="10"/>
      <c r="H9" s="10"/>
      <c r="I9" s="10"/>
      <c r="J9" s="10"/>
      <c r="K9" s="10"/>
    </row>
    <row r="10" spans="1:12" ht="20.100000000000001" hidden="1" customHeight="1" x14ac:dyDescent="0.25">
      <c r="A10" s="11">
        <v>45475</v>
      </c>
      <c r="B10" s="10"/>
      <c r="C10" s="10"/>
      <c r="D10" s="10"/>
      <c r="E10" s="10"/>
      <c r="F10" s="10"/>
      <c r="G10" s="10"/>
      <c r="H10" s="10">
        <v>1</v>
      </c>
      <c r="I10" s="10"/>
      <c r="J10" s="10"/>
      <c r="K10" s="10"/>
    </row>
    <row r="11" spans="1:12" ht="20.100000000000001" hidden="1" customHeight="1" x14ac:dyDescent="0.25">
      <c r="A11" s="11" t="s">
        <v>131</v>
      </c>
      <c r="B11" s="10"/>
      <c r="C11" s="10">
        <v>3</v>
      </c>
      <c r="D11" s="10"/>
      <c r="E11" s="10"/>
      <c r="F11" s="10"/>
      <c r="G11" s="10"/>
      <c r="H11" s="10"/>
      <c r="I11" s="10">
        <v>1</v>
      </c>
      <c r="J11" s="10"/>
      <c r="K11" s="10"/>
    </row>
    <row r="12" spans="1:12" ht="20.100000000000001" hidden="1" customHeight="1" x14ac:dyDescent="0.25">
      <c r="A12" s="11">
        <v>45569</v>
      </c>
      <c r="B12" s="10">
        <v>1</v>
      </c>
      <c r="C12" s="10"/>
      <c r="D12" s="10"/>
      <c r="E12" s="10"/>
      <c r="F12" s="10"/>
      <c r="G12" s="10"/>
      <c r="H12" s="10"/>
      <c r="I12" s="10">
        <v>1</v>
      </c>
      <c r="J12" s="10"/>
      <c r="K12" s="10"/>
      <c r="L12" s="30"/>
    </row>
    <row r="13" spans="1:12" ht="20.100000000000001" customHeight="1" x14ac:dyDescent="0.25">
      <c r="A13" s="11">
        <v>45831</v>
      </c>
      <c r="B13" s="10">
        <v>1</v>
      </c>
      <c r="C13" s="10">
        <v>3</v>
      </c>
      <c r="D13" s="10">
        <v>1</v>
      </c>
      <c r="E13" s="10">
        <v>2</v>
      </c>
      <c r="F13" s="10">
        <v>1</v>
      </c>
      <c r="G13" s="10"/>
      <c r="H13" s="10">
        <v>2</v>
      </c>
      <c r="I13" s="10"/>
      <c r="J13" s="10"/>
      <c r="K13" s="10"/>
      <c r="L13" s="30"/>
    </row>
    <row r="14" spans="1:12" ht="20.100000000000001" customHeight="1" x14ac:dyDescent="0.25">
      <c r="A14" s="11">
        <v>45968</v>
      </c>
      <c r="B14" s="10"/>
      <c r="C14" s="10">
        <v>2</v>
      </c>
      <c r="D14" s="10"/>
      <c r="E14" s="10"/>
      <c r="F14" s="10"/>
      <c r="G14" s="10"/>
      <c r="H14" s="10"/>
      <c r="I14" s="10">
        <v>1</v>
      </c>
      <c r="J14" s="10"/>
      <c r="K14" s="10"/>
      <c r="L14" s="30"/>
    </row>
    <row r="15" spans="1:12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0"/>
    </row>
    <row r="16" spans="1:12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0"/>
    </row>
    <row r="17" spans="1:12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0"/>
    </row>
    <row r="18" spans="1:12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0"/>
    </row>
    <row r="19" spans="1:12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0"/>
    </row>
    <row r="20" spans="1:12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0"/>
    </row>
    <row r="21" spans="1:12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0"/>
    </row>
    <row r="22" spans="1:12" ht="20.100000000000001" customHeight="1" x14ac:dyDescent="0.25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0"/>
    </row>
    <row r="23" spans="1:12" ht="20.100000000000001" customHeight="1" x14ac:dyDescent="0.25">
      <c r="A23" s="1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0"/>
    </row>
    <row r="24" spans="1:12" ht="20.100000000000001" customHeight="1" thickBot="1" x14ac:dyDescent="0.3">
      <c r="A24" s="31" t="s">
        <v>14</v>
      </c>
      <c r="B24" s="13">
        <f>SUM(B13:B23)</f>
        <v>1</v>
      </c>
      <c r="C24" s="13">
        <f t="shared" ref="C24:K24" si="0">SUM(C13:C23)</f>
        <v>5</v>
      </c>
      <c r="D24" s="13">
        <f t="shared" si="0"/>
        <v>1</v>
      </c>
      <c r="E24" s="13">
        <f t="shared" si="0"/>
        <v>2</v>
      </c>
      <c r="F24" s="13">
        <f t="shared" si="0"/>
        <v>1</v>
      </c>
      <c r="G24" s="13">
        <f t="shared" si="0"/>
        <v>0</v>
      </c>
      <c r="H24" s="13">
        <f t="shared" si="0"/>
        <v>2</v>
      </c>
      <c r="I24" s="13">
        <f t="shared" si="0"/>
        <v>1</v>
      </c>
      <c r="J24" s="13">
        <f t="shared" si="0"/>
        <v>0</v>
      </c>
      <c r="K24" s="13">
        <f t="shared" si="0"/>
        <v>0</v>
      </c>
    </row>
    <row r="25" spans="1:12" ht="20.100000000000001" customHeight="1" x14ac:dyDescent="0.25"/>
    <row r="26" spans="1:12" ht="20.100000000000001" customHeight="1" x14ac:dyDescent="0.25"/>
    <row r="27" spans="1:12" ht="20.100000000000001" customHeight="1" x14ac:dyDescent="0.25"/>
    <row r="28" spans="1:12" ht="20.100000000000001" customHeight="1" x14ac:dyDescent="0.25"/>
    <row r="29" spans="1:12" ht="20.100000000000001" customHeight="1" x14ac:dyDescent="0.25"/>
    <row r="30" spans="1:12" ht="20.100000000000001" customHeight="1" x14ac:dyDescent="0.25"/>
    <row r="31" spans="1:12" ht="20.100000000000001" customHeight="1" x14ac:dyDescent="0.25"/>
    <row r="32" spans="1:1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7CF7-3038-4349-B68E-2D7A78F59128}">
  <dimension ref="A1:L28"/>
  <sheetViews>
    <sheetView workbookViewId="0">
      <selection activeCell="A2" sqref="A2:D2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289</v>
      </c>
      <c r="B2" s="269"/>
      <c r="C2" s="270"/>
      <c r="D2" s="271"/>
      <c r="E2" s="314" t="s">
        <v>27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hidden="1" customHeight="1" x14ac:dyDescent="0.25">
      <c r="A4" s="7">
        <v>44930</v>
      </c>
      <c r="B4" s="6"/>
      <c r="C4" s="6">
        <v>1</v>
      </c>
      <c r="D4" s="6"/>
      <c r="E4" s="6">
        <v>1</v>
      </c>
      <c r="F4" s="6"/>
      <c r="G4" s="6"/>
      <c r="H4" s="6"/>
      <c r="I4" s="6"/>
      <c r="J4" s="6"/>
      <c r="K4" s="6"/>
    </row>
    <row r="5" spans="1:12" ht="24.95" hidden="1" customHeight="1" x14ac:dyDescent="0.25">
      <c r="A5" s="32">
        <v>44985</v>
      </c>
      <c r="B5" s="8">
        <v>1</v>
      </c>
      <c r="C5" s="8"/>
      <c r="D5" s="8"/>
      <c r="E5" s="8"/>
      <c r="F5" s="8"/>
      <c r="G5" s="8"/>
      <c r="H5" s="8"/>
      <c r="I5" s="8"/>
      <c r="J5" s="8"/>
      <c r="K5" s="8"/>
    </row>
    <row r="6" spans="1:12" ht="20.100000000000001" hidden="1" customHeight="1" x14ac:dyDescent="0.25">
      <c r="A6" s="11">
        <v>45044</v>
      </c>
      <c r="B6" s="10"/>
      <c r="C6" s="10"/>
      <c r="D6" s="10">
        <v>1</v>
      </c>
      <c r="E6" s="10"/>
      <c r="F6" s="10"/>
      <c r="G6" s="10"/>
      <c r="H6" s="10"/>
      <c r="I6" s="10"/>
      <c r="J6" s="10"/>
      <c r="K6" s="10"/>
    </row>
    <row r="7" spans="1:12" ht="20.100000000000001" hidden="1" customHeight="1" x14ac:dyDescent="0.25">
      <c r="A7" s="11">
        <v>45225</v>
      </c>
      <c r="B7" s="10"/>
      <c r="C7" s="10"/>
      <c r="D7" s="10"/>
      <c r="E7" s="10"/>
      <c r="F7" s="10"/>
      <c r="G7" s="10">
        <v>1</v>
      </c>
      <c r="H7" s="10"/>
      <c r="I7" s="10"/>
      <c r="J7" s="10"/>
      <c r="K7" s="10"/>
      <c r="L7" s="30"/>
    </row>
    <row r="8" spans="1:12" ht="20.100000000000001" customHeight="1" x14ac:dyDescent="0.25">
      <c r="A8" s="11">
        <v>45447</v>
      </c>
      <c r="B8" s="10"/>
      <c r="C8" s="10"/>
      <c r="D8" s="10"/>
      <c r="E8" s="10"/>
      <c r="F8" s="10"/>
      <c r="G8" s="10"/>
      <c r="H8" s="10">
        <v>3</v>
      </c>
      <c r="I8" s="10"/>
      <c r="J8" s="10"/>
      <c r="K8" s="10"/>
    </row>
    <row r="9" spans="1:12" ht="20.100000000000001" customHeight="1" x14ac:dyDescent="0.25">
      <c r="A9" s="11">
        <v>45474</v>
      </c>
      <c r="B9" s="10"/>
      <c r="C9" s="10"/>
      <c r="D9" s="10"/>
      <c r="E9" s="10"/>
      <c r="F9" s="10">
        <v>1</v>
      </c>
      <c r="G9" s="10"/>
      <c r="H9" s="10"/>
      <c r="I9" s="10"/>
      <c r="J9" s="10"/>
      <c r="K9" s="10"/>
    </row>
    <row r="10" spans="1:12" ht="20.100000000000001" customHeight="1" x14ac:dyDescent="0.25">
      <c r="A10" s="11">
        <v>45826</v>
      </c>
      <c r="B10" s="10"/>
      <c r="C10" s="10"/>
      <c r="D10" s="10">
        <v>1</v>
      </c>
      <c r="E10" s="10"/>
      <c r="F10" s="10">
        <v>1</v>
      </c>
      <c r="G10" s="10"/>
      <c r="H10" s="10"/>
      <c r="I10" s="10"/>
      <c r="J10" s="10"/>
      <c r="K10" s="1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2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2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0"/>
    </row>
    <row r="16" spans="1:12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0"/>
    </row>
    <row r="17" spans="1:11" ht="20.100000000000001" customHeight="1" thickBot="1" x14ac:dyDescent="0.3">
      <c r="A17" s="31" t="s">
        <v>14</v>
      </c>
      <c r="B17" s="13">
        <f>SUM(B8:B16)</f>
        <v>0</v>
      </c>
      <c r="C17" s="13">
        <f t="shared" ref="C17:K17" si="0">SUM(C8:C16)</f>
        <v>0</v>
      </c>
      <c r="D17" s="13">
        <f t="shared" si="0"/>
        <v>1</v>
      </c>
      <c r="E17" s="13">
        <f t="shared" si="0"/>
        <v>0</v>
      </c>
      <c r="F17" s="13">
        <f t="shared" si="0"/>
        <v>2</v>
      </c>
      <c r="G17" s="13">
        <f t="shared" si="0"/>
        <v>0</v>
      </c>
      <c r="H17" s="13">
        <f t="shared" si="0"/>
        <v>3</v>
      </c>
      <c r="I17" s="13">
        <f t="shared" si="0"/>
        <v>0</v>
      </c>
      <c r="J17" s="13">
        <f t="shared" si="0"/>
        <v>0</v>
      </c>
      <c r="K17" s="13">
        <f t="shared" si="0"/>
        <v>0</v>
      </c>
    </row>
    <row r="18" spans="1:11" ht="20.100000000000001" customHeight="1" x14ac:dyDescent="0.25"/>
    <row r="19" spans="1:11" ht="20.100000000000001" customHeight="1" x14ac:dyDescent="0.25"/>
    <row r="20" spans="1:11" ht="20.100000000000001" customHeight="1" x14ac:dyDescent="0.25"/>
    <row r="21" spans="1:11" ht="20.100000000000001" customHeight="1" x14ac:dyDescent="0.25"/>
    <row r="22" spans="1:11" ht="20.100000000000001" customHeight="1" x14ac:dyDescent="0.25"/>
    <row r="23" spans="1:11" ht="20.100000000000001" customHeight="1" x14ac:dyDescent="0.25"/>
    <row r="24" spans="1:11" ht="20.100000000000001" customHeight="1" x14ac:dyDescent="0.25"/>
    <row r="25" spans="1:11" ht="20.100000000000001" customHeight="1" x14ac:dyDescent="0.25"/>
    <row r="26" spans="1:11" ht="20.100000000000001" customHeight="1" x14ac:dyDescent="0.25"/>
    <row r="27" spans="1:11" ht="20.100000000000001" customHeight="1" x14ac:dyDescent="0.25"/>
    <row r="28" spans="1:11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4475-093A-4AD9-82E4-247C7D16C3A2}">
  <dimension ref="A1:M27"/>
  <sheetViews>
    <sheetView workbookViewId="0">
      <selection activeCell="A16" sqref="A1:L16"/>
    </sheetView>
  </sheetViews>
  <sheetFormatPr baseColWidth="10" defaultRowHeight="13.5" x14ac:dyDescent="0.25"/>
  <sheetData>
    <row r="1" spans="1:13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3" ht="21.75" thickBot="1" x14ac:dyDescent="0.3">
      <c r="A2" s="268" t="s">
        <v>289</v>
      </c>
      <c r="B2" s="269"/>
      <c r="C2" s="270"/>
      <c r="D2" s="271"/>
      <c r="E2" s="314" t="s">
        <v>28</v>
      </c>
      <c r="F2" s="315"/>
      <c r="G2" s="315"/>
      <c r="H2" s="315"/>
      <c r="I2" s="315"/>
      <c r="J2" s="315"/>
      <c r="K2" s="315"/>
    </row>
    <row r="3" spans="1:13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3" ht="20.100000000000001" customHeight="1" x14ac:dyDescent="0.25">
      <c r="A4" s="7">
        <v>45330</v>
      </c>
      <c r="B4" s="6"/>
      <c r="C4" s="6">
        <v>2</v>
      </c>
      <c r="D4" s="6"/>
      <c r="E4" s="6">
        <v>1</v>
      </c>
      <c r="F4" s="6">
        <v>1</v>
      </c>
      <c r="G4" s="6"/>
      <c r="H4" s="6"/>
      <c r="I4" s="6"/>
      <c r="J4" s="6"/>
      <c r="K4" s="6"/>
    </row>
    <row r="5" spans="1:13" ht="33" customHeight="1" x14ac:dyDescent="0.25">
      <c r="A5" s="9" t="s">
        <v>13</v>
      </c>
      <c r="B5" s="8">
        <v>1</v>
      </c>
      <c r="C5" s="8"/>
      <c r="D5" s="8"/>
      <c r="E5" s="8"/>
      <c r="F5" s="8"/>
      <c r="G5" s="8"/>
      <c r="H5" s="8"/>
      <c r="I5" s="8"/>
      <c r="J5" s="8"/>
      <c r="K5" s="8"/>
      <c r="L5" s="265" t="s">
        <v>69</v>
      </c>
      <c r="M5" s="264"/>
    </row>
    <row r="6" spans="1:13" ht="24.95" customHeight="1" x14ac:dyDescent="0.25">
      <c r="A6" s="32">
        <v>45377</v>
      </c>
      <c r="B6" s="8"/>
      <c r="C6" s="8"/>
      <c r="D6" s="8"/>
      <c r="E6" s="8"/>
      <c r="F6" s="8"/>
      <c r="G6" s="8">
        <v>1</v>
      </c>
      <c r="H6" s="8"/>
      <c r="I6" s="8"/>
      <c r="J6" s="8"/>
      <c r="K6" s="8"/>
    </row>
    <row r="7" spans="1:13" ht="20.100000000000001" customHeight="1" x14ac:dyDescent="0.25">
      <c r="A7" s="11">
        <v>45447</v>
      </c>
      <c r="B7" s="10"/>
      <c r="C7" s="10"/>
      <c r="D7" s="10"/>
      <c r="E7" s="10"/>
      <c r="F7" s="10"/>
      <c r="G7" s="10"/>
      <c r="H7" s="10">
        <v>3</v>
      </c>
      <c r="I7" s="10"/>
      <c r="J7" s="10"/>
      <c r="K7" s="10"/>
    </row>
    <row r="8" spans="1:13" ht="20.100000000000001" customHeight="1" x14ac:dyDescent="0.25">
      <c r="A8" s="11">
        <v>45462</v>
      </c>
      <c r="B8" s="10"/>
      <c r="C8" s="10"/>
      <c r="D8" s="10"/>
      <c r="E8" s="10"/>
      <c r="F8" s="10">
        <v>1</v>
      </c>
      <c r="G8" s="10"/>
      <c r="H8" s="10"/>
      <c r="I8" s="10"/>
      <c r="J8" s="10"/>
      <c r="K8" s="10"/>
      <c r="L8" s="30"/>
    </row>
    <row r="9" spans="1:13" ht="20.100000000000001" customHeight="1" x14ac:dyDescent="0.25">
      <c r="A9" s="11">
        <v>45597</v>
      </c>
      <c r="B9" s="10"/>
      <c r="C9" s="10">
        <v>1</v>
      </c>
      <c r="D9" s="10"/>
      <c r="E9" s="10"/>
      <c r="F9" s="10"/>
      <c r="G9" s="10"/>
      <c r="H9" s="10"/>
      <c r="I9" s="10"/>
      <c r="J9" s="10"/>
      <c r="K9" s="10"/>
    </row>
    <row r="10" spans="1:13" ht="20.100000000000001" customHeight="1" x14ac:dyDescent="0.25">
      <c r="A10" s="11" t="s">
        <v>243</v>
      </c>
      <c r="B10" s="10"/>
      <c r="C10" s="10">
        <v>2</v>
      </c>
      <c r="D10" s="10"/>
      <c r="E10" s="10"/>
      <c r="F10" s="10"/>
      <c r="G10" s="10"/>
      <c r="H10" s="10"/>
      <c r="I10" s="10"/>
      <c r="J10" s="10"/>
      <c r="K10" s="10"/>
      <c r="L10" s="30"/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0"/>
    </row>
    <row r="16" spans="1:13" ht="20.100000000000001" customHeight="1" thickBot="1" x14ac:dyDescent="0.3">
      <c r="A16" s="31" t="s">
        <v>14</v>
      </c>
      <c r="B16" s="13">
        <f>SUM(B4:B15)</f>
        <v>1</v>
      </c>
      <c r="C16" s="13">
        <f t="shared" ref="C16:K16" si="0">SUM(C4:C15)</f>
        <v>5</v>
      </c>
      <c r="D16" s="13">
        <f t="shared" si="0"/>
        <v>0</v>
      </c>
      <c r="E16" s="13">
        <f t="shared" si="0"/>
        <v>1</v>
      </c>
      <c r="F16" s="13">
        <f t="shared" si="0"/>
        <v>2</v>
      </c>
      <c r="G16" s="13">
        <f t="shared" si="0"/>
        <v>1</v>
      </c>
      <c r="H16" s="13">
        <f t="shared" si="0"/>
        <v>3</v>
      </c>
      <c r="I16" s="13">
        <f t="shared" si="0"/>
        <v>0</v>
      </c>
      <c r="J16" s="13">
        <f t="shared" si="0"/>
        <v>0</v>
      </c>
      <c r="K16" s="13">
        <f t="shared" si="0"/>
        <v>0</v>
      </c>
    </row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</sheetData>
  <mergeCells count="3">
    <mergeCell ref="A1:K1"/>
    <mergeCell ref="A2:D2"/>
    <mergeCell ref="E2:K2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B0FC-1A60-4262-887B-F46BB7281B4B}">
  <dimension ref="A1:L24"/>
  <sheetViews>
    <sheetView workbookViewId="0">
      <selection activeCell="N8" sqref="N8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289</v>
      </c>
      <c r="B2" s="269"/>
      <c r="C2" s="270"/>
      <c r="D2" s="271"/>
      <c r="E2" s="314" t="s">
        <v>246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customHeight="1" x14ac:dyDescent="0.25">
      <c r="A4" s="7">
        <v>45856</v>
      </c>
      <c r="B4" s="6"/>
      <c r="C4" s="6">
        <v>2</v>
      </c>
      <c r="D4" s="6"/>
      <c r="E4" s="6">
        <v>1</v>
      </c>
      <c r="F4" s="6">
        <v>1</v>
      </c>
      <c r="G4" s="6"/>
      <c r="H4" s="6">
        <v>1</v>
      </c>
      <c r="I4" s="6"/>
      <c r="J4" s="6"/>
      <c r="K4" s="6"/>
    </row>
    <row r="5" spans="1:12" ht="20.100000000000001" customHeight="1" x14ac:dyDescent="0.25">
      <c r="A5" s="9">
        <v>45964</v>
      </c>
      <c r="B5" s="8"/>
      <c r="C5" s="8"/>
      <c r="D5" s="8"/>
      <c r="E5" s="8"/>
      <c r="F5" s="8"/>
      <c r="G5" s="8"/>
      <c r="H5" s="8"/>
      <c r="I5" s="8">
        <v>1</v>
      </c>
      <c r="J5" s="8"/>
      <c r="K5" s="8"/>
    </row>
    <row r="6" spans="1:12" ht="24.95" customHeight="1" x14ac:dyDescent="0.25">
      <c r="A6" s="32">
        <v>46030</v>
      </c>
      <c r="B6" s="8">
        <v>1</v>
      </c>
      <c r="C6" s="8"/>
      <c r="D6" s="8"/>
      <c r="E6" s="8">
        <v>1</v>
      </c>
      <c r="F6" s="8"/>
      <c r="G6" s="8"/>
      <c r="H6" s="8"/>
      <c r="I6" s="8"/>
      <c r="J6" s="8"/>
      <c r="K6" s="8"/>
      <c r="L6" t="s">
        <v>67</v>
      </c>
    </row>
    <row r="7" spans="1:12" ht="20.100000000000001" customHeight="1" x14ac:dyDescent="0.25">
      <c r="A7" s="11">
        <v>46163</v>
      </c>
      <c r="B7" s="10"/>
      <c r="C7" s="10"/>
      <c r="D7" s="10"/>
      <c r="E7" s="10">
        <v>1</v>
      </c>
      <c r="F7" s="10">
        <v>1</v>
      </c>
      <c r="G7" s="10"/>
      <c r="H7" s="10"/>
      <c r="I7" s="10"/>
      <c r="J7" s="10"/>
      <c r="K7" s="10"/>
    </row>
    <row r="8" spans="1:12" ht="39.75" customHeight="1" x14ac:dyDescent="0.25">
      <c r="A8" s="11">
        <v>46240</v>
      </c>
      <c r="B8" s="10">
        <v>1</v>
      </c>
      <c r="C8" s="10">
        <v>2</v>
      </c>
      <c r="D8" s="10"/>
      <c r="E8" s="10"/>
      <c r="F8" s="10"/>
      <c r="G8" s="10"/>
      <c r="H8" s="10">
        <v>1</v>
      </c>
      <c r="I8" s="10"/>
      <c r="J8" s="10"/>
      <c r="K8" s="10"/>
      <c r="L8" s="263" t="s">
        <v>294</v>
      </c>
    </row>
    <row r="9" spans="1:12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thickBot="1" x14ac:dyDescent="0.3">
      <c r="A13" s="31" t="s">
        <v>14</v>
      </c>
      <c r="B13" s="13">
        <f>SUM(B4:B12)</f>
        <v>2</v>
      </c>
      <c r="C13" s="13">
        <f t="shared" ref="C13:K13" si="0">SUM(C4:C12)</f>
        <v>4</v>
      </c>
      <c r="D13" s="13">
        <f t="shared" si="0"/>
        <v>0</v>
      </c>
      <c r="E13" s="13">
        <f t="shared" si="0"/>
        <v>3</v>
      </c>
      <c r="F13" s="13">
        <f t="shared" si="0"/>
        <v>2</v>
      </c>
      <c r="G13" s="13">
        <f t="shared" si="0"/>
        <v>0</v>
      </c>
      <c r="H13" s="13">
        <f t="shared" si="0"/>
        <v>2</v>
      </c>
      <c r="I13" s="13">
        <f t="shared" si="0"/>
        <v>1</v>
      </c>
      <c r="J13" s="13">
        <f t="shared" si="0"/>
        <v>0</v>
      </c>
      <c r="K13" s="13">
        <f t="shared" si="0"/>
        <v>0</v>
      </c>
    </row>
    <row r="14" spans="1:12" ht="20.100000000000001" customHeight="1" x14ac:dyDescent="0.25"/>
    <row r="15" spans="1:12" ht="20.100000000000001" customHeight="1" x14ac:dyDescent="0.25"/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</sheetData>
  <mergeCells count="3">
    <mergeCell ref="A1:K1"/>
    <mergeCell ref="A2:D2"/>
    <mergeCell ref="E2:K2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395C-CBAF-4058-AD30-81A5DFE1CB34}">
  <dimension ref="A1:K23"/>
  <sheetViews>
    <sheetView workbookViewId="0">
      <selection activeCell="A12" sqref="A1:J12"/>
    </sheetView>
  </sheetViews>
  <sheetFormatPr baseColWidth="10" defaultRowHeight="13.5" x14ac:dyDescent="0.25"/>
  <sheetData>
    <row r="1" spans="1:11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</row>
    <row r="2" spans="1:11" ht="21.75" thickBot="1" x14ac:dyDescent="0.3">
      <c r="A2" s="268" t="s">
        <v>289</v>
      </c>
      <c r="B2" s="269"/>
      <c r="C2" s="270"/>
      <c r="D2" s="271"/>
      <c r="E2" s="314" t="s">
        <v>63</v>
      </c>
      <c r="F2" s="315"/>
      <c r="G2" s="315"/>
      <c r="H2" s="315"/>
      <c r="I2" s="315"/>
      <c r="J2" s="315"/>
    </row>
    <row r="3" spans="1:11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</row>
    <row r="4" spans="1:11" ht="20.100000000000001" customHeight="1" x14ac:dyDescent="0.25">
      <c r="A4" s="7" t="s">
        <v>13</v>
      </c>
      <c r="B4" s="6"/>
      <c r="C4" s="6">
        <v>4</v>
      </c>
      <c r="D4" s="6"/>
      <c r="E4" s="6">
        <v>3</v>
      </c>
      <c r="F4" s="6"/>
      <c r="G4" s="6"/>
      <c r="H4" s="6">
        <v>3</v>
      </c>
      <c r="I4" s="6"/>
      <c r="J4" s="6"/>
    </row>
    <row r="5" spans="1:11" ht="24.95" customHeight="1" x14ac:dyDescent="0.25">
      <c r="A5" s="32">
        <v>45852</v>
      </c>
      <c r="B5" s="8"/>
      <c r="C5" s="8">
        <v>1</v>
      </c>
      <c r="D5" s="8">
        <v>1</v>
      </c>
      <c r="E5" s="8">
        <v>1</v>
      </c>
      <c r="F5" s="8">
        <v>1</v>
      </c>
      <c r="G5" s="8"/>
      <c r="H5" s="8"/>
      <c r="I5" s="8"/>
      <c r="J5" s="8"/>
    </row>
    <row r="6" spans="1:11" ht="20.100000000000001" customHeight="1" x14ac:dyDescent="0.25">
      <c r="A6" s="11" t="s">
        <v>13</v>
      </c>
      <c r="B6" s="10"/>
      <c r="C6" s="10">
        <v>1</v>
      </c>
      <c r="D6" s="10">
        <v>1</v>
      </c>
      <c r="E6" s="10">
        <v>1</v>
      </c>
      <c r="F6" s="10">
        <v>1</v>
      </c>
      <c r="G6" s="10"/>
      <c r="H6" s="10"/>
      <c r="I6" s="10"/>
      <c r="J6" s="10"/>
    </row>
    <row r="7" spans="1:11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30"/>
    </row>
    <row r="8" spans="1:11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</row>
    <row r="9" spans="1:11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30"/>
    </row>
    <row r="10" spans="1:11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30"/>
    </row>
    <row r="11" spans="1:11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30"/>
    </row>
    <row r="12" spans="1:11" ht="20.100000000000001" customHeight="1" thickBot="1" x14ac:dyDescent="0.3">
      <c r="A12" s="31" t="s">
        <v>14</v>
      </c>
      <c r="B12" s="13">
        <f>SUM(B4:B11)</f>
        <v>0</v>
      </c>
      <c r="C12" s="13">
        <f t="shared" ref="C12:J12" si="0">SUM(C4:C11)</f>
        <v>6</v>
      </c>
      <c r="D12" s="13">
        <f t="shared" si="0"/>
        <v>2</v>
      </c>
      <c r="E12" s="13">
        <f t="shared" si="0"/>
        <v>5</v>
      </c>
      <c r="F12" s="13">
        <f t="shared" si="0"/>
        <v>2</v>
      </c>
      <c r="G12" s="13">
        <f t="shared" si="0"/>
        <v>0</v>
      </c>
      <c r="H12" s="13">
        <f t="shared" si="0"/>
        <v>3</v>
      </c>
      <c r="I12" s="13">
        <f t="shared" si="0"/>
        <v>0</v>
      </c>
      <c r="J12" s="13">
        <f t="shared" si="0"/>
        <v>0</v>
      </c>
    </row>
    <row r="13" spans="1:11" ht="20.100000000000001" customHeight="1" x14ac:dyDescent="0.25"/>
    <row r="14" spans="1:11" ht="20.100000000000001" customHeight="1" x14ac:dyDescent="0.25"/>
    <row r="15" spans="1:11" ht="20.100000000000001" customHeight="1" x14ac:dyDescent="0.25"/>
    <row r="16" spans="1:11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3">
    <mergeCell ref="A1:J1"/>
    <mergeCell ref="A2:D2"/>
    <mergeCell ref="E2:J2"/>
  </mergeCells>
  <pageMargins left="1.4960629921259843" right="0.70866141732283472" top="1.3385826771653544" bottom="0.74803149606299213" header="0.31496062992125984" footer="0.31496062992125984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F6EB-A805-45A5-B93F-9F27D2FE3E30}">
  <dimension ref="A1:N33"/>
  <sheetViews>
    <sheetView workbookViewId="0">
      <selection activeCell="A22" sqref="A1:N22"/>
    </sheetView>
  </sheetViews>
  <sheetFormatPr baseColWidth="10" defaultRowHeight="13.5" x14ac:dyDescent="0.25"/>
  <sheetData>
    <row r="1" spans="1:14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4" ht="21.75" thickBot="1" x14ac:dyDescent="0.3">
      <c r="A2" s="268" t="s">
        <v>289</v>
      </c>
      <c r="B2" s="269"/>
      <c r="C2" s="270"/>
      <c r="D2" s="271"/>
      <c r="E2" s="314" t="s">
        <v>32</v>
      </c>
      <c r="F2" s="315"/>
      <c r="G2" s="315"/>
      <c r="H2" s="315"/>
      <c r="I2" s="315"/>
      <c r="J2" s="315"/>
      <c r="K2" s="315"/>
      <c r="L2" s="315"/>
      <c r="M2" s="315"/>
    </row>
    <row r="3" spans="1:14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296</v>
      </c>
      <c r="K3" s="33" t="s">
        <v>49</v>
      </c>
      <c r="L3" s="5" t="s">
        <v>50</v>
      </c>
      <c r="M3" s="5" t="s">
        <v>51</v>
      </c>
    </row>
    <row r="4" spans="1:14" ht="20.100000000000001" hidden="1" customHeight="1" x14ac:dyDescent="0.25">
      <c r="A4" s="7">
        <v>44930</v>
      </c>
      <c r="B4" s="6"/>
      <c r="C4" s="6">
        <v>3</v>
      </c>
      <c r="D4" s="6"/>
      <c r="E4" s="6">
        <v>1</v>
      </c>
      <c r="F4" s="6"/>
      <c r="G4" s="6"/>
      <c r="H4" s="6">
        <v>1</v>
      </c>
      <c r="I4" s="6">
        <v>2</v>
      </c>
      <c r="J4" s="6"/>
      <c r="K4" s="6"/>
      <c r="L4" s="6"/>
      <c r="M4" s="6"/>
    </row>
    <row r="5" spans="1:14" ht="24.95" hidden="1" customHeight="1" x14ac:dyDescent="0.25">
      <c r="A5" s="32">
        <v>45048</v>
      </c>
      <c r="B5" s="8"/>
      <c r="C5" s="8"/>
      <c r="D5" s="8">
        <v>1</v>
      </c>
      <c r="E5" s="8"/>
      <c r="F5" s="8"/>
      <c r="G5" s="8"/>
      <c r="H5" s="8"/>
      <c r="I5" s="8"/>
      <c r="J5" s="8"/>
      <c r="K5" s="8"/>
      <c r="L5" s="8"/>
      <c r="M5" s="8"/>
    </row>
    <row r="6" spans="1:14" ht="20.100000000000001" hidden="1" customHeight="1" x14ac:dyDescent="0.25">
      <c r="A6" s="11">
        <v>45225</v>
      </c>
      <c r="B6" s="10"/>
      <c r="C6" s="10">
        <v>3</v>
      </c>
      <c r="D6" s="10"/>
      <c r="E6" s="10">
        <v>2</v>
      </c>
      <c r="F6" s="10">
        <v>1</v>
      </c>
      <c r="G6" s="10"/>
      <c r="H6" s="10">
        <v>1</v>
      </c>
      <c r="I6" s="10">
        <v>1</v>
      </c>
      <c r="J6" s="10"/>
      <c r="K6" s="10"/>
      <c r="L6" s="10"/>
      <c r="M6" s="10"/>
      <c r="N6" s="30"/>
    </row>
    <row r="7" spans="1:14" ht="20.100000000000001" customHeight="1" x14ac:dyDescent="0.25">
      <c r="A7" s="11">
        <v>45441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>
        <v>1</v>
      </c>
      <c r="M7" s="10">
        <v>1</v>
      </c>
    </row>
    <row r="8" spans="1:14" ht="20.100000000000001" customHeight="1" x14ac:dyDescent="0.25">
      <c r="A8" s="11">
        <v>45493</v>
      </c>
      <c r="B8" s="10">
        <v>0</v>
      </c>
      <c r="C8" s="10"/>
      <c r="D8" s="10"/>
      <c r="E8" s="10">
        <v>1</v>
      </c>
      <c r="F8" s="10">
        <v>1</v>
      </c>
      <c r="G8" s="10"/>
      <c r="H8" s="10"/>
      <c r="I8" s="10"/>
      <c r="J8" s="10"/>
      <c r="K8" s="10"/>
      <c r="L8" s="10"/>
      <c r="M8" s="10"/>
      <c r="N8" t="s">
        <v>67</v>
      </c>
    </row>
    <row r="9" spans="1:14" ht="20.100000000000001" customHeight="1" x14ac:dyDescent="0.25">
      <c r="A9" s="11">
        <v>45478</v>
      </c>
      <c r="B9" s="10">
        <v>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t="s">
        <v>66</v>
      </c>
    </row>
    <row r="10" spans="1:14" ht="20.100000000000001" customHeight="1" x14ac:dyDescent="0.25">
      <c r="A10" s="11">
        <v>45533</v>
      </c>
      <c r="B10" s="10"/>
      <c r="C10" s="10">
        <v>4</v>
      </c>
      <c r="D10" s="10"/>
      <c r="E10" s="10"/>
      <c r="F10" s="10"/>
      <c r="G10" s="10"/>
      <c r="H10" s="10"/>
      <c r="I10" s="10">
        <v>1</v>
      </c>
      <c r="J10" s="10"/>
      <c r="K10" s="10"/>
      <c r="L10" s="10"/>
      <c r="M10" s="10"/>
      <c r="N10" s="30"/>
    </row>
    <row r="11" spans="1:14" ht="20.100000000000001" customHeight="1" x14ac:dyDescent="0.25">
      <c r="A11" s="11">
        <v>45831</v>
      </c>
      <c r="B11" s="10">
        <v>1</v>
      </c>
      <c r="C11" s="10">
        <v>3</v>
      </c>
      <c r="D11" s="10">
        <v>1</v>
      </c>
      <c r="E11" s="10">
        <v>2</v>
      </c>
      <c r="F11" s="10">
        <v>1</v>
      </c>
      <c r="G11" s="10"/>
      <c r="H11" s="10">
        <v>2</v>
      </c>
      <c r="I11" s="10"/>
      <c r="J11" s="10"/>
      <c r="K11" s="10"/>
      <c r="L11" s="10"/>
      <c r="M11" s="10"/>
      <c r="N11" s="30"/>
    </row>
    <row r="12" spans="1:14" ht="20.100000000000001" customHeight="1" x14ac:dyDescent="0.25">
      <c r="A12" s="11">
        <v>45944</v>
      </c>
      <c r="B12" s="10"/>
      <c r="C12" s="10">
        <v>2</v>
      </c>
      <c r="D12" s="10"/>
      <c r="E12" s="10"/>
      <c r="F12" s="10"/>
      <c r="G12" s="10"/>
      <c r="H12" s="10"/>
      <c r="I12" s="10">
        <v>1</v>
      </c>
      <c r="J12" s="10"/>
      <c r="K12" s="10"/>
      <c r="L12" s="10"/>
      <c r="M12" s="10"/>
      <c r="N12" s="30"/>
    </row>
    <row r="13" spans="1:14" ht="20.100000000000001" customHeight="1" x14ac:dyDescent="0.25">
      <c r="A13" s="11">
        <v>46002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/>
      <c r="L13" s="10"/>
      <c r="M13" s="10"/>
      <c r="N13" s="30"/>
    </row>
    <row r="14" spans="1:14" ht="52.5" customHeight="1" x14ac:dyDescent="0.25">
      <c r="A14" s="11">
        <v>46107</v>
      </c>
      <c r="B14" s="10"/>
      <c r="C14" s="10"/>
      <c r="D14" s="10"/>
      <c r="E14" s="10"/>
      <c r="F14" s="10"/>
      <c r="G14" s="10"/>
      <c r="H14" s="10"/>
      <c r="I14" s="10"/>
      <c r="J14" s="10">
        <v>1</v>
      </c>
      <c r="K14" s="10"/>
      <c r="L14" s="10"/>
      <c r="M14" s="10"/>
      <c r="N14" s="266" t="s">
        <v>295</v>
      </c>
    </row>
    <row r="15" spans="1:14" ht="20.100000000000001" customHeight="1" x14ac:dyDescent="0.25">
      <c r="A15" s="11">
        <v>46216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30" t="s">
        <v>291</v>
      </c>
    </row>
    <row r="16" spans="1:14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30"/>
    </row>
    <row r="17" spans="1:14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30"/>
    </row>
    <row r="18" spans="1:14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30"/>
    </row>
    <row r="19" spans="1:14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0"/>
    </row>
    <row r="20" spans="1:14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30"/>
    </row>
    <row r="21" spans="1:14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30"/>
    </row>
    <row r="22" spans="1:14" ht="20.100000000000001" customHeight="1" thickBot="1" x14ac:dyDescent="0.3">
      <c r="A22" s="31" t="s">
        <v>14</v>
      </c>
      <c r="B22" s="13">
        <f t="shared" ref="B22:M22" si="0">SUM(B7:B21)</f>
        <v>2</v>
      </c>
      <c r="C22" s="13">
        <f t="shared" si="0"/>
        <v>9</v>
      </c>
      <c r="D22" s="13">
        <f t="shared" si="0"/>
        <v>1</v>
      </c>
      <c r="E22" s="13">
        <f t="shared" si="0"/>
        <v>3</v>
      </c>
      <c r="F22" s="13">
        <f t="shared" si="0"/>
        <v>2</v>
      </c>
      <c r="G22" s="13">
        <f t="shared" si="0"/>
        <v>0</v>
      </c>
      <c r="H22" s="13">
        <f t="shared" si="0"/>
        <v>2</v>
      </c>
      <c r="I22" s="13">
        <f t="shared" si="0"/>
        <v>3</v>
      </c>
      <c r="J22" s="13">
        <f t="shared" si="0"/>
        <v>1</v>
      </c>
      <c r="K22" s="13">
        <f t="shared" si="0"/>
        <v>0</v>
      </c>
      <c r="L22" s="13">
        <f t="shared" si="0"/>
        <v>1</v>
      </c>
      <c r="M22" s="13">
        <f t="shared" si="0"/>
        <v>1</v>
      </c>
    </row>
    <row r="23" spans="1:14" ht="20.100000000000001" customHeight="1" x14ac:dyDescent="0.25"/>
    <row r="24" spans="1:14" ht="20.100000000000001" customHeight="1" x14ac:dyDescent="0.25"/>
    <row r="25" spans="1:14" ht="20.100000000000001" customHeight="1" x14ac:dyDescent="0.25"/>
    <row r="26" spans="1:14" ht="20.100000000000001" customHeight="1" x14ac:dyDescent="0.25"/>
    <row r="27" spans="1:14" ht="20.100000000000001" customHeight="1" x14ac:dyDescent="0.25"/>
    <row r="28" spans="1:14" ht="20.100000000000001" customHeight="1" x14ac:dyDescent="0.25"/>
    <row r="29" spans="1:14" ht="20.100000000000001" customHeight="1" x14ac:dyDescent="0.25"/>
    <row r="30" spans="1:14" ht="20.100000000000001" customHeight="1" x14ac:dyDescent="0.25"/>
    <row r="31" spans="1:14" ht="20.100000000000001" customHeight="1" x14ac:dyDescent="0.25"/>
    <row r="32" spans="1:14" ht="20.100000000000001" customHeight="1" x14ac:dyDescent="0.25"/>
    <row r="33" ht="20.100000000000001" customHeight="1" x14ac:dyDescent="0.25"/>
  </sheetData>
  <mergeCells count="3">
    <mergeCell ref="A1:M1"/>
    <mergeCell ref="A2:D2"/>
    <mergeCell ref="E2:M2"/>
  </mergeCells>
  <pageMargins left="0.5118110236220472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F2D3-DCBA-4662-9BC1-A5FDC1DBA658}">
  <dimension ref="A1:M41"/>
  <sheetViews>
    <sheetView workbookViewId="0">
      <pane ySplit="3" topLeftCell="A16" activePane="bottomLeft" state="frozen"/>
      <selection pane="bottomLeft" activeCell="A30" sqref="A1:M30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289</v>
      </c>
      <c r="B2" s="269"/>
      <c r="C2" s="270"/>
      <c r="D2" s="271"/>
      <c r="E2" s="322" t="s">
        <v>33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296</v>
      </c>
    </row>
    <row r="4" spans="1:13" ht="20.100000000000001" hidden="1" customHeight="1" x14ac:dyDescent="0.25">
      <c r="A4" s="7">
        <v>45296</v>
      </c>
      <c r="B4" s="6"/>
      <c r="C4" s="6">
        <v>0</v>
      </c>
      <c r="D4" s="6"/>
      <c r="E4" s="6"/>
      <c r="F4" s="6"/>
      <c r="G4" s="6"/>
      <c r="H4" s="6"/>
      <c r="I4" s="6"/>
      <c r="J4" s="6"/>
      <c r="K4" s="150"/>
      <c r="L4" s="10"/>
    </row>
    <row r="5" spans="1:13" ht="24.95" hidden="1" customHeight="1" x14ac:dyDescent="0.25">
      <c r="A5" s="32">
        <v>45329</v>
      </c>
      <c r="B5" s="8"/>
      <c r="C5" s="8">
        <v>2</v>
      </c>
      <c r="D5" s="8"/>
      <c r="E5" s="8"/>
      <c r="F5" s="8"/>
      <c r="G5" s="8"/>
      <c r="H5" s="8"/>
      <c r="I5" s="8">
        <v>0</v>
      </c>
      <c r="J5" s="8"/>
      <c r="K5" s="139"/>
      <c r="L5" s="10"/>
    </row>
    <row r="6" spans="1:13" ht="20.100000000000001" hidden="1" customHeight="1" x14ac:dyDescent="0.25">
      <c r="A6" s="11">
        <v>45357</v>
      </c>
      <c r="B6" s="10"/>
      <c r="C6" s="10"/>
      <c r="D6" s="10"/>
      <c r="E6" s="10"/>
      <c r="F6" s="10">
        <v>1</v>
      </c>
      <c r="G6" s="10"/>
      <c r="H6" s="10">
        <v>0</v>
      </c>
      <c r="I6" s="10"/>
      <c r="J6" s="10">
        <v>1</v>
      </c>
      <c r="K6" s="140"/>
      <c r="L6" s="10"/>
    </row>
    <row r="7" spans="1:13" ht="20.100000000000001" hidden="1" customHeight="1" x14ac:dyDescent="0.25">
      <c r="A7" s="11">
        <v>45453</v>
      </c>
      <c r="B7" s="10">
        <v>0</v>
      </c>
      <c r="C7" s="10"/>
      <c r="D7" s="10"/>
      <c r="E7" s="10"/>
      <c r="F7" s="10"/>
      <c r="G7" s="10"/>
      <c r="H7" s="10"/>
      <c r="I7" s="10"/>
      <c r="J7" s="10"/>
      <c r="K7" s="140"/>
      <c r="L7" s="10"/>
      <c r="M7" s="30" t="s">
        <v>66</v>
      </c>
    </row>
    <row r="8" spans="1:13" ht="20.100000000000001" hidden="1" customHeight="1" x14ac:dyDescent="0.25">
      <c r="A8" s="11">
        <v>45463</v>
      </c>
      <c r="B8" s="10">
        <v>0</v>
      </c>
      <c r="C8" s="10"/>
      <c r="D8" s="10"/>
      <c r="E8" s="10">
        <v>2</v>
      </c>
      <c r="F8" s="10">
        <v>1</v>
      </c>
      <c r="G8" s="10"/>
      <c r="H8" s="10">
        <v>1</v>
      </c>
      <c r="I8" s="10"/>
      <c r="J8" s="10"/>
      <c r="K8" s="140"/>
      <c r="L8" s="10"/>
      <c r="M8" s="30" t="s">
        <v>67</v>
      </c>
    </row>
    <row r="9" spans="1:13" ht="20.100000000000001" hidden="1" customHeight="1" x14ac:dyDescent="0.25">
      <c r="A9" s="11">
        <v>45502</v>
      </c>
      <c r="B9" s="10"/>
      <c r="C9" s="10"/>
      <c r="D9" s="10"/>
      <c r="E9" s="10"/>
      <c r="F9" s="10"/>
      <c r="G9" s="10"/>
      <c r="H9" s="10"/>
      <c r="I9" s="10"/>
      <c r="J9" s="10">
        <v>1</v>
      </c>
      <c r="K9" s="140"/>
      <c r="L9" s="10"/>
    </row>
    <row r="10" spans="1:13" ht="20.100000000000001" hidden="1" customHeight="1" x14ac:dyDescent="0.25">
      <c r="A10" s="11">
        <v>45478</v>
      </c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>
        <v>1</v>
      </c>
    </row>
    <row r="11" spans="1:13" ht="20.100000000000001" hidden="1" customHeight="1" x14ac:dyDescent="0.25">
      <c r="A11" s="11">
        <v>45533</v>
      </c>
      <c r="B11" s="10"/>
      <c r="C11" s="10">
        <v>3</v>
      </c>
      <c r="D11" s="10"/>
      <c r="E11" s="10"/>
      <c r="F11" s="10"/>
      <c r="G11" s="10"/>
      <c r="H11" s="10">
        <v>0</v>
      </c>
      <c r="I11" s="10">
        <v>1</v>
      </c>
      <c r="J11" s="10"/>
      <c r="K11" s="140"/>
      <c r="L11" s="10"/>
      <c r="M11" s="30"/>
    </row>
    <row r="12" spans="1:13" ht="20.100000000000001" customHeight="1" x14ac:dyDescent="0.25">
      <c r="A12" s="11">
        <v>45672</v>
      </c>
      <c r="B12" s="10"/>
      <c r="C12" s="10"/>
      <c r="D12" s="10"/>
      <c r="E12" s="10"/>
      <c r="F12" s="10"/>
      <c r="G12" s="10"/>
      <c r="H12" s="10"/>
      <c r="I12" s="10">
        <v>1</v>
      </c>
      <c r="J12" s="10"/>
      <c r="K12" s="140"/>
      <c r="L12" s="10"/>
      <c r="M12" s="30"/>
    </row>
    <row r="13" spans="1:13" ht="20.100000000000001" customHeight="1" x14ac:dyDescent="0.25">
      <c r="A13" s="11">
        <v>45706</v>
      </c>
      <c r="B13" s="10">
        <v>1</v>
      </c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>
        <v>45716</v>
      </c>
      <c r="B14" s="10"/>
      <c r="C14" s="10">
        <v>1</v>
      </c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>
        <v>45729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>
        <v>45820</v>
      </c>
      <c r="B16" s="10"/>
      <c r="C16" s="10">
        <v>3</v>
      </c>
      <c r="D16" s="10">
        <v>1</v>
      </c>
      <c r="E16" s="10">
        <v>2</v>
      </c>
      <c r="F16" s="10">
        <v>1</v>
      </c>
      <c r="G16" s="10"/>
      <c r="H16" s="10">
        <v>2</v>
      </c>
      <c r="I16" s="10"/>
      <c r="J16" s="10"/>
      <c r="K16" s="140"/>
      <c r="L16" s="10"/>
      <c r="M16" s="30"/>
    </row>
    <row r="17" spans="1:13" ht="20.100000000000001" customHeight="1" x14ac:dyDescent="0.25">
      <c r="A17" s="11">
        <v>45918</v>
      </c>
      <c r="B17" s="10"/>
      <c r="C17" s="10"/>
      <c r="D17" s="10"/>
      <c r="E17" s="10"/>
      <c r="F17" s="10"/>
      <c r="G17" s="10"/>
      <c r="H17" s="10">
        <v>1</v>
      </c>
      <c r="I17" s="10"/>
      <c r="J17" s="10"/>
      <c r="K17" s="140"/>
      <c r="L17" s="10"/>
      <c r="M17" s="30"/>
    </row>
    <row r="18" spans="1:13" ht="20.100000000000001" customHeight="1" x14ac:dyDescent="0.25">
      <c r="A18" s="11">
        <v>45943</v>
      </c>
      <c r="B18" s="10"/>
      <c r="C18" s="10">
        <v>1</v>
      </c>
      <c r="D18" s="10"/>
      <c r="E18" s="10"/>
      <c r="F18" s="10"/>
      <c r="G18" s="10"/>
      <c r="H18" s="10"/>
      <c r="I18" s="10">
        <v>1</v>
      </c>
      <c r="J18" s="10"/>
      <c r="K18" s="140"/>
      <c r="L18" s="10"/>
      <c r="M18" s="30"/>
    </row>
    <row r="19" spans="1:13" ht="20.100000000000001" customHeight="1" x14ac:dyDescent="0.25">
      <c r="A19" s="11">
        <v>45968</v>
      </c>
      <c r="B19" s="10">
        <v>1</v>
      </c>
      <c r="C19" s="10"/>
      <c r="D19" s="10"/>
      <c r="E19" s="10"/>
      <c r="F19" s="10"/>
      <c r="G19" s="10"/>
      <c r="H19" s="10">
        <v>1</v>
      </c>
      <c r="I19" s="10"/>
      <c r="J19" s="10"/>
      <c r="K19" s="140"/>
      <c r="L19" s="10"/>
      <c r="M19" s="30" t="s">
        <v>67</v>
      </c>
    </row>
    <row r="20" spans="1:13" ht="20.100000000000001" customHeight="1" x14ac:dyDescent="0.25">
      <c r="A20" s="11">
        <v>46000</v>
      </c>
      <c r="B20" s="10"/>
      <c r="C20" s="10">
        <v>1</v>
      </c>
      <c r="D20" s="10"/>
      <c r="E20" s="10"/>
      <c r="F20" s="10"/>
      <c r="G20" s="10"/>
      <c r="H20" s="10"/>
      <c r="I20" s="10"/>
      <c r="J20" s="10"/>
      <c r="K20" s="140"/>
      <c r="L20" s="10"/>
      <c r="M20" s="30" t="s">
        <v>241</v>
      </c>
    </row>
    <row r="21" spans="1:13" ht="40.5" customHeight="1" x14ac:dyDescent="0.25">
      <c r="A21" s="11">
        <v>46054</v>
      </c>
      <c r="B21" s="10"/>
      <c r="C21" s="10"/>
      <c r="D21" s="10"/>
      <c r="E21" s="10"/>
      <c r="F21" s="10"/>
      <c r="G21" s="10"/>
      <c r="H21" s="10"/>
      <c r="I21" s="10"/>
      <c r="J21" s="10"/>
      <c r="K21" s="140"/>
      <c r="L21" s="10">
        <v>1</v>
      </c>
      <c r="M21" s="266" t="s">
        <v>297</v>
      </c>
    </row>
    <row r="22" spans="1:13" ht="20.100000000000001" customHeight="1" x14ac:dyDescent="0.25">
      <c r="A22" s="11">
        <v>46080</v>
      </c>
      <c r="B22" s="10"/>
      <c r="C22" s="10">
        <v>1</v>
      </c>
      <c r="D22" s="10"/>
      <c r="E22" s="10"/>
      <c r="F22" s="10"/>
      <c r="G22" s="10"/>
      <c r="H22" s="10"/>
      <c r="I22" s="10"/>
      <c r="J22" s="10"/>
      <c r="K22" s="140"/>
      <c r="L22" s="10"/>
      <c r="M22" s="30"/>
    </row>
    <row r="23" spans="1:13" ht="20.100000000000001" customHeight="1" x14ac:dyDescent="0.25">
      <c r="A23" s="11"/>
      <c r="B23" s="10"/>
      <c r="C23" s="10"/>
      <c r="D23" s="10"/>
      <c r="E23" s="10"/>
      <c r="F23" s="10"/>
      <c r="G23" s="10"/>
      <c r="H23" s="10"/>
      <c r="I23" s="10"/>
      <c r="J23" s="10"/>
      <c r="K23" s="140"/>
      <c r="L23" s="10"/>
      <c r="M23" s="30"/>
    </row>
    <row r="24" spans="1:13" ht="20.100000000000001" customHeight="1" x14ac:dyDescent="0.25">
      <c r="A24" s="11"/>
      <c r="B24" s="10"/>
      <c r="C24" s="10"/>
      <c r="D24" s="10"/>
      <c r="E24" s="10"/>
      <c r="F24" s="10"/>
      <c r="G24" s="10"/>
      <c r="H24" s="10"/>
      <c r="I24" s="10"/>
      <c r="J24" s="10"/>
      <c r="K24" s="140"/>
      <c r="L24" s="10"/>
      <c r="M24" s="30"/>
    </row>
    <row r="25" spans="1:13" ht="20.100000000000001" customHeight="1" x14ac:dyDescent="0.25">
      <c r="A25" s="11"/>
      <c r="B25" s="10"/>
      <c r="C25" s="10"/>
      <c r="D25" s="10"/>
      <c r="E25" s="10"/>
      <c r="F25" s="10"/>
      <c r="G25" s="10"/>
      <c r="H25" s="10"/>
      <c r="I25" s="10"/>
      <c r="J25" s="10"/>
      <c r="K25" s="140"/>
      <c r="L25" s="10"/>
      <c r="M25" s="30"/>
    </row>
    <row r="26" spans="1:13" ht="20.100000000000001" customHeight="1" x14ac:dyDescent="0.25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40"/>
      <c r="L26" s="10"/>
      <c r="M26" s="30"/>
    </row>
    <row r="27" spans="1:13" ht="20.100000000000001" customHeight="1" x14ac:dyDescent="0.25">
      <c r="A27" s="11"/>
      <c r="B27" s="10"/>
      <c r="C27" s="10"/>
      <c r="D27" s="10"/>
      <c r="E27" s="10"/>
      <c r="F27" s="10"/>
      <c r="G27" s="10"/>
      <c r="H27" s="10"/>
      <c r="I27" s="10"/>
      <c r="J27" s="10"/>
      <c r="K27" s="140"/>
      <c r="L27" s="10"/>
      <c r="M27" s="30"/>
    </row>
    <row r="28" spans="1:13" ht="20.100000000000001" customHeight="1" x14ac:dyDescent="0.25">
      <c r="A28" s="11"/>
      <c r="B28" s="10"/>
      <c r="C28" s="10"/>
      <c r="D28" s="10"/>
      <c r="E28" s="10"/>
      <c r="F28" s="10"/>
      <c r="G28" s="10"/>
      <c r="H28" s="10"/>
      <c r="I28" s="10"/>
      <c r="J28" s="10"/>
      <c r="K28" s="140"/>
      <c r="L28" s="10"/>
      <c r="M28" s="30"/>
    </row>
    <row r="29" spans="1:13" ht="20.100000000000001" customHeight="1" x14ac:dyDescent="0.25">
      <c r="A29" s="267"/>
      <c r="B29" s="10"/>
      <c r="C29" s="10"/>
      <c r="D29" s="10"/>
      <c r="E29" s="10"/>
      <c r="F29" s="10"/>
      <c r="G29" s="10"/>
      <c r="H29" s="10"/>
      <c r="I29" s="10"/>
      <c r="J29" s="10"/>
      <c r="K29" s="140"/>
      <c r="L29" s="10"/>
      <c r="M29" s="30"/>
    </row>
    <row r="30" spans="1:13" ht="20.100000000000001" customHeight="1" thickBot="1" x14ac:dyDescent="0.3">
      <c r="A30" s="31" t="s">
        <v>14</v>
      </c>
      <c r="B30" s="13">
        <f>SUM(B4:B29)</f>
        <v>3</v>
      </c>
      <c r="C30" s="13">
        <f t="shared" ref="C30:L30" si="0">SUM(C4:C29)</f>
        <v>12</v>
      </c>
      <c r="D30" s="13">
        <f t="shared" si="0"/>
        <v>1</v>
      </c>
      <c r="E30" s="13">
        <f t="shared" si="0"/>
        <v>4</v>
      </c>
      <c r="F30" s="13">
        <f t="shared" si="0"/>
        <v>3</v>
      </c>
      <c r="G30" s="13">
        <f t="shared" si="0"/>
        <v>0</v>
      </c>
      <c r="H30" s="13">
        <f t="shared" si="0"/>
        <v>5</v>
      </c>
      <c r="I30" s="13">
        <f t="shared" si="0"/>
        <v>3</v>
      </c>
      <c r="J30" s="13">
        <f t="shared" si="0"/>
        <v>2</v>
      </c>
      <c r="K30" s="151">
        <f t="shared" si="0"/>
        <v>0</v>
      </c>
      <c r="L30" s="142">
        <f t="shared" si="0"/>
        <v>2</v>
      </c>
    </row>
    <row r="31" spans="1:13" ht="20.100000000000001" customHeight="1" x14ac:dyDescent="0.25"/>
    <row r="32" spans="1:13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</sheetData>
  <mergeCells count="3">
    <mergeCell ref="A2:D2"/>
    <mergeCell ref="A1:L1"/>
    <mergeCell ref="E2:L2"/>
  </mergeCells>
  <pageMargins left="0.70866141732283472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E4065-E9CE-47DC-A666-36BE3A466F0E}">
  <dimension ref="A1:L33"/>
  <sheetViews>
    <sheetView workbookViewId="0">
      <selection activeCell="A22" sqref="A1:K22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289</v>
      </c>
      <c r="B2" s="269"/>
      <c r="C2" s="270"/>
      <c r="D2" s="271"/>
      <c r="E2" s="314" t="s">
        <v>34</v>
      </c>
      <c r="F2" s="315"/>
      <c r="G2" s="315"/>
      <c r="H2" s="315"/>
      <c r="I2" s="315"/>
      <c r="J2" s="315"/>
      <c r="K2" s="315"/>
    </row>
    <row r="3" spans="1:12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33" t="s">
        <v>49</v>
      </c>
    </row>
    <row r="4" spans="1:12" ht="20.100000000000001" hidden="1" customHeight="1" x14ac:dyDescent="0.25">
      <c r="A4" s="7">
        <v>45113</v>
      </c>
      <c r="B4" s="6"/>
      <c r="C4" s="6">
        <v>2</v>
      </c>
      <c r="D4" s="6"/>
      <c r="E4" s="6"/>
      <c r="F4" s="6">
        <v>1</v>
      </c>
      <c r="G4" s="6"/>
      <c r="H4" s="6"/>
      <c r="I4" s="6"/>
      <c r="J4" s="6"/>
      <c r="K4" s="6"/>
    </row>
    <row r="5" spans="1:12" ht="24.95" hidden="1" customHeight="1" x14ac:dyDescent="0.25">
      <c r="A5" s="32">
        <v>45224</v>
      </c>
      <c r="B5" s="8"/>
      <c r="C5" s="8">
        <v>2</v>
      </c>
      <c r="D5" s="8"/>
      <c r="E5" s="8">
        <v>1</v>
      </c>
      <c r="F5" s="8">
        <v>1</v>
      </c>
      <c r="G5" s="8"/>
      <c r="H5" s="8">
        <v>1</v>
      </c>
      <c r="I5" s="8">
        <v>1</v>
      </c>
      <c r="J5" s="8"/>
      <c r="K5" s="8"/>
    </row>
    <row r="6" spans="1:12" ht="20.100000000000001" hidden="1" customHeight="1" x14ac:dyDescent="0.25">
      <c r="A6" s="11">
        <v>45225</v>
      </c>
      <c r="B6" s="10"/>
      <c r="C6" s="10"/>
      <c r="D6" s="10"/>
      <c r="E6" s="10"/>
      <c r="F6" s="10"/>
      <c r="G6" s="10">
        <v>0</v>
      </c>
      <c r="H6" s="10"/>
      <c r="I6" s="10"/>
      <c r="J6" s="10"/>
      <c r="K6" s="10"/>
    </row>
    <row r="7" spans="1:12" ht="20.100000000000001" hidden="1" customHeight="1" x14ac:dyDescent="0.25">
      <c r="A7" s="11">
        <v>45272</v>
      </c>
      <c r="B7" s="10">
        <v>1</v>
      </c>
      <c r="C7" s="10"/>
      <c r="D7" s="10"/>
      <c r="E7" s="10"/>
      <c r="F7" s="10"/>
      <c r="G7" s="10"/>
      <c r="H7" s="10"/>
      <c r="I7" s="10"/>
      <c r="J7" s="10"/>
      <c r="K7" s="10"/>
      <c r="L7" s="30"/>
    </row>
    <row r="8" spans="1:12" ht="20.100000000000001" hidden="1" customHeight="1" x14ac:dyDescent="0.25">
      <c r="A8" s="11" t="s">
        <v>13</v>
      </c>
      <c r="B8" s="10"/>
      <c r="C8" s="10"/>
      <c r="D8" s="10">
        <v>1</v>
      </c>
      <c r="E8" s="10"/>
      <c r="F8" s="10"/>
      <c r="G8" s="10"/>
      <c r="H8" s="10"/>
      <c r="I8" s="10"/>
      <c r="J8" s="10"/>
      <c r="K8" s="10"/>
    </row>
    <row r="9" spans="1:12" ht="20.100000000000001" hidden="1" customHeight="1" x14ac:dyDescent="0.25">
      <c r="A9" s="11">
        <v>45447</v>
      </c>
      <c r="B9" s="10"/>
      <c r="C9" s="10"/>
      <c r="D9" s="10"/>
      <c r="E9" s="10"/>
      <c r="F9" s="10"/>
      <c r="G9" s="10"/>
      <c r="H9" s="10">
        <v>0</v>
      </c>
      <c r="I9" s="10"/>
      <c r="J9" s="10"/>
      <c r="K9" s="10"/>
      <c r="L9" s="30" t="s">
        <v>46</v>
      </c>
    </row>
    <row r="10" spans="1:12" ht="20.100000000000001" hidden="1" customHeight="1" x14ac:dyDescent="0.25">
      <c r="A10" s="11">
        <v>45474</v>
      </c>
      <c r="B10" s="10"/>
      <c r="C10" s="10"/>
      <c r="D10" s="10"/>
      <c r="E10" s="10"/>
      <c r="F10" s="10">
        <v>1</v>
      </c>
      <c r="G10" s="10"/>
      <c r="H10" s="10"/>
      <c r="I10" s="10"/>
      <c r="J10" s="10"/>
      <c r="K10" s="10"/>
      <c r="L10" s="30"/>
    </row>
    <row r="11" spans="1:12" ht="20.100000000000001" hidden="1" customHeight="1" x14ac:dyDescent="0.25">
      <c r="A11" s="11">
        <v>45605</v>
      </c>
      <c r="B11" s="10"/>
      <c r="C11" s="10">
        <v>0</v>
      </c>
      <c r="D11" s="10"/>
      <c r="E11" s="10">
        <v>1</v>
      </c>
      <c r="F11" s="10"/>
      <c r="G11" s="10"/>
      <c r="H11" s="10"/>
      <c r="I11" s="10"/>
      <c r="J11" s="10"/>
      <c r="K11" s="10"/>
      <c r="L11" s="30"/>
    </row>
    <row r="12" spans="1:12" ht="20.100000000000001" customHeight="1" x14ac:dyDescent="0.25">
      <c r="A12" s="11">
        <v>45672</v>
      </c>
      <c r="B12" s="10"/>
      <c r="C12" s="10">
        <v>0</v>
      </c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x14ac:dyDescent="0.25">
      <c r="A13" s="11">
        <v>45692</v>
      </c>
      <c r="B13" s="10"/>
      <c r="C13" s="10">
        <v>0</v>
      </c>
      <c r="D13" s="10"/>
      <c r="E13" s="10">
        <v>1</v>
      </c>
      <c r="F13" s="10"/>
      <c r="G13" s="10"/>
      <c r="H13" s="10"/>
      <c r="I13" s="10"/>
      <c r="J13" s="10"/>
      <c r="K13" s="10"/>
      <c r="L13" s="30"/>
    </row>
    <row r="14" spans="1:12" ht="20.100000000000001" customHeight="1" x14ac:dyDescent="0.25">
      <c r="A14" s="11">
        <v>45867</v>
      </c>
      <c r="B14" s="10"/>
      <c r="C14" s="10"/>
      <c r="D14" s="10">
        <v>1</v>
      </c>
      <c r="E14" s="10"/>
      <c r="F14" s="10">
        <v>1</v>
      </c>
      <c r="G14" s="10"/>
      <c r="H14" s="10"/>
      <c r="I14" s="10"/>
      <c r="J14" s="10"/>
      <c r="K14" s="10"/>
      <c r="L14" s="30"/>
    </row>
    <row r="15" spans="1:12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0"/>
    </row>
    <row r="16" spans="1:12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0"/>
    </row>
    <row r="17" spans="1:12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0"/>
    </row>
    <row r="18" spans="1:12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0"/>
    </row>
    <row r="19" spans="1:12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0"/>
    </row>
    <row r="20" spans="1:12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0"/>
    </row>
    <row r="21" spans="1:12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0"/>
    </row>
    <row r="22" spans="1:12" ht="20.100000000000001" customHeight="1" thickBot="1" x14ac:dyDescent="0.3">
      <c r="A22" s="31" t="s">
        <v>14</v>
      </c>
      <c r="B22" s="13">
        <f>SUM(B12:B21)</f>
        <v>0</v>
      </c>
      <c r="C22" s="13">
        <f t="shared" ref="C22:K22" si="0">SUM(C12:C21)</f>
        <v>0</v>
      </c>
      <c r="D22" s="13">
        <f t="shared" si="0"/>
        <v>1</v>
      </c>
      <c r="E22" s="13">
        <f t="shared" si="0"/>
        <v>1</v>
      </c>
      <c r="F22" s="13">
        <f t="shared" si="0"/>
        <v>1</v>
      </c>
      <c r="G22" s="13">
        <f t="shared" si="0"/>
        <v>0</v>
      </c>
      <c r="H22" s="13">
        <f t="shared" si="0"/>
        <v>0</v>
      </c>
      <c r="I22" s="13">
        <f t="shared" si="0"/>
        <v>0</v>
      </c>
      <c r="J22" s="13">
        <f t="shared" si="0"/>
        <v>0</v>
      </c>
      <c r="K22" s="13">
        <f t="shared" si="0"/>
        <v>0</v>
      </c>
    </row>
    <row r="23" spans="1:12" ht="20.100000000000001" customHeight="1" x14ac:dyDescent="0.25"/>
    <row r="24" spans="1:12" ht="20.100000000000001" customHeight="1" x14ac:dyDescent="0.25"/>
    <row r="25" spans="1:12" ht="20.100000000000001" customHeight="1" x14ac:dyDescent="0.25"/>
    <row r="26" spans="1:12" ht="20.100000000000001" customHeight="1" x14ac:dyDescent="0.25"/>
    <row r="27" spans="1:12" ht="20.100000000000001" customHeight="1" x14ac:dyDescent="0.25"/>
    <row r="28" spans="1:12" ht="20.100000000000001" customHeight="1" x14ac:dyDescent="0.25"/>
    <row r="29" spans="1:12" ht="20.100000000000001" customHeight="1" x14ac:dyDescent="0.25"/>
    <row r="30" spans="1:12" ht="20.100000000000001" customHeight="1" x14ac:dyDescent="0.25"/>
    <row r="31" spans="1:12" ht="20.100000000000001" customHeight="1" x14ac:dyDescent="0.25"/>
    <row r="32" spans="1:12" ht="20.100000000000001" customHeight="1" x14ac:dyDescent="0.25"/>
    <row r="33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6251-424B-4FDF-BF1D-E4876B18B1ED}">
  <dimension ref="A1:M38"/>
  <sheetViews>
    <sheetView workbookViewId="0">
      <selection activeCell="A27" sqref="A1:M27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289</v>
      </c>
      <c r="B2" s="269"/>
      <c r="C2" s="270"/>
      <c r="D2" s="271"/>
      <c r="E2" s="322" t="s">
        <v>52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hidden="1" customHeight="1" x14ac:dyDescent="0.25">
      <c r="A4" s="7">
        <v>44930</v>
      </c>
      <c r="B4" s="6"/>
      <c r="C4" s="6">
        <v>4</v>
      </c>
      <c r="D4" s="6"/>
      <c r="E4" s="6">
        <v>1</v>
      </c>
      <c r="F4" s="6"/>
      <c r="G4" s="6"/>
      <c r="H4" s="6"/>
      <c r="I4" s="6">
        <v>1</v>
      </c>
      <c r="J4" s="6"/>
      <c r="K4" s="150"/>
      <c r="L4" s="10"/>
    </row>
    <row r="5" spans="1:13" ht="24.95" hidden="1" customHeight="1" x14ac:dyDescent="0.25">
      <c r="A5" s="32">
        <v>44981</v>
      </c>
      <c r="B5" s="8"/>
      <c r="C5" s="8"/>
      <c r="D5" s="8"/>
      <c r="E5" s="8"/>
      <c r="F5" s="8">
        <v>1</v>
      </c>
      <c r="G5" s="8"/>
      <c r="H5" s="8"/>
      <c r="I5" s="8"/>
      <c r="J5" s="8"/>
      <c r="K5" s="139"/>
      <c r="L5" s="10"/>
    </row>
    <row r="6" spans="1:13" ht="20.100000000000001" hidden="1" customHeight="1" x14ac:dyDescent="0.25">
      <c r="A6" s="11">
        <v>45044</v>
      </c>
      <c r="B6" s="10"/>
      <c r="C6" s="10"/>
      <c r="D6" s="10">
        <v>1</v>
      </c>
      <c r="E6" s="10"/>
      <c r="F6" s="10"/>
      <c r="G6" s="10"/>
      <c r="H6" s="10"/>
      <c r="I6" s="10"/>
      <c r="J6" s="10"/>
      <c r="K6" s="140"/>
      <c r="L6" s="10"/>
    </row>
    <row r="7" spans="1:13" ht="20.100000000000001" hidden="1" customHeight="1" x14ac:dyDescent="0.25">
      <c r="A7" s="11">
        <v>45138</v>
      </c>
      <c r="B7" s="10"/>
      <c r="C7" s="10"/>
      <c r="D7" s="10"/>
      <c r="E7" s="10"/>
      <c r="F7" s="10"/>
      <c r="G7" s="10"/>
      <c r="H7" s="10"/>
      <c r="I7" s="10"/>
      <c r="J7" s="10"/>
      <c r="K7" s="140"/>
      <c r="L7" s="10"/>
      <c r="M7" s="30"/>
    </row>
    <row r="8" spans="1:13" ht="20.100000000000001" hidden="1" customHeight="1" x14ac:dyDescent="0.25">
      <c r="A8" s="11">
        <v>45224</v>
      </c>
      <c r="B8" s="10"/>
      <c r="C8" s="10">
        <v>3</v>
      </c>
      <c r="D8" s="10"/>
      <c r="E8" s="10">
        <v>2</v>
      </c>
      <c r="F8" s="10">
        <v>1</v>
      </c>
      <c r="G8" s="10"/>
      <c r="H8" s="10">
        <v>1</v>
      </c>
      <c r="I8" s="10">
        <v>1</v>
      </c>
      <c r="J8" s="10"/>
      <c r="K8" s="140"/>
      <c r="L8" s="10"/>
    </row>
    <row r="9" spans="1:13" ht="20.100000000000001" hidden="1" customHeight="1" x14ac:dyDescent="0.25">
      <c r="A9" s="11">
        <v>45233</v>
      </c>
      <c r="B9" s="10"/>
      <c r="C9" s="10"/>
      <c r="D9" s="10"/>
      <c r="E9" s="10"/>
      <c r="F9" s="10"/>
      <c r="G9" s="10">
        <v>1</v>
      </c>
      <c r="H9" s="10"/>
      <c r="I9" s="10"/>
      <c r="J9" s="10"/>
      <c r="K9" s="140"/>
      <c r="L9" s="10"/>
      <c r="M9" s="30"/>
    </row>
    <row r="10" spans="1:13" ht="20.100000000000001" hidden="1" customHeight="1" x14ac:dyDescent="0.25">
      <c r="A10" s="11">
        <v>45254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40"/>
      <c r="L10" s="10"/>
      <c r="M10" s="30" t="s">
        <v>43</v>
      </c>
    </row>
    <row r="11" spans="1:13" ht="20.100000000000001" hidden="1" customHeight="1" x14ac:dyDescent="0.25">
      <c r="A11" s="11">
        <v>45286</v>
      </c>
      <c r="B11" s="10"/>
      <c r="C11" s="10"/>
      <c r="D11" s="10"/>
      <c r="E11" s="10"/>
      <c r="F11" s="10"/>
      <c r="G11" s="10"/>
      <c r="H11" s="10"/>
      <c r="I11" s="10"/>
      <c r="J11" s="10">
        <v>1</v>
      </c>
      <c r="K11" s="140"/>
      <c r="L11" s="10"/>
      <c r="M11" s="30"/>
    </row>
    <row r="12" spans="1:13" ht="20.100000000000001" hidden="1" customHeight="1" x14ac:dyDescent="0.25">
      <c r="A12" s="11">
        <v>45463</v>
      </c>
      <c r="B12" s="10">
        <v>1</v>
      </c>
      <c r="C12" s="10"/>
      <c r="D12" s="10"/>
      <c r="E12" s="10">
        <v>2</v>
      </c>
      <c r="F12" s="10">
        <v>1</v>
      </c>
      <c r="G12" s="10"/>
      <c r="H12" s="10">
        <v>1</v>
      </c>
      <c r="I12" s="10"/>
      <c r="J12" s="10"/>
      <c r="K12" s="140"/>
      <c r="L12" s="10"/>
      <c r="M12" s="30" t="s">
        <v>66</v>
      </c>
    </row>
    <row r="13" spans="1:13" ht="20.100000000000001" hidden="1" customHeight="1" x14ac:dyDescent="0.25">
      <c r="A13" s="11">
        <v>45478</v>
      </c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>
        <v>1</v>
      </c>
      <c r="M13" s="30"/>
    </row>
    <row r="14" spans="1:13" ht="20.100000000000001" hidden="1" customHeight="1" x14ac:dyDescent="0.25">
      <c r="A14" s="11">
        <v>45533</v>
      </c>
      <c r="B14" s="10"/>
      <c r="C14" s="10">
        <v>3</v>
      </c>
      <c r="D14" s="10"/>
      <c r="E14" s="10">
        <v>1</v>
      </c>
      <c r="F14" s="10"/>
      <c r="G14" s="10"/>
      <c r="H14" s="10"/>
      <c r="I14" s="10">
        <v>1</v>
      </c>
      <c r="J14" s="10">
        <v>1</v>
      </c>
      <c r="K14" s="140"/>
      <c r="L14" s="10"/>
      <c r="M14" s="30"/>
    </row>
    <row r="15" spans="1:13" ht="20.100000000000001" hidden="1" customHeight="1" x14ac:dyDescent="0.25">
      <c r="A15" s="11">
        <v>45569</v>
      </c>
      <c r="B15" s="10"/>
      <c r="C15" s="10">
        <v>1</v>
      </c>
      <c r="D15" s="10"/>
      <c r="E15" s="10"/>
      <c r="F15" s="10"/>
      <c r="G15" s="10"/>
      <c r="H15" s="10"/>
      <c r="I15" s="10">
        <v>1</v>
      </c>
      <c r="J15" s="10"/>
      <c r="K15" s="140"/>
      <c r="L15" s="10"/>
      <c r="M15" s="30"/>
    </row>
    <row r="16" spans="1:13" ht="20.100000000000001" customHeight="1" x14ac:dyDescent="0.25">
      <c r="A16" s="11">
        <v>45820</v>
      </c>
      <c r="B16" s="131"/>
      <c r="C16" s="10">
        <v>3</v>
      </c>
      <c r="D16" s="10">
        <v>1</v>
      </c>
      <c r="E16" s="10">
        <v>2</v>
      </c>
      <c r="F16" s="10">
        <v>1</v>
      </c>
      <c r="G16" s="10"/>
      <c r="H16" s="10">
        <v>2</v>
      </c>
      <c r="I16" s="10"/>
      <c r="J16" s="10"/>
      <c r="K16" s="140"/>
      <c r="L16" s="10"/>
      <c r="M16" s="30" t="s">
        <v>214</v>
      </c>
    </row>
    <row r="17" spans="1:13" ht="20.100000000000001" customHeight="1" x14ac:dyDescent="0.25">
      <c r="A17" s="11">
        <v>45831</v>
      </c>
      <c r="B17" s="10"/>
      <c r="C17" s="10"/>
      <c r="D17" s="10"/>
      <c r="E17" s="10"/>
      <c r="F17" s="10"/>
      <c r="G17" s="10"/>
      <c r="H17" s="10"/>
      <c r="I17" s="10"/>
      <c r="J17" s="10"/>
      <c r="K17" s="140">
        <v>1</v>
      </c>
      <c r="L17" s="10"/>
      <c r="M17" s="30"/>
    </row>
    <row r="18" spans="1:13" ht="20.100000000000001" customHeight="1" x14ac:dyDescent="0.25">
      <c r="A18" s="11">
        <v>45939</v>
      </c>
      <c r="B18" s="10"/>
      <c r="C18" s="10">
        <v>1</v>
      </c>
      <c r="D18" s="10"/>
      <c r="E18" s="10">
        <v>1</v>
      </c>
      <c r="F18" s="10"/>
      <c r="G18" s="10"/>
      <c r="H18" s="10"/>
      <c r="I18" s="10">
        <v>1</v>
      </c>
      <c r="J18" s="10"/>
      <c r="K18" s="140"/>
      <c r="L18" s="10"/>
      <c r="M18" s="30"/>
    </row>
    <row r="19" spans="1:13" ht="20.100000000000001" customHeight="1" x14ac:dyDescent="0.25">
      <c r="A19" s="11">
        <v>45944</v>
      </c>
      <c r="B19" s="10">
        <v>0</v>
      </c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 t="s">
        <v>247</v>
      </c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40"/>
      <c r="L21" s="10"/>
      <c r="M21" s="30"/>
    </row>
    <row r="22" spans="1:13" ht="20.100000000000001" customHeight="1" x14ac:dyDescent="0.25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40"/>
      <c r="L22" s="10"/>
      <c r="M22" s="30"/>
    </row>
    <row r="23" spans="1:13" ht="20.100000000000001" customHeight="1" x14ac:dyDescent="0.25">
      <c r="A23" s="11"/>
      <c r="B23" s="10"/>
      <c r="C23" s="10"/>
      <c r="D23" s="10"/>
      <c r="E23" s="10"/>
      <c r="F23" s="10"/>
      <c r="G23" s="10"/>
      <c r="H23" s="10"/>
      <c r="I23" s="10"/>
      <c r="J23" s="10"/>
      <c r="K23" s="140"/>
      <c r="L23" s="10"/>
      <c r="M23" s="30"/>
    </row>
    <row r="24" spans="1:13" ht="20.100000000000001" customHeight="1" x14ac:dyDescent="0.25">
      <c r="A24" s="11"/>
      <c r="B24" s="10"/>
      <c r="C24" s="10"/>
      <c r="D24" s="10"/>
      <c r="E24" s="10"/>
      <c r="F24" s="10"/>
      <c r="G24" s="10"/>
      <c r="H24" s="10"/>
      <c r="I24" s="10"/>
      <c r="J24" s="10"/>
      <c r="K24" s="140"/>
      <c r="L24" s="10"/>
      <c r="M24" s="30"/>
    </row>
    <row r="25" spans="1:13" ht="20.100000000000001" customHeight="1" x14ac:dyDescent="0.25">
      <c r="A25" s="11"/>
      <c r="B25" s="10"/>
      <c r="C25" s="10"/>
      <c r="D25" s="10"/>
      <c r="E25" s="10"/>
      <c r="F25" s="10"/>
      <c r="G25" s="10"/>
      <c r="H25" s="10"/>
      <c r="I25" s="10"/>
      <c r="J25" s="10"/>
      <c r="K25" s="140"/>
      <c r="L25" s="10"/>
      <c r="M25" s="30"/>
    </row>
    <row r="26" spans="1:13" ht="20.100000000000001" customHeight="1" x14ac:dyDescent="0.25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40"/>
      <c r="L26" s="10"/>
      <c r="M26" s="30"/>
    </row>
    <row r="27" spans="1:13" ht="20.100000000000001" customHeight="1" thickBot="1" x14ac:dyDescent="0.3">
      <c r="A27" s="31" t="s">
        <v>14</v>
      </c>
      <c r="B27" s="13">
        <f>SUM(B16:B26)</f>
        <v>0</v>
      </c>
      <c r="C27" s="13">
        <f t="shared" ref="C27:L27" si="0">SUM(C16:C26)</f>
        <v>4</v>
      </c>
      <c r="D27" s="13">
        <f t="shared" si="0"/>
        <v>1</v>
      </c>
      <c r="E27" s="13">
        <f t="shared" si="0"/>
        <v>3</v>
      </c>
      <c r="F27" s="13">
        <f t="shared" si="0"/>
        <v>1</v>
      </c>
      <c r="G27" s="13">
        <f t="shared" si="0"/>
        <v>0</v>
      </c>
      <c r="H27" s="13">
        <f t="shared" si="0"/>
        <v>2</v>
      </c>
      <c r="I27" s="13">
        <f t="shared" si="0"/>
        <v>1</v>
      </c>
      <c r="J27" s="13">
        <f t="shared" si="0"/>
        <v>0</v>
      </c>
      <c r="K27" s="13">
        <f t="shared" si="0"/>
        <v>1</v>
      </c>
      <c r="L27" s="13">
        <f t="shared" si="0"/>
        <v>0</v>
      </c>
    </row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</sheetData>
  <mergeCells count="3">
    <mergeCell ref="A2:D2"/>
    <mergeCell ref="A1:L1"/>
    <mergeCell ref="E2:L2"/>
  </mergeCells>
  <pageMargins left="1.1023622047244095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BF1D-1954-49D8-AEF8-2C1782D9A599}">
  <dimension ref="A1:L30"/>
  <sheetViews>
    <sheetView workbookViewId="0">
      <selection activeCell="A19" sqref="A1:K19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289</v>
      </c>
      <c r="B2" s="269"/>
      <c r="C2" s="270"/>
      <c r="D2" s="271"/>
      <c r="E2" s="314" t="s">
        <v>53</v>
      </c>
      <c r="F2" s="315"/>
      <c r="G2" s="315"/>
      <c r="H2" s="315"/>
      <c r="I2" s="315"/>
      <c r="J2" s="315"/>
      <c r="K2" s="315"/>
    </row>
    <row r="3" spans="1:12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33" t="s">
        <v>49</v>
      </c>
    </row>
    <row r="4" spans="1:12" ht="20.100000000000001" hidden="1" customHeight="1" x14ac:dyDescent="0.25">
      <c r="A4" s="7">
        <v>44930</v>
      </c>
      <c r="B4" s="6">
        <v>0</v>
      </c>
      <c r="C4" s="6">
        <v>1</v>
      </c>
      <c r="D4" s="6"/>
      <c r="E4" s="6">
        <v>2</v>
      </c>
      <c r="F4" s="6"/>
      <c r="G4" s="6"/>
      <c r="H4" s="6">
        <v>2</v>
      </c>
      <c r="I4" s="6">
        <v>2</v>
      </c>
      <c r="J4" s="6"/>
      <c r="K4" s="6"/>
    </row>
    <row r="5" spans="1:12" ht="24.95" hidden="1" customHeight="1" x14ac:dyDescent="0.25">
      <c r="A5" s="32">
        <v>45050</v>
      </c>
      <c r="B5" s="8"/>
      <c r="C5" s="8"/>
      <c r="D5" s="8">
        <v>1</v>
      </c>
      <c r="E5" s="8"/>
      <c r="F5" s="8"/>
      <c r="G5" s="8"/>
      <c r="H5" s="8"/>
      <c r="I5" s="8"/>
      <c r="J5" s="8"/>
      <c r="K5" s="8"/>
    </row>
    <row r="6" spans="1:12" ht="20.100000000000001" hidden="1" customHeight="1" x14ac:dyDescent="0.25">
      <c r="A6" s="11">
        <v>45090</v>
      </c>
      <c r="B6" s="10"/>
      <c r="C6" s="10"/>
      <c r="D6" s="10"/>
      <c r="E6" s="10"/>
      <c r="F6" s="10">
        <v>1</v>
      </c>
      <c r="G6" s="10"/>
      <c r="H6" s="10"/>
      <c r="I6" s="10"/>
      <c r="J6" s="10"/>
      <c r="K6" s="10"/>
    </row>
    <row r="7" spans="1:12" ht="20.100000000000001" hidden="1" customHeight="1" x14ac:dyDescent="0.25">
      <c r="A7" s="11">
        <v>45224</v>
      </c>
      <c r="B7" s="10">
        <v>1</v>
      </c>
      <c r="C7" s="10">
        <v>3</v>
      </c>
      <c r="D7" s="10"/>
      <c r="E7" s="10">
        <v>2</v>
      </c>
      <c r="F7" s="10"/>
      <c r="G7" s="10"/>
      <c r="H7" s="10">
        <v>1</v>
      </c>
      <c r="I7" s="10">
        <v>1</v>
      </c>
      <c r="J7" s="10"/>
      <c r="K7" s="10"/>
      <c r="L7" s="30"/>
    </row>
    <row r="8" spans="1:12" ht="20.100000000000001" hidden="1" customHeight="1" x14ac:dyDescent="0.25">
      <c r="A8" s="11">
        <v>45225</v>
      </c>
      <c r="B8" s="10"/>
      <c r="C8" s="10"/>
      <c r="D8" s="10"/>
      <c r="E8" s="10"/>
      <c r="F8" s="10"/>
      <c r="G8" s="10">
        <v>1</v>
      </c>
      <c r="H8" s="10"/>
      <c r="I8" s="10"/>
      <c r="J8" s="10"/>
      <c r="K8" s="10"/>
    </row>
    <row r="9" spans="1:12" ht="20.100000000000001" customHeight="1" x14ac:dyDescent="0.25">
      <c r="A9" s="11">
        <v>45463</v>
      </c>
      <c r="B9" s="10"/>
      <c r="C9" s="10"/>
      <c r="D9" s="10"/>
      <c r="E9" s="10">
        <v>2</v>
      </c>
      <c r="F9" s="10">
        <v>1</v>
      </c>
      <c r="G9" s="10"/>
      <c r="H9" s="10">
        <v>0</v>
      </c>
      <c r="I9" s="10"/>
      <c r="J9" s="10"/>
      <c r="K9" s="10"/>
    </row>
    <row r="10" spans="1:12" ht="20.100000000000001" customHeight="1" x14ac:dyDescent="0.25">
      <c r="A10" s="11">
        <v>45476</v>
      </c>
      <c r="B10" s="10"/>
      <c r="C10" s="10"/>
      <c r="D10" s="10">
        <v>1</v>
      </c>
      <c r="E10" s="10"/>
      <c r="F10" s="10"/>
      <c r="G10" s="10"/>
      <c r="H10" s="10"/>
      <c r="I10" s="10"/>
      <c r="J10" s="10"/>
      <c r="K10" s="10"/>
    </row>
    <row r="11" spans="1:12" ht="20.100000000000001" customHeight="1" x14ac:dyDescent="0.25">
      <c r="A11" s="11">
        <v>45551</v>
      </c>
      <c r="B11" s="10"/>
      <c r="C11" s="10">
        <v>3</v>
      </c>
      <c r="D11" s="10"/>
      <c r="E11" s="10"/>
      <c r="F11" s="10"/>
      <c r="G11" s="10"/>
      <c r="H11" s="10"/>
      <c r="I11" s="10">
        <v>2</v>
      </c>
      <c r="J11" s="10">
        <v>1</v>
      </c>
      <c r="K11" s="10"/>
    </row>
    <row r="12" spans="1:12" ht="20.100000000000001" customHeight="1" x14ac:dyDescent="0.25">
      <c r="A12" s="11">
        <v>45605</v>
      </c>
      <c r="B12" s="10">
        <v>1</v>
      </c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x14ac:dyDescent="0.25">
      <c r="A13" s="11" t="s">
        <v>248</v>
      </c>
      <c r="B13" s="10"/>
      <c r="C13" s="10">
        <v>1</v>
      </c>
      <c r="D13" s="10"/>
      <c r="E13" s="10">
        <v>1</v>
      </c>
      <c r="F13" s="10"/>
      <c r="G13" s="10"/>
      <c r="H13" s="10"/>
      <c r="I13" s="10">
        <v>1</v>
      </c>
      <c r="J13" s="10"/>
      <c r="K13" s="10"/>
      <c r="L13" s="30"/>
    </row>
    <row r="14" spans="1:12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0"/>
    </row>
    <row r="16" spans="1:12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0"/>
    </row>
    <row r="17" spans="1:12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0"/>
    </row>
    <row r="18" spans="1:12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0"/>
    </row>
    <row r="19" spans="1:12" ht="20.100000000000001" customHeight="1" thickBot="1" x14ac:dyDescent="0.3">
      <c r="A19" s="31" t="s">
        <v>14</v>
      </c>
      <c r="B19" s="13">
        <f>SUM(B9:B18)</f>
        <v>1</v>
      </c>
      <c r="C19" s="13">
        <f t="shared" ref="C19:K19" si="0">SUM(C9:C18)</f>
        <v>4</v>
      </c>
      <c r="D19" s="13">
        <f t="shared" si="0"/>
        <v>1</v>
      </c>
      <c r="E19" s="13">
        <f t="shared" si="0"/>
        <v>3</v>
      </c>
      <c r="F19" s="13">
        <f t="shared" si="0"/>
        <v>1</v>
      </c>
      <c r="G19" s="13">
        <f t="shared" si="0"/>
        <v>0</v>
      </c>
      <c r="H19" s="13">
        <f t="shared" si="0"/>
        <v>0</v>
      </c>
      <c r="I19" s="13">
        <f t="shared" si="0"/>
        <v>3</v>
      </c>
      <c r="J19" s="13">
        <f t="shared" si="0"/>
        <v>1</v>
      </c>
      <c r="K19" s="13">
        <f t="shared" si="0"/>
        <v>0</v>
      </c>
    </row>
    <row r="20" spans="1:12" ht="20.100000000000001" customHeight="1" x14ac:dyDescent="0.25"/>
    <row r="21" spans="1:12" ht="20.100000000000001" customHeight="1" x14ac:dyDescent="0.25"/>
    <row r="22" spans="1:12" ht="20.100000000000001" customHeight="1" x14ac:dyDescent="0.25"/>
    <row r="23" spans="1:12" ht="20.100000000000001" customHeight="1" x14ac:dyDescent="0.25"/>
    <row r="24" spans="1:12" ht="20.100000000000001" customHeight="1" x14ac:dyDescent="0.25"/>
    <row r="25" spans="1:12" ht="20.100000000000001" customHeight="1" x14ac:dyDescent="0.25"/>
    <row r="26" spans="1:12" ht="20.100000000000001" customHeight="1" x14ac:dyDescent="0.25"/>
    <row r="27" spans="1:12" ht="20.100000000000001" customHeight="1" x14ac:dyDescent="0.25"/>
    <row r="28" spans="1:12" ht="20.100000000000001" customHeight="1" x14ac:dyDescent="0.25"/>
    <row r="29" spans="1:12" ht="20.100000000000001" customHeight="1" x14ac:dyDescent="0.25"/>
    <row r="30" spans="1:12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2069-E54A-4720-9443-CFC02BA0A984}">
  <sheetPr>
    <tabColor rgb="FFFF0000"/>
  </sheetPr>
  <dimension ref="A1:L30"/>
  <sheetViews>
    <sheetView workbookViewId="0">
      <selection activeCell="I24" sqref="I24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286</v>
      </c>
      <c r="B2" s="269"/>
      <c r="C2" s="270"/>
      <c r="D2" s="271"/>
      <c r="E2" s="314" t="s">
        <v>25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hidden="1" customHeight="1" x14ac:dyDescent="0.25">
      <c r="A4" s="7">
        <v>44986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2" ht="24.95" hidden="1" customHeight="1" x14ac:dyDescent="0.25">
      <c r="A5" s="32">
        <v>45062</v>
      </c>
      <c r="B5" s="8"/>
      <c r="C5" s="8"/>
      <c r="D5" s="8"/>
      <c r="E5" s="8"/>
      <c r="F5" s="8"/>
      <c r="G5" s="8"/>
      <c r="H5" s="8"/>
      <c r="I5" s="8">
        <v>1</v>
      </c>
      <c r="J5" s="8"/>
      <c r="K5" s="8"/>
    </row>
    <row r="6" spans="1:12" ht="20.100000000000001" hidden="1" customHeight="1" x14ac:dyDescent="0.25">
      <c r="A6" s="11">
        <v>45096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2" ht="20.100000000000001" hidden="1" customHeight="1" x14ac:dyDescent="0.25">
      <c r="A7" s="180">
        <v>45224</v>
      </c>
      <c r="B7" s="181">
        <v>0</v>
      </c>
      <c r="C7" s="181">
        <v>3</v>
      </c>
      <c r="D7" s="181"/>
      <c r="E7" s="181">
        <v>1</v>
      </c>
      <c r="F7" s="181"/>
      <c r="G7" s="181"/>
      <c r="H7" s="181">
        <v>1</v>
      </c>
      <c r="I7" s="181">
        <v>1</v>
      </c>
      <c r="J7" s="181"/>
      <c r="K7" s="181"/>
      <c r="L7" s="30"/>
    </row>
    <row r="8" spans="1:12" ht="20.100000000000001" customHeight="1" x14ac:dyDescent="0.25">
      <c r="A8" s="11">
        <v>45317</v>
      </c>
      <c r="B8" s="10"/>
      <c r="C8" s="10"/>
      <c r="D8" s="10"/>
      <c r="E8" s="10"/>
      <c r="F8" s="10"/>
      <c r="G8" s="10"/>
      <c r="H8" s="10"/>
      <c r="I8" s="10"/>
      <c r="J8" s="10">
        <v>1</v>
      </c>
      <c r="K8" s="10"/>
    </row>
    <row r="9" spans="1:12" ht="20.100000000000001" customHeight="1" x14ac:dyDescent="0.25">
      <c r="A9" s="11">
        <v>45419</v>
      </c>
      <c r="B9" s="10"/>
      <c r="C9" s="10"/>
      <c r="D9" s="10"/>
      <c r="E9" s="10"/>
      <c r="F9" s="10"/>
      <c r="G9" s="10"/>
      <c r="H9" s="10">
        <v>0</v>
      </c>
      <c r="I9" s="10"/>
      <c r="J9" s="10"/>
      <c r="K9" s="10"/>
      <c r="L9" s="30"/>
    </row>
    <row r="10" spans="1:12" ht="20.100000000000001" customHeight="1" x14ac:dyDescent="0.25">
      <c r="A10" s="11">
        <v>45470</v>
      </c>
      <c r="B10" s="10">
        <v>1</v>
      </c>
      <c r="C10" s="10"/>
      <c r="D10" s="10"/>
      <c r="E10" s="10">
        <v>2</v>
      </c>
      <c r="F10" s="10">
        <v>1</v>
      </c>
      <c r="G10" s="10"/>
      <c r="H10" s="10">
        <v>1</v>
      </c>
      <c r="I10" s="10"/>
      <c r="J10" s="10"/>
      <c r="K10" s="10"/>
      <c r="L10" s="30" t="s">
        <v>66</v>
      </c>
    </row>
    <row r="11" spans="1:12" ht="20.100000000000001" customHeight="1" x14ac:dyDescent="0.25">
      <c r="A11" s="11">
        <v>45539</v>
      </c>
      <c r="B11" s="10"/>
      <c r="C11" s="10">
        <v>4</v>
      </c>
      <c r="D11" s="10"/>
      <c r="E11" s="10"/>
      <c r="F11" s="10"/>
      <c r="G11" s="10"/>
      <c r="H11" s="10"/>
      <c r="I11" s="10">
        <v>0</v>
      </c>
      <c r="J11" s="10"/>
      <c r="K11" s="10"/>
      <c r="L11" s="30"/>
    </row>
    <row r="12" spans="1:12" ht="20.100000000000001" customHeight="1" x14ac:dyDescent="0.25">
      <c r="A12" s="11">
        <v>45604</v>
      </c>
      <c r="B12" s="10"/>
      <c r="C12" s="10">
        <v>1</v>
      </c>
      <c r="D12" s="10"/>
      <c r="E12" s="10"/>
      <c r="F12" s="10"/>
      <c r="G12" s="10"/>
      <c r="H12" s="10"/>
      <c r="I12" s="10">
        <v>1</v>
      </c>
      <c r="J12" s="10"/>
      <c r="K12" s="10"/>
      <c r="L12" s="30"/>
    </row>
    <row r="13" spans="1:12" ht="20.100000000000001" customHeight="1" x14ac:dyDescent="0.25">
      <c r="A13" s="11">
        <v>45618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/>
      <c r="L13" s="30"/>
    </row>
    <row r="14" spans="1:12" ht="20.100000000000001" customHeight="1" x14ac:dyDescent="0.25">
      <c r="A14" s="11">
        <v>45783</v>
      </c>
      <c r="B14" s="10"/>
      <c r="C14" s="10"/>
      <c r="D14" s="10"/>
      <c r="E14" s="10"/>
      <c r="F14" s="10">
        <v>1</v>
      </c>
      <c r="G14" s="10"/>
      <c r="H14" s="10">
        <v>1</v>
      </c>
      <c r="I14" s="10"/>
      <c r="J14" s="10"/>
      <c r="K14" s="10"/>
      <c r="L14" s="30"/>
    </row>
    <row r="15" spans="1:12" ht="20.100000000000001" customHeight="1" x14ac:dyDescent="0.25">
      <c r="A15" s="11">
        <v>45820</v>
      </c>
      <c r="B15" s="10"/>
      <c r="C15" s="10">
        <v>3</v>
      </c>
      <c r="D15" s="10">
        <v>0</v>
      </c>
      <c r="E15" s="10">
        <v>1</v>
      </c>
      <c r="F15" s="10">
        <v>1</v>
      </c>
      <c r="G15" s="10"/>
      <c r="H15" s="10">
        <v>2</v>
      </c>
      <c r="I15" s="10"/>
      <c r="J15" s="10"/>
      <c r="K15" s="10"/>
      <c r="L15" s="30" t="s">
        <v>284</v>
      </c>
    </row>
    <row r="16" spans="1:12" ht="20.100000000000001" customHeight="1" x14ac:dyDescent="0.25">
      <c r="A16" s="11">
        <v>45831</v>
      </c>
      <c r="B16" s="10">
        <v>1</v>
      </c>
      <c r="C16" s="10"/>
      <c r="D16" s="10"/>
      <c r="E16" s="10"/>
      <c r="F16" s="10"/>
      <c r="G16" s="10"/>
      <c r="H16" s="10"/>
      <c r="I16" s="10"/>
      <c r="J16" s="10"/>
      <c r="K16" s="10"/>
      <c r="L16" s="30"/>
    </row>
    <row r="17" spans="1:12" ht="20.100000000000001" customHeight="1" x14ac:dyDescent="0.25">
      <c r="A17" s="11" t="s">
        <v>285</v>
      </c>
      <c r="B17" s="10"/>
      <c r="C17" s="10"/>
      <c r="D17" s="10"/>
      <c r="E17" s="10"/>
      <c r="F17" s="10"/>
      <c r="G17" s="10"/>
      <c r="H17" s="10"/>
      <c r="I17" s="10">
        <v>2</v>
      </c>
      <c r="J17" s="10"/>
      <c r="K17" s="10"/>
      <c r="L17" s="30"/>
    </row>
    <row r="18" spans="1:12" ht="20.100000000000001" customHeight="1" x14ac:dyDescent="0.25">
      <c r="A18" s="11">
        <v>46170</v>
      </c>
      <c r="B18" s="10"/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30"/>
    </row>
    <row r="19" spans="1:12" ht="20.100000000000001" customHeight="1" thickBot="1" x14ac:dyDescent="0.3">
      <c r="A19" s="31" t="s">
        <v>14</v>
      </c>
      <c r="B19" s="13">
        <f t="shared" ref="B19:K19" si="0">SUM(B8:B18)</f>
        <v>2</v>
      </c>
      <c r="C19" s="13">
        <f t="shared" si="0"/>
        <v>8</v>
      </c>
      <c r="D19" s="13">
        <f t="shared" si="0"/>
        <v>1</v>
      </c>
      <c r="E19" s="13">
        <f t="shared" si="0"/>
        <v>3</v>
      </c>
      <c r="F19" s="13">
        <f t="shared" si="0"/>
        <v>3</v>
      </c>
      <c r="G19" s="13">
        <f t="shared" si="0"/>
        <v>0</v>
      </c>
      <c r="H19" s="13">
        <f t="shared" si="0"/>
        <v>4</v>
      </c>
      <c r="I19" s="13">
        <f t="shared" si="0"/>
        <v>4</v>
      </c>
      <c r="J19" s="13">
        <f t="shared" si="0"/>
        <v>1</v>
      </c>
      <c r="K19" s="13">
        <f t="shared" si="0"/>
        <v>0</v>
      </c>
    </row>
    <row r="20" spans="1:12" ht="20.100000000000001" customHeight="1" x14ac:dyDescent="0.25"/>
    <row r="21" spans="1:12" ht="20.100000000000001" customHeight="1" x14ac:dyDescent="0.25"/>
    <row r="22" spans="1:12" ht="20.100000000000001" customHeight="1" x14ac:dyDescent="0.25"/>
    <row r="23" spans="1:12" ht="20.100000000000001" customHeight="1" x14ac:dyDescent="0.25"/>
    <row r="24" spans="1:12" ht="20.100000000000001" customHeight="1" x14ac:dyDescent="0.25"/>
    <row r="25" spans="1:12" ht="20.100000000000001" customHeight="1" x14ac:dyDescent="0.25"/>
    <row r="26" spans="1:12" ht="20.100000000000001" customHeight="1" x14ac:dyDescent="0.25"/>
    <row r="27" spans="1:12" ht="20.100000000000001" customHeight="1" x14ac:dyDescent="0.25"/>
    <row r="28" spans="1:12" ht="20.100000000000001" customHeight="1" x14ac:dyDescent="0.25"/>
    <row r="29" spans="1:12" ht="20.100000000000001" customHeight="1" x14ac:dyDescent="0.25"/>
    <row r="30" spans="1:12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CAF3-B0B4-4629-8D7D-3F6BD8AAC229}">
  <sheetPr>
    <tabColor rgb="FFFF0000"/>
  </sheetPr>
  <dimension ref="A1:L34"/>
  <sheetViews>
    <sheetView topLeftCell="A10" workbookViewId="0">
      <selection activeCell="A19" sqref="A19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253</v>
      </c>
      <c r="B2" s="269"/>
      <c r="C2" s="270"/>
      <c r="D2" s="271"/>
      <c r="E2" s="314" t="s">
        <v>48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hidden="1" customHeight="1" x14ac:dyDescent="0.25">
      <c r="A4" s="7">
        <v>44930</v>
      </c>
      <c r="B4" s="6">
        <v>1</v>
      </c>
      <c r="C4" s="6">
        <v>4</v>
      </c>
      <c r="D4" s="6"/>
      <c r="E4" s="6">
        <v>1</v>
      </c>
      <c r="F4" s="6"/>
      <c r="G4" s="6"/>
      <c r="H4" s="6">
        <v>0</v>
      </c>
      <c r="I4" s="6">
        <v>2</v>
      </c>
      <c r="J4" s="6"/>
      <c r="K4" s="6"/>
    </row>
    <row r="5" spans="1:12" ht="24.95" hidden="1" customHeight="1" x14ac:dyDescent="0.25">
      <c r="A5" s="32">
        <v>45044</v>
      </c>
      <c r="B5" s="8"/>
      <c r="C5" s="8"/>
      <c r="D5" s="8">
        <v>1</v>
      </c>
      <c r="E5" s="8"/>
      <c r="F5" s="8"/>
      <c r="G5" s="8"/>
      <c r="H5" s="8"/>
      <c r="I5" s="8"/>
      <c r="J5" s="8"/>
      <c r="K5" s="8"/>
    </row>
    <row r="6" spans="1:12" ht="20.100000000000001" hidden="1" customHeight="1" x14ac:dyDescent="0.25">
      <c r="A6" s="11">
        <v>45070</v>
      </c>
      <c r="B6" s="10"/>
      <c r="C6" s="10"/>
      <c r="D6" s="10"/>
      <c r="E6" s="10"/>
      <c r="F6" s="10">
        <v>1</v>
      </c>
      <c r="G6" s="10"/>
      <c r="H6" s="10"/>
      <c r="I6" s="10"/>
      <c r="J6" s="10"/>
      <c r="K6" s="10"/>
    </row>
    <row r="7" spans="1:12" ht="20.100000000000001" hidden="1" customHeight="1" x14ac:dyDescent="0.25">
      <c r="A7" s="11">
        <v>45142</v>
      </c>
      <c r="B7" s="10"/>
      <c r="C7" s="10">
        <v>1</v>
      </c>
      <c r="D7" s="10"/>
      <c r="E7" s="10"/>
      <c r="F7" s="10"/>
      <c r="G7" s="10"/>
      <c r="H7" s="10"/>
      <c r="I7" s="10"/>
      <c r="J7" s="10"/>
      <c r="K7" s="10"/>
      <c r="L7" s="30"/>
    </row>
    <row r="8" spans="1:12" ht="20.100000000000001" hidden="1" customHeight="1" x14ac:dyDescent="0.25">
      <c r="A8" s="11">
        <v>45224</v>
      </c>
      <c r="B8" s="10"/>
      <c r="C8" s="10">
        <v>3</v>
      </c>
      <c r="D8" s="10"/>
      <c r="E8" s="10">
        <v>1</v>
      </c>
      <c r="F8" s="10">
        <v>1</v>
      </c>
      <c r="G8" s="10"/>
      <c r="H8" s="10">
        <v>0</v>
      </c>
      <c r="I8" s="10">
        <v>1</v>
      </c>
      <c r="J8" s="10"/>
      <c r="K8" s="10"/>
    </row>
    <row r="9" spans="1:12" ht="20.100000000000001" customHeight="1" x14ac:dyDescent="0.25">
      <c r="A9" s="11">
        <v>45419</v>
      </c>
      <c r="B9" s="10"/>
      <c r="C9" s="10">
        <v>1</v>
      </c>
      <c r="D9" s="10"/>
      <c r="E9" s="10"/>
      <c r="F9" s="10"/>
      <c r="G9" s="10"/>
      <c r="H9" s="10">
        <v>0</v>
      </c>
      <c r="I9" s="10"/>
      <c r="J9" s="10"/>
      <c r="K9" s="10"/>
      <c r="L9" s="30" t="s">
        <v>67</v>
      </c>
    </row>
    <row r="10" spans="1:12" ht="20.100000000000001" customHeight="1" x14ac:dyDescent="0.25">
      <c r="A10" s="11">
        <v>45463</v>
      </c>
      <c r="B10" s="10">
        <v>0</v>
      </c>
      <c r="C10" s="10"/>
      <c r="D10" s="10"/>
      <c r="E10" s="10">
        <v>1</v>
      </c>
      <c r="F10" s="10">
        <v>1</v>
      </c>
      <c r="G10" s="10"/>
      <c r="H10" s="10">
        <v>1</v>
      </c>
      <c r="I10" s="10"/>
      <c r="J10" s="10"/>
      <c r="K10" s="10"/>
      <c r="L10" s="30"/>
    </row>
    <row r="11" spans="1:12" ht="20.100000000000001" customHeight="1" x14ac:dyDescent="0.25">
      <c r="A11" s="11">
        <v>45512</v>
      </c>
      <c r="B11" s="10"/>
      <c r="C11" s="10"/>
      <c r="D11" s="10"/>
      <c r="E11" s="10"/>
      <c r="F11" s="10"/>
      <c r="G11" s="10"/>
      <c r="H11" s="10">
        <v>1</v>
      </c>
      <c r="I11" s="10"/>
      <c r="J11" s="10">
        <v>1</v>
      </c>
      <c r="K11" s="10"/>
      <c r="L11" s="30"/>
    </row>
    <row r="12" spans="1:12" ht="20.100000000000001" customHeight="1" x14ac:dyDescent="0.25">
      <c r="A12" s="11">
        <v>45539</v>
      </c>
      <c r="B12" s="10"/>
      <c r="C12" s="10">
        <v>3</v>
      </c>
      <c r="D12" s="10"/>
      <c r="E12" s="10">
        <v>1</v>
      </c>
      <c r="F12" s="10"/>
      <c r="G12" s="10"/>
      <c r="H12" s="10"/>
      <c r="I12" s="10">
        <v>1</v>
      </c>
      <c r="J12" s="10"/>
      <c r="K12" s="10"/>
      <c r="L12" s="30"/>
    </row>
    <row r="13" spans="1:12" ht="20.100000000000001" customHeight="1" x14ac:dyDescent="0.25">
      <c r="A13" s="11">
        <v>45569</v>
      </c>
      <c r="B13" s="10"/>
      <c r="C13" s="10"/>
      <c r="D13" s="10"/>
      <c r="E13" s="10"/>
      <c r="F13" s="10"/>
      <c r="G13" s="10"/>
      <c r="H13" s="10">
        <v>1</v>
      </c>
      <c r="I13" s="10">
        <v>1</v>
      </c>
      <c r="J13" s="10"/>
      <c r="K13" s="10"/>
      <c r="L13" s="30"/>
    </row>
    <row r="14" spans="1:12" ht="20.100000000000001" customHeight="1" x14ac:dyDescent="0.25">
      <c r="A14" s="11">
        <v>45600</v>
      </c>
      <c r="B14" s="10">
        <v>1</v>
      </c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x14ac:dyDescent="0.25">
      <c r="A15" s="11">
        <v>45664</v>
      </c>
      <c r="B15" s="10"/>
      <c r="C15" s="10">
        <v>1</v>
      </c>
      <c r="D15" s="10"/>
      <c r="E15" s="10"/>
      <c r="F15" s="10"/>
      <c r="G15" s="10"/>
      <c r="H15" s="10"/>
      <c r="I15" s="10"/>
      <c r="J15" s="10"/>
      <c r="K15" s="10"/>
      <c r="L15" s="30"/>
    </row>
    <row r="16" spans="1:12" ht="20.100000000000001" customHeight="1" x14ac:dyDescent="0.25">
      <c r="A16" s="11">
        <v>45751</v>
      </c>
      <c r="B16" s="10">
        <v>1</v>
      </c>
      <c r="C16" s="10"/>
      <c r="D16" s="10"/>
      <c r="E16" s="10"/>
      <c r="F16" s="10"/>
      <c r="G16" s="10"/>
      <c r="H16" s="10"/>
      <c r="I16" s="10"/>
      <c r="J16" s="10"/>
      <c r="K16" s="10"/>
      <c r="L16" s="30"/>
    </row>
    <row r="17" spans="1:12" ht="20.100000000000001" customHeight="1" x14ac:dyDescent="0.25">
      <c r="A17" s="11">
        <v>45819</v>
      </c>
      <c r="B17" s="10"/>
      <c r="C17" s="10">
        <v>3</v>
      </c>
      <c r="D17" s="10">
        <v>1</v>
      </c>
      <c r="E17" s="10">
        <v>2</v>
      </c>
      <c r="F17" s="10">
        <v>1</v>
      </c>
      <c r="G17" s="10"/>
      <c r="H17" s="10">
        <v>2</v>
      </c>
      <c r="I17" s="10"/>
      <c r="J17" s="10"/>
      <c r="K17" s="10"/>
      <c r="L17" s="30"/>
    </row>
    <row r="18" spans="1:12" ht="20.100000000000001" customHeight="1" x14ac:dyDescent="0.25">
      <c r="A18" s="11">
        <v>45831</v>
      </c>
      <c r="B18" s="10">
        <v>1</v>
      </c>
      <c r="C18" s="10"/>
      <c r="D18" s="10"/>
      <c r="E18" s="10"/>
      <c r="F18" s="10"/>
      <c r="G18" s="10"/>
      <c r="H18" s="10"/>
      <c r="I18" s="10"/>
      <c r="J18" s="10"/>
      <c r="K18" s="10"/>
      <c r="L18" s="30"/>
    </row>
    <row r="19" spans="1:12" ht="20.100000000000001" customHeight="1" x14ac:dyDescent="0.25">
      <c r="A19" s="11">
        <v>45939</v>
      </c>
      <c r="B19" s="10"/>
      <c r="C19" s="10">
        <v>2</v>
      </c>
      <c r="D19" s="10"/>
      <c r="E19" s="10"/>
      <c r="F19" s="10"/>
      <c r="G19" s="10"/>
      <c r="H19" s="10"/>
      <c r="I19" s="10">
        <v>1</v>
      </c>
      <c r="J19" s="10"/>
      <c r="K19" s="10"/>
      <c r="L19" s="30"/>
    </row>
    <row r="20" spans="1:12" ht="20.100000000000001" customHeight="1" x14ac:dyDescent="0.25">
      <c r="A20" s="11">
        <v>45944</v>
      </c>
      <c r="B20" s="10"/>
      <c r="C20" s="10">
        <v>1</v>
      </c>
      <c r="D20" s="10"/>
      <c r="E20" s="10">
        <v>1</v>
      </c>
      <c r="F20" s="10"/>
      <c r="G20" s="10"/>
      <c r="H20" s="10"/>
      <c r="I20" s="10">
        <v>1</v>
      </c>
      <c r="J20" s="10"/>
      <c r="K20" s="10"/>
      <c r="L20" s="30"/>
    </row>
    <row r="21" spans="1:12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0"/>
    </row>
    <row r="22" spans="1:12" ht="20.100000000000001" customHeight="1" x14ac:dyDescent="0.25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0"/>
    </row>
    <row r="23" spans="1:12" ht="20.100000000000001" customHeight="1" thickBot="1" x14ac:dyDescent="0.3">
      <c r="A23" s="31" t="s">
        <v>14</v>
      </c>
      <c r="B23" s="13">
        <f>SUM(B9:B22)</f>
        <v>3</v>
      </c>
      <c r="C23" s="13">
        <f t="shared" ref="C23:K23" si="0">SUM(C9:C22)</f>
        <v>11</v>
      </c>
      <c r="D23" s="13">
        <f t="shared" si="0"/>
        <v>1</v>
      </c>
      <c r="E23" s="13">
        <f t="shared" si="0"/>
        <v>5</v>
      </c>
      <c r="F23" s="13">
        <f t="shared" si="0"/>
        <v>2</v>
      </c>
      <c r="G23" s="13">
        <f t="shared" si="0"/>
        <v>0</v>
      </c>
      <c r="H23" s="13">
        <f t="shared" si="0"/>
        <v>5</v>
      </c>
      <c r="I23" s="13">
        <f t="shared" si="0"/>
        <v>4</v>
      </c>
      <c r="J23" s="13">
        <f t="shared" si="0"/>
        <v>1</v>
      </c>
      <c r="K23" s="13">
        <f t="shared" si="0"/>
        <v>0</v>
      </c>
    </row>
    <row r="24" spans="1:12" ht="20.100000000000001" customHeight="1" x14ac:dyDescent="0.25"/>
    <row r="25" spans="1:12" ht="20.100000000000001" customHeight="1" x14ac:dyDescent="0.25"/>
    <row r="26" spans="1:12" ht="20.100000000000001" customHeight="1" x14ac:dyDescent="0.25"/>
    <row r="27" spans="1:12" ht="20.100000000000001" customHeight="1" x14ac:dyDescent="0.25"/>
    <row r="28" spans="1:12" ht="20.100000000000001" customHeight="1" x14ac:dyDescent="0.25"/>
    <row r="29" spans="1:12" ht="20.100000000000001" customHeight="1" x14ac:dyDescent="0.25"/>
    <row r="30" spans="1:12" ht="20.100000000000001" customHeight="1" x14ac:dyDescent="0.25"/>
    <row r="31" spans="1:12" ht="20.100000000000001" customHeight="1" x14ac:dyDescent="0.25"/>
    <row r="32" spans="1:12" ht="20.100000000000001" customHeight="1" x14ac:dyDescent="0.25"/>
    <row r="33" ht="20.100000000000001" customHeight="1" x14ac:dyDescent="0.25"/>
    <row r="34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036B-9AB7-483E-A008-59CCE43832E6}">
  <sheetPr>
    <tabColor rgb="FFFF0000"/>
  </sheetPr>
  <dimension ref="A1:N23"/>
  <sheetViews>
    <sheetView workbookViewId="0">
      <selection activeCell="N10" sqref="N10"/>
    </sheetView>
  </sheetViews>
  <sheetFormatPr baseColWidth="10" defaultRowHeight="13.5" x14ac:dyDescent="0.25"/>
  <sheetData>
    <row r="1" spans="1:14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4" ht="21.75" thickBot="1" x14ac:dyDescent="0.3">
      <c r="A2" s="268" t="s">
        <v>262</v>
      </c>
      <c r="B2" s="269"/>
      <c r="C2" s="270"/>
      <c r="D2" s="271"/>
      <c r="E2" s="314" t="s">
        <v>141</v>
      </c>
      <c r="F2" s="315"/>
      <c r="G2" s="315"/>
      <c r="H2" s="315"/>
      <c r="I2" s="315"/>
      <c r="J2" s="315"/>
      <c r="K2" s="315"/>
      <c r="L2" s="315"/>
      <c r="M2" s="315"/>
    </row>
    <row r="3" spans="1:14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4" t="s">
        <v>126</v>
      </c>
      <c r="L3" s="33" t="s">
        <v>134</v>
      </c>
      <c r="M3" s="33" t="s">
        <v>49</v>
      </c>
    </row>
    <row r="4" spans="1:14" ht="24.95" customHeight="1" x14ac:dyDescent="0.25">
      <c r="A4" s="32">
        <v>45593</v>
      </c>
      <c r="B4" s="8">
        <v>1</v>
      </c>
      <c r="C4" s="8">
        <v>1</v>
      </c>
      <c r="D4" s="8"/>
      <c r="E4" s="8"/>
      <c r="F4" s="8"/>
      <c r="G4" s="8"/>
      <c r="H4" s="8">
        <v>1</v>
      </c>
      <c r="I4" s="8"/>
      <c r="J4" s="8"/>
      <c r="K4" s="8"/>
      <c r="L4" s="8"/>
      <c r="M4" s="8"/>
      <c r="N4" s="30" t="s">
        <v>66</v>
      </c>
    </row>
    <row r="5" spans="1:14" ht="20.100000000000001" customHeight="1" x14ac:dyDescent="0.25">
      <c r="A5" s="11">
        <v>45604</v>
      </c>
      <c r="B5" s="10"/>
      <c r="C5" s="10">
        <v>2</v>
      </c>
      <c r="D5" s="10"/>
      <c r="E5" s="10"/>
      <c r="F5" s="10">
        <v>1</v>
      </c>
      <c r="G5" s="10"/>
      <c r="H5" s="10">
        <v>2</v>
      </c>
      <c r="I5" s="10"/>
      <c r="J5" s="10"/>
      <c r="K5" s="10"/>
      <c r="L5" s="10"/>
      <c r="M5" s="10"/>
    </row>
    <row r="6" spans="1:14" ht="20.100000000000001" customHeight="1" x14ac:dyDescent="0.25">
      <c r="A6" s="11">
        <v>45677</v>
      </c>
      <c r="B6" s="10"/>
      <c r="C6" s="10"/>
      <c r="D6" s="10"/>
      <c r="E6" s="10"/>
      <c r="F6" s="10"/>
      <c r="G6" s="10"/>
      <c r="H6" s="10"/>
      <c r="I6" s="10">
        <v>1</v>
      </c>
      <c r="J6" s="10"/>
      <c r="K6" s="10"/>
      <c r="L6" s="10"/>
      <c r="M6" s="10"/>
      <c r="N6" s="30"/>
    </row>
    <row r="7" spans="1:14" ht="20.100000000000001" customHeight="1" x14ac:dyDescent="0.25">
      <c r="A7" s="11">
        <v>45820</v>
      </c>
      <c r="B7" s="10"/>
      <c r="C7" s="10">
        <v>3</v>
      </c>
      <c r="D7" s="10">
        <v>1</v>
      </c>
      <c r="E7" s="10">
        <v>2</v>
      </c>
      <c r="F7" s="10">
        <v>1</v>
      </c>
      <c r="G7" s="10"/>
      <c r="H7" s="10">
        <v>2</v>
      </c>
      <c r="I7" s="10"/>
      <c r="J7" s="10"/>
      <c r="K7" s="10"/>
      <c r="L7" s="10"/>
      <c r="M7" s="10"/>
    </row>
    <row r="8" spans="1:14" ht="20.100000000000001" customHeight="1" x14ac:dyDescent="0.25">
      <c r="A8" s="11">
        <v>45852</v>
      </c>
      <c r="B8" s="10">
        <v>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30" t="s">
        <v>67</v>
      </c>
    </row>
    <row r="9" spans="1:14" ht="20.100000000000001" customHeight="1" x14ac:dyDescent="0.25">
      <c r="A9" s="11" t="s">
        <v>13</v>
      </c>
      <c r="B9" s="10"/>
      <c r="C9" s="10">
        <v>2</v>
      </c>
      <c r="D9" s="10"/>
      <c r="E9" s="10"/>
      <c r="F9" s="10"/>
      <c r="G9" s="10"/>
      <c r="H9" s="10"/>
      <c r="I9" s="10">
        <v>1</v>
      </c>
      <c r="J9" s="10"/>
      <c r="K9" s="10"/>
      <c r="L9" s="10"/>
      <c r="M9" s="10"/>
      <c r="N9" s="30"/>
    </row>
    <row r="10" spans="1:14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30"/>
    </row>
    <row r="11" spans="1:14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30"/>
    </row>
    <row r="12" spans="1:14" ht="20.100000000000001" customHeight="1" thickBot="1" x14ac:dyDescent="0.3">
      <c r="A12" s="31" t="s">
        <v>14</v>
      </c>
      <c r="B12" s="13">
        <f>SUM(B4:B11)</f>
        <v>2</v>
      </c>
      <c r="C12" s="13">
        <f t="shared" ref="C12:J12" si="0">SUM(C6:C11)</f>
        <v>5</v>
      </c>
      <c r="D12" s="13">
        <f t="shared" si="0"/>
        <v>1</v>
      </c>
      <c r="E12" s="13">
        <f t="shared" si="0"/>
        <v>2</v>
      </c>
      <c r="F12" s="13">
        <f t="shared" si="0"/>
        <v>1</v>
      </c>
      <c r="G12" s="13">
        <f t="shared" si="0"/>
        <v>0</v>
      </c>
      <c r="H12" s="13">
        <f t="shared" si="0"/>
        <v>2</v>
      </c>
      <c r="I12" s="13">
        <f t="shared" si="0"/>
        <v>2</v>
      </c>
      <c r="J12" s="13">
        <f t="shared" si="0"/>
        <v>0</v>
      </c>
      <c r="K12" s="13"/>
      <c r="L12" s="13"/>
      <c r="M12" s="13">
        <f>SUM(M4:M11)</f>
        <v>0</v>
      </c>
    </row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3">
    <mergeCell ref="A1:M1"/>
    <mergeCell ref="A2:D2"/>
    <mergeCell ref="E2:M2"/>
  </mergeCells>
  <pageMargins left="1.4960629921259843" right="0.70866141732283472" top="0.74803149606299213" bottom="0.74803149606299213" header="0.31496062992125984" footer="0.31496062992125984"/>
  <pageSetup paperSize="9" orientation="landscape" r:id="rId1"/>
  <ignoredErrors>
    <ignoredError sqref="C12 F12 H12" formulaRange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D834-0414-4F2F-9B30-18F746BDBF3E}">
  <sheetPr>
    <tabColor rgb="FFFFFF00"/>
  </sheetPr>
  <dimension ref="A1:R33"/>
  <sheetViews>
    <sheetView workbookViewId="0">
      <selection activeCell="A22" sqref="A1:L22"/>
    </sheetView>
  </sheetViews>
  <sheetFormatPr baseColWidth="10" defaultRowHeight="13.5" x14ac:dyDescent="0.25"/>
  <cols>
    <col min="16" max="16" width="15.7109375" customWidth="1"/>
    <col min="17" max="17" width="16.7109375" customWidth="1"/>
    <col min="18" max="18" width="25.140625" customWidth="1"/>
  </cols>
  <sheetData>
    <row r="1" spans="1:18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8" ht="21.75" thickBot="1" x14ac:dyDescent="0.3">
      <c r="A2" s="268" t="s">
        <v>261</v>
      </c>
      <c r="B2" s="269"/>
      <c r="C2" s="270"/>
      <c r="D2" s="271"/>
      <c r="E2" s="273" t="s">
        <v>55</v>
      </c>
      <c r="F2" s="274"/>
      <c r="G2" s="274"/>
      <c r="H2" s="274"/>
      <c r="I2" s="274"/>
      <c r="J2" s="274"/>
      <c r="K2" s="274"/>
      <c r="L2" s="275"/>
    </row>
    <row r="3" spans="1:18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152" t="s">
        <v>4</v>
      </c>
      <c r="F3" s="153" t="s">
        <v>5</v>
      </c>
      <c r="G3" s="152" t="s">
        <v>6</v>
      </c>
      <c r="H3" s="152" t="s">
        <v>8</v>
      </c>
      <c r="I3" s="152" t="s">
        <v>9</v>
      </c>
      <c r="J3" s="152" t="s">
        <v>10</v>
      </c>
      <c r="K3" s="154" t="s">
        <v>11</v>
      </c>
      <c r="L3" s="155" t="s">
        <v>72</v>
      </c>
      <c r="O3" s="276" t="s">
        <v>282</v>
      </c>
      <c r="P3" s="276"/>
      <c r="Q3" s="276"/>
      <c r="R3" s="276"/>
    </row>
    <row r="4" spans="1:18" ht="20.100000000000001" hidden="1" customHeight="1" x14ac:dyDescent="0.25">
      <c r="A4" s="7">
        <v>45415</v>
      </c>
      <c r="B4" s="6"/>
      <c r="C4" s="6">
        <v>2</v>
      </c>
      <c r="D4" s="6"/>
      <c r="E4" s="6"/>
      <c r="F4" s="6"/>
      <c r="G4" s="6"/>
      <c r="H4" s="6"/>
      <c r="I4" s="6"/>
      <c r="J4" s="6"/>
      <c r="K4" s="150"/>
      <c r="L4" s="10"/>
    </row>
    <row r="5" spans="1:18" ht="24.95" hidden="1" customHeight="1" x14ac:dyDescent="0.25">
      <c r="A5" s="7">
        <v>45449</v>
      </c>
      <c r="B5" s="6"/>
      <c r="C5" s="6"/>
      <c r="D5" s="6"/>
      <c r="E5" s="6">
        <v>1</v>
      </c>
      <c r="F5" s="6">
        <v>0</v>
      </c>
      <c r="G5" s="6"/>
      <c r="H5" s="6">
        <v>2</v>
      </c>
      <c r="I5" s="8"/>
      <c r="J5" s="8"/>
      <c r="K5" s="139"/>
      <c r="L5" s="10"/>
    </row>
    <row r="6" spans="1:18" ht="20.100000000000001" hidden="1" customHeight="1" x14ac:dyDescent="0.25">
      <c r="A6" s="32">
        <v>45470</v>
      </c>
      <c r="B6" s="8"/>
      <c r="C6" s="8">
        <v>1</v>
      </c>
      <c r="D6" s="8"/>
      <c r="E6" s="8">
        <v>1</v>
      </c>
      <c r="F6" s="8">
        <v>0</v>
      </c>
      <c r="G6" s="8"/>
      <c r="H6" s="8"/>
      <c r="I6" s="10"/>
      <c r="J6" s="10"/>
      <c r="K6" s="140"/>
      <c r="L6" s="10"/>
    </row>
    <row r="7" spans="1:18" ht="20.100000000000001" hidden="1" customHeight="1" x14ac:dyDescent="0.25">
      <c r="A7" s="11">
        <v>45504</v>
      </c>
      <c r="B7" s="10">
        <v>1</v>
      </c>
      <c r="C7" s="10"/>
      <c r="D7" s="10"/>
      <c r="E7" s="10"/>
      <c r="F7" s="10"/>
      <c r="G7" s="10"/>
      <c r="H7" s="10"/>
      <c r="I7" s="10"/>
      <c r="J7" s="10"/>
      <c r="K7" s="140"/>
      <c r="L7" s="10"/>
      <c r="M7" s="30"/>
    </row>
    <row r="8" spans="1:18" ht="20.100000000000001" hidden="1" customHeight="1" x14ac:dyDescent="0.25">
      <c r="A8" s="11">
        <v>45478</v>
      </c>
      <c r="B8" s="10"/>
      <c r="C8" s="10"/>
      <c r="D8" s="10"/>
      <c r="E8" s="10"/>
      <c r="F8" s="10"/>
      <c r="G8" s="10"/>
      <c r="H8" s="10"/>
      <c r="I8" s="10"/>
      <c r="J8" s="10"/>
      <c r="K8" s="140"/>
      <c r="L8" s="10">
        <v>1</v>
      </c>
    </row>
    <row r="9" spans="1:18" ht="20.100000000000001" hidden="1" customHeight="1" x14ac:dyDescent="0.25">
      <c r="A9" s="11">
        <v>45533</v>
      </c>
      <c r="B9" s="10"/>
      <c r="C9" s="10">
        <v>3</v>
      </c>
      <c r="D9" s="10"/>
      <c r="E9" s="10"/>
      <c r="F9" s="10">
        <v>0</v>
      </c>
      <c r="G9" s="10"/>
      <c r="H9" s="10"/>
      <c r="I9" s="10">
        <v>1</v>
      </c>
      <c r="J9" s="10"/>
      <c r="K9" s="140"/>
      <c r="L9" s="10"/>
    </row>
    <row r="10" spans="1:18" ht="20.100000000000001" hidden="1" customHeight="1" x14ac:dyDescent="0.25">
      <c r="A10" s="11">
        <v>45583</v>
      </c>
      <c r="B10" s="10"/>
      <c r="C10" s="10"/>
      <c r="D10" s="10"/>
      <c r="E10" s="10"/>
      <c r="F10" s="10"/>
      <c r="G10" s="10"/>
      <c r="H10" s="10">
        <v>0</v>
      </c>
      <c r="I10" s="10"/>
      <c r="J10" s="10"/>
      <c r="K10" s="140"/>
      <c r="L10" s="10"/>
      <c r="M10" s="133" t="s">
        <v>144</v>
      </c>
      <c r="N10" s="132"/>
      <c r="O10" s="132"/>
    </row>
    <row r="11" spans="1:18" ht="20.100000000000001" customHeight="1" x14ac:dyDescent="0.25">
      <c r="A11" s="11">
        <v>45679</v>
      </c>
      <c r="B11" s="10"/>
      <c r="C11" s="10">
        <v>0</v>
      </c>
      <c r="D11" s="10"/>
      <c r="E11" s="10"/>
      <c r="F11" s="10"/>
      <c r="G11" s="10"/>
      <c r="H11" s="10"/>
      <c r="I11" s="10"/>
      <c r="J11" s="10"/>
      <c r="K11" s="140"/>
      <c r="L11" s="10"/>
      <c r="M11" s="133" t="s">
        <v>213</v>
      </c>
      <c r="N11" s="132"/>
      <c r="O11" s="259" t="s">
        <v>263</v>
      </c>
      <c r="P11" s="259" t="s">
        <v>264</v>
      </c>
      <c r="Q11" s="259" t="s">
        <v>266</v>
      </c>
      <c r="R11" s="259" t="s">
        <v>156</v>
      </c>
    </row>
    <row r="12" spans="1:18" ht="20.100000000000001" customHeight="1" x14ac:dyDescent="0.25">
      <c r="A12" s="11">
        <v>45842</v>
      </c>
      <c r="B12" s="10">
        <v>1</v>
      </c>
      <c r="C12" s="10"/>
      <c r="D12" s="10"/>
      <c r="E12" s="10"/>
      <c r="F12" s="10"/>
      <c r="G12" s="10"/>
      <c r="H12" s="10"/>
      <c r="I12" s="10"/>
      <c r="J12" s="10"/>
      <c r="K12" s="140"/>
      <c r="L12" s="10"/>
      <c r="M12" s="248" t="s">
        <v>67</v>
      </c>
      <c r="N12" s="216"/>
      <c r="O12" s="261">
        <v>1</v>
      </c>
      <c r="P12" s="255" t="s">
        <v>265</v>
      </c>
      <c r="Q12" s="255" t="s">
        <v>267</v>
      </c>
      <c r="R12" s="258" t="s">
        <v>283</v>
      </c>
    </row>
    <row r="13" spans="1:18" ht="20.100000000000001" customHeight="1" x14ac:dyDescent="0.25">
      <c r="A13" s="11">
        <v>45820</v>
      </c>
      <c r="B13" s="10"/>
      <c r="C13" s="10">
        <v>3</v>
      </c>
      <c r="D13" s="10">
        <v>1</v>
      </c>
      <c r="E13" s="10"/>
      <c r="F13" s="10">
        <v>1</v>
      </c>
      <c r="G13" s="10"/>
      <c r="H13" s="10">
        <v>2</v>
      </c>
      <c r="I13" s="10"/>
      <c r="J13" s="10"/>
      <c r="K13" s="140"/>
      <c r="L13" s="10"/>
      <c r="M13" s="30"/>
      <c r="O13" s="261">
        <v>2</v>
      </c>
      <c r="P13" s="255" t="s">
        <v>268</v>
      </c>
      <c r="Q13" s="255" t="s">
        <v>196</v>
      </c>
      <c r="R13" s="258" t="s">
        <v>281</v>
      </c>
    </row>
    <row r="14" spans="1:18" ht="20.100000000000001" customHeight="1" x14ac:dyDescent="0.25">
      <c r="A14" s="11">
        <v>45964</v>
      </c>
      <c r="B14" s="10"/>
      <c r="C14" s="10">
        <v>2</v>
      </c>
      <c r="D14" s="10"/>
      <c r="E14" s="10"/>
      <c r="F14" s="10"/>
      <c r="G14" s="10"/>
      <c r="H14" s="10"/>
      <c r="I14" s="10">
        <v>2</v>
      </c>
      <c r="J14" s="10"/>
      <c r="K14" s="140"/>
      <c r="L14" s="10"/>
      <c r="M14" s="30"/>
      <c r="O14" s="261">
        <v>3</v>
      </c>
      <c r="P14" s="255" t="s">
        <v>269</v>
      </c>
      <c r="Q14" s="255" t="s">
        <v>267</v>
      </c>
      <c r="R14" s="258" t="s">
        <v>283</v>
      </c>
    </row>
    <row r="15" spans="1:18" ht="20.100000000000001" customHeight="1" x14ac:dyDescent="0.25">
      <c r="A15" s="11">
        <v>46030</v>
      </c>
      <c r="B15" s="10"/>
      <c r="C15" s="10"/>
      <c r="D15" s="10"/>
      <c r="E15" s="10">
        <v>1</v>
      </c>
      <c r="F15" s="10"/>
      <c r="G15" s="10"/>
      <c r="H15" s="10"/>
      <c r="I15" s="10"/>
      <c r="J15" s="10"/>
      <c r="K15" s="140"/>
      <c r="L15" s="10"/>
      <c r="M15" s="30"/>
      <c r="O15" s="256"/>
      <c r="P15" s="256"/>
      <c r="Q15" s="256"/>
      <c r="R15" s="257"/>
    </row>
    <row r="16" spans="1:18" ht="20.100000000000001" customHeight="1" x14ac:dyDescent="0.25">
      <c r="A16" s="11">
        <v>46079</v>
      </c>
      <c r="B16" s="10">
        <v>0</v>
      </c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 t="s">
        <v>256</v>
      </c>
      <c r="O16" s="277" t="s">
        <v>280</v>
      </c>
      <c r="P16" s="277"/>
      <c r="Q16" s="277"/>
    </row>
    <row r="17" spans="1:17" ht="20.100000000000001" customHeight="1" x14ac:dyDescent="0.25">
      <c r="A17" s="11" t="s">
        <v>270</v>
      </c>
      <c r="B17" s="10"/>
      <c r="C17" s="10"/>
      <c r="D17" s="10"/>
      <c r="E17" s="10"/>
      <c r="F17" s="10"/>
      <c r="G17" s="10">
        <v>1</v>
      </c>
      <c r="H17" s="10"/>
      <c r="I17" s="10"/>
      <c r="J17" s="10"/>
      <c r="K17" s="140"/>
      <c r="L17" s="10"/>
      <c r="M17" s="30"/>
      <c r="O17" s="260" t="s">
        <v>263</v>
      </c>
      <c r="P17" s="259" t="s">
        <v>230</v>
      </c>
      <c r="Q17" s="260" t="s">
        <v>231</v>
      </c>
    </row>
    <row r="18" spans="1:17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  <c r="O18" s="262">
        <v>1</v>
      </c>
      <c r="P18" s="255">
        <v>2</v>
      </c>
      <c r="Q18" s="255" t="s">
        <v>279</v>
      </c>
    </row>
    <row r="19" spans="1:17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  <c r="O19" s="262">
        <v>2</v>
      </c>
      <c r="P19" s="255">
        <v>2</v>
      </c>
      <c r="Q19" s="255" t="s">
        <v>278</v>
      </c>
    </row>
    <row r="20" spans="1:17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  <c r="O20" s="262">
        <v>3</v>
      </c>
      <c r="P20" s="255">
        <v>1</v>
      </c>
      <c r="Q20" s="255" t="s">
        <v>277</v>
      </c>
    </row>
    <row r="21" spans="1:17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40"/>
      <c r="L21" s="10"/>
      <c r="M21" s="30"/>
      <c r="O21" s="262">
        <v>4</v>
      </c>
      <c r="P21" s="255">
        <v>1</v>
      </c>
      <c r="Q21" s="255" t="s">
        <v>271</v>
      </c>
    </row>
    <row r="22" spans="1:17" ht="20.100000000000001" customHeight="1" thickBot="1" x14ac:dyDescent="0.3">
      <c r="A22" s="31" t="s">
        <v>14</v>
      </c>
      <c r="B22" s="13">
        <f>SUM(B12:B21)</f>
        <v>1</v>
      </c>
      <c r="C22" s="13">
        <f>SUM(C12:C21)</f>
        <v>5</v>
      </c>
      <c r="D22" s="13">
        <f t="shared" ref="D22:L22" si="0">SUM(D12:D21)</f>
        <v>1</v>
      </c>
      <c r="E22" s="13">
        <f t="shared" si="0"/>
        <v>1</v>
      </c>
      <c r="F22" s="13">
        <f t="shared" si="0"/>
        <v>1</v>
      </c>
      <c r="G22" s="13">
        <f t="shared" si="0"/>
        <v>1</v>
      </c>
      <c r="H22" s="13">
        <f t="shared" si="0"/>
        <v>2</v>
      </c>
      <c r="I22" s="13">
        <f t="shared" si="0"/>
        <v>2</v>
      </c>
      <c r="J22" s="13">
        <f t="shared" si="0"/>
        <v>0</v>
      </c>
      <c r="K22" s="13">
        <f t="shared" si="0"/>
        <v>0</v>
      </c>
      <c r="L22" s="13">
        <f t="shared" si="0"/>
        <v>0</v>
      </c>
      <c r="O22" s="262">
        <v>5</v>
      </c>
      <c r="P22" s="255">
        <v>1</v>
      </c>
      <c r="Q22" s="255" t="s">
        <v>276</v>
      </c>
    </row>
    <row r="23" spans="1:17" ht="20.100000000000001" customHeight="1" x14ac:dyDescent="0.25">
      <c r="O23" s="262">
        <v>6</v>
      </c>
      <c r="P23" s="255">
        <v>1</v>
      </c>
      <c r="Q23" s="255" t="s">
        <v>275</v>
      </c>
    </row>
    <row r="24" spans="1:17" ht="20.100000000000001" customHeight="1" x14ac:dyDescent="0.25">
      <c r="O24" s="262">
        <v>7</v>
      </c>
      <c r="P24" s="255">
        <v>1</v>
      </c>
      <c r="Q24" s="255" t="s">
        <v>274</v>
      </c>
    </row>
    <row r="25" spans="1:17" ht="20.100000000000001" customHeight="1" x14ac:dyDescent="0.25">
      <c r="O25" s="262">
        <v>8</v>
      </c>
      <c r="P25" s="255">
        <v>1</v>
      </c>
      <c r="Q25" s="255" t="s">
        <v>273</v>
      </c>
    </row>
    <row r="26" spans="1:17" ht="20.100000000000001" customHeight="1" x14ac:dyDescent="0.25">
      <c r="O26" s="262">
        <v>9</v>
      </c>
      <c r="P26" s="255">
        <v>1</v>
      </c>
      <c r="Q26" s="255" t="s">
        <v>272</v>
      </c>
    </row>
    <row r="27" spans="1:17" ht="20.100000000000001" customHeight="1" x14ac:dyDescent="0.25"/>
    <row r="28" spans="1:17" ht="20.100000000000001" customHeight="1" x14ac:dyDescent="0.25"/>
    <row r="29" spans="1:17" ht="20.100000000000001" customHeight="1" x14ac:dyDescent="0.25"/>
    <row r="30" spans="1:17" ht="20.100000000000001" customHeight="1" x14ac:dyDescent="0.25"/>
    <row r="31" spans="1:17" ht="20.100000000000001" customHeight="1" x14ac:dyDescent="0.25"/>
    <row r="32" spans="1:17" ht="20.100000000000001" customHeight="1" x14ac:dyDescent="0.25"/>
    <row r="33" ht="20.100000000000001" customHeight="1" x14ac:dyDescent="0.25"/>
  </sheetData>
  <mergeCells count="5">
    <mergeCell ref="A2:D2"/>
    <mergeCell ref="A1:L1"/>
    <mergeCell ref="E2:L2"/>
    <mergeCell ref="O3:R3"/>
    <mergeCell ref="O16:Q16"/>
  </mergeCells>
  <pageMargins left="1.4960629921259843" right="0.70866141732283472" top="1.3385826771653544" bottom="0.74803149606299213" header="0.31496062992125984" footer="0.31496062992125984"/>
  <pageSetup paperSize="9" scale="90" orientation="landscape" r:id="rId1"/>
  <ignoredErrors>
    <ignoredError sqref="C22" formulaRange="1"/>
  </ignoredError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A3E0-508F-440F-8F9E-32F2A3050858}">
  <sheetPr>
    <tabColor rgb="FFFFFF00"/>
  </sheetPr>
  <dimension ref="A1:L26"/>
  <sheetViews>
    <sheetView workbookViewId="0">
      <selection activeCell="A3" sqref="A3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252</v>
      </c>
      <c r="B2" s="269"/>
      <c r="C2" s="270"/>
      <c r="D2" s="271"/>
      <c r="E2" s="314" t="s">
        <v>133</v>
      </c>
      <c r="F2" s="315"/>
      <c r="G2" s="315"/>
      <c r="H2" s="315"/>
      <c r="I2" s="315"/>
      <c r="J2" s="315"/>
      <c r="K2" s="315"/>
    </row>
    <row r="3" spans="1:12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33" t="s">
        <v>49</v>
      </c>
    </row>
    <row r="4" spans="1:12" ht="20.100000000000001" customHeight="1" x14ac:dyDescent="0.25">
      <c r="A4" s="7">
        <v>45533</v>
      </c>
      <c r="B4" s="6"/>
      <c r="C4" s="6">
        <v>0</v>
      </c>
      <c r="D4" s="6"/>
      <c r="E4" s="6"/>
      <c r="F4" s="6">
        <v>1</v>
      </c>
      <c r="G4" s="6"/>
      <c r="H4" s="6">
        <v>1</v>
      </c>
      <c r="I4" s="6"/>
      <c r="J4" s="6"/>
      <c r="K4" s="6"/>
    </row>
    <row r="5" spans="1:12" ht="24.95" customHeight="1" x14ac:dyDescent="0.25">
      <c r="A5" s="32">
        <v>45576</v>
      </c>
      <c r="B5" s="8"/>
      <c r="C5" s="8"/>
      <c r="D5" s="8"/>
      <c r="E5" s="8"/>
      <c r="F5" s="8"/>
      <c r="G5" s="8"/>
      <c r="H5" s="8"/>
      <c r="I5" s="8"/>
      <c r="J5" s="8">
        <v>1</v>
      </c>
      <c r="K5" s="8"/>
    </row>
    <row r="6" spans="1:12" ht="20.100000000000001" customHeight="1" x14ac:dyDescent="0.25">
      <c r="A6" s="11">
        <v>45579</v>
      </c>
      <c r="B6" s="10"/>
      <c r="C6" s="10">
        <v>1</v>
      </c>
      <c r="D6" s="10"/>
      <c r="E6" s="10">
        <v>1</v>
      </c>
      <c r="F6" s="10"/>
      <c r="G6" s="10"/>
      <c r="H6" s="10"/>
      <c r="I6" s="10"/>
      <c r="J6" s="10"/>
      <c r="K6" s="10"/>
    </row>
    <row r="7" spans="1:12" ht="20.100000000000001" customHeight="1" x14ac:dyDescent="0.25">
      <c r="A7" s="11">
        <v>45776</v>
      </c>
      <c r="B7" s="10"/>
      <c r="C7" s="10">
        <v>2</v>
      </c>
      <c r="D7" s="10"/>
      <c r="E7" s="10"/>
      <c r="F7" s="10"/>
      <c r="G7" s="10"/>
      <c r="H7" s="10"/>
      <c r="I7" s="10"/>
      <c r="J7" s="10"/>
      <c r="K7" s="10"/>
      <c r="L7" s="30"/>
    </row>
    <row r="8" spans="1:12" ht="20.100000000000001" customHeight="1" x14ac:dyDescent="0.25">
      <c r="A8" s="11">
        <v>45854</v>
      </c>
      <c r="B8" s="10"/>
      <c r="C8" s="10">
        <v>2</v>
      </c>
      <c r="D8" s="10"/>
      <c r="E8" s="10">
        <v>1</v>
      </c>
      <c r="F8" s="10">
        <v>1</v>
      </c>
      <c r="G8" s="10"/>
      <c r="H8" s="10">
        <v>1</v>
      </c>
      <c r="I8" s="10"/>
      <c r="J8" s="10"/>
      <c r="K8" s="10"/>
    </row>
    <row r="9" spans="1:12" ht="20.100000000000001" customHeight="1" x14ac:dyDescent="0.25">
      <c r="A9" s="11" t="s">
        <v>249</v>
      </c>
      <c r="B9" s="10"/>
      <c r="C9" s="10"/>
      <c r="D9" s="10"/>
      <c r="E9" s="10">
        <v>1</v>
      </c>
      <c r="F9" s="10"/>
      <c r="G9" s="10"/>
      <c r="H9" s="10"/>
      <c r="I9" s="10"/>
      <c r="J9" s="10"/>
      <c r="K9" s="1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0"/>
    </row>
    <row r="14" spans="1:12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thickBot="1" x14ac:dyDescent="0.3">
      <c r="A15" s="31" t="s">
        <v>14</v>
      </c>
      <c r="B15" s="13">
        <f>SUM(B4:B14)</f>
        <v>0</v>
      </c>
      <c r="C15" s="13">
        <f t="shared" ref="C15:K15" si="0">SUM(C4:C14)</f>
        <v>5</v>
      </c>
      <c r="D15" s="13">
        <f t="shared" si="0"/>
        <v>0</v>
      </c>
      <c r="E15" s="13">
        <f t="shared" si="0"/>
        <v>3</v>
      </c>
      <c r="F15" s="13">
        <f t="shared" si="0"/>
        <v>2</v>
      </c>
      <c r="G15" s="13">
        <f t="shared" si="0"/>
        <v>0</v>
      </c>
      <c r="H15" s="13">
        <f t="shared" si="0"/>
        <v>2</v>
      </c>
      <c r="I15" s="13">
        <f t="shared" si="0"/>
        <v>0</v>
      </c>
      <c r="J15" s="13">
        <f t="shared" si="0"/>
        <v>1</v>
      </c>
      <c r="K15" s="13">
        <f t="shared" si="0"/>
        <v>0</v>
      </c>
    </row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15B8-4DDB-4D48-AE74-201B9E5D3EFF}">
  <sheetPr>
    <tabColor rgb="FFFFFF00"/>
  </sheetPr>
  <dimension ref="A1:M21"/>
  <sheetViews>
    <sheetView workbookViewId="0">
      <selection activeCell="A10" sqref="A1:L10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250</v>
      </c>
      <c r="B2" s="269"/>
      <c r="C2" s="270"/>
      <c r="D2" s="271"/>
      <c r="E2" s="322" t="s">
        <v>26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238</v>
      </c>
      <c r="L3" s="143" t="s">
        <v>72</v>
      </c>
    </row>
    <row r="4" spans="1:13" ht="20.100000000000001" customHeight="1" x14ac:dyDescent="0.25">
      <c r="A4" s="7">
        <v>45971</v>
      </c>
      <c r="B4" s="6">
        <v>1</v>
      </c>
      <c r="C4" s="6">
        <v>2</v>
      </c>
      <c r="D4" s="6"/>
      <c r="E4" s="6"/>
      <c r="F4" s="6"/>
      <c r="G4" s="6"/>
      <c r="H4" s="6"/>
      <c r="I4" s="6"/>
      <c r="J4" s="6"/>
      <c r="K4" s="150"/>
      <c r="L4" s="10"/>
    </row>
    <row r="5" spans="1:13" ht="24.95" customHeight="1" x14ac:dyDescent="0.25">
      <c r="A5" s="32">
        <v>45972</v>
      </c>
      <c r="B5" s="8"/>
      <c r="C5" s="8"/>
      <c r="D5" s="8"/>
      <c r="E5" s="8"/>
      <c r="F5" s="8"/>
      <c r="G5" s="8"/>
      <c r="H5" s="8"/>
      <c r="I5" s="8"/>
      <c r="J5" s="8"/>
      <c r="K5" s="139">
        <v>1</v>
      </c>
      <c r="L5" s="10"/>
    </row>
    <row r="6" spans="1:13" ht="20.100000000000001" customHeight="1" x14ac:dyDescent="0.25">
      <c r="A6" s="11">
        <v>45996</v>
      </c>
      <c r="B6" s="10"/>
      <c r="C6" s="10"/>
      <c r="D6" s="10"/>
      <c r="E6" s="10"/>
      <c r="F6" s="10"/>
      <c r="G6" s="10"/>
      <c r="H6" s="10"/>
      <c r="I6" s="10">
        <v>1</v>
      </c>
      <c r="J6" s="10"/>
      <c r="K6" s="140"/>
      <c r="L6" s="10"/>
    </row>
    <row r="7" spans="1:13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40"/>
      <c r="L7" s="10"/>
      <c r="M7" s="30"/>
    </row>
    <row r="8" spans="1:13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40"/>
      <c r="L8" s="10"/>
      <c r="M8" s="30"/>
    </row>
    <row r="9" spans="1:13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40"/>
      <c r="L9" s="10"/>
      <c r="M9" s="30"/>
    </row>
    <row r="10" spans="1:13" ht="20.100000000000001" customHeight="1" thickBot="1" x14ac:dyDescent="0.3">
      <c r="A10" s="31"/>
      <c r="B10" s="13">
        <f>SUM(B4:B9)</f>
        <v>1</v>
      </c>
      <c r="C10" s="13">
        <f t="shared" ref="C10:L10" si="0">SUM(C4:C9)</f>
        <v>2</v>
      </c>
      <c r="D10" s="13">
        <f t="shared" si="0"/>
        <v>0</v>
      </c>
      <c r="E10" s="13">
        <f t="shared" si="0"/>
        <v>0</v>
      </c>
      <c r="F10" s="13">
        <f t="shared" si="0"/>
        <v>0</v>
      </c>
      <c r="G10" s="13">
        <f t="shared" si="0"/>
        <v>0</v>
      </c>
      <c r="H10" s="13">
        <f t="shared" si="0"/>
        <v>0</v>
      </c>
      <c r="I10" s="13">
        <f t="shared" si="0"/>
        <v>1</v>
      </c>
      <c r="J10" s="13">
        <f t="shared" si="0"/>
        <v>0</v>
      </c>
      <c r="K10" s="151">
        <f t="shared" si="0"/>
        <v>1</v>
      </c>
      <c r="L10" s="142">
        <f t="shared" si="0"/>
        <v>0</v>
      </c>
    </row>
    <row r="11" spans="1:13" ht="20.100000000000001" customHeight="1" x14ac:dyDescent="0.25"/>
    <row r="12" spans="1:13" ht="20.100000000000001" customHeight="1" x14ac:dyDescent="0.25"/>
    <row r="13" spans="1:13" ht="20.100000000000001" customHeight="1" x14ac:dyDescent="0.25"/>
    <row r="14" spans="1:13" ht="20.100000000000001" customHeight="1" x14ac:dyDescent="0.25"/>
    <row r="15" spans="1:13" ht="20.100000000000001" customHeight="1" x14ac:dyDescent="0.25"/>
    <row r="16" spans="1:13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81C5-96B9-4FEC-9C45-EAAC3A482C98}">
  <sheetPr>
    <tabColor theme="6" tint="0.59999389629810485"/>
  </sheetPr>
  <dimension ref="A1:M33"/>
  <sheetViews>
    <sheetView workbookViewId="0">
      <selection activeCell="A22" sqref="A1:M22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252</v>
      </c>
      <c r="B2" s="269"/>
      <c r="C2" s="270"/>
      <c r="D2" s="271"/>
      <c r="E2" s="322" t="s">
        <v>215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>
        <v>45820</v>
      </c>
      <c r="B4" s="6"/>
      <c r="C4" s="6">
        <v>2</v>
      </c>
      <c r="D4" s="218">
        <v>1</v>
      </c>
      <c r="E4" s="6"/>
      <c r="F4" s="6">
        <v>1</v>
      </c>
      <c r="G4" s="6"/>
      <c r="H4" s="6">
        <v>1</v>
      </c>
      <c r="I4" s="6"/>
      <c r="J4" s="6"/>
      <c r="K4" s="150"/>
      <c r="L4" s="10"/>
      <c r="M4" s="219" t="s">
        <v>216</v>
      </c>
    </row>
    <row r="5" spans="1:13" ht="20.100000000000001" customHeight="1" x14ac:dyDescent="0.25">
      <c r="A5" s="9">
        <v>45856</v>
      </c>
      <c r="B5" s="8"/>
      <c r="C5" s="8"/>
      <c r="D5" s="250"/>
      <c r="E5" s="8">
        <v>1</v>
      </c>
      <c r="F5" s="8"/>
      <c r="G5" s="8"/>
      <c r="H5" s="8"/>
      <c r="I5" s="8"/>
      <c r="J5" s="8"/>
      <c r="K5" s="139"/>
      <c r="L5" s="10"/>
      <c r="M5" s="248"/>
    </row>
    <row r="6" spans="1:13" ht="24.95" customHeight="1" x14ac:dyDescent="0.25">
      <c r="A6" s="32">
        <v>45905</v>
      </c>
      <c r="B6" s="8"/>
      <c r="C6" s="8"/>
      <c r="D6" s="8"/>
      <c r="E6" s="8"/>
      <c r="F6" s="8"/>
      <c r="G6" s="8"/>
      <c r="H6" s="8">
        <v>1</v>
      </c>
      <c r="I6" s="8"/>
      <c r="J6" s="8"/>
      <c r="K6" s="139"/>
      <c r="L6" s="10"/>
    </row>
    <row r="7" spans="1:13" ht="20.100000000000001" customHeight="1" x14ac:dyDescent="0.25">
      <c r="A7" s="11">
        <v>45939</v>
      </c>
      <c r="B7" s="10"/>
      <c r="C7" s="10">
        <v>2</v>
      </c>
      <c r="D7" s="10"/>
      <c r="E7" s="10"/>
      <c r="F7" s="10"/>
      <c r="G7" s="10"/>
      <c r="H7" s="10"/>
      <c r="I7" s="10">
        <v>1</v>
      </c>
      <c r="J7" s="10"/>
      <c r="K7" s="140"/>
      <c r="L7" s="10"/>
    </row>
    <row r="8" spans="1:13" ht="20.100000000000001" customHeight="1" x14ac:dyDescent="0.25">
      <c r="A8" s="11">
        <v>45944</v>
      </c>
      <c r="B8" s="10">
        <v>1</v>
      </c>
      <c r="C8" s="10"/>
      <c r="D8" s="10"/>
      <c r="E8" s="10"/>
      <c r="F8" s="10"/>
      <c r="G8" s="10"/>
      <c r="H8" s="10"/>
      <c r="I8" s="10"/>
      <c r="J8" s="10"/>
      <c r="K8" s="140"/>
      <c r="L8" s="10"/>
      <c r="M8" s="30" t="s">
        <v>132</v>
      </c>
    </row>
    <row r="9" spans="1:13" ht="20.100000000000001" customHeight="1" x14ac:dyDescent="0.25">
      <c r="A9" s="11">
        <v>46073</v>
      </c>
      <c r="B9" s="10"/>
      <c r="C9" s="10">
        <v>1</v>
      </c>
      <c r="D9" s="10">
        <v>1</v>
      </c>
      <c r="E9" s="10">
        <v>1</v>
      </c>
      <c r="F9" s="10"/>
      <c r="G9" s="10"/>
      <c r="H9" s="10">
        <v>1</v>
      </c>
      <c r="I9" s="10"/>
      <c r="J9" s="10"/>
      <c r="K9" s="140"/>
      <c r="L9" s="10"/>
      <c r="M9" s="30" t="s">
        <v>254</v>
      </c>
    </row>
    <row r="10" spans="1:13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/>
      <c r="M10" s="30"/>
    </row>
    <row r="11" spans="1:13" ht="20.100000000000001" hidden="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hidden="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hidden="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</row>
    <row r="14" spans="1:13" ht="20.100000000000001" hidden="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hidden="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hidden="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hidden="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hidden="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hidden="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hidden="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40"/>
      <c r="L21" s="10"/>
      <c r="M21" s="30"/>
    </row>
    <row r="22" spans="1:13" ht="20.100000000000001" customHeight="1" thickBot="1" x14ac:dyDescent="0.3">
      <c r="A22" s="31"/>
      <c r="B22" s="13">
        <f>SUM(B4:B21)</f>
        <v>1</v>
      </c>
      <c r="C22" s="13">
        <f t="shared" ref="C22:L22" si="0">SUM(C4:C21)</f>
        <v>5</v>
      </c>
      <c r="D22" s="13">
        <f t="shared" si="0"/>
        <v>2</v>
      </c>
      <c r="E22" s="13">
        <f t="shared" si="0"/>
        <v>2</v>
      </c>
      <c r="F22" s="13">
        <f t="shared" si="0"/>
        <v>1</v>
      </c>
      <c r="G22" s="13">
        <f t="shared" si="0"/>
        <v>0</v>
      </c>
      <c r="H22" s="13">
        <f t="shared" si="0"/>
        <v>3</v>
      </c>
      <c r="I22" s="13">
        <f t="shared" si="0"/>
        <v>1</v>
      </c>
      <c r="J22" s="13">
        <f t="shared" si="0"/>
        <v>0</v>
      </c>
      <c r="K22" s="151">
        <f t="shared" si="0"/>
        <v>0</v>
      </c>
      <c r="L22" s="142">
        <f t="shared" si="0"/>
        <v>0</v>
      </c>
    </row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  <row r="33" ht="20.100000000000001" customHeight="1" x14ac:dyDescent="0.25"/>
  </sheetData>
  <mergeCells count="3">
    <mergeCell ref="A1:L1"/>
    <mergeCell ref="A2:D2"/>
    <mergeCell ref="E2:L2"/>
  </mergeCells>
  <pageMargins left="0.9055118110236221" right="0.70866141732283472" top="1.5354330708661419" bottom="0.74803149606299213" header="0.31496062992125984" footer="0.31496062992125984"/>
  <pageSetup paperSize="9" scale="95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E4E0-8D91-4D42-AFFA-0F515735D2A5}">
  <sheetPr>
    <tabColor theme="6" tint="0.59999389629810485"/>
  </sheetPr>
  <dimension ref="A1:M32"/>
  <sheetViews>
    <sheetView workbookViewId="0">
      <selection activeCell="K11" sqref="K11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252</v>
      </c>
      <c r="B2" s="269"/>
      <c r="C2" s="270"/>
      <c r="D2" s="271"/>
      <c r="E2" s="322" t="s">
        <v>219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>
        <v>45828</v>
      </c>
      <c r="B4" s="6">
        <v>1</v>
      </c>
      <c r="C4" s="6">
        <v>1</v>
      </c>
      <c r="D4" s="218">
        <v>1</v>
      </c>
      <c r="E4" s="6"/>
      <c r="F4" s="6">
        <v>0</v>
      </c>
      <c r="G4" s="6"/>
      <c r="H4" s="6">
        <v>1</v>
      </c>
      <c r="I4" s="6"/>
      <c r="J4" s="6"/>
      <c r="K4" s="150"/>
      <c r="L4" s="10"/>
      <c r="M4" s="30" t="s">
        <v>216</v>
      </c>
    </row>
    <row r="5" spans="1:13" ht="24.95" customHeight="1" x14ac:dyDescent="0.25">
      <c r="A5" s="32">
        <v>45856</v>
      </c>
      <c r="B5" s="8"/>
      <c r="C5" s="8">
        <v>1</v>
      </c>
      <c r="D5" s="8"/>
      <c r="E5" s="8"/>
      <c r="F5" s="8"/>
      <c r="G5" s="8"/>
      <c r="H5" s="8">
        <v>1</v>
      </c>
      <c r="I5" s="8"/>
      <c r="J5" s="8"/>
      <c r="K5" s="139"/>
      <c r="L5" s="10"/>
    </row>
    <row r="6" spans="1:13" ht="20.100000000000001" customHeight="1" x14ac:dyDescent="0.25">
      <c r="A6" s="11">
        <v>45919</v>
      </c>
      <c r="B6" s="10"/>
      <c r="C6" s="10">
        <v>1</v>
      </c>
      <c r="D6" s="10"/>
      <c r="E6" s="10"/>
      <c r="F6" s="10"/>
      <c r="G6" s="10"/>
      <c r="H6" s="10"/>
      <c r="I6" s="10">
        <v>1</v>
      </c>
      <c r="J6" s="10"/>
      <c r="K6" s="140"/>
      <c r="L6" s="10"/>
    </row>
    <row r="7" spans="1:13" ht="20.100000000000001" customHeight="1" x14ac:dyDescent="0.25">
      <c r="A7" s="11">
        <v>45944</v>
      </c>
      <c r="B7" s="10">
        <v>1</v>
      </c>
      <c r="C7" s="10"/>
      <c r="D7" s="10"/>
      <c r="E7" s="10"/>
      <c r="F7" s="10"/>
      <c r="G7" s="10"/>
      <c r="H7" s="10"/>
      <c r="I7" s="10"/>
      <c r="J7" s="10"/>
      <c r="K7" s="140"/>
      <c r="L7" s="10"/>
      <c r="M7" s="30" t="s">
        <v>67</v>
      </c>
    </row>
    <row r="8" spans="1:13" ht="20.100000000000001" customHeight="1" x14ac:dyDescent="0.25">
      <c r="A8" s="11">
        <v>45974</v>
      </c>
      <c r="B8" s="10"/>
      <c r="C8" s="10">
        <v>1</v>
      </c>
      <c r="D8" s="10"/>
      <c r="E8" s="10"/>
      <c r="F8" s="10"/>
      <c r="G8" s="10"/>
      <c r="H8" s="10"/>
      <c r="I8" s="10"/>
      <c r="J8" s="10"/>
      <c r="K8" s="140"/>
      <c r="L8" s="10"/>
      <c r="M8" s="30"/>
    </row>
    <row r="9" spans="1:13" ht="20.100000000000001" customHeight="1" x14ac:dyDescent="0.25">
      <c r="A9" s="11">
        <v>45966</v>
      </c>
      <c r="B9" s="10"/>
      <c r="C9" s="10">
        <v>2</v>
      </c>
      <c r="D9" s="10"/>
      <c r="E9" s="10"/>
      <c r="F9" s="10"/>
      <c r="G9" s="10"/>
      <c r="H9" s="10"/>
      <c r="I9" s="10">
        <v>1</v>
      </c>
      <c r="J9" s="10"/>
      <c r="K9" s="140"/>
      <c r="L9" s="10"/>
      <c r="M9" s="30" t="s">
        <v>258</v>
      </c>
    </row>
    <row r="10" spans="1:13" ht="20.100000000000001" customHeight="1" x14ac:dyDescent="0.25">
      <c r="A10" s="11">
        <v>46073</v>
      </c>
      <c r="B10" s="10"/>
      <c r="C10" s="10">
        <v>1</v>
      </c>
      <c r="D10" s="10">
        <v>1</v>
      </c>
      <c r="E10" s="10">
        <v>1</v>
      </c>
      <c r="F10" s="10"/>
      <c r="G10" s="10"/>
      <c r="H10" s="10"/>
      <c r="I10" s="10"/>
      <c r="J10" s="10"/>
      <c r="K10" s="140"/>
      <c r="L10" s="10"/>
      <c r="M10" s="30" t="s">
        <v>259</v>
      </c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/>
      <c r="B21" s="13">
        <f>SUM(B4:B20)</f>
        <v>2</v>
      </c>
      <c r="C21" s="13">
        <f t="shared" ref="C21:L21" si="0">SUM(C4:C20)</f>
        <v>7</v>
      </c>
      <c r="D21" s="13">
        <f t="shared" si="0"/>
        <v>2</v>
      </c>
      <c r="E21" s="13">
        <f t="shared" si="0"/>
        <v>1</v>
      </c>
      <c r="F21" s="13">
        <f t="shared" si="0"/>
        <v>0</v>
      </c>
      <c r="G21" s="13">
        <f t="shared" si="0"/>
        <v>0</v>
      </c>
      <c r="H21" s="13">
        <f t="shared" si="0"/>
        <v>2</v>
      </c>
      <c r="I21" s="13">
        <f t="shared" si="0"/>
        <v>2</v>
      </c>
      <c r="J21" s="13">
        <f t="shared" si="0"/>
        <v>0</v>
      </c>
      <c r="K21" s="151">
        <f t="shared" si="0"/>
        <v>0</v>
      </c>
      <c r="L21" s="142">
        <f t="shared" si="0"/>
        <v>0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58D7-25D5-4B41-8E28-F0B4C434AEE6}">
  <dimension ref="A1:P44"/>
  <sheetViews>
    <sheetView workbookViewId="0">
      <selection activeCell="H26" sqref="H26"/>
    </sheetView>
  </sheetViews>
  <sheetFormatPr baseColWidth="10" defaultRowHeight="13.5" x14ac:dyDescent="0.25"/>
  <cols>
    <col min="2" max="14" width="10.7109375" customWidth="1"/>
    <col min="15" max="15" width="14.5703125" customWidth="1"/>
  </cols>
  <sheetData>
    <row r="1" spans="1:15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</row>
    <row r="2" spans="1:15" ht="21.75" thickBot="1" x14ac:dyDescent="0.3">
      <c r="A2" s="268" t="s">
        <v>253</v>
      </c>
      <c r="B2" s="269"/>
      <c r="C2" s="270"/>
      <c r="D2" s="271"/>
      <c r="E2" s="322" t="s">
        <v>47</v>
      </c>
      <c r="F2" s="323"/>
      <c r="G2" s="323"/>
      <c r="H2" s="323"/>
      <c r="I2" s="323"/>
      <c r="J2" s="323"/>
      <c r="K2" s="323"/>
      <c r="L2" s="323"/>
      <c r="M2" s="323"/>
      <c r="N2" s="323"/>
    </row>
    <row r="3" spans="1:15" ht="45" x14ac:dyDescent="0.25">
      <c r="A3" s="176" t="s">
        <v>12</v>
      </c>
      <c r="B3" s="176" t="s">
        <v>1</v>
      </c>
      <c r="C3" s="176" t="s">
        <v>2</v>
      </c>
      <c r="D3" s="176" t="s">
        <v>3</v>
      </c>
      <c r="E3" s="176" t="s">
        <v>4</v>
      </c>
      <c r="F3" s="33" t="s">
        <v>5</v>
      </c>
      <c r="G3" s="176" t="s">
        <v>6</v>
      </c>
      <c r="H3" s="176" t="s">
        <v>8</v>
      </c>
      <c r="I3" s="176" t="s">
        <v>9</v>
      </c>
      <c r="J3" s="176" t="s">
        <v>10</v>
      </c>
      <c r="K3" s="144" t="s">
        <v>151</v>
      </c>
      <c r="L3" s="143" t="s">
        <v>72</v>
      </c>
      <c r="M3" s="175" t="s">
        <v>128</v>
      </c>
      <c r="N3" s="143" t="s">
        <v>126</v>
      </c>
    </row>
    <row r="4" spans="1:15" ht="20.100000000000001" hidden="1" customHeight="1" x14ac:dyDescent="0.25">
      <c r="A4" s="186">
        <v>45107</v>
      </c>
      <c r="B4" s="187">
        <v>0</v>
      </c>
      <c r="C4" s="187">
        <v>3</v>
      </c>
      <c r="D4" s="187"/>
      <c r="E4" s="187"/>
      <c r="F4" s="187">
        <v>1</v>
      </c>
      <c r="G4" s="187"/>
      <c r="H4" s="187"/>
      <c r="I4" s="187"/>
      <c r="J4" s="187"/>
      <c r="K4" s="188"/>
      <c r="L4" s="183"/>
      <c r="M4" s="183"/>
      <c r="N4" s="183"/>
    </row>
    <row r="5" spans="1:15" ht="24.95" hidden="1" customHeight="1" x14ac:dyDescent="0.25">
      <c r="A5" s="189">
        <v>45224</v>
      </c>
      <c r="B5" s="190"/>
      <c r="C5" s="190">
        <v>3</v>
      </c>
      <c r="D5" s="190"/>
      <c r="E5" s="190">
        <v>2</v>
      </c>
      <c r="F5" s="190">
        <v>0</v>
      </c>
      <c r="G5" s="190"/>
      <c r="H5" s="190"/>
      <c r="I5" s="190">
        <v>1</v>
      </c>
      <c r="J5" s="190"/>
      <c r="K5" s="191"/>
      <c r="L5" s="183"/>
      <c r="M5" s="183"/>
      <c r="N5" s="183"/>
    </row>
    <row r="6" spans="1:15" ht="20.100000000000001" hidden="1" customHeight="1" x14ac:dyDescent="0.25">
      <c r="A6" s="182">
        <v>45286</v>
      </c>
      <c r="B6" s="183"/>
      <c r="C6" s="183"/>
      <c r="D6" s="183"/>
      <c r="E6" s="183"/>
      <c r="F6" s="183"/>
      <c r="G6" s="183"/>
      <c r="H6" s="183"/>
      <c r="I6" s="183"/>
      <c r="J6" s="183">
        <v>1</v>
      </c>
      <c r="K6" s="192"/>
      <c r="L6" s="183"/>
      <c r="M6" s="183"/>
      <c r="N6" s="183"/>
    </row>
    <row r="7" spans="1:15" ht="20.100000000000001" hidden="1" customHeight="1" x14ac:dyDescent="0.25">
      <c r="A7" s="184">
        <v>45447</v>
      </c>
      <c r="B7" s="185">
        <v>0</v>
      </c>
      <c r="C7" s="185"/>
      <c r="D7" s="185"/>
      <c r="E7" s="185"/>
      <c r="F7" s="185"/>
      <c r="G7" s="185"/>
      <c r="H7" s="185"/>
      <c r="I7" s="185"/>
      <c r="J7" s="185"/>
      <c r="K7" s="193"/>
      <c r="L7" s="185"/>
      <c r="M7" s="185"/>
      <c r="N7" s="185"/>
      <c r="O7" s="30"/>
    </row>
    <row r="8" spans="1:15" ht="20.100000000000001" hidden="1" customHeight="1" x14ac:dyDescent="0.25">
      <c r="A8" s="184">
        <v>45499</v>
      </c>
      <c r="B8" s="185"/>
      <c r="C8" s="185"/>
      <c r="D8" s="185"/>
      <c r="E8" s="185">
        <v>1</v>
      </c>
      <c r="F8" s="185">
        <v>0</v>
      </c>
      <c r="G8" s="185"/>
      <c r="H8" s="185">
        <v>1</v>
      </c>
      <c r="I8" s="185"/>
      <c r="J8" s="185"/>
      <c r="K8" s="193"/>
      <c r="L8" s="185"/>
      <c r="M8" s="185"/>
      <c r="N8" s="185"/>
      <c r="O8" s="30"/>
    </row>
    <row r="9" spans="1:15" ht="20.100000000000001" hidden="1" customHeight="1" x14ac:dyDescent="0.25">
      <c r="A9" s="184">
        <v>45474</v>
      </c>
      <c r="B9" s="185"/>
      <c r="C9" s="185"/>
      <c r="D9" s="185">
        <v>1</v>
      </c>
      <c r="E9" s="185"/>
      <c r="F9" s="185"/>
      <c r="G9" s="185"/>
      <c r="H9" s="185">
        <v>1</v>
      </c>
      <c r="I9" s="185"/>
      <c r="J9" s="185"/>
      <c r="K9" s="193"/>
      <c r="L9" s="185"/>
      <c r="M9" s="185"/>
      <c r="N9" s="185"/>
      <c r="O9" s="30" t="s">
        <v>68</v>
      </c>
    </row>
    <row r="10" spans="1:15" ht="20.100000000000001" hidden="1" customHeight="1" x14ac:dyDescent="0.25">
      <c r="A10" s="184">
        <v>45478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93"/>
      <c r="L10" s="185">
        <v>1</v>
      </c>
      <c r="M10" s="185"/>
      <c r="N10" s="185"/>
      <c r="O10" s="30"/>
    </row>
    <row r="11" spans="1:15" ht="20.100000000000001" hidden="1" customHeight="1" x14ac:dyDescent="0.25">
      <c r="A11" s="184">
        <v>45533</v>
      </c>
      <c r="B11" s="185"/>
      <c r="C11" s="185">
        <v>0</v>
      </c>
      <c r="D11" s="185"/>
      <c r="E11" s="185"/>
      <c r="F11" s="185"/>
      <c r="G11" s="185"/>
      <c r="H11" s="185"/>
      <c r="I11" s="185">
        <v>1</v>
      </c>
      <c r="J11" s="185"/>
      <c r="K11" s="193"/>
      <c r="L11" s="185"/>
      <c r="M11" s="185"/>
      <c r="N11" s="185">
        <v>1</v>
      </c>
    </row>
    <row r="12" spans="1:15" ht="20.100000000000001" hidden="1" customHeight="1" x14ac:dyDescent="0.25">
      <c r="A12" s="184" t="s">
        <v>13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93"/>
      <c r="L12" s="185"/>
      <c r="M12" s="185">
        <v>1</v>
      </c>
      <c r="N12" s="185"/>
      <c r="O12" s="30"/>
    </row>
    <row r="13" spans="1:15" ht="20.100000000000001" hidden="1" customHeight="1" x14ac:dyDescent="0.25">
      <c r="A13" s="184">
        <v>45577</v>
      </c>
      <c r="B13" s="185"/>
      <c r="C13" s="185"/>
      <c r="D13" s="185"/>
      <c r="E13" s="185"/>
      <c r="F13" s="185"/>
      <c r="G13" s="185"/>
      <c r="H13" s="185"/>
      <c r="I13" s="185"/>
      <c r="J13" s="185">
        <v>1</v>
      </c>
      <c r="K13" s="193"/>
      <c r="L13" s="193"/>
      <c r="M13" s="193"/>
      <c r="N13" s="185"/>
      <c r="O13" s="30"/>
    </row>
    <row r="14" spans="1:15" ht="20.100000000000001" hidden="1" customHeight="1" x14ac:dyDescent="0.25">
      <c r="A14" s="184">
        <v>45579</v>
      </c>
      <c r="B14" s="185">
        <v>1</v>
      </c>
      <c r="C14" s="185"/>
      <c r="D14" s="185"/>
      <c r="E14" s="185"/>
      <c r="F14" s="185"/>
      <c r="G14" s="185"/>
      <c r="H14" s="185"/>
      <c r="I14" s="185"/>
      <c r="J14" s="185"/>
      <c r="K14" s="193"/>
      <c r="L14" s="193"/>
      <c r="M14" s="193"/>
      <c r="N14" s="185"/>
      <c r="O14" s="30"/>
    </row>
    <row r="15" spans="1:15" ht="20.100000000000001" hidden="1" customHeight="1" x14ac:dyDescent="0.25">
      <c r="A15" s="184">
        <v>45604</v>
      </c>
      <c r="B15" s="185"/>
      <c r="C15" s="185">
        <v>1</v>
      </c>
      <c r="D15" s="185"/>
      <c r="E15" s="185">
        <v>1</v>
      </c>
      <c r="F15" s="185"/>
      <c r="G15" s="185"/>
      <c r="H15" s="185"/>
      <c r="I15" s="185"/>
      <c r="J15" s="185"/>
      <c r="K15" s="193"/>
      <c r="L15" s="193"/>
      <c r="M15" s="193"/>
      <c r="N15" s="185"/>
      <c r="O15" s="30"/>
    </row>
    <row r="16" spans="1:15" ht="20.100000000000001" hidden="1" customHeight="1" x14ac:dyDescent="0.25">
      <c r="A16" s="11">
        <v>45663</v>
      </c>
      <c r="B16" s="10"/>
      <c r="C16" s="10"/>
      <c r="D16" s="10"/>
      <c r="E16" s="10"/>
      <c r="F16" s="10"/>
      <c r="G16" s="10"/>
      <c r="H16" s="10"/>
      <c r="I16" s="10">
        <v>1</v>
      </c>
      <c r="J16" s="10"/>
      <c r="K16" s="140"/>
      <c r="L16" s="140"/>
      <c r="M16" s="140"/>
      <c r="N16" s="10"/>
      <c r="O16" s="30"/>
    </row>
    <row r="17" spans="1:16" ht="20.100000000000001" hidden="1" customHeight="1" x14ac:dyDescent="0.25">
      <c r="A17" s="11">
        <v>45664</v>
      </c>
      <c r="B17" s="10"/>
      <c r="C17" s="10">
        <v>1</v>
      </c>
      <c r="D17" s="10"/>
      <c r="E17" s="10"/>
      <c r="F17" s="10"/>
      <c r="G17" s="10"/>
      <c r="H17" s="10"/>
      <c r="I17" s="10"/>
      <c r="J17" s="10"/>
      <c r="K17" s="140"/>
      <c r="L17" s="140"/>
      <c r="M17" s="140"/>
      <c r="N17" s="10"/>
      <c r="O17" s="30"/>
    </row>
    <row r="18" spans="1:16" ht="20.100000000000001" hidden="1" customHeight="1" x14ac:dyDescent="0.25">
      <c r="A18" s="11">
        <v>45679</v>
      </c>
      <c r="B18" s="10"/>
      <c r="C18" s="10">
        <v>1</v>
      </c>
      <c r="D18" s="10"/>
      <c r="E18" s="10"/>
      <c r="F18" s="10"/>
      <c r="G18" s="10"/>
      <c r="H18" s="10"/>
      <c r="I18" s="10">
        <v>1</v>
      </c>
      <c r="J18" s="10"/>
      <c r="K18" s="140"/>
      <c r="L18" s="140"/>
      <c r="M18" s="140"/>
      <c r="N18" s="10"/>
      <c r="O18" s="30"/>
    </row>
    <row r="19" spans="1:16" ht="20.100000000000001" hidden="1" customHeight="1" x14ac:dyDescent="0.25">
      <c r="A19" s="11">
        <v>45723</v>
      </c>
      <c r="B19" s="10"/>
      <c r="C19" s="10">
        <v>1</v>
      </c>
      <c r="D19" s="10"/>
      <c r="E19" s="10"/>
      <c r="F19" s="10"/>
      <c r="G19" s="10"/>
      <c r="H19" s="10"/>
      <c r="I19" s="10"/>
      <c r="J19" s="10"/>
      <c r="K19" s="140"/>
      <c r="L19" s="140"/>
      <c r="M19" s="140"/>
      <c r="N19" s="10"/>
      <c r="O19" s="30"/>
    </row>
    <row r="20" spans="1:16" ht="20.100000000000001" hidden="1" customHeight="1" x14ac:dyDescent="0.25">
      <c r="A20" s="11">
        <v>45729</v>
      </c>
      <c r="B20" s="10">
        <v>1</v>
      </c>
      <c r="C20" s="10"/>
      <c r="D20" s="10"/>
      <c r="E20" s="10">
        <v>1</v>
      </c>
      <c r="F20" s="10">
        <v>1</v>
      </c>
      <c r="G20" s="10"/>
      <c r="H20" s="10"/>
      <c r="I20" s="10"/>
      <c r="J20" s="10"/>
      <c r="K20" s="140"/>
      <c r="L20" s="140"/>
      <c r="M20" s="140"/>
      <c r="N20" s="10"/>
      <c r="O20" s="30"/>
    </row>
    <row r="21" spans="1:16" ht="20.100000000000001" hidden="1" customHeight="1" x14ac:dyDescent="0.25">
      <c r="A21" s="11">
        <v>45751</v>
      </c>
      <c r="B21" s="10"/>
      <c r="C21" s="10"/>
      <c r="D21" s="10"/>
      <c r="E21" s="10"/>
      <c r="F21" s="10"/>
      <c r="G21" s="10"/>
      <c r="H21" s="10"/>
      <c r="I21" s="10"/>
      <c r="J21" s="10"/>
      <c r="K21" s="140">
        <v>1</v>
      </c>
      <c r="L21" s="140"/>
      <c r="M21" s="140"/>
      <c r="N21" s="10"/>
      <c r="O21" s="194" t="s">
        <v>152</v>
      </c>
      <c r="P21" s="30" t="s">
        <v>196</v>
      </c>
    </row>
    <row r="22" spans="1:16" ht="20.100000000000001" hidden="1" customHeight="1" x14ac:dyDescent="0.25">
      <c r="A22" s="11">
        <v>45820</v>
      </c>
      <c r="B22" s="10"/>
      <c r="C22" s="10">
        <v>2</v>
      </c>
      <c r="D22" s="10"/>
      <c r="E22" s="10"/>
      <c r="F22" s="10">
        <v>1</v>
      </c>
      <c r="G22" s="10"/>
      <c r="H22" s="10">
        <v>1</v>
      </c>
      <c r="I22" s="10"/>
      <c r="J22" s="10"/>
      <c r="K22" s="140"/>
      <c r="L22" s="140"/>
      <c r="M22" s="140"/>
      <c r="N22" s="10"/>
      <c r="O22" s="30"/>
    </row>
    <row r="23" spans="1:16" ht="20.100000000000001" customHeight="1" x14ac:dyDescent="0.25">
      <c r="A23" s="11">
        <v>45974</v>
      </c>
      <c r="B23" s="10">
        <v>1</v>
      </c>
      <c r="C23" s="10">
        <v>1</v>
      </c>
      <c r="D23" s="10"/>
      <c r="E23" s="10"/>
      <c r="F23" s="10"/>
      <c r="G23" s="10"/>
      <c r="H23" s="10"/>
      <c r="I23" s="10">
        <v>1</v>
      </c>
      <c r="J23" s="10"/>
      <c r="K23" s="140"/>
      <c r="L23" s="140"/>
      <c r="M23" s="140"/>
      <c r="N23" s="10"/>
      <c r="O23" s="30"/>
    </row>
    <row r="24" spans="1:16" ht="20.100000000000001" customHeight="1" x14ac:dyDescent="0.25">
      <c r="A24" s="11">
        <v>45996</v>
      </c>
      <c r="B24" s="10"/>
      <c r="C24" s="10">
        <v>1</v>
      </c>
      <c r="D24" s="10"/>
      <c r="E24" s="10"/>
      <c r="F24" s="10"/>
      <c r="G24" s="10"/>
      <c r="H24" s="10"/>
      <c r="I24" s="10"/>
      <c r="J24" s="10"/>
      <c r="K24" s="140"/>
      <c r="L24" s="140"/>
      <c r="M24" s="140"/>
      <c r="N24" s="10"/>
      <c r="O24" s="30"/>
    </row>
    <row r="25" spans="1:16" ht="20.100000000000001" customHeight="1" x14ac:dyDescent="0.25">
      <c r="A25" s="11">
        <v>46030</v>
      </c>
      <c r="B25" s="10"/>
      <c r="C25" s="10">
        <v>1</v>
      </c>
      <c r="D25" s="10"/>
      <c r="E25" s="10"/>
      <c r="F25" s="10"/>
      <c r="G25" s="10"/>
      <c r="H25" s="10">
        <v>1</v>
      </c>
      <c r="I25" s="10">
        <v>1</v>
      </c>
      <c r="J25" s="10"/>
      <c r="K25" s="140"/>
      <c r="L25" s="140"/>
      <c r="M25" s="140"/>
      <c r="N25" s="10"/>
      <c r="O25" s="30"/>
    </row>
    <row r="26" spans="1:16" ht="20.100000000000001" customHeight="1" x14ac:dyDescent="0.25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40"/>
      <c r="L26" s="140"/>
      <c r="M26" s="140"/>
      <c r="N26" s="10"/>
      <c r="O26" s="30"/>
    </row>
    <row r="27" spans="1:16" ht="20.100000000000001" customHeight="1" x14ac:dyDescent="0.25">
      <c r="A27" s="11"/>
      <c r="B27" s="10"/>
      <c r="C27" s="10"/>
      <c r="D27" s="10"/>
      <c r="E27" s="10"/>
      <c r="F27" s="10"/>
      <c r="G27" s="10"/>
      <c r="H27" s="10"/>
      <c r="I27" s="10"/>
      <c r="J27" s="10"/>
      <c r="K27" s="140"/>
      <c r="L27" s="140"/>
      <c r="M27" s="140"/>
      <c r="N27" s="10"/>
      <c r="O27" s="30"/>
    </row>
    <row r="28" spans="1:16" ht="20.100000000000001" customHeight="1" x14ac:dyDescent="0.25">
      <c r="A28" s="11"/>
      <c r="B28" s="10"/>
      <c r="C28" s="10"/>
      <c r="D28" s="10"/>
      <c r="E28" s="10"/>
      <c r="F28" s="10"/>
      <c r="G28" s="10"/>
      <c r="H28" s="10"/>
      <c r="I28" s="10"/>
      <c r="J28" s="10"/>
      <c r="K28" s="140"/>
      <c r="L28" s="140"/>
      <c r="M28" s="140"/>
      <c r="N28" s="10"/>
      <c r="O28" s="30"/>
    </row>
    <row r="29" spans="1:16" ht="20.100000000000001" customHeight="1" x14ac:dyDescent="0.25">
      <c r="A29" s="11"/>
      <c r="B29" s="10"/>
      <c r="C29" s="10"/>
      <c r="D29" s="10"/>
      <c r="E29" s="10"/>
      <c r="F29" s="10"/>
      <c r="G29" s="10"/>
      <c r="H29" s="10"/>
      <c r="I29" s="10"/>
      <c r="J29" s="10"/>
      <c r="K29" s="140"/>
      <c r="L29" s="140"/>
      <c r="M29" s="140"/>
      <c r="N29" s="10"/>
      <c r="O29" s="30"/>
    </row>
    <row r="30" spans="1:16" ht="20.100000000000001" customHeight="1" x14ac:dyDescent="0.25">
      <c r="A30" s="11"/>
      <c r="B30" s="10"/>
      <c r="C30" s="10"/>
      <c r="D30" s="10"/>
      <c r="E30" s="10"/>
      <c r="F30" s="10"/>
      <c r="G30" s="10"/>
      <c r="H30" s="10"/>
      <c r="I30" s="10"/>
      <c r="J30" s="10"/>
      <c r="K30" s="140"/>
      <c r="L30" s="140"/>
      <c r="M30" s="140"/>
      <c r="N30" s="10"/>
      <c r="O30" s="30"/>
    </row>
    <row r="31" spans="1:16" ht="20.100000000000001" customHeight="1" x14ac:dyDescent="0.25">
      <c r="A31" s="11"/>
      <c r="B31" s="10"/>
      <c r="C31" s="10"/>
      <c r="D31" s="10"/>
      <c r="E31" s="10"/>
      <c r="F31" s="10"/>
      <c r="G31" s="10"/>
      <c r="H31" s="10"/>
      <c r="I31" s="10"/>
      <c r="J31" s="10"/>
      <c r="K31" s="140"/>
      <c r="L31" s="140"/>
      <c r="M31" s="140"/>
      <c r="N31" s="10"/>
      <c r="O31" s="30"/>
    </row>
    <row r="32" spans="1:16" ht="20.100000000000001" customHeight="1" x14ac:dyDescent="0.25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40"/>
      <c r="L32" s="140"/>
      <c r="M32" s="140"/>
      <c r="N32" s="10"/>
      <c r="O32" s="30"/>
    </row>
    <row r="33" spans="1:14" ht="20.100000000000001" customHeight="1" thickBot="1" x14ac:dyDescent="0.3">
      <c r="A33" s="31" t="s">
        <v>14</v>
      </c>
      <c r="B33" s="13">
        <f>B7+B8+B9+B10+B11+B12+B13+B14+B15+B16+B17+B18+B19+B20+B21+B22+B31+B32</f>
        <v>2</v>
      </c>
      <c r="C33" s="13">
        <f>C23+C24+C25+C26+C27+C28+C29+C30+C31+C32</f>
        <v>3</v>
      </c>
      <c r="D33" s="13">
        <f t="shared" ref="D33:N33" si="0">D23+D24+D25+D26+D27+D28+D29+D30+D31+D32</f>
        <v>0</v>
      </c>
      <c r="E33" s="13">
        <f t="shared" si="0"/>
        <v>0</v>
      </c>
      <c r="F33" s="13">
        <f t="shared" si="0"/>
        <v>0</v>
      </c>
      <c r="G33" s="13">
        <f t="shared" si="0"/>
        <v>0</v>
      </c>
      <c r="H33" s="13">
        <f t="shared" si="0"/>
        <v>1</v>
      </c>
      <c r="I33" s="13">
        <f t="shared" si="0"/>
        <v>2</v>
      </c>
      <c r="J33" s="13">
        <f t="shared" si="0"/>
        <v>0</v>
      </c>
      <c r="K33" s="13">
        <f t="shared" si="0"/>
        <v>0</v>
      </c>
      <c r="L33" s="13">
        <f t="shared" si="0"/>
        <v>0</v>
      </c>
      <c r="M33" s="13">
        <f t="shared" si="0"/>
        <v>0</v>
      </c>
      <c r="N33" s="13">
        <f t="shared" si="0"/>
        <v>0</v>
      </c>
    </row>
    <row r="34" spans="1:14" ht="20.100000000000001" customHeight="1" x14ac:dyDescent="0.25"/>
    <row r="35" spans="1:14" ht="20.100000000000001" customHeight="1" x14ac:dyDescent="0.25"/>
    <row r="36" spans="1:14" ht="20.100000000000001" customHeight="1" x14ac:dyDescent="0.25"/>
    <row r="37" spans="1:14" ht="20.100000000000001" customHeight="1" x14ac:dyDescent="0.25"/>
    <row r="38" spans="1:14" ht="20.100000000000001" customHeight="1" x14ac:dyDescent="0.25"/>
    <row r="39" spans="1:14" ht="20.100000000000001" customHeight="1" x14ac:dyDescent="0.25"/>
    <row r="40" spans="1:14" ht="20.100000000000001" customHeight="1" x14ac:dyDescent="0.25"/>
    <row r="41" spans="1:14" ht="20.100000000000001" customHeight="1" x14ac:dyDescent="0.25"/>
    <row r="42" spans="1:14" ht="20.100000000000001" customHeight="1" x14ac:dyDescent="0.25"/>
    <row r="43" spans="1:14" ht="20.100000000000001" customHeight="1" x14ac:dyDescent="0.25"/>
    <row r="44" spans="1:14" ht="20.100000000000001" customHeight="1" x14ac:dyDescent="0.25"/>
  </sheetData>
  <mergeCells count="3">
    <mergeCell ref="A2:D2"/>
    <mergeCell ref="A1:N1"/>
    <mergeCell ref="E2:N2"/>
  </mergeCells>
  <pageMargins left="1.1023622047244095" right="0.70866141732283472" top="0.55118110236220474" bottom="0.74803149606299213" header="0.31496062992125984" footer="0.31496062992125984"/>
  <pageSetup paperSize="9" scale="90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2F88-1A95-4F58-AA05-0488206CE58A}">
  <sheetPr>
    <tabColor theme="6" tint="0.59999389629810485"/>
  </sheetPr>
  <dimension ref="A1:M32"/>
  <sheetViews>
    <sheetView workbookViewId="0">
      <selection activeCell="A6" sqref="A6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252</v>
      </c>
      <c r="B2" s="269"/>
      <c r="C2" s="270"/>
      <c r="D2" s="271"/>
      <c r="E2" s="322" t="s">
        <v>260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251">
        <v>46079</v>
      </c>
      <c r="B4" s="220">
        <v>1</v>
      </c>
      <c r="C4" s="220">
        <v>2</v>
      </c>
      <c r="D4" s="220"/>
      <c r="E4" s="220"/>
      <c r="F4" s="220">
        <v>1</v>
      </c>
      <c r="G4" s="220"/>
      <c r="H4" s="220"/>
      <c r="I4" s="220"/>
      <c r="J4" s="220"/>
      <c r="K4" s="252"/>
      <c r="L4" s="79"/>
      <c r="M4" s="248"/>
    </row>
    <row r="5" spans="1:13" ht="24.95" customHeight="1" x14ac:dyDescent="0.25">
      <c r="A5" s="32"/>
      <c r="B5" s="250"/>
      <c r="C5" s="250"/>
      <c r="D5" s="250"/>
      <c r="E5" s="250"/>
      <c r="F5" s="250"/>
      <c r="G5" s="250"/>
      <c r="H5" s="250"/>
      <c r="I5" s="250"/>
      <c r="J5" s="250"/>
      <c r="K5" s="253"/>
      <c r="L5" s="79"/>
      <c r="M5" s="216"/>
    </row>
    <row r="6" spans="1:13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40"/>
      <c r="L6" s="10"/>
    </row>
    <row r="7" spans="1:13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40"/>
      <c r="L7" s="10"/>
      <c r="M7" s="30"/>
    </row>
    <row r="8" spans="1:13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40"/>
      <c r="L8" s="10"/>
      <c r="M8" s="30"/>
    </row>
    <row r="9" spans="1:13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40"/>
      <c r="L9" s="10"/>
      <c r="M9" s="30"/>
    </row>
    <row r="10" spans="1:13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/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/>
      <c r="B21" s="13">
        <f>SUM(B4:B20)</f>
        <v>1</v>
      </c>
      <c r="C21" s="13">
        <f t="shared" ref="C21:L21" si="0">SUM(C4:C20)</f>
        <v>2</v>
      </c>
      <c r="D21" s="13">
        <f t="shared" si="0"/>
        <v>0</v>
      </c>
      <c r="E21" s="13">
        <f t="shared" si="0"/>
        <v>0</v>
      </c>
      <c r="F21" s="13">
        <f t="shared" si="0"/>
        <v>1</v>
      </c>
      <c r="G21" s="13">
        <f t="shared" si="0"/>
        <v>0</v>
      </c>
      <c r="H21" s="13">
        <f t="shared" si="0"/>
        <v>0</v>
      </c>
      <c r="I21" s="13">
        <f t="shared" si="0"/>
        <v>0</v>
      </c>
      <c r="J21" s="13">
        <f t="shared" si="0"/>
        <v>0</v>
      </c>
      <c r="K21" s="151">
        <f t="shared" si="0"/>
        <v>0</v>
      </c>
      <c r="L21" s="142">
        <f t="shared" si="0"/>
        <v>0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43E4-D297-45B2-B596-4CC2B1B13EF7}">
  <sheetPr>
    <tabColor theme="6" tint="0.59999389629810485"/>
  </sheetPr>
  <dimension ref="A1:M32"/>
  <sheetViews>
    <sheetView workbookViewId="0">
      <selection activeCell="M9" sqref="M9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252</v>
      </c>
      <c r="B2" s="269"/>
      <c r="C2" s="270"/>
      <c r="D2" s="271"/>
      <c r="E2" s="322" t="s">
        <v>217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>
        <v>45820</v>
      </c>
      <c r="B4" s="218">
        <v>1</v>
      </c>
      <c r="C4" s="6">
        <v>2</v>
      </c>
      <c r="D4" s="218">
        <v>1</v>
      </c>
      <c r="E4" s="6"/>
      <c r="F4" s="6">
        <v>1</v>
      </c>
      <c r="G4" s="6"/>
      <c r="H4" s="6">
        <v>1</v>
      </c>
      <c r="I4" s="6"/>
      <c r="J4" s="6"/>
      <c r="K4" s="150"/>
      <c r="L4" s="10"/>
      <c r="M4" s="219" t="s">
        <v>216</v>
      </c>
    </row>
    <row r="5" spans="1:13" ht="24.95" customHeight="1" x14ac:dyDescent="0.25">
      <c r="A5" s="32">
        <v>45939</v>
      </c>
      <c r="B5" s="8"/>
      <c r="C5" s="8">
        <v>2</v>
      </c>
      <c r="D5" s="8"/>
      <c r="E5" s="8"/>
      <c r="F5" s="8"/>
      <c r="G5" s="8"/>
      <c r="H5" s="8"/>
      <c r="I5" s="8">
        <v>1</v>
      </c>
      <c r="J5" s="8"/>
      <c r="K5" s="139"/>
      <c r="L5" s="10"/>
    </row>
    <row r="6" spans="1:13" ht="20.100000000000001" customHeight="1" x14ac:dyDescent="0.25">
      <c r="A6" s="11">
        <v>45944</v>
      </c>
      <c r="B6" s="10">
        <v>1</v>
      </c>
      <c r="C6" s="10"/>
      <c r="D6" s="10"/>
      <c r="E6" s="10"/>
      <c r="F6" s="10"/>
      <c r="G6" s="10"/>
      <c r="H6" s="10"/>
      <c r="I6" s="10"/>
      <c r="J6" s="10"/>
      <c r="K6" s="140"/>
      <c r="L6" s="10"/>
      <c r="M6" s="30" t="s">
        <v>67</v>
      </c>
    </row>
    <row r="7" spans="1:13" ht="20.100000000000001" customHeight="1" x14ac:dyDescent="0.25">
      <c r="A7" s="11">
        <v>46035</v>
      </c>
      <c r="B7" s="10"/>
      <c r="C7" s="10">
        <v>1</v>
      </c>
      <c r="D7" s="10"/>
      <c r="E7" s="254">
        <v>1</v>
      </c>
      <c r="F7" s="10"/>
      <c r="G7" s="10"/>
      <c r="H7" s="254">
        <v>1</v>
      </c>
      <c r="I7" s="10">
        <v>1</v>
      </c>
      <c r="J7" s="10"/>
      <c r="K7" s="140"/>
      <c r="L7" s="10"/>
      <c r="M7" s="30"/>
    </row>
    <row r="8" spans="1:13" ht="20.100000000000001" customHeight="1" x14ac:dyDescent="0.25">
      <c r="A8" s="11">
        <v>46073</v>
      </c>
      <c r="B8" s="10"/>
      <c r="C8" s="10">
        <v>1</v>
      </c>
      <c r="D8" s="10">
        <v>1</v>
      </c>
      <c r="E8" s="10">
        <v>1</v>
      </c>
      <c r="F8" s="10"/>
      <c r="G8" s="10"/>
      <c r="H8" s="10">
        <v>1</v>
      </c>
      <c r="I8" s="10"/>
      <c r="J8" s="10"/>
      <c r="K8" s="140"/>
      <c r="L8" s="10"/>
      <c r="M8" s="30" t="s">
        <v>259</v>
      </c>
    </row>
    <row r="9" spans="1:13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40"/>
      <c r="L9" s="10"/>
      <c r="M9" s="30"/>
    </row>
    <row r="10" spans="1:13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/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/>
      <c r="B21" s="13">
        <f>SUM(B4:B20)</f>
        <v>2</v>
      </c>
      <c r="C21" s="13">
        <f t="shared" ref="C21:L21" si="0">SUM(C4:C20)</f>
        <v>6</v>
      </c>
      <c r="D21" s="13">
        <f t="shared" si="0"/>
        <v>2</v>
      </c>
      <c r="E21" s="13">
        <f t="shared" si="0"/>
        <v>2</v>
      </c>
      <c r="F21" s="13">
        <f t="shared" si="0"/>
        <v>1</v>
      </c>
      <c r="G21" s="13">
        <f t="shared" si="0"/>
        <v>0</v>
      </c>
      <c r="H21" s="13">
        <f t="shared" si="0"/>
        <v>3</v>
      </c>
      <c r="I21" s="13">
        <f t="shared" si="0"/>
        <v>2</v>
      </c>
      <c r="J21" s="13">
        <f t="shared" si="0"/>
        <v>0</v>
      </c>
      <c r="K21" s="151">
        <f t="shared" si="0"/>
        <v>0</v>
      </c>
      <c r="L21" s="142">
        <f t="shared" si="0"/>
        <v>0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C5022-9419-4C1B-87F8-8BD2AA4BE91C}">
  <sheetPr>
    <tabColor theme="6" tint="0.59999389629810485"/>
  </sheetPr>
  <dimension ref="A1:M33"/>
  <sheetViews>
    <sheetView topLeftCell="A2" workbookViewId="0">
      <selection activeCell="C13" sqref="C13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252</v>
      </c>
      <c r="B2" s="269"/>
      <c r="C2" s="270"/>
      <c r="D2" s="271"/>
      <c r="E2" s="322" t="s">
        <v>220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>
        <v>45820</v>
      </c>
      <c r="B4" s="218">
        <v>1</v>
      </c>
      <c r="C4" s="6">
        <v>1</v>
      </c>
      <c r="D4" s="218">
        <v>1</v>
      </c>
      <c r="E4" s="6"/>
      <c r="F4" s="6">
        <v>1</v>
      </c>
      <c r="G4" s="6"/>
      <c r="H4" s="6">
        <v>0</v>
      </c>
      <c r="I4" s="6"/>
      <c r="J4" s="6"/>
      <c r="K4" s="150"/>
      <c r="L4" s="10"/>
      <c r="M4" s="219" t="s">
        <v>216</v>
      </c>
    </row>
    <row r="5" spans="1:13" ht="24.95" customHeight="1" x14ac:dyDescent="0.25">
      <c r="A5" s="32">
        <v>45856</v>
      </c>
      <c r="B5" s="8"/>
      <c r="C5" s="8">
        <v>0</v>
      </c>
      <c r="D5" s="8"/>
      <c r="E5" s="8"/>
      <c r="F5" s="8"/>
      <c r="G5" s="8"/>
      <c r="H5" s="8">
        <v>1</v>
      </c>
      <c r="I5" s="8"/>
      <c r="J5" s="8"/>
      <c r="K5" s="139"/>
      <c r="L5" s="10"/>
    </row>
    <row r="6" spans="1:13" ht="20.100000000000001" customHeight="1" x14ac:dyDescent="0.25">
      <c r="A6" s="11">
        <v>45904</v>
      </c>
      <c r="B6" s="10"/>
      <c r="C6" s="10">
        <v>1</v>
      </c>
      <c r="D6" s="10"/>
      <c r="E6" s="10"/>
      <c r="F6" s="254">
        <v>1</v>
      </c>
      <c r="G6" s="10"/>
      <c r="H6" s="10"/>
      <c r="I6" s="10"/>
      <c r="J6" s="10"/>
      <c r="K6" s="140"/>
      <c r="L6" s="10"/>
    </row>
    <row r="7" spans="1:13" ht="20.100000000000001" customHeight="1" x14ac:dyDescent="0.25">
      <c r="A7" s="11">
        <v>45937</v>
      </c>
      <c r="B7" s="10"/>
      <c r="C7" s="10">
        <v>2</v>
      </c>
      <c r="D7" s="10"/>
      <c r="E7" s="10"/>
      <c r="F7" s="79"/>
      <c r="G7" s="10"/>
      <c r="H7" s="10">
        <v>1</v>
      </c>
      <c r="I7" s="10">
        <v>1</v>
      </c>
      <c r="J7" s="10"/>
      <c r="K7" s="140"/>
      <c r="L7" s="10"/>
    </row>
    <row r="8" spans="1:13" ht="20.100000000000001" customHeight="1" x14ac:dyDescent="0.25">
      <c r="A8" s="11">
        <v>45944</v>
      </c>
      <c r="B8" s="10">
        <v>1</v>
      </c>
      <c r="C8" s="10"/>
      <c r="D8" s="10"/>
      <c r="E8" s="10"/>
      <c r="F8" s="10"/>
      <c r="G8" s="10"/>
      <c r="H8" s="10"/>
      <c r="I8" s="10"/>
      <c r="J8" s="10"/>
      <c r="K8" s="140"/>
      <c r="L8" s="10"/>
      <c r="M8" s="30" t="s">
        <v>67</v>
      </c>
    </row>
    <row r="9" spans="1:13" ht="20.100000000000001" customHeight="1" x14ac:dyDescent="0.25">
      <c r="A9" s="11">
        <v>45988</v>
      </c>
      <c r="B9" s="10"/>
      <c r="C9" s="10"/>
      <c r="D9" s="10"/>
      <c r="E9" s="10"/>
      <c r="F9" s="10"/>
      <c r="G9" s="10"/>
      <c r="H9" s="10"/>
      <c r="I9" s="10">
        <v>1</v>
      </c>
      <c r="J9" s="10"/>
      <c r="K9" s="140"/>
      <c r="L9" s="10"/>
      <c r="M9" s="30"/>
    </row>
    <row r="10" spans="1:13" ht="20.100000000000001" customHeight="1" x14ac:dyDescent="0.25">
      <c r="A10" s="11">
        <v>46030</v>
      </c>
      <c r="B10" s="10"/>
      <c r="C10" s="10">
        <v>1</v>
      </c>
      <c r="D10" s="10"/>
      <c r="E10" s="10"/>
      <c r="F10" s="10">
        <v>1</v>
      </c>
      <c r="G10" s="10"/>
      <c r="H10" s="10"/>
      <c r="I10" s="10"/>
      <c r="J10" s="10"/>
      <c r="K10" s="140"/>
      <c r="L10" s="10"/>
      <c r="M10" s="30"/>
    </row>
    <row r="11" spans="1:13" ht="20.100000000000001" customHeight="1" x14ac:dyDescent="0.25">
      <c r="A11" s="11">
        <v>46077</v>
      </c>
      <c r="B11" s="10">
        <v>1</v>
      </c>
      <c r="C11" s="10"/>
      <c r="D11" s="10"/>
      <c r="E11" s="10"/>
      <c r="F11" s="10"/>
      <c r="G11" s="10"/>
      <c r="H11" s="10"/>
      <c r="I11" s="10"/>
      <c r="J11" s="10"/>
      <c r="K11" s="140"/>
      <c r="L11" s="10"/>
      <c r="M11" s="30" t="s">
        <v>67</v>
      </c>
    </row>
    <row r="12" spans="1:13" ht="20.100000000000001" customHeight="1" x14ac:dyDescent="0.25">
      <c r="A12" s="11">
        <v>46078</v>
      </c>
      <c r="B12" s="10"/>
      <c r="C12" s="10">
        <v>1</v>
      </c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40"/>
      <c r="L21" s="10"/>
      <c r="M21" s="30"/>
    </row>
    <row r="22" spans="1:13" ht="20.100000000000001" customHeight="1" thickBot="1" x14ac:dyDescent="0.3">
      <c r="A22" s="31"/>
      <c r="B22" s="13">
        <f>SUM(B4:B21)</f>
        <v>3</v>
      </c>
      <c r="C22" s="13">
        <f t="shared" ref="C22:L22" si="0">SUM(C4:C21)</f>
        <v>6</v>
      </c>
      <c r="D22" s="13">
        <f t="shared" si="0"/>
        <v>1</v>
      </c>
      <c r="E22" s="13">
        <f t="shared" si="0"/>
        <v>0</v>
      </c>
      <c r="F22" s="13">
        <f t="shared" si="0"/>
        <v>3</v>
      </c>
      <c r="G22" s="13">
        <f t="shared" si="0"/>
        <v>0</v>
      </c>
      <c r="H22" s="13">
        <f t="shared" si="0"/>
        <v>2</v>
      </c>
      <c r="I22" s="13">
        <f t="shared" si="0"/>
        <v>2</v>
      </c>
      <c r="J22" s="13">
        <f t="shared" si="0"/>
        <v>0</v>
      </c>
      <c r="K22" s="151">
        <f t="shared" si="0"/>
        <v>0</v>
      </c>
      <c r="L22" s="142">
        <f t="shared" si="0"/>
        <v>0</v>
      </c>
    </row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  <row r="33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F1EB-0198-4020-830E-3267410B4112}">
  <sheetPr>
    <tabColor theme="6" tint="0.59999389629810485"/>
  </sheetPr>
  <dimension ref="A1:M20"/>
  <sheetViews>
    <sheetView workbookViewId="0">
      <selection activeCell="C5" sqref="C5"/>
    </sheetView>
  </sheetViews>
  <sheetFormatPr baseColWidth="10" defaultRowHeight="13.5" x14ac:dyDescent="0.25"/>
  <cols>
    <col min="5" max="5" width="12.42578125" customWidth="1"/>
  </cols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251</v>
      </c>
      <c r="B2" s="269"/>
      <c r="C2" s="270"/>
      <c r="D2" s="271"/>
      <c r="E2" s="322" t="s">
        <v>136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>
        <v>46035</v>
      </c>
      <c r="B4" s="6">
        <v>1</v>
      </c>
      <c r="C4" s="6">
        <v>2</v>
      </c>
      <c r="D4" s="6"/>
      <c r="E4" s="6"/>
      <c r="F4" s="6">
        <v>1</v>
      </c>
      <c r="G4" s="6"/>
      <c r="H4" s="6"/>
      <c r="I4" s="6">
        <v>2</v>
      </c>
      <c r="J4" s="6"/>
      <c r="K4" s="150"/>
      <c r="L4" s="10"/>
      <c r="M4" s="30" t="s">
        <v>259</v>
      </c>
    </row>
    <row r="5" spans="1:13" ht="20.100000000000001" customHeight="1" x14ac:dyDescent="0.25">
      <c r="A5" s="9">
        <v>46073</v>
      </c>
      <c r="B5" s="8"/>
      <c r="C5" s="8">
        <v>1</v>
      </c>
      <c r="D5" s="249">
        <v>1</v>
      </c>
      <c r="E5" s="8">
        <v>1</v>
      </c>
      <c r="F5" s="8"/>
      <c r="G5" s="8"/>
      <c r="H5" s="249">
        <v>1</v>
      </c>
      <c r="I5" s="8"/>
      <c r="J5" s="8"/>
      <c r="K5" s="139"/>
      <c r="L5" s="10"/>
      <c r="M5" s="30" t="s">
        <v>254</v>
      </c>
    </row>
    <row r="6" spans="1:13" ht="20.100000000000001" customHeight="1" x14ac:dyDescent="0.25">
      <c r="A6" s="9"/>
      <c r="B6" s="8"/>
      <c r="C6" s="8"/>
      <c r="D6" s="8"/>
      <c r="E6" s="8"/>
      <c r="F6" s="8"/>
      <c r="G6" s="8"/>
      <c r="H6" s="8"/>
      <c r="I6" s="8"/>
      <c r="J6" s="8"/>
      <c r="K6" s="139"/>
      <c r="L6" s="10"/>
    </row>
    <row r="7" spans="1:13" ht="20.100000000000001" customHeight="1" x14ac:dyDescent="0.25">
      <c r="A7" s="9"/>
      <c r="B7" s="8"/>
      <c r="C7" s="8"/>
      <c r="D7" s="8"/>
      <c r="E7" s="8"/>
      <c r="F7" s="8"/>
      <c r="G7" s="8"/>
      <c r="H7" s="8"/>
      <c r="I7" s="8"/>
      <c r="J7" s="8"/>
      <c r="K7" s="139"/>
      <c r="L7" s="10"/>
    </row>
    <row r="8" spans="1:13" ht="24.95" customHeight="1" x14ac:dyDescent="0.25">
      <c r="A8" s="32"/>
      <c r="B8" s="8"/>
      <c r="C8" s="8"/>
      <c r="D8" s="8"/>
      <c r="E8" s="8"/>
      <c r="F8" s="8"/>
      <c r="G8" s="8"/>
      <c r="H8" s="8"/>
      <c r="I8" s="8"/>
      <c r="J8" s="8"/>
      <c r="K8" s="139"/>
      <c r="L8" s="10"/>
    </row>
    <row r="9" spans="1:13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40"/>
      <c r="L9" s="10"/>
    </row>
    <row r="10" spans="1:13" ht="20.100000000000001" customHeight="1" thickBot="1" x14ac:dyDescent="0.3">
      <c r="A10" s="31"/>
      <c r="B10" s="13">
        <f t="shared" ref="B10:L10" si="0">SUM(B4:B9)</f>
        <v>1</v>
      </c>
      <c r="C10" s="13">
        <f t="shared" si="0"/>
        <v>3</v>
      </c>
      <c r="D10" s="13">
        <f t="shared" si="0"/>
        <v>1</v>
      </c>
      <c r="E10" s="13">
        <f t="shared" si="0"/>
        <v>1</v>
      </c>
      <c r="F10" s="13">
        <f t="shared" si="0"/>
        <v>1</v>
      </c>
      <c r="G10" s="13">
        <f t="shared" si="0"/>
        <v>0</v>
      </c>
      <c r="H10" s="13">
        <f t="shared" si="0"/>
        <v>1</v>
      </c>
      <c r="I10" s="13">
        <f t="shared" si="0"/>
        <v>2</v>
      </c>
      <c r="J10" s="13">
        <f t="shared" si="0"/>
        <v>0</v>
      </c>
      <c r="K10" s="151">
        <f t="shared" si="0"/>
        <v>0</v>
      </c>
      <c r="L10" s="142">
        <f t="shared" si="0"/>
        <v>0</v>
      </c>
    </row>
    <row r="11" spans="1:13" ht="20.100000000000001" customHeight="1" x14ac:dyDescent="0.25"/>
    <row r="12" spans="1:13" ht="20.100000000000001" customHeight="1" x14ac:dyDescent="0.25"/>
    <row r="13" spans="1:13" ht="24.95" customHeight="1" thickBot="1" x14ac:dyDescent="0.3">
      <c r="B13" s="236" t="s">
        <v>231</v>
      </c>
      <c r="C13" s="237" t="s">
        <v>230</v>
      </c>
      <c r="D13" s="238" t="s">
        <v>232</v>
      </c>
      <c r="E13" s="239" t="s">
        <v>14</v>
      </c>
    </row>
    <row r="14" spans="1:13" ht="24.95" customHeight="1" thickTop="1" thickBot="1" x14ac:dyDescent="0.3">
      <c r="B14" s="230" t="s">
        <v>1</v>
      </c>
      <c r="C14" s="228">
        <v>1</v>
      </c>
      <c r="D14" s="229">
        <v>61248.99</v>
      </c>
      <c r="E14" s="231">
        <f>D14*C14</f>
        <v>61248.99</v>
      </c>
    </row>
    <row r="15" spans="1:13" ht="24.95" customHeight="1" thickTop="1" thickBot="1" x14ac:dyDescent="0.3">
      <c r="B15" s="230" t="s">
        <v>9</v>
      </c>
      <c r="C15" s="228">
        <v>1</v>
      </c>
      <c r="D15" s="229">
        <v>42000</v>
      </c>
      <c r="E15" s="231">
        <f t="shared" ref="E15:E19" si="1">D15*C15</f>
        <v>42000</v>
      </c>
    </row>
    <row r="16" spans="1:13" ht="24.95" customHeight="1" thickTop="1" thickBot="1" x14ac:dyDescent="0.3">
      <c r="B16" s="230" t="s">
        <v>8</v>
      </c>
      <c r="C16" s="228">
        <v>1</v>
      </c>
      <c r="D16" s="229">
        <v>50000</v>
      </c>
      <c r="E16" s="231">
        <f t="shared" si="1"/>
        <v>50000</v>
      </c>
    </row>
    <row r="17" spans="2:5" ht="24.95" customHeight="1" thickTop="1" thickBot="1" x14ac:dyDescent="0.3">
      <c r="B17" s="230" t="s">
        <v>77</v>
      </c>
      <c r="C17" s="228">
        <v>0</v>
      </c>
      <c r="D17" s="229"/>
      <c r="E17" s="231">
        <f t="shared" si="1"/>
        <v>0</v>
      </c>
    </row>
    <row r="18" spans="2:5" ht="24.95" customHeight="1" thickTop="1" thickBot="1" x14ac:dyDescent="0.3">
      <c r="B18" s="230" t="s">
        <v>76</v>
      </c>
      <c r="C18" s="228">
        <v>3</v>
      </c>
      <c r="D18" s="229">
        <v>24000</v>
      </c>
      <c r="E18" s="231">
        <f t="shared" si="1"/>
        <v>72000</v>
      </c>
    </row>
    <row r="19" spans="2:5" ht="24.95" customHeight="1" thickTop="1" thickBot="1" x14ac:dyDescent="0.3">
      <c r="B19" s="230" t="s">
        <v>78</v>
      </c>
      <c r="C19" s="228">
        <v>1</v>
      </c>
      <c r="D19" s="229">
        <v>48000</v>
      </c>
      <c r="E19" s="231">
        <f t="shared" si="1"/>
        <v>48000</v>
      </c>
    </row>
    <row r="20" spans="2:5" ht="24.95" customHeight="1" thickTop="1" x14ac:dyDescent="0.25">
      <c r="B20" s="232" t="s">
        <v>233</v>
      </c>
      <c r="C20" s="233">
        <f>SUBTOTAL(109,Tabla367[CANTIDAD])</f>
        <v>7</v>
      </c>
      <c r="D20" s="233"/>
      <c r="E20" s="235">
        <f>SUBTOTAL(109,Tabla367[TOTAL])</f>
        <v>273248.99</v>
      </c>
    </row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B8EA-24B1-42B8-9590-4F6C1F264340}">
  <sheetPr>
    <tabColor rgb="FFFF0000"/>
  </sheetPr>
  <dimension ref="A1:L24"/>
  <sheetViews>
    <sheetView workbookViewId="0">
      <selection activeCell="H7" sqref="H7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253</v>
      </c>
      <c r="B2" s="269"/>
      <c r="C2" s="270"/>
      <c r="D2" s="271"/>
      <c r="E2" s="314" t="s">
        <v>244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customHeight="1" x14ac:dyDescent="0.25">
      <c r="A4" s="7">
        <v>45854</v>
      </c>
      <c r="B4" s="6"/>
      <c r="C4" s="6">
        <v>2</v>
      </c>
      <c r="D4" s="6"/>
      <c r="E4" s="6"/>
      <c r="F4" s="6">
        <v>1</v>
      </c>
      <c r="G4" s="6"/>
      <c r="H4" s="6">
        <v>1</v>
      </c>
      <c r="I4" s="6"/>
      <c r="J4" s="6"/>
      <c r="K4" s="6"/>
    </row>
    <row r="5" spans="1:12" ht="20.100000000000001" customHeight="1" x14ac:dyDescent="0.25">
      <c r="A5" s="9" t="s">
        <v>245</v>
      </c>
      <c r="B5" s="8"/>
      <c r="C5" s="8">
        <v>1</v>
      </c>
      <c r="D5" s="8"/>
      <c r="E5" s="8"/>
      <c r="F5" s="8"/>
      <c r="G5" s="8"/>
      <c r="H5" s="8"/>
      <c r="I5" s="8"/>
      <c r="J5" s="8"/>
      <c r="K5" s="8"/>
    </row>
    <row r="6" spans="1:12" ht="24.95" customHeight="1" x14ac:dyDescent="0.25">
      <c r="A6" s="32">
        <v>46065</v>
      </c>
      <c r="B6" s="8"/>
      <c r="C6" s="8"/>
      <c r="D6" s="8"/>
      <c r="E6" s="8"/>
      <c r="F6" s="8"/>
      <c r="G6" s="8"/>
      <c r="H6" s="8">
        <v>2</v>
      </c>
      <c r="I6" s="8"/>
      <c r="J6" s="8"/>
      <c r="K6" s="8"/>
    </row>
    <row r="7" spans="1:12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2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30"/>
    </row>
    <row r="9" spans="1:12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thickBot="1" x14ac:dyDescent="0.3">
      <c r="A13" s="31" t="s">
        <v>14</v>
      </c>
      <c r="B13" s="13">
        <f>SUM(B4:B12)</f>
        <v>0</v>
      </c>
      <c r="C13" s="13">
        <f t="shared" ref="C13:K13" si="0">SUM(C4:C12)</f>
        <v>3</v>
      </c>
      <c r="D13" s="13">
        <f t="shared" si="0"/>
        <v>0</v>
      </c>
      <c r="E13" s="13">
        <f t="shared" si="0"/>
        <v>0</v>
      </c>
      <c r="F13" s="13">
        <f t="shared" si="0"/>
        <v>1</v>
      </c>
      <c r="G13" s="13">
        <f t="shared" si="0"/>
        <v>0</v>
      </c>
      <c r="H13" s="13">
        <f t="shared" si="0"/>
        <v>3</v>
      </c>
      <c r="I13" s="13">
        <f t="shared" si="0"/>
        <v>0</v>
      </c>
      <c r="J13" s="13">
        <f t="shared" si="0"/>
        <v>0</v>
      </c>
      <c r="K13" s="13">
        <f t="shared" si="0"/>
        <v>0</v>
      </c>
    </row>
    <row r="14" spans="1:12" ht="20.100000000000001" customHeight="1" x14ac:dyDescent="0.25"/>
    <row r="15" spans="1:12" ht="20.100000000000001" customHeight="1" x14ac:dyDescent="0.25"/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2C76-96B2-4356-9F0B-FCE224BCC825}">
  <sheetPr>
    <tabColor rgb="FFFFFF00"/>
  </sheetPr>
  <dimension ref="A1:L17"/>
  <sheetViews>
    <sheetView topLeftCell="A5" workbookViewId="0">
      <selection activeCell="G12" sqref="G12"/>
    </sheetView>
  </sheetViews>
  <sheetFormatPr baseColWidth="10" defaultRowHeight="13.5" x14ac:dyDescent="0.25"/>
  <cols>
    <col min="5" max="5" width="12.42578125" customWidth="1"/>
  </cols>
  <sheetData>
    <row r="1" spans="1:12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2" ht="21.75" thickBot="1" x14ac:dyDescent="0.3">
      <c r="A2" s="268" t="s">
        <v>227</v>
      </c>
      <c r="B2" s="269"/>
      <c r="C2" s="270"/>
      <c r="D2" s="271"/>
      <c r="E2" s="322" t="s">
        <v>226</v>
      </c>
      <c r="F2" s="323"/>
      <c r="G2" s="323"/>
      <c r="H2" s="323"/>
      <c r="I2" s="323"/>
      <c r="J2" s="323"/>
      <c r="K2" s="323"/>
      <c r="L2" s="323"/>
    </row>
    <row r="3" spans="1:12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2" ht="20.100000000000001" customHeight="1" x14ac:dyDescent="0.25">
      <c r="A4" s="7">
        <v>45950</v>
      </c>
      <c r="B4" s="6">
        <v>1</v>
      </c>
      <c r="C4" s="6">
        <v>2</v>
      </c>
      <c r="D4" s="6"/>
      <c r="E4" s="6"/>
      <c r="F4" s="6">
        <v>1</v>
      </c>
      <c r="G4" s="6"/>
      <c r="H4" s="6">
        <v>1</v>
      </c>
      <c r="I4" s="6">
        <v>1</v>
      </c>
      <c r="J4" s="6"/>
      <c r="K4" s="150"/>
      <c r="L4" s="10"/>
    </row>
    <row r="5" spans="1:12" ht="24.95" customHeight="1" x14ac:dyDescent="0.25">
      <c r="A5" s="32">
        <v>45981</v>
      </c>
      <c r="B5" s="8"/>
      <c r="C5" s="8">
        <v>1</v>
      </c>
      <c r="D5" s="8"/>
      <c r="E5" s="8"/>
      <c r="F5" s="8"/>
      <c r="G5" s="8"/>
      <c r="H5" s="8"/>
      <c r="I5" s="8"/>
      <c r="J5" s="8"/>
      <c r="K5" s="139"/>
      <c r="L5" s="10"/>
    </row>
    <row r="6" spans="1:12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40"/>
      <c r="L6" s="10"/>
    </row>
    <row r="7" spans="1:12" ht="20.100000000000001" customHeight="1" thickBot="1" x14ac:dyDescent="0.3">
      <c r="A7" s="31"/>
      <c r="B7" s="13">
        <f t="shared" ref="B7:L7" si="0">SUM(B4:B6)</f>
        <v>1</v>
      </c>
      <c r="C7" s="13">
        <f t="shared" si="0"/>
        <v>3</v>
      </c>
      <c r="D7" s="13">
        <f t="shared" si="0"/>
        <v>0</v>
      </c>
      <c r="E7" s="13">
        <f t="shared" si="0"/>
        <v>0</v>
      </c>
      <c r="F7" s="13">
        <f t="shared" si="0"/>
        <v>1</v>
      </c>
      <c r="G7" s="13">
        <f t="shared" si="0"/>
        <v>0</v>
      </c>
      <c r="H7" s="13">
        <f t="shared" si="0"/>
        <v>1</v>
      </c>
      <c r="I7" s="13">
        <f t="shared" si="0"/>
        <v>1</v>
      </c>
      <c r="J7" s="13">
        <f t="shared" si="0"/>
        <v>0</v>
      </c>
      <c r="K7" s="151">
        <f t="shared" si="0"/>
        <v>0</v>
      </c>
      <c r="L7" s="142">
        <f t="shared" si="0"/>
        <v>0</v>
      </c>
    </row>
    <row r="8" spans="1:12" ht="20.100000000000001" customHeight="1" x14ac:dyDescent="0.25"/>
    <row r="9" spans="1:12" ht="20.100000000000001" customHeight="1" x14ac:dyDescent="0.25"/>
    <row r="10" spans="1:12" ht="24.95" customHeight="1" thickBot="1" x14ac:dyDescent="0.3">
      <c r="B10" s="236" t="s">
        <v>231</v>
      </c>
      <c r="C10" s="237" t="s">
        <v>230</v>
      </c>
      <c r="D10" s="238" t="s">
        <v>232</v>
      </c>
      <c r="E10" s="239" t="s">
        <v>14</v>
      </c>
    </row>
    <row r="11" spans="1:12" ht="24.95" customHeight="1" thickTop="1" thickBot="1" x14ac:dyDescent="0.3">
      <c r="B11" s="230" t="s">
        <v>1</v>
      </c>
      <c r="C11" s="228">
        <v>1</v>
      </c>
      <c r="D11" s="229">
        <v>61248.99</v>
      </c>
      <c r="E11" s="231">
        <f>D11*C11</f>
        <v>61248.99</v>
      </c>
    </row>
    <row r="12" spans="1:12" ht="24.95" customHeight="1" thickTop="1" thickBot="1" x14ac:dyDescent="0.3">
      <c r="B12" s="230" t="s">
        <v>9</v>
      </c>
      <c r="C12" s="228">
        <v>1</v>
      </c>
      <c r="D12" s="229">
        <v>42000</v>
      </c>
      <c r="E12" s="231">
        <f t="shared" ref="E12:E16" si="1">D12*C12</f>
        <v>42000</v>
      </c>
    </row>
    <row r="13" spans="1:12" ht="24.95" customHeight="1" thickTop="1" thickBot="1" x14ac:dyDescent="0.3">
      <c r="B13" s="230" t="s">
        <v>8</v>
      </c>
      <c r="C13" s="228">
        <v>1</v>
      </c>
      <c r="D13" s="229">
        <v>50000</v>
      </c>
      <c r="E13" s="231">
        <f t="shared" si="1"/>
        <v>50000</v>
      </c>
    </row>
    <row r="14" spans="1:12" ht="24.95" customHeight="1" thickTop="1" thickBot="1" x14ac:dyDescent="0.3">
      <c r="B14" s="230" t="s">
        <v>77</v>
      </c>
      <c r="C14" s="228">
        <v>0</v>
      </c>
      <c r="D14" s="229"/>
      <c r="E14" s="231">
        <f t="shared" si="1"/>
        <v>0</v>
      </c>
    </row>
    <row r="15" spans="1:12" ht="24.95" customHeight="1" thickTop="1" thickBot="1" x14ac:dyDescent="0.3">
      <c r="B15" s="230" t="s">
        <v>76</v>
      </c>
      <c r="C15" s="228">
        <v>3</v>
      </c>
      <c r="D15" s="229">
        <v>24000</v>
      </c>
      <c r="E15" s="231">
        <f t="shared" si="1"/>
        <v>72000</v>
      </c>
    </row>
    <row r="16" spans="1:12" ht="24.95" customHeight="1" thickTop="1" thickBot="1" x14ac:dyDescent="0.3">
      <c r="B16" s="230" t="s">
        <v>78</v>
      </c>
      <c r="C16" s="228">
        <v>1</v>
      </c>
      <c r="D16" s="229">
        <v>48000</v>
      </c>
      <c r="E16" s="231">
        <f t="shared" si="1"/>
        <v>48000</v>
      </c>
    </row>
    <row r="17" spans="2:5" ht="24.95" customHeight="1" thickTop="1" x14ac:dyDescent="0.25">
      <c r="B17" s="232" t="s">
        <v>233</v>
      </c>
      <c r="C17" s="233">
        <f>SUBTOTAL(109,Tabla36[CANTIDAD])</f>
        <v>7</v>
      </c>
      <c r="D17" s="233"/>
      <c r="E17" s="235">
        <f>SUBTOTAL(109,Tabla36[TOTAL])</f>
        <v>273248.99</v>
      </c>
    </row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E9CA-C138-4F50-BEA7-0585588E8069}">
  <sheetPr>
    <tabColor rgb="FFFFFF00"/>
  </sheetPr>
  <dimension ref="A1:M32"/>
  <sheetViews>
    <sheetView topLeftCell="A14" workbookViewId="0">
      <selection sqref="A1:L21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224</v>
      </c>
      <c r="B2" s="269"/>
      <c r="C2" s="270"/>
      <c r="D2" s="271"/>
      <c r="E2" s="322" t="s">
        <v>218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>
        <v>45820</v>
      </c>
      <c r="B4" s="218">
        <v>1</v>
      </c>
      <c r="C4" s="6">
        <v>2</v>
      </c>
      <c r="D4" s="220"/>
      <c r="E4" s="6"/>
      <c r="F4" s="6">
        <v>1</v>
      </c>
      <c r="G4" s="6"/>
      <c r="H4" s="6">
        <v>1</v>
      </c>
      <c r="I4" s="6"/>
      <c r="J4" s="6"/>
      <c r="K4" s="150"/>
      <c r="L4" s="10"/>
      <c r="M4" s="219" t="s">
        <v>216</v>
      </c>
    </row>
    <row r="5" spans="1:13" ht="24.95" customHeight="1" x14ac:dyDescent="0.25">
      <c r="A5" s="32"/>
      <c r="B5" s="8"/>
      <c r="C5" s="8"/>
      <c r="D5" s="8"/>
      <c r="E5" s="8"/>
      <c r="F5" s="8"/>
      <c r="G5" s="8"/>
      <c r="H5" s="8"/>
      <c r="I5" s="8"/>
      <c r="J5" s="8"/>
      <c r="K5" s="139"/>
      <c r="L5" s="10"/>
    </row>
    <row r="6" spans="1:13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40"/>
      <c r="L6" s="10"/>
    </row>
    <row r="7" spans="1:13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40"/>
      <c r="L7" s="10"/>
      <c r="M7" s="30"/>
    </row>
    <row r="8" spans="1:13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40"/>
      <c r="L8" s="10"/>
      <c r="M8" s="30"/>
    </row>
    <row r="9" spans="1:13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40"/>
      <c r="L9" s="10"/>
      <c r="M9" s="30"/>
    </row>
    <row r="10" spans="1:13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/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/>
      <c r="B21" s="13">
        <f>SUM(B4:B20)</f>
        <v>1</v>
      </c>
      <c r="C21" s="13">
        <f t="shared" ref="C21:L21" si="0">SUM(C4:C20)</f>
        <v>2</v>
      </c>
      <c r="D21" s="13">
        <f t="shared" si="0"/>
        <v>0</v>
      </c>
      <c r="E21" s="13">
        <f t="shared" si="0"/>
        <v>0</v>
      </c>
      <c r="F21" s="13">
        <f t="shared" si="0"/>
        <v>1</v>
      </c>
      <c r="G21" s="13">
        <f t="shared" si="0"/>
        <v>0</v>
      </c>
      <c r="H21" s="13">
        <f t="shared" si="0"/>
        <v>1</v>
      </c>
      <c r="I21" s="13">
        <f t="shared" si="0"/>
        <v>0</v>
      </c>
      <c r="J21" s="13">
        <f t="shared" si="0"/>
        <v>0</v>
      </c>
      <c r="K21" s="151">
        <f t="shared" si="0"/>
        <v>0</v>
      </c>
      <c r="L21" s="142">
        <f t="shared" si="0"/>
        <v>0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FC49-A376-4693-B7D1-21F62D66503D}">
  <dimension ref="A1:M32"/>
  <sheetViews>
    <sheetView workbookViewId="0">
      <selection activeCell="P15" sqref="P15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222</v>
      </c>
      <c r="B2" s="269"/>
      <c r="C2" s="270"/>
      <c r="D2" s="271"/>
      <c r="E2" s="322" t="s">
        <v>223</v>
      </c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>
        <v>45825</v>
      </c>
      <c r="B4" s="6"/>
      <c r="C4" s="6">
        <v>2</v>
      </c>
      <c r="D4" s="6"/>
      <c r="E4" s="6"/>
      <c r="F4" s="6">
        <v>1</v>
      </c>
      <c r="G4" s="6"/>
      <c r="H4" s="6">
        <v>1</v>
      </c>
      <c r="I4" s="6"/>
      <c r="J4" s="6"/>
      <c r="K4" s="150"/>
      <c r="L4" s="10"/>
    </row>
    <row r="5" spans="1:13" ht="24.95" customHeight="1" x14ac:dyDescent="0.25">
      <c r="A5" s="32">
        <v>45862</v>
      </c>
      <c r="B5" s="8">
        <v>1</v>
      </c>
      <c r="C5" s="8"/>
      <c r="D5" s="8">
        <v>1</v>
      </c>
      <c r="E5" s="8"/>
      <c r="F5" s="8"/>
      <c r="G5" s="8"/>
      <c r="H5" s="8"/>
      <c r="I5" s="8"/>
      <c r="J5" s="8"/>
      <c r="K5" s="139"/>
      <c r="L5" s="10"/>
      <c r="M5" s="30" t="s">
        <v>67</v>
      </c>
    </row>
    <row r="6" spans="1:13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40"/>
      <c r="L6" s="10"/>
    </row>
    <row r="7" spans="1:13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40"/>
      <c r="L7" s="10"/>
      <c r="M7" s="30"/>
    </row>
    <row r="8" spans="1:13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40"/>
      <c r="L8" s="10"/>
      <c r="M8" s="30"/>
    </row>
    <row r="9" spans="1:13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40"/>
      <c r="L9" s="10"/>
      <c r="M9" s="30"/>
    </row>
    <row r="10" spans="1:13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/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/>
      <c r="B21" s="13">
        <f>SUM(B4:B20)</f>
        <v>1</v>
      </c>
      <c r="C21" s="13">
        <f t="shared" ref="C21:L21" si="0">SUM(C4:C20)</f>
        <v>2</v>
      </c>
      <c r="D21" s="13">
        <f t="shared" si="0"/>
        <v>1</v>
      </c>
      <c r="E21" s="13">
        <f t="shared" si="0"/>
        <v>0</v>
      </c>
      <c r="F21" s="13">
        <f t="shared" si="0"/>
        <v>1</v>
      </c>
      <c r="G21" s="13">
        <f t="shared" si="0"/>
        <v>0</v>
      </c>
      <c r="H21" s="13">
        <f t="shared" si="0"/>
        <v>1</v>
      </c>
      <c r="I21" s="13">
        <f t="shared" si="0"/>
        <v>0</v>
      </c>
      <c r="J21" s="13">
        <f t="shared" si="0"/>
        <v>0</v>
      </c>
      <c r="K21" s="151">
        <f t="shared" si="0"/>
        <v>0</v>
      </c>
      <c r="L21" s="142">
        <f t="shared" si="0"/>
        <v>0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2307-158F-4700-A137-497D977EE46F}">
  <dimension ref="A1:M32"/>
  <sheetViews>
    <sheetView workbookViewId="0">
      <selection activeCell="E10" sqref="E10"/>
    </sheetView>
  </sheetViews>
  <sheetFormatPr baseColWidth="10" defaultRowHeight="13.5" x14ac:dyDescent="0.25"/>
  <sheetData>
    <row r="1" spans="1:13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</row>
    <row r="2" spans="1:13" ht="21.75" thickBot="1" x14ac:dyDescent="0.3">
      <c r="A2" s="268" t="s">
        <v>138</v>
      </c>
      <c r="B2" s="269"/>
      <c r="C2" s="270"/>
      <c r="D2" s="271"/>
      <c r="E2" s="322"/>
      <c r="F2" s="323"/>
      <c r="G2" s="323"/>
      <c r="H2" s="323"/>
      <c r="I2" s="323"/>
      <c r="J2" s="323"/>
      <c r="K2" s="323"/>
      <c r="L2" s="323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49</v>
      </c>
      <c r="L3" s="143" t="s">
        <v>72</v>
      </c>
    </row>
    <row r="4" spans="1:13" ht="20.100000000000001" customHeight="1" x14ac:dyDescent="0.25">
      <c r="A4" s="7"/>
      <c r="B4" s="6"/>
      <c r="C4" s="6"/>
      <c r="D4" s="6"/>
      <c r="E4" s="6"/>
      <c r="F4" s="6"/>
      <c r="G4" s="6"/>
      <c r="H4" s="6"/>
      <c r="I4" s="6"/>
      <c r="J4" s="6"/>
      <c r="K4" s="150"/>
      <c r="L4" s="10"/>
    </row>
    <row r="5" spans="1:13" ht="24.95" customHeight="1" x14ac:dyDescent="0.25">
      <c r="A5" s="32"/>
      <c r="B5" s="8"/>
      <c r="C5" s="8"/>
      <c r="D5" s="8"/>
      <c r="E5" s="8"/>
      <c r="F5" s="8"/>
      <c r="G5" s="8"/>
      <c r="H5" s="8"/>
      <c r="I5" s="8"/>
      <c r="J5" s="8"/>
      <c r="K5" s="139"/>
      <c r="L5" s="10"/>
    </row>
    <row r="6" spans="1:13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40"/>
      <c r="L6" s="10"/>
    </row>
    <row r="7" spans="1:13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40"/>
      <c r="L7" s="10"/>
      <c r="M7" s="30"/>
    </row>
    <row r="8" spans="1:13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40"/>
      <c r="L8" s="10"/>
      <c r="M8" s="30"/>
    </row>
    <row r="9" spans="1:13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40"/>
      <c r="L9" s="10"/>
      <c r="M9" s="30"/>
    </row>
    <row r="10" spans="1:13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40"/>
      <c r="L10" s="10"/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40"/>
      <c r="L12" s="10"/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4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40"/>
      <c r="L14" s="10"/>
      <c r="M14" s="30"/>
    </row>
    <row r="15" spans="1:13" ht="20.100000000000001" customHeight="1" x14ac:dyDescent="0.25">
      <c r="A15" s="11"/>
      <c r="B15" s="10"/>
      <c r="C15" s="10"/>
      <c r="D15" s="10"/>
      <c r="E15" s="10"/>
      <c r="F15" s="10"/>
      <c r="G15" s="10"/>
      <c r="H15" s="10"/>
      <c r="I15" s="10"/>
      <c r="J15" s="10"/>
      <c r="K15" s="140"/>
      <c r="L15" s="10"/>
      <c r="M15" s="30"/>
    </row>
    <row r="16" spans="1:13" ht="20.100000000000001" customHeight="1" x14ac:dyDescent="0.25">
      <c r="A16" s="11"/>
      <c r="B16" s="10"/>
      <c r="C16" s="10"/>
      <c r="D16" s="10"/>
      <c r="E16" s="10"/>
      <c r="F16" s="10"/>
      <c r="G16" s="10"/>
      <c r="H16" s="10"/>
      <c r="I16" s="10"/>
      <c r="J16" s="10"/>
      <c r="K16" s="140"/>
      <c r="L16" s="10"/>
      <c r="M16" s="30"/>
    </row>
    <row r="17" spans="1:13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30"/>
    </row>
    <row r="19" spans="1:13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30"/>
    </row>
    <row r="20" spans="1:13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30"/>
    </row>
    <row r="21" spans="1:13" ht="20.100000000000001" customHeight="1" thickBot="1" x14ac:dyDescent="0.3">
      <c r="A21" s="31"/>
      <c r="B21" s="13">
        <f>SUM(B4:B20)</f>
        <v>0</v>
      </c>
      <c r="C21" s="13">
        <f t="shared" ref="C21:L21" si="0">SUM(C4:C20)</f>
        <v>0</v>
      </c>
      <c r="D21" s="13">
        <f t="shared" si="0"/>
        <v>0</v>
      </c>
      <c r="E21" s="13">
        <f t="shared" si="0"/>
        <v>0</v>
      </c>
      <c r="F21" s="13">
        <f t="shared" si="0"/>
        <v>0</v>
      </c>
      <c r="G21" s="13">
        <f t="shared" si="0"/>
        <v>0</v>
      </c>
      <c r="H21" s="13">
        <f t="shared" si="0"/>
        <v>0</v>
      </c>
      <c r="I21" s="13">
        <f t="shared" si="0"/>
        <v>0</v>
      </c>
      <c r="J21" s="13">
        <f t="shared" si="0"/>
        <v>0</v>
      </c>
      <c r="K21" s="151">
        <f t="shared" si="0"/>
        <v>0</v>
      </c>
      <c r="L21" s="142">
        <f t="shared" si="0"/>
        <v>0</v>
      </c>
    </row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  <row r="31" spans="1:13" ht="20.100000000000001" customHeight="1" x14ac:dyDescent="0.25"/>
    <row r="32" spans="1:13" ht="20.100000000000001" customHeight="1" x14ac:dyDescent="0.25"/>
  </sheetData>
  <mergeCells count="3">
    <mergeCell ref="A1:L1"/>
    <mergeCell ref="A2:D2"/>
    <mergeCell ref="E2:L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B129-0214-44FD-A2EB-19137CBA4E41}">
  <sheetPr>
    <tabColor rgb="FFFF0000"/>
  </sheetPr>
  <dimension ref="A1:L25"/>
  <sheetViews>
    <sheetView workbookViewId="0">
      <selection activeCell="L5" sqref="L5"/>
    </sheetView>
  </sheetViews>
  <sheetFormatPr baseColWidth="10" defaultRowHeight="13.5" x14ac:dyDescent="0.25"/>
  <cols>
    <col min="4" max="4" width="15.5703125" customWidth="1"/>
    <col min="5" max="5" width="12.28515625" bestFit="1" customWidth="1"/>
  </cols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325" t="s">
        <v>239</v>
      </c>
      <c r="B2" s="326"/>
      <c r="C2" s="327"/>
      <c r="D2" s="328"/>
      <c r="E2" s="314" t="s">
        <v>56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customHeight="1" x14ac:dyDescent="0.25">
      <c r="A4" s="7">
        <v>45447</v>
      </c>
      <c r="B4" s="6">
        <v>1</v>
      </c>
      <c r="C4" s="6">
        <v>2</v>
      </c>
      <c r="D4" s="6"/>
      <c r="E4" s="6">
        <v>1</v>
      </c>
      <c r="F4" s="6">
        <v>0</v>
      </c>
      <c r="G4" s="6"/>
      <c r="H4" s="6">
        <v>2</v>
      </c>
      <c r="I4" s="6"/>
      <c r="J4" s="6">
        <v>1</v>
      </c>
      <c r="K4" s="6"/>
    </row>
    <row r="5" spans="1:12" ht="24.95" customHeight="1" x14ac:dyDescent="0.25">
      <c r="A5" s="32">
        <v>45533</v>
      </c>
      <c r="B5" s="8"/>
      <c r="C5" s="8">
        <v>3</v>
      </c>
      <c r="D5" s="8"/>
      <c r="E5" s="8">
        <v>1</v>
      </c>
      <c r="F5" s="8"/>
      <c r="G5" s="8"/>
      <c r="H5" s="8"/>
      <c r="I5" s="8">
        <v>0</v>
      </c>
      <c r="J5" s="8">
        <v>1</v>
      </c>
      <c r="K5" s="8"/>
    </row>
    <row r="6" spans="1:12" ht="20.100000000000001" customHeight="1" x14ac:dyDescent="0.25">
      <c r="A6" s="11">
        <v>45541</v>
      </c>
      <c r="B6" s="10"/>
      <c r="C6" s="10"/>
      <c r="D6" s="10"/>
      <c r="E6" s="10"/>
      <c r="F6" s="10">
        <v>0</v>
      </c>
      <c r="G6" s="10"/>
      <c r="H6" s="10"/>
      <c r="I6" s="10"/>
      <c r="J6" s="10"/>
      <c r="K6" s="10"/>
    </row>
    <row r="7" spans="1:12" ht="20.100000000000001" customHeight="1" x14ac:dyDescent="0.25">
      <c r="A7" s="11">
        <v>45559</v>
      </c>
      <c r="B7" s="10"/>
      <c r="C7" s="10"/>
      <c r="D7" s="10"/>
      <c r="E7" s="10"/>
      <c r="F7" s="10"/>
      <c r="G7" s="10"/>
      <c r="H7" s="10">
        <v>1</v>
      </c>
      <c r="I7" s="10">
        <v>0</v>
      </c>
      <c r="J7" s="10"/>
      <c r="K7" s="10"/>
    </row>
    <row r="8" spans="1:12" ht="20.100000000000001" customHeight="1" x14ac:dyDescent="0.25">
      <c r="A8" s="11">
        <v>45831</v>
      </c>
      <c r="B8" s="10"/>
      <c r="C8" s="10">
        <v>2</v>
      </c>
      <c r="D8" s="10"/>
      <c r="E8" s="10"/>
      <c r="F8" s="10">
        <v>1</v>
      </c>
      <c r="G8" s="10"/>
      <c r="H8" s="10">
        <v>1</v>
      </c>
      <c r="I8" s="10" t="s">
        <v>31</v>
      </c>
      <c r="J8" s="10"/>
      <c r="K8" s="10"/>
    </row>
    <row r="9" spans="1:12" ht="20.100000000000001" customHeight="1" x14ac:dyDescent="0.25">
      <c r="A9" s="11">
        <v>45832</v>
      </c>
      <c r="B9" s="10">
        <v>1</v>
      </c>
      <c r="C9" s="10"/>
      <c r="D9" s="10">
        <v>1</v>
      </c>
      <c r="E9" s="10"/>
      <c r="F9" s="10"/>
      <c r="G9" s="10"/>
      <c r="H9" s="10"/>
      <c r="I9" s="10"/>
      <c r="J9" s="10"/>
      <c r="K9" s="10"/>
      <c r="L9" s="30"/>
    </row>
    <row r="10" spans="1:12" ht="20.100000000000001" customHeight="1" x14ac:dyDescent="0.25">
      <c r="A10" s="11">
        <v>45875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>
        <v>45944</v>
      </c>
      <c r="B11" s="10"/>
      <c r="C11" s="10"/>
      <c r="D11" s="10"/>
      <c r="E11" s="10"/>
      <c r="F11" s="10"/>
      <c r="G11" s="10"/>
      <c r="H11" s="10"/>
      <c r="I11" s="10">
        <v>1</v>
      </c>
      <c r="J11" s="10"/>
      <c r="K11" s="10"/>
      <c r="L11" s="30"/>
    </row>
    <row r="12" spans="1:12" ht="20.100000000000001" customHeight="1" x14ac:dyDescent="0.25">
      <c r="A12" s="11">
        <v>45957</v>
      </c>
      <c r="B12" s="10"/>
      <c r="C12" s="10"/>
      <c r="D12" s="10"/>
      <c r="E12" s="10">
        <v>1</v>
      </c>
      <c r="F12" s="10"/>
      <c r="G12" s="10"/>
      <c r="H12" s="10"/>
      <c r="I12" s="10"/>
      <c r="J12" s="10"/>
      <c r="K12" s="10"/>
      <c r="L12" s="30"/>
    </row>
    <row r="13" spans="1:12" ht="20.100000000000001" customHeight="1" thickBot="1" x14ac:dyDescent="0.3">
      <c r="A13" s="31" t="s">
        <v>14</v>
      </c>
      <c r="B13" s="13">
        <f>SUM(B4:B12)</f>
        <v>3</v>
      </c>
      <c r="C13" s="13">
        <f t="shared" ref="C13:K13" si="0">SUM(C4:C12)</f>
        <v>7</v>
      </c>
      <c r="D13" s="13">
        <f t="shared" si="0"/>
        <v>1</v>
      </c>
      <c r="E13" s="13">
        <f t="shared" si="0"/>
        <v>3</v>
      </c>
      <c r="F13" s="13">
        <f t="shared" si="0"/>
        <v>1</v>
      </c>
      <c r="G13" s="13">
        <f t="shared" si="0"/>
        <v>0</v>
      </c>
      <c r="H13" s="13">
        <f t="shared" si="0"/>
        <v>4</v>
      </c>
      <c r="I13" s="13">
        <f t="shared" si="0"/>
        <v>1</v>
      </c>
      <c r="J13" s="13">
        <f t="shared" si="0"/>
        <v>2</v>
      </c>
      <c r="K13" s="13">
        <f t="shared" si="0"/>
        <v>0</v>
      </c>
    </row>
    <row r="14" spans="1:12" ht="20.100000000000001" customHeight="1" x14ac:dyDescent="0.25">
      <c r="H14" s="132" t="s">
        <v>240</v>
      </c>
    </row>
    <row r="15" spans="1:12" ht="36" customHeight="1" thickBot="1" x14ac:dyDescent="0.3">
      <c r="B15" s="236" t="s">
        <v>231</v>
      </c>
      <c r="C15" s="237" t="s">
        <v>230</v>
      </c>
      <c r="D15" s="238" t="s">
        <v>232</v>
      </c>
      <c r="E15" s="239" t="s">
        <v>14</v>
      </c>
    </row>
    <row r="16" spans="1:12" ht="20.100000000000001" customHeight="1" thickTop="1" thickBot="1" x14ac:dyDescent="0.3">
      <c r="B16" s="230" t="s">
        <v>1</v>
      </c>
      <c r="C16" s="228">
        <v>2</v>
      </c>
      <c r="D16" s="229">
        <v>61248.99</v>
      </c>
      <c r="E16" s="231">
        <f>D16*C16</f>
        <v>122497.98</v>
      </c>
    </row>
    <row r="17" spans="2:5" ht="20.100000000000001" customHeight="1" thickTop="1" thickBot="1" x14ac:dyDescent="0.3">
      <c r="B17" s="230" t="s">
        <v>9</v>
      </c>
      <c r="C17" s="228">
        <v>1</v>
      </c>
      <c r="D17" s="229">
        <v>42000</v>
      </c>
      <c r="E17" s="231">
        <f t="shared" ref="E17:E22" si="1">D17*C17</f>
        <v>42000</v>
      </c>
    </row>
    <row r="18" spans="2:5" ht="20.100000000000001" customHeight="1" thickTop="1" thickBot="1" x14ac:dyDescent="0.3">
      <c r="B18" s="230" t="s">
        <v>8</v>
      </c>
      <c r="C18" s="228">
        <v>1</v>
      </c>
      <c r="D18" s="229">
        <v>50000</v>
      </c>
      <c r="E18" s="231">
        <f t="shared" si="1"/>
        <v>50000</v>
      </c>
    </row>
    <row r="19" spans="2:5" ht="20.100000000000001" customHeight="1" thickTop="1" thickBot="1" x14ac:dyDescent="0.3">
      <c r="B19" s="230" t="s">
        <v>77</v>
      </c>
      <c r="C19" s="228">
        <v>1</v>
      </c>
      <c r="D19" s="229">
        <v>32000</v>
      </c>
      <c r="E19" s="231">
        <f t="shared" si="1"/>
        <v>32000</v>
      </c>
    </row>
    <row r="20" spans="2:5" ht="20.100000000000001" customHeight="1" thickTop="1" thickBot="1" x14ac:dyDescent="0.3">
      <c r="B20" s="230" t="s">
        <v>76</v>
      </c>
      <c r="C20" s="228">
        <v>2</v>
      </c>
      <c r="D20" s="229">
        <v>24000</v>
      </c>
      <c r="E20" s="231">
        <f t="shared" si="1"/>
        <v>48000</v>
      </c>
    </row>
    <row r="21" spans="2:5" ht="20.100000000000001" customHeight="1" thickTop="1" thickBot="1" x14ac:dyDescent="0.3">
      <c r="B21" s="230" t="s">
        <v>78</v>
      </c>
      <c r="C21" s="228">
        <v>1</v>
      </c>
      <c r="D21" s="229">
        <v>48000</v>
      </c>
      <c r="E21" s="231">
        <f t="shared" si="1"/>
        <v>48000</v>
      </c>
    </row>
    <row r="22" spans="2:5" ht="20.100000000000001" customHeight="1" thickTop="1" thickBot="1" x14ac:dyDescent="0.3">
      <c r="B22" s="232" t="s">
        <v>3</v>
      </c>
      <c r="C22" s="233">
        <v>1</v>
      </c>
      <c r="D22" s="234">
        <v>80000</v>
      </c>
      <c r="E22" s="235">
        <f t="shared" si="1"/>
        <v>80000</v>
      </c>
    </row>
    <row r="23" spans="2:5" ht="20.100000000000001" customHeight="1" thickTop="1" x14ac:dyDescent="0.25">
      <c r="B23" s="232" t="s">
        <v>233</v>
      </c>
      <c r="C23" s="233">
        <f>SUBTOTAL(109,Tabla3[CANTIDAD])</f>
        <v>9</v>
      </c>
      <c r="D23" s="233"/>
      <c r="E23" s="235">
        <f>SUBTOTAL(109,Tabla3[TOTAL])</f>
        <v>422497.98</v>
      </c>
    </row>
    <row r="24" spans="2:5" ht="20.100000000000001" customHeight="1" x14ac:dyDescent="0.25">
      <c r="B24" s="30"/>
      <c r="C24" s="227"/>
    </row>
    <row r="25" spans="2:5" ht="20.100000000000001" customHeight="1" x14ac:dyDescent="0.25"/>
  </sheetData>
  <mergeCells count="3">
    <mergeCell ref="A1:K1"/>
    <mergeCell ref="A2:D2"/>
    <mergeCell ref="E2:K2"/>
  </mergeCells>
  <pageMargins left="1.299212598425197" right="0.70866141732283472" top="1.1417322834645669" bottom="0.74803149606299213" header="0.31496062992125984" footer="0.31496062992125984"/>
  <pageSetup paperSize="9" orientation="landscape" r:id="rId1"/>
  <drawing r:id="rId2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5AC0-C2A9-4DFE-8D76-1B13B04E7C68}">
  <sheetPr>
    <tabColor rgb="FFFF0000"/>
  </sheetPr>
  <dimension ref="A1:L26"/>
  <sheetViews>
    <sheetView topLeftCell="A8" workbookViewId="0">
      <selection activeCell="A15" sqref="A1:K15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228</v>
      </c>
      <c r="B2" s="269"/>
      <c r="C2" s="270"/>
      <c r="D2" s="271"/>
      <c r="E2" s="314" t="s">
        <v>54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s="216" customFormat="1" ht="20.100000000000001" hidden="1" customHeight="1" x14ac:dyDescent="0.25">
      <c r="A4" s="32">
        <v>45218</v>
      </c>
      <c r="B4" s="8"/>
      <c r="C4" s="8">
        <v>1</v>
      </c>
      <c r="D4" s="8"/>
      <c r="E4" s="8"/>
      <c r="F4" s="8"/>
      <c r="G4" s="8"/>
      <c r="H4" s="8"/>
      <c r="I4" s="8"/>
      <c r="J4" s="8"/>
      <c r="K4" s="8"/>
    </row>
    <row r="5" spans="1:12" ht="20.100000000000001" customHeight="1" x14ac:dyDescent="0.25">
      <c r="A5" s="7">
        <v>45449</v>
      </c>
      <c r="B5" s="6">
        <v>0</v>
      </c>
      <c r="C5" s="6">
        <v>1</v>
      </c>
      <c r="D5" s="6"/>
      <c r="E5" s="6">
        <v>1</v>
      </c>
      <c r="F5" s="6">
        <v>0</v>
      </c>
      <c r="G5" s="6"/>
      <c r="H5" s="6">
        <v>2</v>
      </c>
      <c r="I5" s="6"/>
      <c r="J5" s="6"/>
      <c r="K5" s="6"/>
    </row>
    <row r="6" spans="1:12" ht="20.100000000000001" customHeight="1" x14ac:dyDescent="0.25">
      <c r="A6" s="11">
        <v>45518</v>
      </c>
      <c r="B6" s="10"/>
      <c r="C6" s="10"/>
      <c r="D6" s="10">
        <v>1</v>
      </c>
      <c r="E6" s="10"/>
      <c r="F6" s="10">
        <v>1</v>
      </c>
      <c r="G6" s="10"/>
      <c r="H6" s="10"/>
      <c r="I6" s="10"/>
      <c r="J6" s="10"/>
      <c r="K6" s="10"/>
    </row>
    <row r="7" spans="1:12" ht="20.100000000000001" customHeight="1" x14ac:dyDescent="0.25">
      <c r="A7" s="11">
        <v>45533</v>
      </c>
      <c r="B7" s="10"/>
      <c r="C7" s="10">
        <v>3</v>
      </c>
      <c r="D7" s="10"/>
      <c r="E7" s="10">
        <v>1</v>
      </c>
      <c r="F7" s="10"/>
      <c r="G7" s="10"/>
      <c r="H7" s="10"/>
      <c r="I7" s="10">
        <v>1</v>
      </c>
      <c r="J7" s="10"/>
      <c r="K7" s="10"/>
      <c r="L7" s="30"/>
    </row>
    <row r="8" spans="1:12" ht="20.100000000000001" customHeight="1" x14ac:dyDescent="0.25">
      <c r="A8" s="11">
        <v>45595</v>
      </c>
      <c r="B8" s="10"/>
      <c r="C8" s="10">
        <v>1</v>
      </c>
      <c r="D8" s="10"/>
      <c r="E8" s="10"/>
      <c r="F8" s="10"/>
      <c r="G8" s="10"/>
      <c r="H8" s="10">
        <v>1</v>
      </c>
      <c r="I8" s="10">
        <v>1</v>
      </c>
      <c r="J8" s="10"/>
      <c r="K8" s="10"/>
    </row>
    <row r="9" spans="1:12" ht="20.100000000000001" customHeight="1" x14ac:dyDescent="0.25">
      <c r="A9" s="11">
        <v>45821</v>
      </c>
      <c r="B9" s="10"/>
      <c r="C9" s="10">
        <v>3</v>
      </c>
      <c r="D9" s="10">
        <v>1</v>
      </c>
      <c r="E9" s="10">
        <v>2</v>
      </c>
      <c r="F9" s="10">
        <v>1</v>
      </c>
      <c r="G9" s="10">
        <v>1</v>
      </c>
      <c r="H9" s="10">
        <v>2</v>
      </c>
      <c r="I9" s="10"/>
      <c r="J9" s="10"/>
      <c r="K9" s="10"/>
      <c r="L9" s="30"/>
    </row>
    <row r="10" spans="1:12" ht="20.100000000000001" customHeight="1" x14ac:dyDescent="0.25">
      <c r="A10" s="11">
        <v>45831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0"/>
    </row>
    <row r="14" spans="1:12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thickBot="1" x14ac:dyDescent="0.3">
      <c r="A15" s="31" t="s">
        <v>14</v>
      </c>
      <c r="B15" s="13">
        <f>SUM(B5:B14)</f>
        <v>1</v>
      </c>
      <c r="C15" s="13">
        <f t="shared" ref="C15:K15" si="0">SUM(C5:C14)</f>
        <v>8</v>
      </c>
      <c r="D15" s="13">
        <f t="shared" si="0"/>
        <v>2</v>
      </c>
      <c r="E15" s="13">
        <f t="shared" si="0"/>
        <v>4</v>
      </c>
      <c r="F15" s="13">
        <f t="shared" si="0"/>
        <v>2</v>
      </c>
      <c r="G15" s="13">
        <f t="shared" si="0"/>
        <v>1</v>
      </c>
      <c r="H15" s="13">
        <f t="shared" si="0"/>
        <v>5</v>
      </c>
      <c r="I15" s="13">
        <f t="shared" si="0"/>
        <v>2</v>
      </c>
      <c r="J15" s="13">
        <f t="shared" si="0"/>
        <v>0</v>
      </c>
      <c r="K15" s="13">
        <f t="shared" si="0"/>
        <v>0</v>
      </c>
    </row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1.1417322834645669" bottom="0.74803149606299213" header="0.31496062992125984" footer="0.31496062992125984"/>
  <pageSetup paperSize="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A79E-4931-4BBE-AF42-67E1B847C641}">
  <sheetPr>
    <tabColor rgb="FFFF0000"/>
  </sheetPr>
  <dimension ref="A1:L33"/>
  <sheetViews>
    <sheetView topLeftCell="A14" workbookViewId="0">
      <selection activeCell="A22" sqref="A1:K22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225</v>
      </c>
      <c r="B2" s="269"/>
      <c r="C2" s="270"/>
      <c r="D2" s="271"/>
      <c r="E2" s="314" t="s">
        <v>22</v>
      </c>
      <c r="F2" s="315"/>
      <c r="G2" s="315"/>
      <c r="H2" s="315"/>
      <c r="I2" s="315"/>
      <c r="J2" s="315"/>
      <c r="K2" s="315"/>
    </row>
    <row r="3" spans="1:12" ht="34.5" customHeight="1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15.75" hidden="1" customHeight="1" x14ac:dyDescent="0.25">
      <c r="A4" s="221">
        <v>44930</v>
      </c>
      <c r="B4" s="222"/>
      <c r="C4" s="222">
        <v>4</v>
      </c>
      <c r="D4" s="222"/>
      <c r="E4" s="222">
        <v>1</v>
      </c>
      <c r="F4" s="222"/>
      <c r="G4" s="222"/>
      <c r="H4" s="222">
        <v>2</v>
      </c>
      <c r="I4" s="222">
        <v>1</v>
      </c>
      <c r="J4" s="222"/>
      <c r="K4" s="222"/>
    </row>
    <row r="5" spans="1:12" ht="16.5" hidden="1" customHeight="1" x14ac:dyDescent="0.25">
      <c r="A5" s="223">
        <v>45044</v>
      </c>
      <c r="B5" s="224"/>
      <c r="C5" s="224"/>
      <c r="D5" s="224">
        <v>1</v>
      </c>
      <c r="E5" s="224"/>
      <c r="F5" s="224"/>
      <c r="G5" s="224"/>
      <c r="H5" s="224"/>
      <c r="I5" s="224"/>
      <c r="J5" s="224"/>
      <c r="K5" s="224"/>
    </row>
    <row r="6" spans="1:12" ht="17.25" hidden="1" customHeight="1" x14ac:dyDescent="0.25">
      <c r="A6" s="180">
        <v>45110</v>
      </c>
      <c r="B6" s="181"/>
      <c r="C6" s="181"/>
      <c r="D6" s="181"/>
      <c r="E6" s="181"/>
      <c r="F6" s="181">
        <v>1</v>
      </c>
      <c r="G6" s="181"/>
      <c r="H6" s="181"/>
      <c r="I6" s="181"/>
      <c r="J6" s="181"/>
      <c r="K6" s="181"/>
    </row>
    <row r="7" spans="1:12" ht="20.100000000000001" hidden="1" customHeight="1" x14ac:dyDescent="0.25">
      <c r="A7" s="180">
        <v>45128</v>
      </c>
      <c r="B7" s="181">
        <v>1</v>
      </c>
      <c r="C7" s="181"/>
      <c r="D7" s="181"/>
      <c r="E7" s="181"/>
      <c r="F7" s="181"/>
      <c r="G7" s="181"/>
      <c r="H7" s="181"/>
      <c r="I7" s="181"/>
      <c r="J7" s="181"/>
      <c r="K7" s="181"/>
      <c r="L7" s="30" t="s">
        <v>45</v>
      </c>
    </row>
    <row r="8" spans="1:12" ht="16.5" hidden="1" customHeight="1" x14ac:dyDescent="0.25">
      <c r="A8" s="180">
        <v>45224</v>
      </c>
      <c r="B8" s="181"/>
      <c r="C8" s="181">
        <v>3</v>
      </c>
      <c r="D8" s="181"/>
      <c r="E8" s="181">
        <v>2</v>
      </c>
      <c r="F8" s="181">
        <v>1</v>
      </c>
      <c r="G8" s="181"/>
      <c r="H8" s="181">
        <v>1</v>
      </c>
      <c r="I8" s="181">
        <v>1</v>
      </c>
      <c r="J8" s="181"/>
      <c r="K8" s="181"/>
    </row>
    <row r="9" spans="1:12" ht="17.25" hidden="1" customHeight="1" x14ac:dyDescent="0.25">
      <c r="A9" s="180">
        <v>45225</v>
      </c>
      <c r="B9" s="181"/>
      <c r="C9" s="181">
        <v>3</v>
      </c>
      <c r="D9" s="181"/>
      <c r="E9" s="181">
        <v>2</v>
      </c>
      <c r="F9" s="181">
        <v>1</v>
      </c>
      <c r="G9" s="181"/>
      <c r="H9" s="181">
        <v>1</v>
      </c>
      <c r="I9" s="181">
        <v>1</v>
      </c>
      <c r="J9" s="181"/>
      <c r="K9" s="181"/>
    </row>
    <row r="10" spans="1:12" ht="17.25" customHeight="1" x14ac:dyDescent="0.25">
      <c r="A10" s="225">
        <v>45470</v>
      </c>
      <c r="B10" s="79">
        <v>0</v>
      </c>
      <c r="C10" s="79"/>
      <c r="D10" s="79"/>
      <c r="E10" s="79">
        <v>0</v>
      </c>
      <c r="F10" s="79"/>
      <c r="G10" s="79"/>
      <c r="H10" s="79">
        <v>1</v>
      </c>
      <c r="I10" s="79"/>
      <c r="J10" s="79"/>
      <c r="K10" s="79"/>
    </row>
    <row r="11" spans="1:12" ht="15.75" customHeight="1" x14ac:dyDescent="0.25">
      <c r="A11" s="11">
        <v>45539</v>
      </c>
      <c r="B11" s="10"/>
      <c r="C11" s="10">
        <v>1</v>
      </c>
      <c r="D11" s="10"/>
      <c r="E11" s="10"/>
      <c r="F11" s="10"/>
      <c r="G11" s="10"/>
      <c r="H11" s="10"/>
      <c r="I11" s="10">
        <v>1</v>
      </c>
      <c r="J11" s="10"/>
      <c r="K11" s="10"/>
    </row>
    <row r="12" spans="1:12" ht="20.100000000000001" customHeight="1" x14ac:dyDescent="0.25">
      <c r="A12" s="11">
        <v>45580</v>
      </c>
      <c r="B12" s="10"/>
      <c r="C12" s="10">
        <v>1</v>
      </c>
      <c r="D12" s="10"/>
      <c r="E12" s="10"/>
      <c r="F12" s="10"/>
      <c r="G12" s="10"/>
      <c r="H12" s="10"/>
      <c r="I12" s="10"/>
      <c r="J12" s="10"/>
      <c r="K12" s="10"/>
    </row>
    <row r="13" spans="1:12" ht="20.100000000000001" customHeight="1" x14ac:dyDescent="0.25">
      <c r="A13" s="11">
        <v>45607</v>
      </c>
      <c r="B13" s="10">
        <v>1</v>
      </c>
      <c r="C13" s="10"/>
      <c r="D13" s="10"/>
      <c r="E13" s="10"/>
      <c r="F13" s="10"/>
      <c r="G13" s="10"/>
      <c r="H13" s="10"/>
      <c r="I13" s="10"/>
      <c r="J13" s="10"/>
      <c r="K13" s="10"/>
    </row>
    <row r="14" spans="1:12" ht="20.100000000000001" customHeight="1" x14ac:dyDescent="0.25">
      <c r="A14" s="11">
        <v>45769</v>
      </c>
      <c r="B14" s="10"/>
      <c r="C14" s="10">
        <v>2</v>
      </c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x14ac:dyDescent="0.25">
      <c r="A15" s="11">
        <v>45831</v>
      </c>
      <c r="B15" s="10"/>
      <c r="C15" s="10">
        <v>2</v>
      </c>
      <c r="D15" s="10"/>
      <c r="E15" s="10"/>
      <c r="F15" s="10"/>
      <c r="G15" s="10"/>
      <c r="H15" s="10">
        <v>2</v>
      </c>
      <c r="I15" s="10"/>
      <c r="J15" s="10"/>
      <c r="K15" s="10"/>
      <c r="L15" s="30"/>
    </row>
    <row r="16" spans="1:12" ht="20.100000000000001" customHeight="1" x14ac:dyDescent="0.25">
      <c r="A16" s="11">
        <v>45832</v>
      </c>
      <c r="B16" s="10">
        <v>1</v>
      </c>
      <c r="C16" s="10"/>
      <c r="D16" s="10">
        <v>1</v>
      </c>
      <c r="E16" s="10"/>
      <c r="F16" s="10">
        <v>1</v>
      </c>
      <c r="G16" s="10">
        <v>0</v>
      </c>
      <c r="H16" s="10"/>
      <c r="I16" s="10"/>
      <c r="J16" s="10"/>
      <c r="K16" s="10"/>
      <c r="L16" s="30"/>
    </row>
    <row r="17" spans="1:12" ht="20.100000000000001" customHeight="1" x14ac:dyDescent="0.25">
      <c r="A17" s="11">
        <v>45905</v>
      </c>
      <c r="B17" s="10"/>
      <c r="C17" s="10">
        <v>1</v>
      </c>
      <c r="D17" s="10"/>
      <c r="E17" s="10">
        <v>1</v>
      </c>
      <c r="F17" s="10"/>
      <c r="G17" s="10"/>
      <c r="H17" s="10">
        <v>1</v>
      </c>
      <c r="I17" s="10"/>
      <c r="J17" s="10"/>
      <c r="K17" s="10"/>
      <c r="L17" s="30"/>
    </row>
    <row r="18" spans="1:12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0"/>
    </row>
    <row r="19" spans="1:12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0"/>
    </row>
    <row r="20" spans="1:12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0"/>
    </row>
    <row r="21" spans="1:12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0"/>
    </row>
    <row r="22" spans="1:12" ht="20.100000000000001" customHeight="1" thickBot="1" x14ac:dyDescent="0.3">
      <c r="A22" s="31" t="s">
        <v>14</v>
      </c>
      <c r="B22" s="13">
        <f>SUM(B9:B21)</f>
        <v>2</v>
      </c>
      <c r="C22" s="13">
        <f>SUM(C11:C21)</f>
        <v>7</v>
      </c>
      <c r="D22" s="13">
        <f>SUM(D9:D21)</f>
        <v>1</v>
      </c>
      <c r="E22" s="13">
        <f>SUM(E10:E21)</f>
        <v>1</v>
      </c>
      <c r="F22" s="13">
        <f>SUM(F11:F21)</f>
        <v>1</v>
      </c>
      <c r="G22" s="13">
        <f>SUM(G9:G21)</f>
        <v>0</v>
      </c>
      <c r="H22" s="13">
        <f>SUM(H11:H21)</f>
        <v>3</v>
      </c>
      <c r="I22" s="13">
        <f>SUM(I11:I21)</f>
        <v>1</v>
      </c>
      <c r="J22" s="13">
        <f>SUM(J9:J21)</f>
        <v>0</v>
      </c>
      <c r="K22" s="13">
        <f>SUM(K9:K21)</f>
        <v>0</v>
      </c>
    </row>
    <row r="23" spans="1:12" ht="20.100000000000001" customHeight="1" x14ac:dyDescent="0.25"/>
    <row r="24" spans="1:12" ht="20.100000000000001" customHeight="1" x14ac:dyDescent="0.25"/>
    <row r="25" spans="1:12" ht="20.100000000000001" customHeight="1" x14ac:dyDescent="0.25"/>
    <row r="26" spans="1:12" ht="20.100000000000001" customHeight="1" x14ac:dyDescent="0.25"/>
    <row r="27" spans="1:12" ht="20.100000000000001" customHeight="1" x14ac:dyDescent="0.25"/>
    <row r="28" spans="1:12" ht="20.100000000000001" customHeight="1" x14ac:dyDescent="0.25"/>
    <row r="29" spans="1:12" ht="20.100000000000001" customHeight="1" x14ac:dyDescent="0.25"/>
    <row r="30" spans="1:12" ht="20.100000000000001" customHeight="1" x14ac:dyDescent="0.25"/>
    <row r="31" spans="1:12" ht="20.100000000000001" customHeight="1" x14ac:dyDescent="0.25"/>
    <row r="32" spans="1:12" ht="20.100000000000001" customHeight="1" x14ac:dyDescent="0.25"/>
    <row r="33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7747-4327-42ED-BEF6-F37E1997E0F2}">
  <sheetPr>
    <tabColor rgb="FFFF0000"/>
  </sheetPr>
  <dimension ref="A1:L24"/>
  <sheetViews>
    <sheetView workbookViewId="0">
      <selection sqref="A1:K13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212</v>
      </c>
      <c r="B2" s="269"/>
      <c r="C2" s="270"/>
      <c r="D2" s="271"/>
      <c r="E2" s="314" t="s">
        <v>38</v>
      </c>
      <c r="F2" s="315"/>
      <c r="G2" s="315"/>
      <c r="H2" s="315"/>
      <c r="I2" s="315"/>
      <c r="J2" s="315"/>
      <c r="K2" s="315"/>
    </row>
    <row r="3" spans="1:12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33" t="s">
        <v>49</v>
      </c>
    </row>
    <row r="4" spans="1:12" ht="20.100000000000001" customHeight="1" x14ac:dyDescent="0.25">
      <c r="A4" s="7" t="s">
        <v>13</v>
      </c>
      <c r="B4" s="6"/>
      <c r="C4" s="6">
        <v>0</v>
      </c>
      <c r="D4" s="6"/>
      <c r="E4" s="6"/>
      <c r="F4" s="6"/>
      <c r="G4" s="6"/>
      <c r="H4" s="6">
        <v>1</v>
      </c>
      <c r="I4" s="6"/>
      <c r="J4" s="6"/>
      <c r="K4" s="6"/>
    </row>
    <row r="5" spans="1:12" ht="24.95" customHeight="1" x14ac:dyDescent="0.25">
      <c r="A5" s="32">
        <v>45441</v>
      </c>
      <c r="B5" s="8">
        <v>0</v>
      </c>
      <c r="C5" s="8">
        <v>1</v>
      </c>
      <c r="D5" s="8"/>
      <c r="E5" s="8"/>
      <c r="F5" s="8">
        <v>1</v>
      </c>
      <c r="G5" s="8"/>
      <c r="H5" s="8">
        <v>1</v>
      </c>
      <c r="I5" s="8"/>
      <c r="J5" s="8"/>
      <c r="K5" s="8"/>
      <c r="L5" s="30"/>
    </row>
    <row r="6" spans="1:12" ht="20.100000000000001" customHeight="1" x14ac:dyDescent="0.25">
      <c r="A6" s="11">
        <v>45551</v>
      </c>
      <c r="B6" s="10"/>
      <c r="C6" s="10"/>
      <c r="D6" s="10"/>
      <c r="E6" s="10"/>
      <c r="F6" s="10"/>
      <c r="G6" s="10"/>
      <c r="H6" s="10">
        <v>1</v>
      </c>
      <c r="I6" s="10"/>
      <c r="J6" s="10"/>
      <c r="K6" s="10"/>
    </row>
    <row r="7" spans="1:12" ht="20.100000000000001" customHeight="1" x14ac:dyDescent="0.25">
      <c r="A7" s="11">
        <v>45596</v>
      </c>
      <c r="B7" s="10"/>
      <c r="C7" s="10"/>
      <c r="D7" s="10"/>
      <c r="E7" s="10">
        <v>0</v>
      </c>
      <c r="F7" s="10"/>
      <c r="G7" s="10">
        <v>1</v>
      </c>
      <c r="H7" s="10"/>
      <c r="I7" s="10"/>
      <c r="J7" s="10"/>
      <c r="K7" s="10"/>
      <c r="L7" s="30"/>
    </row>
    <row r="8" spans="1:12" ht="20.100000000000001" customHeight="1" x14ac:dyDescent="0.25">
      <c r="A8" s="11">
        <v>45604</v>
      </c>
      <c r="B8" s="10"/>
      <c r="C8" s="10">
        <v>1</v>
      </c>
      <c r="D8" s="10"/>
      <c r="E8" s="10">
        <v>0</v>
      </c>
      <c r="F8" s="10"/>
      <c r="G8" s="10"/>
      <c r="H8" s="10">
        <v>1</v>
      </c>
      <c r="I8" s="10"/>
      <c r="J8" s="10"/>
      <c r="K8" s="10"/>
    </row>
    <row r="9" spans="1:12" ht="20.100000000000001" customHeight="1" x14ac:dyDescent="0.25">
      <c r="A9" s="11">
        <v>45700</v>
      </c>
      <c r="B9" s="10"/>
      <c r="C9" s="10">
        <v>1</v>
      </c>
      <c r="D9" s="10"/>
      <c r="E9" s="10"/>
      <c r="F9" s="10"/>
      <c r="G9" s="10"/>
      <c r="H9" s="10"/>
      <c r="I9" s="10"/>
      <c r="J9" s="10"/>
      <c r="K9" s="10"/>
    </row>
    <row r="10" spans="1:12" ht="20.100000000000001" customHeight="1" x14ac:dyDescent="0.25">
      <c r="A10" s="11">
        <v>45736</v>
      </c>
      <c r="B10" s="10">
        <v>1</v>
      </c>
      <c r="C10" s="10"/>
      <c r="D10" s="10"/>
      <c r="E10" s="10"/>
      <c r="F10" s="10">
        <v>1</v>
      </c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>
        <v>45821</v>
      </c>
      <c r="B11" s="10"/>
      <c r="C11" s="10">
        <v>2</v>
      </c>
      <c r="D11" s="10"/>
      <c r="E11" s="10"/>
      <c r="F11" s="10">
        <v>1</v>
      </c>
      <c r="G11" s="10"/>
      <c r="H11" s="10">
        <v>1</v>
      </c>
      <c r="I11" s="10"/>
      <c r="J11" s="10"/>
      <c r="K11" s="10"/>
      <c r="L11" s="3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thickBot="1" x14ac:dyDescent="0.3">
      <c r="A13" s="31" t="s">
        <v>14</v>
      </c>
      <c r="B13" s="13">
        <f>SUM(B4:B12)</f>
        <v>1</v>
      </c>
      <c r="C13" s="13">
        <f t="shared" ref="C13:K13" si="0">SUM(C4:C12)</f>
        <v>5</v>
      </c>
      <c r="D13" s="13">
        <f t="shared" si="0"/>
        <v>0</v>
      </c>
      <c r="E13" s="13">
        <f t="shared" si="0"/>
        <v>0</v>
      </c>
      <c r="F13" s="13">
        <f t="shared" si="0"/>
        <v>3</v>
      </c>
      <c r="G13" s="13">
        <f t="shared" si="0"/>
        <v>1</v>
      </c>
      <c r="H13" s="13">
        <f t="shared" si="0"/>
        <v>5</v>
      </c>
      <c r="I13" s="13">
        <f t="shared" si="0"/>
        <v>0</v>
      </c>
      <c r="J13" s="13">
        <f t="shared" si="0"/>
        <v>0</v>
      </c>
      <c r="K13" s="13">
        <f t="shared" si="0"/>
        <v>0</v>
      </c>
    </row>
    <row r="14" spans="1:12" ht="20.100000000000001" customHeight="1" x14ac:dyDescent="0.25"/>
    <row r="15" spans="1:12" ht="20.100000000000001" customHeight="1" x14ac:dyDescent="0.25"/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73D4-A78D-4B0E-AC09-6396A1BAE8C9}">
  <sheetPr>
    <tabColor theme="4" tint="0.39997558519241921"/>
  </sheetPr>
  <dimension ref="A1:N25"/>
  <sheetViews>
    <sheetView workbookViewId="0">
      <selection sqref="A1:M14"/>
    </sheetView>
  </sheetViews>
  <sheetFormatPr baseColWidth="10" defaultRowHeight="13.5" x14ac:dyDescent="0.25"/>
  <sheetData>
    <row r="1" spans="1:14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4" ht="21.75" thickBot="1" x14ac:dyDescent="0.3">
      <c r="A2" s="268" t="s">
        <v>148</v>
      </c>
      <c r="B2" s="269"/>
      <c r="C2" s="270"/>
      <c r="D2" s="271"/>
      <c r="E2" s="314" t="s">
        <v>150</v>
      </c>
      <c r="F2" s="315"/>
      <c r="G2" s="315"/>
      <c r="H2" s="315"/>
      <c r="I2" s="315"/>
      <c r="J2" s="315"/>
      <c r="K2" s="315"/>
      <c r="L2" s="315"/>
      <c r="M2" s="315"/>
    </row>
    <row r="3" spans="1:14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4" t="s">
        <v>126</v>
      </c>
      <c r="L3" s="33" t="s">
        <v>134</v>
      </c>
      <c r="M3" s="33" t="s">
        <v>49</v>
      </c>
    </row>
    <row r="4" spans="1:14" ht="24.95" customHeight="1" x14ac:dyDescent="0.25">
      <c r="A4" s="32">
        <v>45750</v>
      </c>
      <c r="B4" s="8">
        <v>1</v>
      </c>
      <c r="C4" s="8">
        <v>3</v>
      </c>
      <c r="D4" s="8"/>
      <c r="E4" s="8"/>
      <c r="F4" s="8">
        <v>1</v>
      </c>
      <c r="G4" s="8"/>
      <c r="H4" s="8"/>
      <c r="I4" s="8"/>
      <c r="J4" s="8"/>
      <c r="K4" s="8"/>
      <c r="L4" s="8"/>
      <c r="M4" s="8"/>
      <c r="N4" s="30" t="s">
        <v>132</v>
      </c>
    </row>
    <row r="5" spans="1:14" ht="20.100000000000001" customHeight="1" x14ac:dyDescent="0.25">
      <c r="A5" s="1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4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30"/>
    </row>
    <row r="7" spans="1:14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4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30"/>
    </row>
    <row r="9" spans="1:14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30"/>
    </row>
    <row r="10" spans="1:14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30"/>
    </row>
    <row r="11" spans="1:14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30"/>
    </row>
    <row r="12" spans="1:14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30"/>
    </row>
    <row r="13" spans="1:14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30"/>
    </row>
    <row r="14" spans="1:14" ht="20.100000000000001" customHeight="1" thickBot="1" x14ac:dyDescent="0.3">
      <c r="A14" s="31" t="s">
        <v>14</v>
      </c>
      <c r="B14" s="13">
        <f t="shared" ref="B14:M14" si="0">SUM(B4:B13)</f>
        <v>1</v>
      </c>
      <c r="C14" s="13">
        <f t="shared" si="0"/>
        <v>3</v>
      </c>
      <c r="D14" s="13">
        <f t="shared" si="0"/>
        <v>0</v>
      </c>
      <c r="E14" s="13">
        <f t="shared" si="0"/>
        <v>0</v>
      </c>
      <c r="F14" s="13">
        <f t="shared" si="0"/>
        <v>1</v>
      </c>
      <c r="G14" s="13">
        <f t="shared" si="0"/>
        <v>0</v>
      </c>
      <c r="H14" s="13">
        <f t="shared" si="0"/>
        <v>0</v>
      </c>
      <c r="I14" s="13">
        <f t="shared" si="0"/>
        <v>0</v>
      </c>
      <c r="J14" s="13">
        <f t="shared" si="0"/>
        <v>0</v>
      </c>
      <c r="K14" s="13"/>
      <c r="L14" s="13"/>
      <c r="M14" s="13">
        <f t="shared" si="0"/>
        <v>0</v>
      </c>
    </row>
    <row r="15" spans="1:14" ht="20.100000000000001" customHeight="1" x14ac:dyDescent="0.25"/>
    <row r="16" spans="1:1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</sheetData>
  <mergeCells count="3">
    <mergeCell ref="A1:M1"/>
    <mergeCell ref="A2:D2"/>
    <mergeCell ref="E2:M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1FF8-03AA-4491-AE1A-6C6EDC2BDAF4}">
  <sheetPr>
    <tabColor rgb="FFFFFF00"/>
  </sheetPr>
  <dimension ref="A1:N25"/>
  <sheetViews>
    <sheetView workbookViewId="0">
      <selection sqref="A1:M14"/>
    </sheetView>
  </sheetViews>
  <sheetFormatPr baseColWidth="10" defaultRowHeight="13.5" x14ac:dyDescent="0.25"/>
  <sheetData>
    <row r="1" spans="1:14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4" ht="21.75" thickBot="1" x14ac:dyDescent="0.3">
      <c r="A2" s="268" t="s">
        <v>211</v>
      </c>
      <c r="B2" s="269"/>
      <c r="C2" s="270"/>
      <c r="D2" s="271"/>
      <c r="E2" s="314" t="s">
        <v>58</v>
      </c>
      <c r="F2" s="315"/>
      <c r="G2" s="315"/>
      <c r="H2" s="315"/>
      <c r="I2" s="315"/>
      <c r="J2" s="315"/>
      <c r="K2" s="315"/>
      <c r="L2" s="315"/>
      <c r="M2" s="315"/>
    </row>
    <row r="3" spans="1:14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4" t="s">
        <v>126</v>
      </c>
      <c r="L3" s="33" t="s">
        <v>134</v>
      </c>
      <c r="M3" s="33" t="s">
        <v>49</v>
      </c>
    </row>
    <row r="4" spans="1:14" ht="24.95" customHeight="1" x14ac:dyDescent="0.25">
      <c r="A4" s="32">
        <v>45342</v>
      </c>
      <c r="B4" s="8">
        <v>1</v>
      </c>
      <c r="C4" s="8">
        <v>2</v>
      </c>
      <c r="D4" s="8">
        <v>1</v>
      </c>
      <c r="E4" s="8"/>
      <c r="F4" s="8">
        <v>1</v>
      </c>
      <c r="G4" s="8"/>
      <c r="H4" s="8">
        <v>1</v>
      </c>
      <c r="I4" s="8"/>
      <c r="J4" s="8"/>
      <c r="K4" s="8"/>
      <c r="L4" s="8"/>
      <c r="M4" s="8"/>
      <c r="N4" s="30"/>
    </row>
    <row r="5" spans="1:14" ht="20.100000000000001" customHeight="1" x14ac:dyDescent="0.25">
      <c r="A5" s="11">
        <v>45448</v>
      </c>
      <c r="B5" s="10">
        <v>1</v>
      </c>
      <c r="C5" s="10"/>
      <c r="D5" s="10"/>
      <c r="E5" s="10"/>
      <c r="F5" s="10"/>
      <c r="G5" s="10"/>
      <c r="H5" s="10">
        <v>1</v>
      </c>
      <c r="I5" s="10"/>
      <c r="J5" s="10">
        <v>1</v>
      </c>
      <c r="K5" s="10"/>
      <c r="L5" s="10"/>
      <c r="M5" s="10"/>
      <c r="N5" t="s">
        <v>66</v>
      </c>
    </row>
    <row r="6" spans="1:14" ht="20.100000000000001" customHeight="1" x14ac:dyDescent="0.25">
      <c r="A6" s="11">
        <v>45475</v>
      </c>
      <c r="B6" s="10"/>
      <c r="C6" s="10"/>
      <c r="D6" s="10"/>
      <c r="E6" s="10">
        <v>1</v>
      </c>
      <c r="F6" s="10"/>
      <c r="G6" s="10"/>
      <c r="H6" s="10"/>
      <c r="I6" s="10"/>
      <c r="J6" s="10"/>
      <c r="K6" s="10"/>
      <c r="L6" s="10"/>
      <c r="M6" s="10"/>
      <c r="N6" s="30"/>
    </row>
    <row r="7" spans="1:14" ht="20.100000000000001" customHeight="1" x14ac:dyDescent="0.25">
      <c r="A7" s="11">
        <v>45539</v>
      </c>
      <c r="B7" s="10"/>
      <c r="C7" s="10">
        <v>1</v>
      </c>
      <c r="D7" s="10"/>
      <c r="E7" s="10">
        <v>1</v>
      </c>
      <c r="F7" s="10"/>
      <c r="G7" s="10"/>
      <c r="H7" s="10">
        <v>1</v>
      </c>
      <c r="I7" s="10">
        <v>1</v>
      </c>
      <c r="J7" s="10"/>
      <c r="K7" s="10"/>
      <c r="L7" s="10"/>
      <c r="M7" s="10"/>
    </row>
    <row r="8" spans="1:14" ht="20.100000000000001" customHeight="1" x14ac:dyDescent="0.25">
      <c r="A8" s="11">
        <v>45583</v>
      </c>
      <c r="B8" s="10"/>
      <c r="C8" s="10">
        <v>2</v>
      </c>
      <c r="D8" s="10"/>
      <c r="E8" s="10"/>
      <c r="F8" s="10">
        <v>1</v>
      </c>
      <c r="G8" s="10"/>
      <c r="H8" s="10"/>
      <c r="I8" s="10">
        <v>1</v>
      </c>
      <c r="J8" s="10"/>
      <c r="K8" s="10">
        <v>0</v>
      </c>
      <c r="L8" s="10">
        <v>1</v>
      </c>
      <c r="M8" s="10"/>
      <c r="N8" s="30"/>
    </row>
    <row r="9" spans="1:14" ht="20.100000000000001" customHeight="1" x14ac:dyDescent="0.25">
      <c r="A9" s="11">
        <v>45605</v>
      </c>
      <c r="B9" s="10"/>
      <c r="C9" s="10"/>
      <c r="D9" s="10"/>
      <c r="E9" s="10">
        <v>1</v>
      </c>
      <c r="F9" s="10"/>
      <c r="G9" s="10"/>
      <c r="H9" s="10">
        <v>1</v>
      </c>
      <c r="I9" s="10"/>
      <c r="J9" s="10"/>
      <c r="K9" s="10"/>
      <c r="L9" s="10"/>
      <c r="M9" s="10"/>
      <c r="N9" s="30"/>
    </row>
    <row r="10" spans="1:14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30"/>
    </row>
    <row r="11" spans="1:14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30"/>
    </row>
    <row r="12" spans="1:14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30"/>
    </row>
    <row r="13" spans="1:14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30"/>
    </row>
    <row r="14" spans="1:14" ht="20.100000000000001" customHeight="1" thickBot="1" x14ac:dyDescent="0.3">
      <c r="A14" s="31" t="s">
        <v>14</v>
      </c>
      <c r="B14" s="13">
        <f t="shared" ref="B14:M14" si="0">SUM(B4:B13)</f>
        <v>2</v>
      </c>
      <c r="C14" s="13">
        <f t="shared" si="0"/>
        <v>5</v>
      </c>
      <c r="D14" s="13">
        <f t="shared" si="0"/>
        <v>1</v>
      </c>
      <c r="E14" s="13">
        <f t="shared" si="0"/>
        <v>3</v>
      </c>
      <c r="F14" s="13">
        <f t="shared" si="0"/>
        <v>2</v>
      </c>
      <c r="G14" s="13">
        <f t="shared" si="0"/>
        <v>0</v>
      </c>
      <c r="H14" s="13">
        <f t="shared" si="0"/>
        <v>4</v>
      </c>
      <c r="I14" s="13">
        <f t="shared" si="0"/>
        <v>2</v>
      </c>
      <c r="J14" s="13">
        <f t="shared" si="0"/>
        <v>1</v>
      </c>
      <c r="K14" s="13">
        <f t="shared" si="0"/>
        <v>0</v>
      </c>
      <c r="L14" s="13"/>
      <c r="M14" s="13">
        <f t="shared" si="0"/>
        <v>0</v>
      </c>
    </row>
    <row r="15" spans="1:14" ht="20.100000000000001" customHeight="1" x14ac:dyDescent="0.25"/>
    <row r="16" spans="1:1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</sheetData>
  <mergeCells count="3">
    <mergeCell ref="A1:M1"/>
    <mergeCell ref="A2:D2"/>
    <mergeCell ref="E2:M2"/>
  </mergeCells>
  <pageMargins left="1.1023622047244095" right="0.70866141732283472" top="0.94488188976377963" bottom="0.74803149606299213" header="0.31496062992125984" footer="0.31496062992125984"/>
  <pageSetup paperSize="9" scale="90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F1C7-5B7C-49FE-BA37-3D813C08D8C9}">
  <sheetPr>
    <tabColor theme="4" tint="0.39997558519241921"/>
  </sheetPr>
  <dimension ref="A1:N20"/>
  <sheetViews>
    <sheetView workbookViewId="0">
      <selection activeCell="H11" sqref="H11"/>
    </sheetView>
  </sheetViews>
  <sheetFormatPr baseColWidth="10" defaultRowHeight="13.5" x14ac:dyDescent="0.25"/>
  <sheetData>
    <row r="1" spans="1:14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4" ht="21.75" thickBot="1" x14ac:dyDescent="0.3">
      <c r="A2" s="268" t="s">
        <v>147</v>
      </c>
      <c r="B2" s="269"/>
      <c r="C2" s="270"/>
      <c r="D2" s="271"/>
      <c r="E2" s="314" t="s">
        <v>146</v>
      </c>
      <c r="F2" s="315"/>
      <c r="G2" s="315"/>
      <c r="H2" s="315"/>
      <c r="I2" s="315"/>
      <c r="J2" s="315"/>
      <c r="K2" s="315"/>
      <c r="L2" s="315"/>
      <c r="M2" s="315"/>
    </row>
    <row r="3" spans="1:14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4" t="s">
        <v>126</v>
      </c>
      <c r="L3" s="33" t="s">
        <v>134</v>
      </c>
      <c r="M3" s="33" t="s">
        <v>49</v>
      </c>
    </row>
    <row r="4" spans="1:14" ht="24.95" customHeight="1" x14ac:dyDescent="0.25">
      <c r="A4" s="32">
        <v>45722</v>
      </c>
      <c r="B4" s="8"/>
      <c r="C4" s="8">
        <v>2</v>
      </c>
      <c r="D4" s="8"/>
      <c r="E4" s="8"/>
      <c r="F4" s="8">
        <v>1</v>
      </c>
      <c r="G4" s="8"/>
      <c r="H4" s="8">
        <v>1</v>
      </c>
      <c r="I4" s="8">
        <v>1</v>
      </c>
      <c r="J4" s="8"/>
      <c r="K4" s="8"/>
      <c r="L4" s="8"/>
      <c r="M4" s="8"/>
      <c r="N4" s="30" t="s">
        <v>66</v>
      </c>
    </row>
    <row r="5" spans="1:14" ht="20.100000000000001" customHeight="1" x14ac:dyDescent="0.25">
      <c r="A5" s="11">
        <v>45734</v>
      </c>
      <c r="B5" s="10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4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30"/>
    </row>
    <row r="7" spans="1:14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30"/>
    </row>
    <row r="8" spans="1:14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30"/>
    </row>
    <row r="9" spans="1:14" ht="20.100000000000001" customHeight="1" thickBot="1" x14ac:dyDescent="0.3">
      <c r="A9" s="31" t="s">
        <v>14</v>
      </c>
      <c r="B9" s="13">
        <f t="shared" ref="B9:M9" si="0">SUM(B4:B8)</f>
        <v>1</v>
      </c>
      <c r="C9" s="13">
        <f t="shared" si="0"/>
        <v>2</v>
      </c>
      <c r="D9" s="13">
        <f t="shared" si="0"/>
        <v>0</v>
      </c>
      <c r="E9" s="13">
        <f t="shared" si="0"/>
        <v>0</v>
      </c>
      <c r="F9" s="13">
        <f t="shared" si="0"/>
        <v>1</v>
      </c>
      <c r="G9" s="13">
        <f t="shared" si="0"/>
        <v>0</v>
      </c>
      <c r="H9" s="13">
        <f t="shared" si="0"/>
        <v>1</v>
      </c>
      <c r="I9" s="13">
        <f t="shared" si="0"/>
        <v>1</v>
      </c>
      <c r="J9" s="13">
        <f t="shared" si="0"/>
        <v>0</v>
      </c>
      <c r="K9" s="13"/>
      <c r="L9" s="13"/>
      <c r="M9" s="13">
        <f t="shared" si="0"/>
        <v>0</v>
      </c>
    </row>
    <row r="10" spans="1:14" ht="20.100000000000001" customHeight="1" x14ac:dyDescent="0.25"/>
    <row r="11" spans="1:14" ht="20.100000000000001" customHeight="1" x14ac:dyDescent="0.25"/>
    <row r="12" spans="1:14" ht="20.100000000000001" customHeight="1" x14ac:dyDescent="0.25"/>
    <row r="13" spans="1:14" ht="20.100000000000001" customHeight="1" x14ac:dyDescent="0.25"/>
    <row r="14" spans="1:14" ht="20.100000000000001" customHeight="1" x14ac:dyDescent="0.25"/>
    <row r="15" spans="1:14" ht="20.100000000000001" customHeight="1" x14ac:dyDescent="0.25"/>
    <row r="16" spans="1:1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</sheetData>
  <mergeCells count="3">
    <mergeCell ref="A1:M1"/>
    <mergeCell ref="A2:D2"/>
    <mergeCell ref="E2:M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92D3-80FF-4F21-BAA8-BC90B8376480}">
  <sheetPr>
    <tabColor rgb="FFEE0000"/>
  </sheetPr>
  <dimension ref="A1:L23"/>
  <sheetViews>
    <sheetView workbookViewId="0">
      <selection activeCell="O8" sqref="O8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209</v>
      </c>
      <c r="B2" s="269"/>
      <c r="C2" s="270"/>
      <c r="D2" s="271"/>
      <c r="E2" s="314" t="s">
        <v>207</v>
      </c>
      <c r="F2" s="315"/>
      <c r="G2" s="315"/>
      <c r="H2" s="315"/>
      <c r="I2" s="315"/>
      <c r="J2" s="315"/>
      <c r="K2" s="315"/>
    </row>
    <row r="3" spans="1:12" ht="39" customHeight="1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18.75" customHeight="1" x14ac:dyDescent="0.25">
      <c r="A4" s="11">
        <v>45778</v>
      </c>
      <c r="B4" s="10">
        <v>1</v>
      </c>
      <c r="C4" s="10">
        <v>3</v>
      </c>
      <c r="D4" s="10"/>
      <c r="E4" s="10"/>
      <c r="F4" s="10"/>
      <c r="G4" s="10"/>
      <c r="H4" s="10">
        <v>1</v>
      </c>
      <c r="I4" s="10"/>
      <c r="J4" s="10"/>
      <c r="K4" s="10"/>
      <c r="L4" s="30" t="s">
        <v>132</v>
      </c>
    </row>
    <row r="5" spans="1:12" ht="20.100000000000001" customHeight="1" x14ac:dyDescent="0.25">
      <c r="A5" s="11"/>
      <c r="B5" s="10"/>
      <c r="C5" s="10"/>
      <c r="D5" s="10"/>
      <c r="E5" s="10"/>
      <c r="F5" s="10"/>
      <c r="G5" s="10"/>
      <c r="H5" s="10"/>
      <c r="I5" s="10"/>
      <c r="J5" s="10"/>
      <c r="K5" s="10"/>
      <c r="L5" s="30"/>
    </row>
    <row r="6" spans="1:12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0"/>
      <c r="L6" s="30"/>
    </row>
    <row r="7" spans="1:12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30"/>
    </row>
    <row r="8" spans="1:12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30"/>
    </row>
    <row r="9" spans="1:12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3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thickBot="1" x14ac:dyDescent="0.3">
      <c r="A12" s="31" t="s">
        <v>14</v>
      </c>
      <c r="B12" s="13">
        <f>SUM(B4:B11)</f>
        <v>1</v>
      </c>
      <c r="C12" s="13">
        <f t="shared" ref="C12:J12" si="0">SUM(C4:C11)</f>
        <v>3</v>
      </c>
      <c r="D12" s="13">
        <f t="shared" si="0"/>
        <v>0</v>
      </c>
      <c r="E12" s="13">
        <f t="shared" si="0"/>
        <v>0</v>
      </c>
      <c r="F12" s="13">
        <f t="shared" si="0"/>
        <v>0</v>
      </c>
      <c r="G12" s="13">
        <f t="shared" si="0"/>
        <v>0</v>
      </c>
      <c r="H12" s="13">
        <f t="shared" si="0"/>
        <v>1</v>
      </c>
      <c r="I12" s="13">
        <f t="shared" si="0"/>
        <v>0</v>
      </c>
      <c r="J12" s="13">
        <f t="shared" si="0"/>
        <v>0</v>
      </c>
      <c r="K12" s="13">
        <f t="shared" ref="K12" si="1">SUM(K5:K11)</f>
        <v>0</v>
      </c>
    </row>
    <row r="13" spans="1:12" ht="20.100000000000001" customHeight="1" x14ac:dyDescent="0.25"/>
    <row r="14" spans="1:12" ht="20.100000000000001" customHeight="1" x14ac:dyDescent="0.25"/>
    <row r="15" spans="1:12" ht="20.100000000000001" customHeight="1" x14ac:dyDescent="0.25"/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0FC6-D35B-486A-92EB-C82253FEEFE9}">
  <sheetPr>
    <tabColor rgb="FFEE0000"/>
  </sheetPr>
  <dimension ref="A1:O33"/>
  <sheetViews>
    <sheetView workbookViewId="0">
      <selection activeCell="P11" sqref="P11"/>
    </sheetView>
  </sheetViews>
  <sheetFormatPr baseColWidth="10" defaultRowHeight="13.5" x14ac:dyDescent="0.25"/>
  <cols>
    <col min="2" max="14" width="10.7109375" customWidth="1"/>
  </cols>
  <sheetData>
    <row r="1" spans="1:15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</row>
    <row r="2" spans="1:15" ht="21.75" thickBot="1" x14ac:dyDescent="0.3">
      <c r="A2" s="268" t="s">
        <v>209</v>
      </c>
      <c r="B2" s="269"/>
      <c r="C2" s="270"/>
      <c r="D2" s="271"/>
      <c r="E2" s="322" t="s">
        <v>26</v>
      </c>
      <c r="F2" s="323"/>
      <c r="G2" s="323"/>
      <c r="H2" s="323"/>
      <c r="I2" s="323"/>
      <c r="J2" s="323"/>
      <c r="K2" s="323"/>
      <c r="L2" s="323"/>
      <c r="M2" s="323"/>
      <c r="N2" s="323"/>
    </row>
    <row r="3" spans="1:15" ht="45" x14ac:dyDescent="0.25">
      <c r="A3" s="4" t="s">
        <v>12</v>
      </c>
      <c r="B3" s="176" t="s">
        <v>1</v>
      </c>
      <c r="C3" s="176" t="s">
        <v>2</v>
      </c>
      <c r="D3" s="176" t="s">
        <v>3</v>
      </c>
      <c r="E3" s="176" t="s">
        <v>4</v>
      </c>
      <c r="F3" s="33" t="s">
        <v>5</v>
      </c>
      <c r="G3" s="176" t="s">
        <v>6</v>
      </c>
      <c r="H3" s="176" t="s">
        <v>8</v>
      </c>
      <c r="I3" s="176" t="s">
        <v>9</v>
      </c>
      <c r="J3" s="176" t="s">
        <v>10</v>
      </c>
      <c r="K3" s="144" t="s">
        <v>11</v>
      </c>
      <c r="L3" s="143" t="s">
        <v>72</v>
      </c>
      <c r="M3" s="175" t="s">
        <v>128</v>
      </c>
      <c r="N3" s="143" t="s">
        <v>126</v>
      </c>
      <c r="O3" s="217" t="s">
        <v>210</v>
      </c>
    </row>
    <row r="4" spans="1:15" ht="20.100000000000001" hidden="1" customHeight="1" x14ac:dyDescent="0.25">
      <c r="A4" s="186">
        <v>45107</v>
      </c>
      <c r="B4" s="187"/>
      <c r="C4" s="187">
        <v>3</v>
      </c>
      <c r="D4" s="187"/>
      <c r="E4" s="187"/>
      <c r="F4" s="187">
        <v>1</v>
      </c>
      <c r="G4" s="187"/>
      <c r="H4" s="187"/>
      <c r="I4" s="187"/>
      <c r="J4" s="187"/>
      <c r="K4" s="188"/>
      <c r="L4" s="183"/>
      <c r="M4" s="183"/>
      <c r="N4" s="183"/>
    </row>
    <row r="5" spans="1:15" ht="24.95" hidden="1" customHeight="1" x14ac:dyDescent="0.25">
      <c r="A5" s="189">
        <v>45224</v>
      </c>
      <c r="B5" s="190"/>
      <c r="C5" s="190">
        <v>3</v>
      </c>
      <c r="D5" s="190"/>
      <c r="E5" s="190">
        <v>2</v>
      </c>
      <c r="F5" s="190">
        <v>1</v>
      </c>
      <c r="G5" s="190"/>
      <c r="H5" s="190"/>
      <c r="I5" s="190">
        <v>0</v>
      </c>
      <c r="J5" s="190"/>
      <c r="K5" s="191"/>
      <c r="L5" s="183"/>
      <c r="M5" s="183"/>
      <c r="N5" s="183"/>
    </row>
    <row r="6" spans="1:15" ht="20.100000000000001" hidden="1" customHeight="1" x14ac:dyDescent="0.25">
      <c r="A6" s="182">
        <v>45288</v>
      </c>
      <c r="B6" s="183">
        <v>0</v>
      </c>
      <c r="C6" s="183"/>
      <c r="D6" s="183"/>
      <c r="E6" s="183"/>
      <c r="F6" s="183"/>
      <c r="G6" s="183"/>
      <c r="H6" s="183"/>
      <c r="I6" s="183"/>
      <c r="J6" s="183"/>
      <c r="K6" s="192"/>
      <c r="L6" s="183"/>
      <c r="M6" s="183"/>
      <c r="N6" s="183"/>
      <c r="O6" t="s">
        <v>67</v>
      </c>
    </row>
    <row r="7" spans="1:15" ht="20.100000000000001" customHeight="1" x14ac:dyDescent="0.25">
      <c r="A7" s="184">
        <v>45447</v>
      </c>
      <c r="B7" s="185">
        <v>0</v>
      </c>
      <c r="C7" s="185"/>
      <c r="D7" s="185"/>
      <c r="E7" s="185"/>
      <c r="F7" s="185"/>
      <c r="G7" s="185"/>
      <c r="H7" s="185"/>
      <c r="I7" s="185"/>
      <c r="J7" s="185"/>
      <c r="K7" s="193"/>
      <c r="L7" s="185"/>
      <c r="M7" s="185"/>
      <c r="N7" s="185"/>
      <c r="O7" t="s">
        <v>67</v>
      </c>
    </row>
    <row r="8" spans="1:15" ht="20.100000000000001" customHeight="1" x14ac:dyDescent="0.25">
      <c r="A8" s="184">
        <v>45469</v>
      </c>
      <c r="B8" s="185"/>
      <c r="C8" s="185"/>
      <c r="D8" s="185"/>
      <c r="E8" s="185">
        <v>1</v>
      </c>
      <c r="F8" s="185">
        <v>1</v>
      </c>
      <c r="G8" s="185"/>
      <c r="H8" s="185">
        <v>0</v>
      </c>
      <c r="I8" s="185"/>
      <c r="J8" s="185"/>
      <c r="K8" s="193"/>
      <c r="L8" s="185"/>
      <c r="M8" s="185"/>
      <c r="N8" s="185"/>
    </row>
    <row r="9" spans="1:15" ht="20.100000000000001" customHeight="1" x14ac:dyDescent="0.25">
      <c r="A9" s="184">
        <v>45474</v>
      </c>
      <c r="B9" s="185"/>
      <c r="C9" s="185"/>
      <c r="D9" s="185">
        <v>1</v>
      </c>
      <c r="E9" s="185"/>
      <c r="F9" s="185"/>
      <c r="G9" s="185"/>
      <c r="H9" s="185"/>
      <c r="I9" s="185"/>
      <c r="J9" s="185"/>
      <c r="K9" s="193"/>
      <c r="L9" s="185"/>
      <c r="M9" s="185"/>
      <c r="N9" s="185"/>
      <c r="O9" t="s">
        <v>68</v>
      </c>
    </row>
    <row r="10" spans="1:15" ht="20.100000000000001" customHeight="1" x14ac:dyDescent="0.25">
      <c r="A10" s="184">
        <v>45478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93"/>
      <c r="L10" s="185">
        <v>1</v>
      </c>
      <c r="M10" s="185"/>
      <c r="N10" s="185"/>
      <c r="O10" s="30"/>
    </row>
    <row r="11" spans="1:15" ht="20.100000000000001" customHeight="1" x14ac:dyDescent="0.25">
      <c r="A11" s="184">
        <v>45533</v>
      </c>
      <c r="B11" s="185"/>
      <c r="C11" s="185">
        <v>0</v>
      </c>
      <c r="D11" s="185"/>
      <c r="E11" s="185"/>
      <c r="F11" s="185"/>
      <c r="G11" s="185"/>
      <c r="H11" s="185"/>
      <c r="I11" s="185">
        <v>0</v>
      </c>
      <c r="J11" s="185"/>
      <c r="K11" s="193"/>
      <c r="L11" s="185"/>
      <c r="M11" s="185"/>
      <c r="N11" s="185">
        <v>1</v>
      </c>
    </row>
    <row r="12" spans="1:15" ht="20.100000000000001" customHeight="1" x14ac:dyDescent="0.25">
      <c r="A12" s="184" t="s">
        <v>13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93"/>
      <c r="L12" s="185"/>
      <c r="M12" s="185">
        <v>1</v>
      </c>
      <c r="N12" s="185"/>
      <c r="O12" s="30"/>
    </row>
    <row r="13" spans="1:15" ht="20.100000000000001" customHeight="1" x14ac:dyDescent="0.25">
      <c r="A13" s="184">
        <v>45595</v>
      </c>
      <c r="B13" s="185">
        <v>1</v>
      </c>
      <c r="C13" s="185"/>
      <c r="D13" s="185"/>
      <c r="E13" s="185"/>
      <c r="F13" s="185"/>
      <c r="G13" s="185"/>
      <c r="H13" s="185"/>
      <c r="I13" s="185"/>
      <c r="J13" s="185"/>
      <c r="K13" s="193"/>
      <c r="L13" s="185"/>
      <c r="M13" s="193"/>
      <c r="N13" s="185"/>
      <c r="O13" s="179" t="s">
        <v>132</v>
      </c>
    </row>
    <row r="14" spans="1:15" ht="20.100000000000001" customHeight="1" x14ac:dyDescent="0.25">
      <c r="A14" s="184">
        <v>45604</v>
      </c>
      <c r="B14" s="185"/>
      <c r="C14" s="185"/>
      <c r="D14" s="185"/>
      <c r="E14" s="185"/>
      <c r="F14" s="185"/>
      <c r="G14" s="185"/>
      <c r="H14" s="185"/>
      <c r="I14" s="185">
        <v>1</v>
      </c>
      <c r="J14" s="185"/>
      <c r="K14" s="193"/>
      <c r="L14" s="185"/>
      <c r="M14" s="193"/>
      <c r="N14" s="185"/>
      <c r="O14" s="30"/>
    </row>
    <row r="15" spans="1:15" ht="20.100000000000001" customHeight="1" x14ac:dyDescent="0.25">
      <c r="A15" s="11">
        <v>45679</v>
      </c>
      <c r="B15" s="10"/>
      <c r="C15" s="10">
        <v>2</v>
      </c>
      <c r="D15" s="10"/>
      <c r="E15" s="10"/>
      <c r="F15" s="10"/>
      <c r="G15" s="10"/>
      <c r="H15" s="10"/>
      <c r="I15" s="10">
        <v>1</v>
      </c>
      <c r="J15" s="10"/>
      <c r="K15" s="140"/>
      <c r="L15" s="10"/>
      <c r="M15" s="140"/>
      <c r="N15" s="10"/>
      <c r="O15" s="30"/>
    </row>
    <row r="16" spans="1:15" ht="20.100000000000001" customHeight="1" x14ac:dyDescent="0.25">
      <c r="A16" s="11">
        <v>45721</v>
      </c>
      <c r="B16" s="10">
        <v>1</v>
      </c>
      <c r="C16" s="10">
        <v>2</v>
      </c>
      <c r="D16" s="10"/>
      <c r="E16" s="10">
        <v>1</v>
      </c>
      <c r="F16" s="10"/>
      <c r="G16" s="10"/>
      <c r="H16" s="10"/>
      <c r="I16" s="10">
        <v>1</v>
      </c>
      <c r="J16" s="10"/>
      <c r="K16" s="140"/>
      <c r="L16" s="10"/>
      <c r="M16" s="140"/>
      <c r="N16" s="10"/>
      <c r="O16" s="30"/>
    </row>
    <row r="17" spans="1:15" ht="20.100000000000001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10"/>
      <c r="K17" s="140"/>
      <c r="L17" s="10"/>
      <c r="M17" s="140"/>
      <c r="N17" s="10"/>
      <c r="O17" s="30"/>
    </row>
    <row r="18" spans="1:15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40"/>
      <c r="L18" s="10"/>
      <c r="M18" s="140"/>
      <c r="N18" s="10"/>
      <c r="O18" s="30"/>
    </row>
    <row r="19" spans="1:15" ht="20.100000000000001" customHeight="1" x14ac:dyDescent="0.25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40"/>
      <c r="L19" s="10"/>
      <c r="M19" s="140"/>
      <c r="N19" s="10"/>
      <c r="O19" s="30"/>
    </row>
    <row r="20" spans="1:15" ht="20.100000000000001" customHeight="1" x14ac:dyDescent="0.25">
      <c r="A20" s="11"/>
      <c r="B20" s="10"/>
      <c r="C20" s="10"/>
      <c r="D20" s="10"/>
      <c r="E20" s="10"/>
      <c r="F20" s="10"/>
      <c r="G20" s="10"/>
      <c r="H20" s="10"/>
      <c r="I20" s="10"/>
      <c r="J20" s="10"/>
      <c r="K20" s="140"/>
      <c r="L20" s="10"/>
      <c r="M20" s="140"/>
      <c r="N20" s="10"/>
      <c r="O20" s="30"/>
    </row>
    <row r="21" spans="1:15" ht="20.100000000000001" customHeight="1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40"/>
      <c r="L21" s="10"/>
      <c r="M21" s="140"/>
      <c r="N21" s="10"/>
      <c r="O21" s="30"/>
    </row>
    <row r="22" spans="1:15" ht="20.100000000000001" customHeight="1" thickBot="1" x14ac:dyDescent="0.3">
      <c r="A22" s="31" t="s">
        <v>14</v>
      </c>
      <c r="B22" s="13">
        <f>SUM(B6:B21)</f>
        <v>2</v>
      </c>
      <c r="C22" s="13">
        <f>SUM(C6:C21)</f>
        <v>4</v>
      </c>
      <c r="D22" s="13">
        <f t="shared" ref="D22:N22" si="0">SUM(D6:D21)</f>
        <v>1</v>
      </c>
      <c r="E22" s="13">
        <f>SUM(E6:E21)</f>
        <v>2</v>
      </c>
      <c r="F22" s="13">
        <f t="shared" si="0"/>
        <v>1</v>
      </c>
      <c r="G22" s="13">
        <f t="shared" si="0"/>
        <v>0</v>
      </c>
      <c r="H22" s="13">
        <f t="shared" si="0"/>
        <v>0</v>
      </c>
      <c r="I22" s="13">
        <f t="shared" si="0"/>
        <v>3</v>
      </c>
      <c r="J22" s="13">
        <f t="shared" si="0"/>
        <v>0</v>
      </c>
      <c r="K22" s="13">
        <f t="shared" si="0"/>
        <v>0</v>
      </c>
      <c r="L22" s="13">
        <f t="shared" si="0"/>
        <v>1</v>
      </c>
      <c r="M22" s="13">
        <f t="shared" si="0"/>
        <v>1</v>
      </c>
      <c r="N22" s="13">
        <f t="shared" si="0"/>
        <v>1</v>
      </c>
    </row>
    <row r="23" spans="1:15" ht="20.100000000000001" customHeight="1" x14ac:dyDescent="0.25"/>
    <row r="24" spans="1:15" ht="20.100000000000001" customHeight="1" x14ac:dyDescent="0.25"/>
    <row r="25" spans="1:15" ht="20.100000000000001" customHeight="1" x14ac:dyDescent="0.25"/>
    <row r="26" spans="1:15" ht="20.100000000000001" customHeight="1" x14ac:dyDescent="0.25"/>
    <row r="27" spans="1:15" ht="20.100000000000001" customHeight="1" x14ac:dyDescent="0.25"/>
    <row r="28" spans="1:15" ht="20.100000000000001" customHeight="1" x14ac:dyDescent="0.25"/>
    <row r="29" spans="1:15" ht="20.100000000000001" customHeight="1" x14ac:dyDescent="0.25"/>
    <row r="30" spans="1:15" ht="20.100000000000001" customHeight="1" x14ac:dyDescent="0.25"/>
    <row r="31" spans="1:15" ht="20.100000000000001" customHeight="1" x14ac:dyDescent="0.25"/>
    <row r="32" spans="1:15" ht="20.100000000000001" customHeight="1" x14ac:dyDescent="0.25"/>
    <row r="33" ht="20.100000000000001" customHeight="1" x14ac:dyDescent="0.25"/>
  </sheetData>
  <mergeCells count="3">
    <mergeCell ref="A2:D2"/>
    <mergeCell ref="A1:N1"/>
    <mergeCell ref="E2:N2"/>
  </mergeCells>
  <pageMargins left="0.70866141732283472" right="0.70866141732283472" top="1.3385826771653544" bottom="0.74803149606299213" header="0.31496062992125984" footer="0.31496062992125984"/>
  <pageSetup paperSize="9" scale="90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EAEE-432C-49B8-8508-29122EB2DB39}">
  <sheetPr>
    <tabColor rgb="FFEE0000"/>
  </sheetPr>
  <dimension ref="A1:M30"/>
  <sheetViews>
    <sheetView workbookViewId="0">
      <selection activeCell="N4" sqref="N4"/>
    </sheetView>
  </sheetViews>
  <sheetFormatPr baseColWidth="10" defaultRowHeight="13.5" x14ac:dyDescent="0.25"/>
  <sheetData>
    <row r="1" spans="1:13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</row>
    <row r="2" spans="1:13" ht="21.75" thickBot="1" x14ac:dyDescent="0.3">
      <c r="A2" s="268" t="s">
        <v>208</v>
      </c>
      <c r="B2" s="269"/>
      <c r="C2" s="270"/>
      <c r="D2" s="271"/>
      <c r="E2" s="314" t="s">
        <v>57</v>
      </c>
      <c r="F2" s="315"/>
      <c r="G2" s="315"/>
      <c r="H2" s="315"/>
      <c r="I2" s="315"/>
      <c r="J2" s="315"/>
      <c r="K2" s="315"/>
      <c r="L2" s="315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78" t="s">
        <v>72</v>
      </c>
      <c r="L3" s="33" t="s">
        <v>49</v>
      </c>
    </row>
    <row r="4" spans="1:13" ht="20.100000000000001" customHeight="1" x14ac:dyDescent="0.25">
      <c r="A4" s="182">
        <v>45224</v>
      </c>
      <c r="B4" s="183"/>
      <c r="C4" s="183">
        <v>0</v>
      </c>
      <c r="D4" s="183"/>
      <c r="E4" s="183"/>
      <c r="F4" s="183">
        <v>0</v>
      </c>
      <c r="G4" s="183"/>
      <c r="H4" s="183">
        <v>0</v>
      </c>
      <c r="I4" s="183">
        <v>1</v>
      </c>
      <c r="J4" s="183"/>
      <c r="K4" s="183"/>
      <c r="L4" s="183"/>
    </row>
    <row r="5" spans="1:13" ht="20.100000000000001" customHeight="1" x14ac:dyDescent="0.25">
      <c r="A5" s="184">
        <v>45301</v>
      </c>
      <c r="B5" s="185"/>
      <c r="C5" s="185">
        <v>0</v>
      </c>
      <c r="D5" s="185"/>
      <c r="E5" s="185"/>
      <c r="F5" s="185"/>
      <c r="G5" s="185"/>
      <c r="H5" s="185"/>
      <c r="I5" s="185"/>
      <c r="J5" s="185"/>
      <c r="K5" s="185"/>
      <c r="L5" s="185"/>
      <c r="M5" s="30"/>
    </row>
    <row r="6" spans="1:13" ht="20.100000000000001" customHeight="1" x14ac:dyDescent="0.25">
      <c r="A6" s="184">
        <v>45342</v>
      </c>
      <c r="B6" s="185"/>
      <c r="C6" s="185"/>
      <c r="D6" s="185"/>
      <c r="E6" s="185"/>
      <c r="F6" s="185"/>
      <c r="G6" s="185"/>
      <c r="H6" s="185">
        <v>1</v>
      </c>
      <c r="I6" s="185"/>
      <c r="J6" s="185"/>
      <c r="K6" s="185"/>
      <c r="L6" s="185"/>
      <c r="M6" s="30"/>
    </row>
    <row r="7" spans="1:13" ht="20.100000000000001" customHeight="1" x14ac:dyDescent="0.25">
      <c r="A7" s="184">
        <v>45405</v>
      </c>
      <c r="B7" s="185"/>
      <c r="C7" s="185"/>
      <c r="D7" s="185">
        <v>1</v>
      </c>
      <c r="E7" s="185"/>
      <c r="F7" s="185"/>
      <c r="G7" s="185"/>
      <c r="H7" s="185"/>
      <c r="I7" s="185"/>
      <c r="J7" s="185"/>
      <c r="K7" s="185"/>
      <c r="L7" s="185"/>
      <c r="M7" s="30"/>
    </row>
    <row r="8" spans="1:13" ht="20.100000000000001" customHeight="1" x14ac:dyDescent="0.25">
      <c r="A8" s="184">
        <v>45415</v>
      </c>
      <c r="B8" s="185"/>
      <c r="C8" s="185"/>
      <c r="D8" s="185"/>
      <c r="E8" s="185">
        <v>1</v>
      </c>
      <c r="F8" s="185">
        <v>1</v>
      </c>
      <c r="G8" s="185"/>
      <c r="H8" s="185">
        <v>0</v>
      </c>
      <c r="I8" s="185"/>
      <c r="J8" s="185"/>
      <c r="K8" s="185"/>
      <c r="L8" s="185"/>
      <c r="M8" s="30"/>
    </row>
    <row r="9" spans="1:13" ht="20.100000000000001" customHeight="1" x14ac:dyDescent="0.25">
      <c r="A9" s="184">
        <v>45435</v>
      </c>
      <c r="B9" s="185">
        <v>0</v>
      </c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30"/>
    </row>
    <row r="10" spans="1:13" ht="20.100000000000001" customHeight="1" x14ac:dyDescent="0.25">
      <c r="A10" s="184">
        <v>45462</v>
      </c>
      <c r="B10" s="185"/>
      <c r="C10" s="185"/>
      <c r="D10" s="185"/>
      <c r="E10" s="185">
        <v>2</v>
      </c>
      <c r="F10" s="185">
        <v>1</v>
      </c>
      <c r="G10" s="185"/>
      <c r="H10" s="185">
        <v>1</v>
      </c>
      <c r="I10" s="185"/>
      <c r="J10" s="185"/>
      <c r="K10" s="185"/>
      <c r="L10" s="185"/>
      <c r="M10" s="30"/>
    </row>
    <row r="11" spans="1:13" ht="20.100000000000001" customHeight="1" x14ac:dyDescent="0.25">
      <c r="A11" s="184">
        <v>45478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>
        <v>1</v>
      </c>
      <c r="L11" s="185"/>
      <c r="M11" s="30"/>
    </row>
    <row r="12" spans="1:13" ht="20.100000000000001" customHeight="1" x14ac:dyDescent="0.25">
      <c r="A12" s="184">
        <v>45525</v>
      </c>
      <c r="B12" s="185">
        <v>1</v>
      </c>
      <c r="C12" s="185"/>
      <c r="D12" s="185"/>
      <c r="E12" s="185"/>
      <c r="F12" s="185"/>
      <c r="G12" s="185"/>
      <c r="H12" s="185">
        <v>1</v>
      </c>
      <c r="I12" s="185"/>
      <c r="J12" s="185"/>
      <c r="K12" s="185"/>
      <c r="L12" s="185"/>
      <c r="M12" s="30"/>
    </row>
    <row r="13" spans="1:13" ht="20.100000000000001" customHeight="1" x14ac:dyDescent="0.25">
      <c r="A13" s="184">
        <v>45533</v>
      </c>
      <c r="B13" s="185"/>
      <c r="C13" s="185">
        <v>3</v>
      </c>
      <c r="D13" s="185"/>
      <c r="E13" s="185"/>
      <c r="F13" s="185"/>
      <c r="G13" s="185"/>
      <c r="H13" s="185"/>
      <c r="I13" s="185">
        <v>1</v>
      </c>
      <c r="J13" s="185"/>
      <c r="K13" s="185"/>
      <c r="L13" s="185"/>
      <c r="M13" s="30"/>
    </row>
    <row r="14" spans="1:13" ht="20.100000000000001" customHeight="1" x14ac:dyDescent="0.25">
      <c r="A14" s="184">
        <v>45569</v>
      </c>
      <c r="B14" s="185"/>
      <c r="C14" s="185"/>
      <c r="D14" s="185"/>
      <c r="E14" s="185"/>
      <c r="F14" s="185"/>
      <c r="G14" s="185"/>
      <c r="H14" s="185">
        <v>1</v>
      </c>
      <c r="I14" s="185">
        <v>1</v>
      </c>
      <c r="J14" s="185">
        <v>1</v>
      </c>
      <c r="K14" s="185"/>
      <c r="L14" s="185"/>
      <c r="M14" s="30"/>
    </row>
    <row r="15" spans="1:13" ht="20.100000000000001" customHeight="1" x14ac:dyDescent="0.25">
      <c r="A15" s="11">
        <v>45679</v>
      </c>
      <c r="B15" s="10"/>
      <c r="C15" s="10">
        <v>1</v>
      </c>
      <c r="D15" s="10"/>
      <c r="E15" s="10"/>
      <c r="F15" s="10"/>
      <c r="G15" s="10"/>
      <c r="H15" s="10"/>
      <c r="I15" s="10"/>
      <c r="J15" s="10"/>
      <c r="K15" s="10"/>
      <c r="L15" s="10"/>
      <c r="M15" s="30"/>
    </row>
    <row r="16" spans="1:13" ht="20.100000000000001" customHeight="1" x14ac:dyDescent="0.25">
      <c r="A16" s="11" t="s">
        <v>13</v>
      </c>
      <c r="B16" s="10">
        <v>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30"/>
    </row>
    <row r="17" spans="1:13" ht="20.100000000000001" customHeight="1" x14ac:dyDescent="0.25">
      <c r="A17" s="11">
        <v>45723</v>
      </c>
      <c r="B17" s="10"/>
      <c r="C17" s="10">
        <v>2</v>
      </c>
      <c r="D17" s="10"/>
      <c r="E17" s="10"/>
      <c r="F17" s="10"/>
      <c r="G17" s="10"/>
      <c r="H17" s="10"/>
      <c r="I17" s="10"/>
      <c r="J17" s="10"/>
      <c r="K17" s="10"/>
      <c r="L17" s="10"/>
      <c r="M17" s="30"/>
    </row>
    <row r="18" spans="1:13" ht="20.100000000000001" customHeight="1" x14ac:dyDescent="0.25">
      <c r="A18" s="1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30"/>
    </row>
    <row r="19" spans="1:13" ht="20.100000000000001" customHeight="1" thickBot="1" x14ac:dyDescent="0.3">
      <c r="A19" s="31" t="s">
        <v>14</v>
      </c>
      <c r="B19" s="13">
        <f t="shared" ref="B19:L19" si="0">SUM(B4:B18)</f>
        <v>2</v>
      </c>
      <c r="C19" s="13">
        <f t="shared" si="0"/>
        <v>6</v>
      </c>
      <c r="D19" s="13">
        <f t="shared" si="0"/>
        <v>1</v>
      </c>
      <c r="E19" s="13">
        <f t="shared" si="0"/>
        <v>3</v>
      </c>
      <c r="F19" s="13">
        <f t="shared" si="0"/>
        <v>2</v>
      </c>
      <c r="G19" s="13">
        <f t="shared" si="0"/>
        <v>0</v>
      </c>
      <c r="H19" s="13">
        <f t="shared" si="0"/>
        <v>4</v>
      </c>
      <c r="I19" s="13">
        <f t="shared" si="0"/>
        <v>3</v>
      </c>
      <c r="J19" s="13">
        <f t="shared" si="0"/>
        <v>1</v>
      </c>
      <c r="K19" s="13">
        <f t="shared" si="0"/>
        <v>1</v>
      </c>
      <c r="L19" s="13">
        <f t="shared" si="0"/>
        <v>0</v>
      </c>
    </row>
    <row r="20" spans="1:13" ht="20.100000000000001" customHeight="1" x14ac:dyDescent="0.25"/>
    <row r="21" spans="1:13" ht="20.100000000000001" customHeight="1" x14ac:dyDescent="0.25"/>
    <row r="22" spans="1:13" ht="20.100000000000001" customHeight="1" x14ac:dyDescent="0.25"/>
    <row r="23" spans="1:13" ht="20.100000000000001" customHeight="1" x14ac:dyDescent="0.25"/>
    <row r="24" spans="1:13" ht="20.100000000000001" customHeight="1" x14ac:dyDescent="0.25"/>
    <row r="25" spans="1:13" ht="20.100000000000001" customHeight="1" x14ac:dyDescent="0.25"/>
    <row r="26" spans="1:13" ht="20.100000000000001" customHeight="1" x14ac:dyDescent="0.25"/>
    <row r="27" spans="1:13" ht="20.100000000000001" customHeight="1" x14ac:dyDescent="0.25"/>
    <row r="28" spans="1:13" ht="20.100000000000001" customHeight="1" x14ac:dyDescent="0.25"/>
    <row r="29" spans="1:13" ht="20.100000000000001" customHeight="1" x14ac:dyDescent="0.25"/>
    <row r="30" spans="1:13" ht="20.100000000000001" customHeight="1" x14ac:dyDescent="0.25"/>
  </sheetData>
  <mergeCells count="3">
    <mergeCell ref="A1:L1"/>
    <mergeCell ref="A2:D2"/>
    <mergeCell ref="E2:L2"/>
  </mergeCells>
  <pageMargins left="0.9055118110236221" right="0.70866141732283472" top="0.94488188976377963" bottom="0.74803149606299213" header="0.31496062992125984" footer="0.31496062992125984"/>
  <pageSetup paperSize="9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8475-F86B-4EB7-A9FA-1CC32B6A450D}">
  <sheetPr>
    <tabColor rgb="FFFF0000"/>
  </sheetPr>
  <dimension ref="A1:K22"/>
  <sheetViews>
    <sheetView workbookViewId="0">
      <selection activeCell="G14" sqref="G14"/>
    </sheetView>
  </sheetViews>
  <sheetFormatPr baseColWidth="10" defaultRowHeight="13.5" x14ac:dyDescent="0.25"/>
  <sheetData>
    <row r="1" spans="1:11" ht="50.1" customHeight="1" thickBot="1" x14ac:dyDescent="0.3">
      <c r="A1" s="272" t="s">
        <v>39</v>
      </c>
      <c r="B1" s="272"/>
      <c r="C1" s="272"/>
      <c r="D1" s="272"/>
      <c r="E1" s="272"/>
      <c r="F1" s="272"/>
      <c r="G1" s="272"/>
      <c r="H1" s="272"/>
      <c r="I1" s="272"/>
      <c r="J1" s="272"/>
    </row>
    <row r="2" spans="1:11" ht="21.75" thickBot="1" x14ac:dyDescent="0.3">
      <c r="A2" s="325" t="s">
        <v>153</v>
      </c>
      <c r="B2" s="326"/>
      <c r="C2" s="327"/>
      <c r="D2" s="328"/>
      <c r="E2" s="322" t="s">
        <v>140</v>
      </c>
      <c r="F2" s="323"/>
      <c r="G2" s="323"/>
      <c r="H2" s="323"/>
      <c r="I2" s="323"/>
      <c r="J2" s="323"/>
    </row>
    <row r="3" spans="1:11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</row>
    <row r="4" spans="1:11" ht="20.100000000000001" customHeight="1" x14ac:dyDescent="0.25">
      <c r="A4" s="7">
        <v>45604</v>
      </c>
      <c r="B4" s="6"/>
      <c r="C4" s="6">
        <v>1</v>
      </c>
      <c r="D4" s="6"/>
      <c r="E4" s="6"/>
      <c r="F4" s="6"/>
      <c r="G4" s="6"/>
      <c r="H4" s="6"/>
      <c r="I4" s="6"/>
      <c r="J4" s="6"/>
    </row>
    <row r="5" spans="1:11" ht="24.95" customHeight="1" x14ac:dyDescent="0.25">
      <c r="A5" s="32">
        <v>45607</v>
      </c>
      <c r="B5" s="8"/>
      <c r="C5" s="8">
        <v>1</v>
      </c>
      <c r="D5" s="8"/>
      <c r="E5" s="8"/>
      <c r="F5" s="8"/>
      <c r="G5" s="8"/>
      <c r="H5" s="8"/>
      <c r="I5" s="8"/>
      <c r="J5" s="8"/>
    </row>
    <row r="6" spans="1:11" ht="20.100000000000001" customHeight="1" x14ac:dyDescent="0.25">
      <c r="A6" s="11">
        <v>45611</v>
      </c>
      <c r="B6" s="10"/>
      <c r="C6" s="10"/>
      <c r="D6" s="10"/>
      <c r="E6" s="10"/>
      <c r="F6" s="10"/>
      <c r="G6" s="10"/>
      <c r="H6" s="10"/>
      <c r="I6" s="10">
        <v>1</v>
      </c>
      <c r="J6" s="10"/>
    </row>
    <row r="7" spans="1:11" ht="20.100000000000001" customHeight="1" x14ac:dyDescent="0.25">
      <c r="A7" s="11">
        <v>45622</v>
      </c>
      <c r="B7" s="10"/>
      <c r="C7" s="10"/>
      <c r="D7" s="10"/>
      <c r="E7" s="10"/>
      <c r="F7" s="10"/>
      <c r="G7" s="10"/>
      <c r="H7" s="10"/>
      <c r="I7" s="10">
        <v>1</v>
      </c>
      <c r="J7" s="10"/>
      <c r="K7" s="30"/>
    </row>
    <row r="8" spans="1:11" ht="20.100000000000001" customHeight="1" x14ac:dyDescent="0.25">
      <c r="A8" s="11">
        <v>45673</v>
      </c>
      <c r="B8" s="10"/>
      <c r="C8" s="10">
        <v>2</v>
      </c>
      <c r="D8" s="10"/>
      <c r="E8" s="10"/>
      <c r="F8" s="10"/>
      <c r="G8" s="10"/>
      <c r="H8" s="10"/>
      <c r="I8" s="10"/>
      <c r="J8" s="10"/>
      <c r="K8" s="30"/>
    </row>
    <row r="9" spans="1:11" ht="20.100000000000001" customHeight="1" x14ac:dyDescent="0.25">
      <c r="A9" s="11">
        <v>45728</v>
      </c>
      <c r="B9" s="10">
        <v>1</v>
      </c>
      <c r="C9" s="10"/>
      <c r="D9" s="10"/>
      <c r="E9" s="10"/>
      <c r="F9" s="10"/>
      <c r="G9" s="10"/>
      <c r="H9" s="10"/>
      <c r="I9" s="10"/>
      <c r="J9" s="10"/>
      <c r="K9" s="30"/>
    </row>
    <row r="10" spans="1:11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30" t="s">
        <v>145</v>
      </c>
    </row>
    <row r="11" spans="1:11" ht="20.100000000000001" customHeight="1" thickBot="1" x14ac:dyDescent="0.3">
      <c r="A11" s="31" t="s">
        <v>14</v>
      </c>
      <c r="B11" s="13">
        <f t="shared" ref="B11:J11" si="0">SUM(B4:B10)</f>
        <v>1</v>
      </c>
      <c r="C11" s="13">
        <f t="shared" si="0"/>
        <v>4</v>
      </c>
      <c r="D11" s="13">
        <f t="shared" si="0"/>
        <v>0</v>
      </c>
      <c r="E11" s="13">
        <f t="shared" si="0"/>
        <v>0</v>
      </c>
      <c r="F11" s="13">
        <f t="shared" si="0"/>
        <v>0</v>
      </c>
      <c r="G11" s="13">
        <f t="shared" si="0"/>
        <v>0</v>
      </c>
      <c r="H11" s="13">
        <f t="shared" si="0"/>
        <v>0</v>
      </c>
      <c r="I11" s="13">
        <f t="shared" si="0"/>
        <v>2</v>
      </c>
      <c r="J11" s="13">
        <f t="shared" si="0"/>
        <v>0</v>
      </c>
    </row>
    <row r="12" spans="1:11" ht="20.100000000000001" customHeight="1" x14ac:dyDescent="0.25"/>
    <row r="13" spans="1:11" ht="20.100000000000001" customHeight="1" x14ac:dyDescent="0.25"/>
    <row r="14" spans="1:11" ht="20.100000000000001" customHeight="1" x14ac:dyDescent="0.25"/>
    <row r="15" spans="1:11" ht="20.100000000000001" customHeight="1" x14ac:dyDescent="0.25"/>
    <row r="16" spans="1:11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</sheetData>
  <mergeCells count="3">
    <mergeCell ref="A1:J1"/>
    <mergeCell ref="A2:D2"/>
    <mergeCell ref="E2:J2"/>
  </mergeCells>
  <pageMargins left="1.4960629921259843" right="0.70866141732283472" top="0.74803149606299213" bottom="0.74803149606299213" header="0.31496062992125984" footer="0.31496062992125984"/>
  <pageSetup paperSize="9" scale="95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AF4D-6A2E-4525-93DA-87D9E4DAD982}">
  <sheetPr>
    <tabColor rgb="FFFF0000"/>
  </sheetPr>
  <dimension ref="A1:K22"/>
  <sheetViews>
    <sheetView workbookViewId="0">
      <selection activeCell="L5" sqref="L5"/>
    </sheetView>
  </sheetViews>
  <sheetFormatPr baseColWidth="10" defaultRowHeight="13.5" x14ac:dyDescent="0.25"/>
  <sheetData>
    <row r="1" spans="1:11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1" ht="21.75" thickBot="1" x14ac:dyDescent="0.3">
      <c r="A2" s="325" t="s">
        <v>129</v>
      </c>
      <c r="B2" s="326"/>
      <c r="C2" s="327"/>
      <c r="D2" s="328"/>
      <c r="E2" s="329" t="s">
        <v>142</v>
      </c>
      <c r="F2" s="330"/>
      <c r="G2" s="330"/>
      <c r="H2" s="330"/>
      <c r="I2" s="330"/>
      <c r="J2" s="330"/>
      <c r="K2" s="330"/>
    </row>
    <row r="3" spans="1:11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1" ht="20.100000000000001" customHeight="1" x14ac:dyDescent="0.25">
      <c r="A4" s="7">
        <v>45443</v>
      </c>
      <c r="B4" s="6">
        <v>1</v>
      </c>
      <c r="C4" s="6">
        <v>3</v>
      </c>
      <c r="D4" s="6"/>
      <c r="E4" s="6">
        <v>1</v>
      </c>
      <c r="F4" s="6">
        <v>1</v>
      </c>
      <c r="G4" s="6"/>
      <c r="H4" s="6">
        <v>2</v>
      </c>
      <c r="I4" s="6"/>
      <c r="J4" s="6"/>
      <c r="K4" s="6"/>
    </row>
    <row r="5" spans="1:11" ht="20.100000000000001" customHeight="1" x14ac:dyDescent="0.25">
      <c r="A5" s="9">
        <v>45569</v>
      </c>
      <c r="B5" s="8"/>
      <c r="C5" s="8">
        <v>3</v>
      </c>
      <c r="D5" s="8"/>
      <c r="E5" s="8"/>
      <c r="F5" s="8"/>
      <c r="G5" s="8"/>
      <c r="H5" s="8"/>
      <c r="I5" s="8"/>
      <c r="J5" s="8"/>
      <c r="K5" s="8"/>
    </row>
    <row r="6" spans="1:11" ht="20.100000000000001" customHeight="1" x14ac:dyDescent="0.25">
      <c r="A6" s="9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20.100000000000001" customHeight="1" x14ac:dyDescent="0.25">
      <c r="A7" s="9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20.100000000000001" customHeight="1" x14ac:dyDescent="0.25">
      <c r="A8" s="9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20.100000000000001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ht="20.100000000000001" customHeight="1" thickBot="1" x14ac:dyDescent="0.3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ht="20.100000000000001" customHeight="1" thickBot="1" x14ac:dyDescent="0.3">
      <c r="A11" s="12" t="s">
        <v>14</v>
      </c>
      <c r="B11" s="13">
        <f>SUM(B4:B10)</f>
        <v>1</v>
      </c>
      <c r="C11" s="13">
        <f t="shared" ref="C11:K11" si="0">SUM(C4:C10)</f>
        <v>6</v>
      </c>
      <c r="D11" s="13">
        <f t="shared" si="0"/>
        <v>0</v>
      </c>
      <c r="E11" s="13">
        <f t="shared" si="0"/>
        <v>1</v>
      </c>
      <c r="F11" s="13">
        <f t="shared" si="0"/>
        <v>1</v>
      </c>
      <c r="G11" s="13">
        <f t="shared" si="0"/>
        <v>0</v>
      </c>
      <c r="H11" s="13">
        <f t="shared" si="0"/>
        <v>2</v>
      </c>
      <c r="I11" s="13">
        <f t="shared" si="0"/>
        <v>0</v>
      </c>
      <c r="J11" s="13">
        <f t="shared" si="0"/>
        <v>0</v>
      </c>
      <c r="K11" s="13">
        <f t="shared" si="0"/>
        <v>0</v>
      </c>
    </row>
    <row r="12" spans="1:11" ht="20.100000000000001" customHeight="1" x14ac:dyDescent="0.25"/>
    <row r="13" spans="1:11" ht="20.100000000000001" customHeight="1" x14ac:dyDescent="0.25"/>
    <row r="14" spans="1:11" ht="20.100000000000001" customHeight="1" x14ac:dyDescent="0.25"/>
    <row r="15" spans="1:11" ht="20.100000000000001" customHeight="1" x14ac:dyDescent="0.25"/>
    <row r="16" spans="1:11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</sheetData>
  <mergeCells count="3">
    <mergeCell ref="A1:K1"/>
    <mergeCell ref="A2:D2"/>
    <mergeCell ref="E2:K2"/>
  </mergeCells>
  <pageMargins left="1.299212598425197" right="0.70866141732283472" top="1.1417322834645669" bottom="0.74803149606299213" header="0.31496062992125984" footer="0.31496062992125984"/>
  <pageSetup paperSize="9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BC9B-70C0-4B9F-B7E7-5601B3C4E7F9}">
  <sheetPr>
    <tabColor rgb="FFFF0000"/>
  </sheetPr>
  <dimension ref="A1:L26"/>
  <sheetViews>
    <sheetView workbookViewId="0">
      <selection activeCell="N8" sqref="N8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130</v>
      </c>
      <c r="B2" s="269"/>
      <c r="C2" s="270"/>
      <c r="D2" s="271"/>
      <c r="E2" s="314" t="s">
        <v>44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customHeight="1" x14ac:dyDescent="0.25">
      <c r="A4" s="7">
        <v>45128</v>
      </c>
      <c r="B4" s="6">
        <v>1</v>
      </c>
      <c r="C4" s="6"/>
      <c r="D4" s="6"/>
      <c r="E4" s="6"/>
      <c r="F4" s="6"/>
      <c r="G4" s="6"/>
      <c r="H4" s="6"/>
      <c r="I4" s="6"/>
      <c r="J4" s="6"/>
      <c r="K4" s="6"/>
    </row>
    <row r="5" spans="1:12" ht="24.95" customHeight="1" x14ac:dyDescent="0.25">
      <c r="A5" s="32">
        <v>45148</v>
      </c>
      <c r="B5" s="8"/>
      <c r="C5" s="8">
        <v>1</v>
      </c>
      <c r="D5" s="8"/>
      <c r="E5" s="8"/>
      <c r="F5" s="8"/>
      <c r="G5" s="8"/>
      <c r="H5" s="8"/>
      <c r="I5" s="8"/>
      <c r="J5" s="8"/>
      <c r="K5" s="8"/>
    </row>
    <row r="6" spans="1:12" ht="20.100000000000001" customHeight="1" x14ac:dyDescent="0.25">
      <c r="A6" s="11">
        <v>45173</v>
      </c>
      <c r="B6" s="10"/>
      <c r="C6" s="10"/>
      <c r="D6" s="10"/>
      <c r="E6" s="10">
        <v>1</v>
      </c>
      <c r="F6" s="10">
        <v>0</v>
      </c>
      <c r="G6" s="10"/>
      <c r="H6" s="10"/>
      <c r="I6" s="10"/>
      <c r="J6" s="10"/>
      <c r="K6" s="10"/>
    </row>
    <row r="7" spans="1:12" ht="20.100000000000001" customHeight="1" x14ac:dyDescent="0.25">
      <c r="A7" s="11">
        <v>45224</v>
      </c>
      <c r="B7" s="10"/>
      <c r="C7" s="10">
        <v>3</v>
      </c>
      <c r="D7" s="10"/>
      <c r="E7" s="10">
        <v>2</v>
      </c>
      <c r="F7" s="10">
        <v>1</v>
      </c>
      <c r="G7" s="10"/>
      <c r="H7" s="10">
        <v>0</v>
      </c>
      <c r="I7" s="10">
        <v>1</v>
      </c>
      <c r="J7" s="10"/>
      <c r="K7" s="10"/>
    </row>
    <row r="8" spans="1:12" ht="20.100000000000001" customHeight="1" x14ac:dyDescent="0.25">
      <c r="A8" s="11">
        <v>45449</v>
      </c>
      <c r="B8" s="10"/>
      <c r="C8" s="10"/>
      <c r="D8" s="10"/>
      <c r="E8" s="10"/>
      <c r="F8" s="10"/>
      <c r="G8" s="10"/>
      <c r="H8" s="10">
        <v>1</v>
      </c>
      <c r="I8" s="10"/>
      <c r="J8" s="10"/>
      <c r="K8" s="10"/>
    </row>
    <row r="9" spans="1:12" ht="20.100000000000001" customHeight="1" x14ac:dyDescent="0.25">
      <c r="A9" s="11">
        <v>45470</v>
      </c>
      <c r="B9" s="10"/>
      <c r="C9" s="10">
        <v>1</v>
      </c>
      <c r="D9" s="10"/>
      <c r="E9" s="10"/>
      <c r="F9" s="10"/>
      <c r="G9" s="10">
        <v>1</v>
      </c>
      <c r="H9" s="10"/>
      <c r="I9" s="10"/>
      <c r="J9" s="10"/>
      <c r="K9" s="10"/>
    </row>
    <row r="10" spans="1:12" ht="20.100000000000001" customHeight="1" x14ac:dyDescent="0.25">
      <c r="A10" s="11">
        <v>45524</v>
      </c>
      <c r="B10" s="10"/>
      <c r="C10" s="10"/>
      <c r="D10" s="10"/>
      <c r="E10" s="10"/>
      <c r="F10" s="10"/>
      <c r="G10" s="10"/>
      <c r="H10" s="10">
        <v>1</v>
      </c>
      <c r="I10" s="10"/>
      <c r="J10" s="10"/>
      <c r="K10" s="10"/>
    </row>
    <row r="11" spans="1:12" ht="20.100000000000001" customHeight="1" x14ac:dyDescent="0.25">
      <c r="A11" s="11">
        <v>45541</v>
      </c>
      <c r="B11" s="10"/>
      <c r="C11" s="10">
        <v>4</v>
      </c>
      <c r="D11" s="10"/>
      <c r="E11" s="10"/>
      <c r="F11" s="10"/>
      <c r="G11" s="10"/>
      <c r="H11" s="10"/>
      <c r="I11" s="10">
        <v>1</v>
      </c>
      <c r="J11" s="10">
        <v>1</v>
      </c>
      <c r="K11" s="10"/>
    </row>
    <row r="12" spans="1:12" ht="20.100000000000001" customHeight="1" x14ac:dyDescent="0.25">
      <c r="A12" s="11">
        <v>45582</v>
      </c>
      <c r="B12" s="10"/>
      <c r="C12" s="10"/>
      <c r="D12" s="10"/>
      <c r="E12" s="10"/>
      <c r="F12" s="10">
        <v>1</v>
      </c>
      <c r="G12" s="10"/>
      <c r="H12" s="10"/>
      <c r="I12" s="10"/>
      <c r="J12" s="10"/>
      <c r="K12" s="10"/>
    </row>
    <row r="13" spans="1:12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2" ht="20.100000000000001" customHeight="1" thickBot="1" x14ac:dyDescent="0.3">
      <c r="A14" s="1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0"/>
    </row>
    <row r="15" spans="1:12" ht="20.100000000000001" customHeight="1" thickBot="1" x14ac:dyDescent="0.3">
      <c r="A15" s="12" t="s">
        <v>14</v>
      </c>
      <c r="B15" s="13">
        <f>SUM(B4:B14)</f>
        <v>1</v>
      </c>
      <c r="C15" s="13">
        <f t="shared" ref="C15:K15" si="0">SUM(C4:C14)</f>
        <v>9</v>
      </c>
      <c r="D15" s="13">
        <f t="shared" si="0"/>
        <v>0</v>
      </c>
      <c r="E15" s="13">
        <f t="shared" si="0"/>
        <v>3</v>
      </c>
      <c r="F15" s="13">
        <f t="shared" si="0"/>
        <v>2</v>
      </c>
      <c r="G15" s="13">
        <f t="shared" si="0"/>
        <v>1</v>
      </c>
      <c r="H15" s="13">
        <f t="shared" si="0"/>
        <v>2</v>
      </c>
      <c r="I15" s="13">
        <f t="shared" si="0"/>
        <v>2</v>
      </c>
      <c r="J15" s="13">
        <f t="shared" si="0"/>
        <v>1</v>
      </c>
      <c r="K15" s="13">
        <f t="shared" si="0"/>
        <v>0</v>
      </c>
    </row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</sheetData>
  <mergeCells count="3">
    <mergeCell ref="A1:K1"/>
    <mergeCell ref="A2:D2"/>
    <mergeCell ref="E2:K2"/>
  </mergeCells>
  <pageMargins left="1.299212598425197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DCDB-E5FD-46F1-95A3-D269A38E1D89}">
  <sheetPr>
    <tabColor rgb="FFFFFF00"/>
  </sheetPr>
  <dimension ref="A1:N25"/>
  <sheetViews>
    <sheetView workbookViewId="0">
      <selection activeCell="G12" sqref="G12"/>
    </sheetView>
  </sheetViews>
  <sheetFormatPr baseColWidth="10" defaultRowHeight="13.5" x14ac:dyDescent="0.25"/>
  <sheetData>
    <row r="1" spans="1:14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4" ht="21.75" thickBot="1" x14ac:dyDescent="0.3">
      <c r="A2" s="268" t="s">
        <v>139</v>
      </c>
      <c r="B2" s="269"/>
      <c r="C2" s="270"/>
      <c r="D2" s="271"/>
      <c r="E2" s="314" t="s">
        <v>135</v>
      </c>
      <c r="F2" s="315"/>
      <c r="G2" s="315"/>
      <c r="H2" s="315"/>
      <c r="I2" s="315"/>
      <c r="J2" s="315"/>
      <c r="K2" s="315"/>
      <c r="L2" s="315"/>
      <c r="M2" s="315"/>
    </row>
    <row r="3" spans="1:14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4" t="s">
        <v>126</v>
      </c>
      <c r="L3" s="33" t="s">
        <v>134</v>
      </c>
      <c r="M3" s="33" t="s">
        <v>49</v>
      </c>
    </row>
    <row r="4" spans="1:14" ht="24.95" customHeight="1" x14ac:dyDescent="0.25">
      <c r="A4" s="32">
        <v>45531</v>
      </c>
      <c r="B4" s="8">
        <v>0</v>
      </c>
      <c r="C4" s="8"/>
      <c r="D4" s="8"/>
      <c r="E4" s="8"/>
      <c r="F4" s="8">
        <v>1</v>
      </c>
      <c r="G4" s="8"/>
      <c r="H4" s="8">
        <v>1</v>
      </c>
      <c r="I4" s="8"/>
      <c r="J4" s="8">
        <v>1</v>
      </c>
      <c r="K4" s="8"/>
      <c r="L4" s="8"/>
      <c r="M4" s="8"/>
      <c r="N4" s="30" t="s">
        <v>68</v>
      </c>
    </row>
    <row r="5" spans="1:14" ht="20.100000000000001" customHeight="1" x14ac:dyDescent="0.25">
      <c r="A5" s="11">
        <v>45579</v>
      </c>
      <c r="B5" s="10"/>
      <c r="C5" s="10"/>
      <c r="D5" s="10"/>
      <c r="E5" s="10"/>
      <c r="F5" s="10"/>
      <c r="G5" s="10"/>
      <c r="H5" s="10"/>
      <c r="I5" s="10">
        <v>1</v>
      </c>
      <c r="J5" s="10"/>
      <c r="K5" s="10"/>
      <c r="L5" s="10"/>
      <c r="M5" s="10"/>
    </row>
    <row r="6" spans="1:14" ht="20.100000000000001" customHeight="1" x14ac:dyDescent="0.25">
      <c r="A6" s="11">
        <v>45593</v>
      </c>
      <c r="B6" s="10">
        <v>1</v>
      </c>
      <c r="C6" s="10">
        <v>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30"/>
    </row>
    <row r="7" spans="1:14" ht="20.100000000000001" customHeight="1" x14ac:dyDescent="0.25">
      <c r="A7" s="11">
        <v>45604</v>
      </c>
      <c r="B7" s="10"/>
      <c r="C7" s="10">
        <v>1</v>
      </c>
      <c r="D7" s="10"/>
      <c r="E7" s="10">
        <v>1</v>
      </c>
      <c r="F7" s="10"/>
      <c r="G7" s="10"/>
      <c r="H7" s="10"/>
      <c r="I7" s="10">
        <v>1</v>
      </c>
      <c r="J7" s="10"/>
      <c r="K7" s="10"/>
      <c r="L7" s="10"/>
      <c r="M7" s="10"/>
    </row>
    <row r="8" spans="1:14" ht="20.100000000000001" customHeight="1" x14ac:dyDescent="0.25">
      <c r="A8" s="11" t="s">
        <v>13</v>
      </c>
      <c r="B8" s="10"/>
      <c r="C8" s="10">
        <v>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30"/>
    </row>
    <row r="9" spans="1:14" ht="20.100000000000001" customHeight="1" x14ac:dyDescent="0.25">
      <c r="A9" s="11">
        <v>45652</v>
      </c>
      <c r="B9" s="10"/>
      <c r="C9" s="10"/>
      <c r="D9" s="10"/>
      <c r="E9" s="10"/>
      <c r="F9" s="10"/>
      <c r="G9" s="10"/>
      <c r="H9" s="10"/>
      <c r="I9" s="10">
        <v>1</v>
      </c>
      <c r="J9" s="10"/>
      <c r="K9" s="10"/>
      <c r="L9" s="10"/>
      <c r="M9" s="10"/>
      <c r="N9" s="30"/>
    </row>
    <row r="10" spans="1:14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30"/>
    </row>
    <row r="11" spans="1:14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30"/>
    </row>
    <row r="12" spans="1:14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30"/>
    </row>
    <row r="13" spans="1:14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30"/>
    </row>
    <row r="14" spans="1:14" ht="20.100000000000001" customHeight="1" thickBot="1" x14ac:dyDescent="0.3">
      <c r="A14" s="31" t="s">
        <v>14</v>
      </c>
      <c r="B14" s="13">
        <f t="shared" ref="B14:M14" si="0">SUM(B4:B13)</f>
        <v>1</v>
      </c>
      <c r="C14" s="13">
        <f t="shared" si="0"/>
        <v>3</v>
      </c>
      <c r="D14" s="13">
        <f t="shared" si="0"/>
        <v>0</v>
      </c>
      <c r="E14" s="13">
        <f t="shared" si="0"/>
        <v>1</v>
      </c>
      <c r="F14" s="13">
        <f t="shared" si="0"/>
        <v>1</v>
      </c>
      <c r="G14" s="13">
        <f t="shared" si="0"/>
        <v>0</v>
      </c>
      <c r="H14" s="13">
        <f t="shared" si="0"/>
        <v>1</v>
      </c>
      <c r="I14" s="13">
        <f t="shared" si="0"/>
        <v>3</v>
      </c>
      <c r="J14" s="13">
        <f t="shared" si="0"/>
        <v>1</v>
      </c>
      <c r="K14" s="13"/>
      <c r="L14" s="13"/>
      <c r="M14" s="13">
        <f t="shared" si="0"/>
        <v>0</v>
      </c>
    </row>
    <row r="15" spans="1:14" ht="20.100000000000001" customHeight="1" x14ac:dyDescent="0.25"/>
    <row r="16" spans="1:1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</sheetData>
  <mergeCells count="3">
    <mergeCell ref="A1:M1"/>
    <mergeCell ref="A2:D2"/>
    <mergeCell ref="E2:M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D1BF-4820-4482-8309-8B5182F950AB}">
  <sheetPr>
    <tabColor rgb="FFFFFF00"/>
  </sheetPr>
  <dimension ref="A1:N25"/>
  <sheetViews>
    <sheetView workbookViewId="0">
      <selection activeCell="N10" sqref="N10"/>
    </sheetView>
  </sheetViews>
  <sheetFormatPr baseColWidth="10" defaultRowHeight="13.5" x14ac:dyDescent="0.25"/>
  <sheetData>
    <row r="1" spans="1:14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4" ht="21.75" thickBot="1" x14ac:dyDescent="0.3">
      <c r="A2" s="268" t="s">
        <v>130</v>
      </c>
      <c r="B2" s="269"/>
      <c r="C2" s="270"/>
      <c r="D2" s="271"/>
      <c r="E2" s="314" t="s">
        <v>137</v>
      </c>
      <c r="F2" s="315"/>
      <c r="G2" s="315"/>
      <c r="H2" s="315"/>
      <c r="I2" s="315"/>
      <c r="J2" s="315"/>
      <c r="K2" s="315"/>
      <c r="L2" s="315"/>
      <c r="M2" s="315"/>
    </row>
    <row r="3" spans="1:14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4" t="s">
        <v>126</v>
      </c>
      <c r="L3" s="33" t="s">
        <v>134</v>
      </c>
      <c r="M3" s="33" t="s">
        <v>49</v>
      </c>
    </row>
    <row r="4" spans="1:14" ht="24.95" customHeight="1" x14ac:dyDescent="0.25">
      <c r="A4" s="32">
        <v>45579</v>
      </c>
      <c r="B4" s="8"/>
      <c r="C4" s="8">
        <v>1</v>
      </c>
      <c r="D4" s="8"/>
      <c r="E4" s="8"/>
      <c r="F4" s="8"/>
      <c r="G4" s="8"/>
      <c r="H4" s="8"/>
      <c r="I4" s="8">
        <v>1</v>
      </c>
      <c r="J4" s="8"/>
      <c r="K4" s="8"/>
      <c r="L4" s="8"/>
      <c r="M4" s="8"/>
      <c r="N4" s="30" t="s">
        <v>68</v>
      </c>
    </row>
    <row r="5" spans="1:14" ht="20.100000000000001" customHeight="1" x14ac:dyDescent="0.25">
      <c r="A5" s="11">
        <v>45581</v>
      </c>
      <c r="B5" s="10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0" t="s">
        <v>132</v>
      </c>
    </row>
    <row r="6" spans="1:14" ht="20.100000000000001" customHeight="1" x14ac:dyDescent="0.25">
      <c r="A6" s="11">
        <v>45593</v>
      </c>
      <c r="B6" s="10"/>
      <c r="C6" s="10">
        <v>1</v>
      </c>
      <c r="D6" s="10"/>
      <c r="E6" s="10"/>
      <c r="F6" s="10"/>
      <c r="G6" s="10"/>
      <c r="H6" s="10"/>
      <c r="I6" s="10"/>
      <c r="J6" s="10">
        <v>1</v>
      </c>
      <c r="K6" s="10"/>
      <c r="L6" s="10"/>
      <c r="M6" s="10"/>
      <c r="N6" s="30"/>
    </row>
    <row r="7" spans="1:14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4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30"/>
    </row>
    <row r="9" spans="1:14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30"/>
    </row>
    <row r="10" spans="1:14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30"/>
    </row>
    <row r="11" spans="1:14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30"/>
    </row>
    <row r="12" spans="1:14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30"/>
    </row>
    <row r="13" spans="1:14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30"/>
    </row>
    <row r="14" spans="1:14" ht="20.100000000000001" customHeight="1" thickBot="1" x14ac:dyDescent="0.3">
      <c r="A14" s="31" t="s">
        <v>14</v>
      </c>
      <c r="B14" s="13">
        <f t="shared" ref="B14:M14" si="0">SUM(B4:B13)</f>
        <v>1</v>
      </c>
      <c r="C14" s="13">
        <f t="shared" si="0"/>
        <v>2</v>
      </c>
      <c r="D14" s="13">
        <f t="shared" si="0"/>
        <v>0</v>
      </c>
      <c r="E14" s="13">
        <f t="shared" si="0"/>
        <v>0</v>
      </c>
      <c r="F14" s="13">
        <f t="shared" si="0"/>
        <v>0</v>
      </c>
      <c r="G14" s="13">
        <f t="shared" si="0"/>
        <v>0</v>
      </c>
      <c r="H14" s="13">
        <f t="shared" si="0"/>
        <v>0</v>
      </c>
      <c r="I14" s="13">
        <f t="shared" si="0"/>
        <v>1</v>
      </c>
      <c r="J14" s="13">
        <f t="shared" si="0"/>
        <v>1</v>
      </c>
      <c r="K14" s="13"/>
      <c r="L14" s="13"/>
      <c r="M14" s="13">
        <f t="shared" si="0"/>
        <v>0</v>
      </c>
    </row>
    <row r="15" spans="1:14" ht="20.100000000000001" customHeight="1" x14ac:dyDescent="0.25"/>
    <row r="16" spans="1:1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</sheetData>
  <mergeCells count="3">
    <mergeCell ref="A1:M1"/>
    <mergeCell ref="A2:D2"/>
    <mergeCell ref="E2:M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2E2A-8209-4297-8E5B-55DF6DEC23D7}">
  <sheetPr>
    <tabColor rgb="FFFF0000"/>
  </sheetPr>
  <dimension ref="A1:L19"/>
  <sheetViews>
    <sheetView workbookViewId="0">
      <selection activeCell="J13" sqref="J13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125</v>
      </c>
      <c r="B2" s="269"/>
      <c r="C2" s="270"/>
      <c r="D2" s="271"/>
      <c r="E2" s="331" t="s">
        <v>127</v>
      </c>
      <c r="F2" s="332"/>
      <c r="G2" s="332"/>
      <c r="H2" s="332"/>
      <c r="I2" s="332"/>
      <c r="J2" s="332"/>
      <c r="K2" s="332"/>
    </row>
    <row r="3" spans="1:12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33" t="s">
        <v>49</v>
      </c>
    </row>
    <row r="4" spans="1:12" ht="24.95" customHeight="1" x14ac:dyDescent="0.25">
      <c r="A4" s="32">
        <v>45533</v>
      </c>
      <c r="B4" s="8">
        <v>1</v>
      </c>
      <c r="C4" s="8">
        <v>1</v>
      </c>
      <c r="D4" s="8"/>
      <c r="E4" s="8"/>
      <c r="F4" s="8">
        <v>1</v>
      </c>
      <c r="G4" s="8"/>
      <c r="H4" s="8">
        <v>1</v>
      </c>
      <c r="I4" s="8"/>
      <c r="J4" s="8"/>
      <c r="K4" s="8"/>
      <c r="L4" s="30"/>
    </row>
    <row r="5" spans="1:12" ht="20.100000000000001" customHeight="1" x14ac:dyDescent="0.25">
      <c r="A5" s="11">
        <v>45558</v>
      </c>
      <c r="B5" s="10"/>
      <c r="C5" s="10"/>
      <c r="D5" s="10"/>
      <c r="E5" s="10"/>
      <c r="F5" s="10"/>
      <c r="G5" s="10"/>
      <c r="H5" s="10"/>
      <c r="I5" s="10">
        <v>1</v>
      </c>
      <c r="J5" s="10"/>
      <c r="K5" s="10"/>
    </row>
    <row r="6" spans="1:12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0"/>
      <c r="L6" s="30"/>
    </row>
    <row r="7" spans="1:12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30"/>
    </row>
    <row r="8" spans="1:12" ht="20.100000000000001" customHeight="1" thickBot="1" x14ac:dyDescent="0.3">
      <c r="A8" s="31" t="s">
        <v>14</v>
      </c>
      <c r="B8" s="13">
        <f t="shared" ref="B8:K8" si="0">SUM(B4:B7)</f>
        <v>1</v>
      </c>
      <c r="C8" s="13">
        <f t="shared" si="0"/>
        <v>1</v>
      </c>
      <c r="D8" s="13">
        <f t="shared" si="0"/>
        <v>0</v>
      </c>
      <c r="E8" s="13">
        <f t="shared" si="0"/>
        <v>0</v>
      </c>
      <c r="F8" s="13">
        <f t="shared" si="0"/>
        <v>1</v>
      </c>
      <c r="G8" s="13">
        <f t="shared" si="0"/>
        <v>0</v>
      </c>
      <c r="H8" s="13">
        <f t="shared" si="0"/>
        <v>1</v>
      </c>
      <c r="I8" s="13">
        <f t="shared" si="0"/>
        <v>1</v>
      </c>
      <c r="J8" s="13">
        <f t="shared" si="0"/>
        <v>0</v>
      </c>
      <c r="K8" s="13">
        <f t="shared" si="0"/>
        <v>0</v>
      </c>
    </row>
    <row r="9" spans="1:12" ht="20.100000000000001" customHeight="1" x14ac:dyDescent="0.25"/>
    <row r="10" spans="1:12" ht="20.100000000000001" customHeight="1" x14ac:dyDescent="0.25"/>
    <row r="11" spans="1:12" ht="20.100000000000001" customHeight="1" x14ac:dyDescent="0.25"/>
    <row r="12" spans="1:12" ht="20.100000000000001" customHeight="1" x14ac:dyDescent="0.25"/>
    <row r="13" spans="1:12" ht="20.100000000000001" customHeight="1" x14ac:dyDescent="0.25"/>
    <row r="14" spans="1:12" ht="20.100000000000001" customHeight="1" x14ac:dyDescent="0.25"/>
    <row r="15" spans="1:12" ht="20.100000000000001" customHeight="1" x14ac:dyDescent="0.25"/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6D10-8F44-4F6B-ADAB-B5FE6847F936}">
  <sheetPr>
    <tabColor rgb="FFFF0000"/>
  </sheetPr>
  <dimension ref="A1:L25"/>
  <sheetViews>
    <sheetView workbookViewId="0">
      <selection activeCell="A14" sqref="A1:K14"/>
    </sheetView>
  </sheetViews>
  <sheetFormatPr baseColWidth="10" defaultRowHeight="13.5" x14ac:dyDescent="0.25"/>
  <cols>
    <col min="12" max="12" width="17.42578125" customWidth="1"/>
  </cols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310" t="s">
        <v>229</v>
      </c>
      <c r="B2" s="311"/>
      <c r="C2" s="312"/>
      <c r="D2" s="313"/>
      <c r="E2" s="314" t="s">
        <v>59</v>
      </c>
      <c r="F2" s="315"/>
      <c r="G2" s="315"/>
      <c r="H2" s="315"/>
      <c r="I2" s="315"/>
      <c r="J2" s="315"/>
      <c r="K2" s="315"/>
    </row>
    <row r="3" spans="1:12" ht="28.5" customHeight="1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33" t="s">
        <v>49</v>
      </c>
    </row>
    <row r="4" spans="1:12" ht="20.100000000000001" hidden="1" customHeight="1" x14ac:dyDescent="0.25">
      <c r="A4" s="32">
        <v>45385</v>
      </c>
      <c r="B4" s="8"/>
      <c r="C4" s="8"/>
      <c r="D4" s="8"/>
      <c r="E4" s="8"/>
      <c r="F4" s="8"/>
      <c r="G4" s="8"/>
      <c r="H4" s="8">
        <v>1</v>
      </c>
      <c r="I4" s="8"/>
      <c r="J4" s="8"/>
      <c r="K4" s="8"/>
      <c r="L4" s="30"/>
    </row>
    <row r="5" spans="1:12" ht="20.100000000000001" hidden="1" customHeight="1" x14ac:dyDescent="0.25">
      <c r="A5" s="11">
        <v>45415</v>
      </c>
      <c r="B5" s="10">
        <v>1</v>
      </c>
      <c r="C5" s="131">
        <v>2</v>
      </c>
      <c r="D5" s="10">
        <v>1</v>
      </c>
      <c r="E5" s="10"/>
      <c r="F5" s="10"/>
      <c r="G5" s="10"/>
      <c r="H5" s="10">
        <v>1</v>
      </c>
      <c r="I5" s="10"/>
      <c r="J5" s="10"/>
      <c r="K5" s="10"/>
      <c r="L5" s="132" t="s">
        <v>64</v>
      </c>
    </row>
    <row r="6" spans="1:12" ht="20.100000000000001" hidden="1" customHeight="1" x14ac:dyDescent="0.25">
      <c r="A6" s="11">
        <v>45435</v>
      </c>
      <c r="B6" s="131">
        <v>1</v>
      </c>
      <c r="C6" s="10">
        <v>1</v>
      </c>
      <c r="D6" s="10"/>
      <c r="E6" s="10"/>
      <c r="F6" s="10"/>
      <c r="G6" s="10"/>
      <c r="H6" s="10"/>
      <c r="I6" s="10"/>
      <c r="J6" s="10"/>
      <c r="K6" s="10"/>
      <c r="L6" s="133" t="s">
        <v>64</v>
      </c>
    </row>
    <row r="7" spans="1:12" ht="0.75" customHeight="1" x14ac:dyDescent="0.25">
      <c r="A7" s="11">
        <v>45463</v>
      </c>
      <c r="B7" s="10"/>
      <c r="C7" s="10"/>
      <c r="D7" s="10"/>
      <c r="E7" s="10">
        <v>1</v>
      </c>
      <c r="F7" s="131">
        <v>1</v>
      </c>
      <c r="G7" s="10"/>
      <c r="H7" s="10">
        <v>1</v>
      </c>
      <c r="I7" s="10"/>
      <c r="J7" s="10"/>
      <c r="K7" s="10"/>
      <c r="L7" s="132" t="s">
        <v>64</v>
      </c>
    </row>
    <row r="8" spans="1:12" ht="20.100000000000001" customHeight="1" x14ac:dyDescent="0.25">
      <c r="A8" s="11">
        <v>46006</v>
      </c>
      <c r="B8" s="10">
        <v>1</v>
      </c>
      <c r="C8" s="10">
        <v>1</v>
      </c>
      <c r="D8" s="10"/>
      <c r="E8" s="10"/>
      <c r="F8" s="10"/>
      <c r="G8" s="10"/>
      <c r="H8" s="10"/>
      <c r="I8" s="10">
        <v>1</v>
      </c>
      <c r="J8" s="10"/>
      <c r="K8" s="10"/>
      <c r="L8" s="30"/>
    </row>
    <row r="9" spans="1:12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3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0"/>
    </row>
    <row r="13" spans="1:12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0"/>
    </row>
    <row r="14" spans="1:12" ht="20.100000000000001" customHeight="1" thickBot="1" x14ac:dyDescent="0.3">
      <c r="A14" s="134" t="s">
        <v>14</v>
      </c>
      <c r="B14" s="135">
        <f>B8+B9+B10+B11+B12+B13</f>
        <v>1</v>
      </c>
      <c r="C14" s="135">
        <f t="shared" ref="C14:K14" si="0">C8+C9+C10+C11+C12+C13</f>
        <v>1</v>
      </c>
      <c r="D14" s="135">
        <f t="shared" si="0"/>
        <v>0</v>
      </c>
      <c r="E14" s="135">
        <f t="shared" si="0"/>
        <v>0</v>
      </c>
      <c r="F14" s="135">
        <f t="shared" si="0"/>
        <v>0</v>
      </c>
      <c r="G14" s="135">
        <f t="shared" si="0"/>
        <v>0</v>
      </c>
      <c r="H14" s="135">
        <f t="shared" si="0"/>
        <v>0</v>
      </c>
      <c r="I14" s="135">
        <f t="shared" si="0"/>
        <v>1</v>
      </c>
      <c r="J14" s="135">
        <f t="shared" si="0"/>
        <v>0</v>
      </c>
      <c r="K14" s="135">
        <f t="shared" si="0"/>
        <v>0</v>
      </c>
      <c r="L14" s="226"/>
    </row>
    <row r="15" spans="1:12" ht="20.100000000000001" customHeight="1" x14ac:dyDescent="0.25"/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FF16-207B-499C-AA01-CC8DC05936EB}">
  <sheetPr>
    <tabColor rgb="FFFF0000"/>
  </sheetPr>
  <dimension ref="A1:L23"/>
  <sheetViews>
    <sheetView workbookViewId="0">
      <selection activeCell="A2" sqref="A2:D2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65</v>
      </c>
      <c r="B2" s="269"/>
      <c r="C2" s="270"/>
      <c r="D2" s="271"/>
      <c r="E2" s="314" t="s">
        <v>35</v>
      </c>
      <c r="F2" s="315"/>
      <c r="G2" s="315"/>
      <c r="H2" s="315"/>
      <c r="I2" s="315"/>
      <c r="J2" s="315"/>
      <c r="K2" s="315"/>
    </row>
    <row r="3" spans="1:12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33" t="s">
        <v>49</v>
      </c>
    </row>
    <row r="4" spans="1:12" ht="20.100000000000001" customHeight="1" x14ac:dyDescent="0.25">
      <c r="A4" s="7">
        <v>45313</v>
      </c>
      <c r="B4" s="6"/>
      <c r="C4" s="6">
        <v>3</v>
      </c>
      <c r="D4" s="6"/>
      <c r="E4" s="6">
        <v>1</v>
      </c>
      <c r="F4" s="6"/>
      <c r="G4" s="6"/>
      <c r="H4" s="6">
        <v>1</v>
      </c>
      <c r="I4" s="6">
        <v>1</v>
      </c>
      <c r="J4" s="6"/>
      <c r="K4" s="6"/>
    </row>
    <row r="5" spans="1:12" ht="24.95" customHeight="1" x14ac:dyDescent="0.25">
      <c r="A5" s="32" t="s">
        <v>13</v>
      </c>
      <c r="B5" s="8"/>
      <c r="C5" s="8"/>
      <c r="D5" s="8">
        <v>1</v>
      </c>
      <c r="E5" s="8">
        <v>1</v>
      </c>
      <c r="F5" s="8">
        <v>1</v>
      </c>
      <c r="G5" s="8"/>
      <c r="H5" s="8">
        <v>1</v>
      </c>
      <c r="I5" s="8"/>
      <c r="J5" s="8"/>
      <c r="K5" s="8"/>
    </row>
    <row r="6" spans="1:12" ht="20.100000000000001" customHeight="1" x14ac:dyDescent="0.25">
      <c r="A6" s="11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2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30"/>
    </row>
    <row r="8" spans="1:12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2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3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thickBot="1" x14ac:dyDescent="0.3">
      <c r="A12" s="31" t="s">
        <v>14</v>
      </c>
      <c r="B12" s="13">
        <f>SUM(B4:B11)</f>
        <v>0</v>
      </c>
      <c r="C12" s="13">
        <f t="shared" ref="C12:K12" si="0">SUM(C4:C11)</f>
        <v>3</v>
      </c>
      <c r="D12" s="13">
        <f t="shared" si="0"/>
        <v>1</v>
      </c>
      <c r="E12" s="13">
        <f t="shared" si="0"/>
        <v>2</v>
      </c>
      <c r="F12" s="13">
        <f t="shared" si="0"/>
        <v>1</v>
      </c>
      <c r="G12" s="13">
        <f t="shared" si="0"/>
        <v>0</v>
      </c>
      <c r="H12" s="13">
        <f t="shared" si="0"/>
        <v>2</v>
      </c>
      <c r="I12" s="13">
        <f t="shared" si="0"/>
        <v>1</v>
      </c>
      <c r="J12" s="13">
        <f t="shared" si="0"/>
        <v>0</v>
      </c>
      <c r="K12" s="13">
        <f t="shared" si="0"/>
        <v>0</v>
      </c>
    </row>
    <row r="13" spans="1:12" ht="20.100000000000001" customHeight="1" x14ac:dyDescent="0.25"/>
    <row r="14" spans="1:12" ht="20.100000000000001" customHeight="1" x14ac:dyDescent="0.25"/>
    <row r="15" spans="1:12" ht="20.100000000000001" customHeight="1" x14ac:dyDescent="0.25"/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EC05-1D3A-4F49-8FEC-E7ED405D7D3B}">
  <sheetPr>
    <tabColor rgb="FFFF0000"/>
  </sheetPr>
  <dimension ref="A1:L23"/>
  <sheetViews>
    <sheetView workbookViewId="0">
      <selection activeCell="M12" sqref="M12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310" t="s">
        <v>40</v>
      </c>
      <c r="B2" s="311"/>
      <c r="C2" s="312"/>
      <c r="D2" s="313"/>
      <c r="E2" s="314" t="s">
        <v>20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customHeight="1" x14ac:dyDescent="0.25">
      <c r="A4" s="7">
        <v>45107</v>
      </c>
      <c r="B4" s="6"/>
      <c r="C4" s="6">
        <v>3</v>
      </c>
      <c r="D4" s="6"/>
      <c r="E4" s="6"/>
      <c r="F4" s="6">
        <v>1</v>
      </c>
      <c r="G4" s="6"/>
      <c r="H4" s="6">
        <v>1</v>
      </c>
      <c r="I4" s="6"/>
      <c r="J4" s="6"/>
      <c r="K4" s="6"/>
    </row>
    <row r="5" spans="1:12" ht="24.95" customHeight="1" x14ac:dyDescent="0.25">
      <c r="A5" s="29">
        <v>45590</v>
      </c>
      <c r="B5" s="8"/>
      <c r="C5" s="8">
        <v>3</v>
      </c>
      <c r="D5" s="8"/>
      <c r="E5" s="8">
        <v>2</v>
      </c>
      <c r="F5" s="8">
        <v>1</v>
      </c>
      <c r="G5" s="8"/>
      <c r="H5" s="8">
        <v>1</v>
      </c>
      <c r="I5" s="8">
        <v>1</v>
      </c>
      <c r="J5" s="8"/>
      <c r="K5" s="8"/>
    </row>
    <row r="6" spans="1:12" ht="20.100000000000001" customHeight="1" x14ac:dyDescent="0.25">
      <c r="A6" s="11">
        <v>45286</v>
      </c>
      <c r="B6" s="10"/>
      <c r="C6" s="10"/>
      <c r="D6" s="10"/>
      <c r="E6" s="10"/>
      <c r="F6" s="10"/>
      <c r="G6" s="10"/>
      <c r="H6" s="10"/>
      <c r="I6" s="10"/>
      <c r="J6" s="10">
        <v>1</v>
      </c>
      <c r="K6" s="10"/>
    </row>
    <row r="7" spans="1:12" ht="20.100000000000001" customHeight="1" x14ac:dyDescent="0.25">
      <c r="A7" s="11">
        <v>45295</v>
      </c>
      <c r="B7" s="10">
        <v>1</v>
      </c>
      <c r="C7" s="10"/>
      <c r="D7" s="10"/>
      <c r="E7" s="10"/>
      <c r="F7" s="10"/>
      <c r="G7" s="10"/>
      <c r="H7" s="10"/>
      <c r="I7" s="10"/>
      <c r="J7" s="10">
        <v>1</v>
      </c>
      <c r="K7" s="10"/>
    </row>
    <row r="8" spans="1:12" ht="20.100000000000001" customHeight="1" x14ac:dyDescent="0.25">
      <c r="A8" s="11">
        <v>45369</v>
      </c>
      <c r="B8" s="10"/>
      <c r="C8" s="10">
        <v>1</v>
      </c>
      <c r="D8" s="10"/>
      <c r="E8" s="10"/>
      <c r="F8" s="10"/>
      <c r="G8" s="10"/>
      <c r="H8" s="10"/>
      <c r="I8" s="10"/>
      <c r="J8" s="10"/>
      <c r="K8" s="10"/>
    </row>
    <row r="9" spans="1:12" ht="20.100000000000001" customHeight="1" x14ac:dyDescent="0.25">
      <c r="A9" s="11">
        <v>45449</v>
      </c>
      <c r="B9" s="10">
        <v>1</v>
      </c>
      <c r="C9" s="10"/>
      <c r="D9" s="10"/>
      <c r="E9" s="10"/>
      <c r="F9" s="10"/>
      <c r="G9" s="10"/>
      <c r="H9" s="10"/>
      <c r="I9" s="10"/>
      <c r="J9" s="10"/>
      <c r="K9" s="10"/>
      <c r="L9" s="3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thickBot="1" x14ac:dyDescent="0.3">
      <c r="A12" s="31" t="s">
        <v>14</v>
      </c>
      <c r="B12" s="13">
        <f>SUM(B4:B9)</f>
        <v>2</v>
      </c>
      <c r="C12" s="13">
        <f t="shared" ref="C12:K12" si="0">SUM(C4:C9)</f>
        <v>7</v>
      </c>
      <c r="D12" s="13">
        <f t="shared" si="0"/>
        <v>0</v>
      </c>
      <c r="E12" s="13">
        <f t="shared" si="0"/>
        <v>2</v>
      </c>
      <c r="F12" s="13">
        <f t="shared" si="0"/>
        <v>2</v>
      </c>
      <c r="G12" s="13">
        <f t="shared" si="0"/>
        <v>0</v>
      </c>
      <c r="H12" s="13">
        <f t="shared" si="0"/>
        <v>2</v>
      </c>
      <c r="I12" s="13">
        <f t="shared" si="0"/>
        <v>1</v>
      </c>
      <c r="J12" s="13">
        <f t="shared" si="0"/>
        <v>2</v>
      </c>
      <c r="K12" s="13">
        <f t="shared" si="0"/>
        <v>0</v>
      </c>
    </row>
    <row r="13" spans="1:12" ht="20.100000000000001" customHeight="1" x14ac:dyDescent="0.25"/>
    <row r="14" spans="1:12" ht="20.100000000000001" customHeight="1" x14ac:dyDescent="0.25"/>
    <row r="15" spans="1:12" ht="20.100000000000001" customHeight="1" x14ac:dyDescent="0.25"/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3">
    <mergeCell ref="A1:K1"/>
    <mergeCell ref="A2:D2"/>
    <mergeCell ref="E2:K2"/>
  </mergeCells>
  <pageMargins left="1.299212598425197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C1F1-8F2D-4EFB-B9EF-4A3DC54FC187}">
  <sheetPr>
    <tabColor rgb="FFFF0000"/>
  </sheetPr>
  <dimension ref="A1:M24"/>
  <sheetViews>
    <sheetView workbookViewId="0">
      <selection activeCell="N11" sqref="N11"/>
    </sheetView>
  </sheetViews>
  <sheetFormatPr baseColWidth="10" defaultRowHeight="13.5" x14ac:dyDescent="0.25"/>
  <sheetData>
    <row r="1" spans="1:13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136"/>
    </row>
    <row r="2" spans="1:13" ht="21.75" thickBot="1" x14ac:dyDescent="0.3">
      <c r="A2" s="268" t="s">
        <v>124</v>
      </c>
      <c r="B2" s="269"/>
      <c r="C2" s="270"/>
      <c r="D2" s="271"/>
      <c r="E2" s="314" t="s">
        <v>0</v>
      </c>
      <c r="F2" s="315"/>
      <c r="G2" s="315"/>
      <c r="H2" s="315"/>
      <c r="I2" s="315"/>
      <c r="J2" s="315"/>
      <c r="K2" s="315"/>
      <c r="L2" s="137"/>
    </row>
    <row r="3" spans="1:13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144" t="s">
        <v>11</v>
      </c>
      <c r="L3" s="143" t="s">
        <v>72</v>
      </c>
    </row>
    <row r="4" spans="1:13" x14ac:dyDescent="0.25">
      <c r="A4" s="145">
        <v>45107</v>
      </c>
      <c r="B4" s="146">
        <v>1</v>
      </c>
      <c r="C4" s="146"/>
      <c r="D4" s="146"/>
      <c r="E4" s="146"/>
      <c r="F4" s="147">
        <v>1</v>
      </c>
      <c r="G4" s="146"/>
      <c r="H4" s="146"/>
      <c r="I4" s="146"/>
      <c r="J4" s="146"/>
      <c r="K4" s="148"/>
      <c r="L4" s="149"/>
    </row>
    <row r="5" spans="1:13" ht="20.100000000000001" customHeight="1" x14ac:dyDescent="0.25">
      <c r="A5" s="9">
        <v>45224</v>
      </c>
      <c r="B5" s="8"/>
      <c r="C5" s="8">
        <v>1</v>
      </c>
      <c r="D5" s="8"/>
      <c r="E5" s="8">
        <v>2</v>
      </c>
      <c r="F5" s="8">
        <v>1</v>
      </c>
      <c r="G5" s="8"/>
      <c r="H5" s="8"/>
      <c r="I5" s="8"/>
      <c r="J5" s="8"/>
      <c r="K5" s="139"/>
      <c r="L5" s="10"/>
    </row>
    <row r="6" spans="1:13" ht="20.100000000000001" customHeight="1" x14ac:dyDescent="0.25">
      <c r="A6" s="11">
        <v>45422</v>
      </c>
      <c r="B6" s="10">
        <v>1</v>
      </c>
      <c r="C6" s="10">
        <v>1</v>
      </c>
      <c r="D6" s="10">
        <v>1</v>
      </c>
      <c r="E6" s="10">
        <v>1</v>
      </c>
      <c r="F6" s="10">
        <v>1</v>
      </c>
      <c r="G6" s="10"/>
      <c r="H6" s="10">
        <v>1</v>
      </c>
      <c r="I6" s="10"/>
      <c r="J6" s="10">
        <v>1</v>
      </c>
      <c r="K6" s="140"/>
      <c r="L6" s="10"/>
      <c r="M6" t="s">
        <v>70</v>
      </c>
    </row>
    <row r="7" spans="1:13" ht="20.100000000000001" customHeight="1" x14ac:dyDescent="0.25">
      <c r="A7" s="11">
        <v>45474</v>
      </c>
      <c r="B7" s="10"/>
      <c r="C7" s="10"/>
      <c r="D7" s="10"/>
      <c r="E7" s="10"/>
      <c r="F7" s="10"/>
      <c r="G7" s="10">
        <v>1</v>
      </c>
      <c r="H7" s="10"/>
      <c r="I7" s="10"/>
      <c r="J7" s="10"/>
      <c r="K7" s="140"/>
      <c r="L7" s="10"/>
    </row>
    <row r="8" spans="1:13" ht="20.100000000000001" customHeight="1" x14ac:dyDescent="0.25">
      <c r="A8" s="11">
        <v>45478</v>
      </c>
      <c r="B8" s="10"/>
      <c r="C8" s="10"/>
      <c r="D8" s="10"/>
      <c r="E8" s="10"/>
      <c r="F8" s="10"/>
      <c r="G8" s="10"/>
      <c r="H8" s="10"/>
      <c r="I8" s="10"/>
      <c r="J8" s="10"/>
      <c r="K8" s="140"/>
      <c r="L8" s="10">
        <v>1</v>
      </c>
    </row>
    <row r="9" spans="1:13" ht="20.100000000000001" customHeight="1" x14ac:dyDescent="0.25">
      <c r="A9" s="11">
        <v>45523</v>
      </c>
      <c r="B9" s="10"/>
      <c r="C9" s="10"/>
      <c r="D9" s="10"/>
      <c r="E9" s="10"/>
      <c r="F9" s="10"/>
      <c r="G9" s="10"/>
      <c r="H9" s="10">
        <v>1</v>
      </c>
      <c r="I9" s="10"/>
      <c r="J9" s="10"/>
      <c r="K9" s="140"/>
      <c r="L9" s="10"/>
    </row>
    <row r="10" spans="1:13" ht="20.100000000000001" customHeight="1" x14ac:dyDescent="0.25">
      <c r="A10" s="11">
        <v>45533</v>
      </c>
      <c r="B10" s="10"/>
      <c r="C10" s="10">
        <v>4</v>
      </c>
      <c r="D10" s="10"/>
      <c r="E10" s="10"/>
      <c r="F10" s="10"/>
      <c r="G10" s="10"/>
      <c r="H10" s="10"/>
      <c r="I10" s="10">
        <v>1</v>
      </c>
      <c r="J10" s="10"/>
      <c r="K10" s="140"/>
      <c r="L10" s="10"/>
    </row>
    <row r="11" spans="1:13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40"/>
      <c r="L11" s="10"/>
    </row>
    <row r="12" spans="1:13" ht="20.100000000000001" customHeight="1" thickBot="1" x14ac:dyDescent="0.3">
      <c r="A12" s="110"/>
      <c r="B12" s="109"/>
      <c r="C12" s="109"/>
      <c r="D12" s="109"/>
      <c r="E12" s="109"/>
      <c r="F12" s="109"/>
      <c r="G12" s="109"/>
      <c r="H12" s="109"/>
      <c r="I12" s="109"/>
      <c r="J12" s="109"/>
      <c r="K12" s="141"/>
      <c r="L12" s="10"/>
    </row>
    <row r="13" spans="1:13" ht="20.100000000000001" customHeight="1" thickBot="1" x14ac:dyDescent="0.3">
      <c r="A13" s="12" t="s">
        <v>14</v>
      </c>
      <c r="B13" s="130">
        <f t="shared" ref="B13:L13" si="0">SUM(B4:B12)</f>
        <v>2</v>
      </c>
      <c r="C13" s="130">
        <f t="shared" si="0"/>
        <v>6</v>
      </c>
      <c r="D13" s="130">
        <f t="shared" si="0"/>
        <v>1</v>
      </c>
      <c r="E13" s="130">
        <f t="shared" si="0"/>
        <v>3</v>
      </c>
      <c r="F13" s="130">
        <f t="shared" si="0"/>
        <v>3</v>
      </c>
      <c r="G13" s="130">
        <f t="shared" si="0"/>
        <v>1</v>
      </c>
      <c r="H13" s="130">
        <f t="shared" si="0"/>
        <v>2</v>
      </c>
      <c r="I13" s="130">
        <f t="shared" si="0"/>
        <v>1</v>
      </c>
      <c r="J13" s="130">
        <f t="shared" si="0"/>
        <v>1</v>
      </c>
      <c r="K13" s="130">
        <f t="shared" si="0"/>
        <v>0</v>
      </c>
      <c r="L13" s="130">
        <f t="shared" si="0"/>
        <v>1</v>
      </c>
    </row>
    <row r="14" spans="1:13" ht="20.100000000000001" customHeight="1" x14ac:dyDescent="0.25"/>
    <row r="15" spans="1:13" ht="20.100000000000001" customHeight="1" x14ac:dyDescent="0.25"/>
    <row r="16" spans="1:13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</sheetData>
  <mergeCells count="3">
    <mergeCell ref="A2:D2"/>
    <mergeCell ref="E2:K2"/>
    <mergeCell ref="A1:K1"/>
  </mergeCells>
  <pageMargins left="1.299212598425197" right="0.70866141732283472" top="1.3385826771653544" bottom="0.74803149606299213" header="0.31496062992125984" footer="0.31496062992125984"/>
  <pageSetup paperSize="9"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C8E2-BDFD-4350-B77E-5A845983C358}">
  <sheetPr>
    <tabColor rgb="FFFF0000"/>
  </sheetPr>
  <dimension ref="A1:L23"/>
  <sheetViews>
    <sheetView workbookViewId="0">
      <selection sqref="A1:K12"/>
    </sheetView>
  </sheetViews>
  <sheetFormatPr baseColWidth="10" defaultRowHeight="13.5" x14ac:dyDescent="0.25"/>
  <sheetData>
    <row r="1" spans="1:12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2" ht="21.75" thickBot="1" x14ac:dyDescent="0.3">
      <c r="A2" s="268" t="s">
        <v>125</v>
      </c>
      <c r="B2" s="269"/>
      <c r="C2" s="270"/>
      <c r="D2" s="271"/>
      <c r="E2" s="314" t="s">
        <v>19</v>
      </c>
      <c r="F2" s="315"/>
      <c r="G2" s="315"/>
      <c r="H2" s="315"/>
      <c r="I2" s="315"/>
      <c r="J2" s="315"/>
      <c r="K2" s="315"/>
    </row>
    <row r="3" spans="1:12" ht="25.5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2" ht="20.100000000000001" customHeight="1" x14ac:dyDescent="0.25">
      <c r="A4" s="7">
        <v>45107</v>
      </c>
      <c r="B4" s="6">
        <v>1</v>
      </c>
      <c r="C4" s="6">
        <v>3</v>
      </c>
      <c r="D4" s="6">
        <v>1</v>
      </c>
      <c r="E4" s="6">
        <v>1</v>
      </c>
      <c r="F4" s="6">
        <v>1</v>
      </c>
      <c r="G4" s="6"/>
      <c r="H4" s="6">
        <v>1</v>
      </c>
      <c r="I4" s="6"/>
      <c r="J4" s="6"/>
      <c r="K4" s="6"/>
    </row>
    <row r="5" spans="1:12" ht="24.95" customHeight="1" x14ac:dyDescent="0.25">
      <c r="A5" s="32">
        <v>45224</v>
      </c>
      <c r="B5" s="8"/>
      <c r="C5" s="8"/>
      <c r="D5" s="8"/>
      <c r="E5" s="8">
        <v>2</v>
      </c>
      <c r="F5" s="8">
        <v>1</v>
      </c>
      <c r="G5" s="8"/>
      <c r="H5" s="8"/>
      <c r="I5" s="8"/>
      <c r="J5" s="8"/>
      <c r="K5" s="8"/>
    </row>
    <row r="6" spans="1:12" ht="20.100000000000001" customHeight="1" x14ac:dyDescent="0.25">
      <c r="A6" s="11">
        <v>45302</v>
      </c>
      <c r="B6" s="10"/>
      <c r="C6" s="10"/>
      <c r="D6" s="10"/>
      <c r="E6" s="10"/>
      <c r="F6" s="10"/>
      <c r="G6" s="10"/>
      <c r="H6" s="10"/>
      <c r="I6" s="10">
        <v>1</v>
      </c>
      <c r="J6" s="10"/>
      <c r="K6" s="10"/>
    </row>
    <row r="7" spans="1:12" ht="20.100000000000001" customHeight="1" x14ac:dyDescent="0.25">
      <c r="A7" s="11" t="s">
        <v>13</v>
      </c>
      <c r="B7" s="10"/>
      <c r="C7" s="10"/>
      <c r="D7" s="10"/>
      <c r="E7" s="10"/>
      <c r="F7" s="10"/>
      <c r="G7" s="10"/>
      <c r="H7" s="10"/>
      <c r="I7" s="10"/>
      <c r="J7" s="10">
        <v>1</v>
      </c>
      <c r="K7" s="10"/>
    </row>
    <row r="8" spans="1:12" ht="20.100000000000001" customHeight="1" x14ac:dyDescent="0.25">
      <c r="A8" s="11">
        <v>45469</v>
      </c>
      <c r="B8" s="10"/>
      <c r="C8" s="10"/>
      <c r="D8" s="10"/>
      <c r="E8" s="10">
        <v>1</v>
      </c>
      <c r="F8" s="10">
        <v>1</v>
      </c>
      <c r="G8" s="10"/>
      <c r="H8" s="10">
        <v>1</v>
      </c>
      <c r="I8" s="10"/>
      <c r="J8" s="10">
        <v>1</v>
      </c>
      <c r="K8" s="10"/>
    </row>
    <row r="9" spans="1:12" ht="20.100000000000001" customHeight="1" x14ac:dyDescent="0.25">
      <c r="A9" s="11">
        <v>45533</v>
      </c>
      <c r="B9" s="10"/>
      <c r="C9" s="10">
        <v>3</v>
      </c>
      <c r="D9" s="10"/>
      <c r="E9" s="10">
        <v>1</v>
      </c>
      <c r="F9" s="10"/>
      <c r="G9" s="10"/>
      <c r="H9" s="10"/>
      <c r="I9" s="10">
        <v>1</v>
      </c>
      <c r="J9" s="10"/>
      <c r="K9" s="10"/>
    </row>
    <row r="10" spans="1:12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2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0"/>
    </row>
    <row r="12" spans="1:12" ht="20.100000000000001" customHeight="1" thickBot="1" x14ac:dyDescent="0.3">
      <c r="A12" s="31" t="s">
        <v>14</v>
      </c>
      <c r="B12" s="13">
        <f t="shared" ref="B12:K12" si="0">SUM(B4:B11)</f>
        <v>1</v>
      </c>
      <c r="C12" s="13">
        <f t="shared" si="0"/>
        <v>6</v>
      </c>
      <c r="D12" s="13">
        <f t="shared" si="0"/>
        <v>1</v>
      </c>
      <c r="E12" s="13">
        <f t="shared" si="0"/>
        <v>5</v>
      </c>
      <c r="F12" s="13">
        <f t="shared" si="0"/>
        <v>3</v>
      </c>
      <c r="G12" s="13">
        <f t="shared" si="0"/>
        <v>0</v>
      </c>
      <c r="H12" s="13">
        <f t="shared" si="0"/>
        <v>2</v>
      </c>
      <c r="I12" s="13">
        <f t="shared" si="0"/>
        <v>2</v>
      </c>
      <c r="J12" s="13">
        <f t="shared" si="0"/>
        <v>2</v>
      </c>
      <c r="K12" s="13">
        <f t="shared" si="0"/>
        <v>0</v>
      </c>
    </row>
    <row r="13" spans="1:12" ht="20.100000000000001" customHeight="1" x14ac:dyDescent="0.25"/>
    <row r="14" spans="1:12" ht="20.100000000000001" customHeight="1" x14ac:dyDescent="0.25"/>
    <row r="15" spans="1:12" ht="20.100000000000001" customHeight="1" x14ac:dyDescent="0.25"/>
    <row r="16" spans="1:12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1.5354330708661419" bottom="0.74803149606299213" header="0.31496062992125984" footer="0.31496062992125984"/>
  <pageSetup paperSize="9"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6B3A-FD7A-4D01-8140-F0C6C6284435}">
  <sheetPr>
    <tabColor rgb="FFFF0000"/>
  </sheetPr>
  <dimension ref="A1:M26"/>
  <sheetViews>
    <sheetView topLeftCell="A4" workbookViewId="0">
      <selection sqref="A1:L15"/>
    </sheetView>
  </sheetViews>
  <sheetFormatPr baseColWidth="10" defaultRowHeight="13.5" x14ac:dyDescent="0.25"/>
  <cols>
    <col min="2" max="12" width="10.7109375" customWidth="1"/>
  </cols>
  <sheetData>
    <row r="1" spans="1:13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136"/>
    </row>
    <row r="2" spans="1:13" ht="21.75" thickBot="1" x14ac:dyDescent="0.3">
      <c r="A2" s="268" t="s">
        <v>125</v>
      </c>
      <c r="B2" s="269"/>
      <c r="C2" s="270"/>
      <c r="D2" s="271"/>
      <c r="E2" s="314" t="s">
        <v>21</v>
      </c>
      <c r="F2" s="315"/>
      <c r="G2" s="315"/>
      <c r="H2" s="315"/>
      <c r="I2" s="315"/>
      <c r="J2" s="315"/>
      <c r="K2" s="333"/>
      <c r="L2" s="137"/>
    </row>
    <row r="3" spans="1:13" ht="24" x14ac:dyDescent="0.25">
      <c r="A3" s="4" t="s">
        <v>12</v>
      </c>
      <c r="B3" s="176" t="s">
        <v>1</v>
      </c>
      <c r="C3" s="176" t="s">
        <v>2</v>
      </c>
      <c r="D3" s="176" t="s">
        <v>3</v>
      </c>
      <c r="E3" s="176" t="s">
        <v>4</v>
      </c>
      <c r="F3" s="33" t="s">
        <v>5</v>
      </c>
      <c r="G3" s="176" t="s">
        <v>6</v>
      </c>
      <c r="H3" s="176" t="s">
        <v>8</v>
      </c>
      <c r="I3" s="176" t="s">
        <v>9</v>
      </c>
      <c r="J3" s="177" t="s">
        <v>10</v>
      </c>
      <c r="K3" s="143" t="s">
        <v>11</v>
      </c>
      <c r="L3" s="143" t="s">
        <v>72</v>
      </c>
    </row>
    <row r="4" spans="1:13" ht="20.100000000000001" customHeight="1" x14ac:dyDescent="0.25">
      <c r="A4" s="7">
        <v>45148</v>
      </c>
      <c r="B4" s="6"/>
      <c r="C4" s="6">
        <v>1</v>
      </c>
      <c r="D4" s="6"/>
      <c r="E4" s="6"/>
      <c r="F4" s="6"/>
      <c r="G4" s="6"/>
      <c r="H4" s="6"/>
      <c r="I4" s="6"/>
      <c r="J4" s="150"/>
      <c r="K4" s="10"/>
      <c r="L4" s="10"/>
    </row>
    <row r="5" spans="1:13" ht="24.95" customHeight="1" x14ac:dyDescent="0.25">
      <c r="A5" s="32">
        <v>45224</v>
      </c>
      <c r="B5" s="8"/>
      <c r="C5" s="8">
        <v>3</v>
      </c>
      <c r="D5" s="8"/>
      <c r="E5" s="8">
        <v>2</v>
      </c>
      <c r="F5" s="8">
        <v>1</v>
      </c>
      <c r="G5" s="8"/>
      <c r="H5" s="8"/>
      <c r="I5" s="8"/>
      <c r="J5" s="139"/>
      <c r="K5" s="10"/>
      <c r="L5" s="10"/>
    </row>
    <row r="6" spans="1:13" ht="20.100000000000001" customHeight="1" x14ac:dyDescent="0.25">
      <c r="A6" s="11" t="s">
        <v>13</v>
      </c>
      <c r="B6" s="10"/>
      <c r="C6" s="10"/>
      <c r="D6" s="10"/>
      <c r="E6" s="10"/>
      <c r="F6" s="10"/>
      <c r="G6" s="10"/>
      <c r="H6" s="10"/>
      <c r="I6" s="10"/>
      <c r="J6" s="140">
        <v>1</v>
      </c>
      <c r="K6" s="10"/>
      <c r="L6" s="10"/>
    </row>
    <row r="7" spans="1:13" ht="20.100000000000001" customHeight="1" x14ac:dyDescent="0.25">
      <c r="A7" s="11">
        <v>45370</v>
      </c>
      <c r="B7" s="10">
        <v>1</v>
      </c>
      <c r="C7" s="10"/>
      <c r="D7" s="10"/>
      <c r="E7" s="10"/>
      <c r="F7" s="10"/>
      <c r="G7" s="10"/>
      <c r="H7" s="10"/>
      <c r="I7" s="10"/>
      <c r="J7" s="140"/>
      <c r="K7" s="10"/>
      <c r="L7" s="10"/>
    </row>
    <row r="8" spans="1:13" ht="20.100000000000001" customHeight="1" x14ac:dyDescent="0.25">
      <c r="A8" s="11">
        <v>45378</v>
      </c>
      <c r="B8" s="10">
        <v>1</v>
      </c>
      <c r="C8" s="10"/>
      <c r="D8" s="10"/>
      <c r="E8" s="10"/>
      <c r="F8" s="10"/>
      <c r="G8" s="10"/>
      <c r="H8" s="10"/>
      <c r="I8" s="10"/>
      <c r="J8" s="140"/>
      <c r="K8" s="10"/>
      <c r="L8" s="10"/>
    </row>
    <row r="9" spans="1:13" ht="20.100000000000001" customHeight="1" x14ac:dyDescent="0.25">
      <c r="A9" s="11">
        <v>45469</v>
      </c>
      <c r="B9" s="10"/>
      <c r="C9" s="10"/>
      <c r="D9" s="10"/>
      <c r="E9" s="10"/>
      <c r="F9" s="10">
        <v>1</v>
      </c>
      <c r="G9" s="10"/>
      <c r="H9" s="10">
        <v>1</v>
      </c>
      <c r="I9" s="10"/>
      <c r="J9" s="140"/>
      <c r="K9" s="10"/>
      <c r="L9" s="10"/>
    </row>
    <row r="10" spans="1:13" ht="20.100000000000001" customHeight="1" x14ac:dyDescent="0.25">
      <c r="A10" s="11">
        <v>45478</v>
      </c>
      <c r="B10" s="10"/>
      <c r="C10" s="10"/>
      <c r="D10" s="10"/>
      <c r="E10" s="10"/>
      <c r="F10" s="10"/>
      <c r="G10" s="10"/>
      <c r="H10" s="10"/>
      <c r="I10" s="10"/>
      <c r="J10" s="140"/>
      <c r="K10" s="10"/>
      <c r="L10" s="10">
        <v>1</v>
      </c>
    </row>
    <row r="11" spans="1:13" ht="20.100000000000001" customHeight="1" x14ac:dyDescent="0.25">
      <c r="A11" s="11">
        <v>45524</v>
      </c>
      <c r="B11" s="10"/>
      <c r="C11" s="10"/>
      <c r="D11" s="10"/>
      <c r="E11" s="10"/>
      <c r="F11" s="10"/>
      <c r="G11" s="10"/>
      <c r="H11" s="10">
        <v>1</v>
      </c>
      <c r="I11" s="10"/>
      <c r="J11" s="140">
        <v>1</v>
      </c>
      <c r="K11" s="10"/>
      <c r="L11" s="10"/>
    </row>
    <row r="12" spans="1:13" ht="20.100000000000001" customHeight="1" x14ac:dyDescent="0.25">
      <c r="A12" s="11">
        <v>45594</v>
      </c>
      <c r="B12" s="10">
        <v>1</v>
      </c>
      <c r="C12" s="10">
        <v>3</v>
      </c>
      <c r="D12" s="10"/>
      <c r="E12" s="10">
        <v>1</v>
      </c>
      <c r="F12" s="10"/>
      <c r="G12" s="10"/>
      <c r="H12" s="10"/>
      <c r="I12" s="10">
        <v>1</v>
      </c>
      <c r="J12" s="140"/>
      <c r="K12" s="10"/>
      <c r="L12" s="10"/>
      <c r="M12" s="30" t="s">
        <v>67</v>
      </c>
    </row>
    <row r="13" spans="1:13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40"/>
      <c r="K13" s="10"/>
      <c r="L13" s="10"/>
      <c r="M13" s="30"/>
    </row>
    <row r="14" spans="1:13" ht="20.100000000000001" customHeight="1" x14ac:dyDescent="0.25">
      <c r="A14" s="11"/>
      <c r="B14" s="10"/>
      <c r="C14" s="10"/>
      <c r="D14" s="10"/>
      <c r="E14" s="10"/>
      <c r="F14" s="10"/>
      <c r="G14" s="10"/>
      <c r="H14" s="10"/>
      <c r="I14" s="10"/>
      <c r="J14" s="140"/>
      <c r="K14" s="10"/>
      <c r="L14" s="10"/>
      <c r="M14" s="30"/>
    </row>
    <row r="15" spans="1:13" ht="20.100000000000001" customHeight="1" thickBot="1" x14ac:dyDescent="0.3">
      <c r="A15" s="31" t="s">
        <v>14</v>
      </c>
      <c r="B15" s="13">
        <f>SUM(B4:B14)</f>
        <v>3</v>
      </c>
      <c r="C15" s="13">
        <f t="shared" ref="C15:L15" si="0">SUM(C4:C14)</f>
        <v>7</v>
      </c>
      <c r="D15" s="13">
        <f t="shared" si="0"/>
        <v>0</v>
      </c>
      <c r="E15" s="13">
        <f t="shared" si="0"/>
        <v>3</v>
      </c>
      <c r="F15" s="13">
        <f t="shared" si="0"/>
        <v>2</v>
      </c>
      <c r="G15" s="13">
        <f t="shared" si="0"/>
        <v>0</v>
      </c>
      <c r="H15" s="13">
        <f t="shared" si="0"/>
        <v>2</v>
      </c>
      <c r="I15" s="13">
        <f t="shared" si="0"/>
        <v>1</v>
      </c>
      <c r="J15" s="151">
        <f t="shared" si="0"/>
        <v>2</v>
      </c>
      <c r="K15" s="142">
        <f t="shared" si="0"/>
        <v>0</v>
      </c>
      <c r="L15" s="142">
        <f t="shared" si="0"/>
        <v>1</v>
      </c>
    </row>
    <row r="16" spans="1:13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</sheetData>
  <mergeCells count="3">
    <mergeCell ref="A1:K1"/>
    <mergeCell ref="A2:D2"/>
    <mergeCell ref="E2:K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9A7F-8470-4CD7-8AB0-8C181DA2FE5D}">
  <sheetPr>
    <tabColor rgb="FFFF0000"/>
  </sheetPr>
  <dimension ref="A1:N25"/>
  <sheetViews>
    <sheetView workbookViewId="0">
      <selection sqref="A1:M14"/>
    </sheetView>
  </sheetViews>
  <sheetFormatPr baseColWidth="10" defaultRowHeight="13.5" x14ac:dyDescent="0.25"/>
  <sheetData>
    <row r="1" spans="1:14" ht="50.1" customHeight="1" thickBot="1" x14ac:dyDescent="0.3">
      <c r="A1" s="309" t="s">
        <v>39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pans="1:14" ht="21.75" thickBot="1" x14ac:dyDescent="0.3">
      <c r="A2" s="268" t="s">
        <v>130</v>
      </c>
      <c r="B2" s="269"/>
      <c r="C2" s="270"/>
      <c r="D2" s="271"/>
      <c r="E2" s="314" t="s">
        <v>136</v>
      </c>
      <c r="F2" s="315"/>
      <c r="G2" s="315"/>
      <c r="H2" s="315"/>
      <c r="I2" s="315"/>
      <c r="J2" s="315"/>
      <c r="K2" s="315"/>
      <c r="L2" s="315"/>
      <c r="M2" s="315"/>
    </row>
    <row r="3" spans="1:14" ht="24" x14ac:dyDescent="0.25">
      <c r="A3" s="4" t="s">
        <v>12</v>
      </c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4" t="s">
        <v>6</v>
      </c>
      <c r="H3" s="4" t="s">
        <v>8</v>
      </c>
      <c r="I3" s="4" t="s">
        <v>9</v>
      </c>
      <c r="J3" s="4" t="s">
        <v>10</v>
      </c>
      <c r="K3" s="4" t="s">
        <v>126</v>
      </c>
      <c r="L3" s="33" t="s">
        <v>134</v>
      </c>
      <c r="M3" s="33" t="s">
        <v>49</v>
      </c>
    </row>
    <row r="4" spans="1:14" ht="24.95" customHeight="1" x14ac:dyDescent="0.25">
      <c r="A4" s="32">
        <v>45524</v>
      </c>
      <c r="B4" s="8">
        <v>0</v>
      </c>
      <c r="C4" s="8"/>
      <c r="D4" s="8"/>
      <c r="E4" s="8"/>
      <c r="F4" s="8">
        <v>1</v>
      </c>
      <c r="G4" s="8"/>
      <c r="H4" s="8">
        <v>1</v>
      </c>
      <c r="I4" s="8"/>
      <c r="J4" s="8"/>
      <c r="K4" s="8"/>
      <c r="L4" s="8"/>
      <c r="M4" s="8"/>
      <c r="N4" s="30" t="s">
        <v>68</v>
      </c>
    </row>
    <row r="5" spans="1:14" ht="20.100000000000001" customHeight="1" x14ac:dyDescent="0.25">
      <c r="A5" s="11">
        <v>45566</v>
      </c>
      <c r="B5" s="10"/>
      <c r="C5" s="10">
        <v>2</v>
      </c>
      <c r="D5" s="10"/>
      <c r="E5" s="10"/>
      <c r="F5" s="10"/>
      <c r="G5" s="10"/>
      <c r="H5" s="10"/>
      <c r="I5" s="10">
        <v>1</v>
      </c>
      <c r="J5" s="10">
        <v>1</v>
      </c>
      <c r="K5" s="10"/>
      <c r="L5" s="10"/>
      <c r="M5" s="10"/>
    </row>
    <row r="6" spans="1:14" ht="20.100000000000001" customHeight="1" x14ac:dyDescent="0.25">
      <c r="A6" s="11">
        <v>45593</v>
      </c>
      <c r="B6" s="10">
        <v>1</v>
      </c>
      <c r="C6" s="10">
        <v>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30"/>
    </row>
    <row r="7" spans="1:14" ht="20.100000000000001" customHeight="1" x14ac:dyDescent="0.25">
      <c r="A7" s="11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4" ht="20.100000000000001" customHeight="1" x14ac:dyDescent="0.25">
      <c r="A8" s="1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30"/>
    </row>
    <row r="9" spans="1:14" ht="20.100000000000001" customHeight="1" x14ac:dyDescent="0.25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30"/>
    </row>
    <row r="10" spans="1:14" ht="20.100000000000001" customHeight="1" x14ac:dyDescent="0.25">
      <c r="A10" s="1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30"/>
    </row>
    <row r="11" spans="1:14" ht="20.100000000000001" customHeight="1" x14ac:dyDescent="0.25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30"/>
    </row>
    <row r="12" spans="1:14" ht="20.100000000000001" customHeight="1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30"/>
    </row>
    <row r="13" spans="1:14" ht="20.100000000000001" customHeight="1" x14ac:dyDescent="0.25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30"/>
    </row>
    <row r="14" spans="1:14" ht="20.100000000000001" customHeight="1" thickBot="1" x14ac:dyDescent="0.3">
      <c r="A14" s="31" t="s">
        <v>14</v>
      </c>
      <c r="B14" s="13">
        <f t="shared" ref="B14:M14" si="0">SUM(B4:B13)</f>
        <v>1</v>
      </c>
      <c r="C14" s="13">
        <f t="shared" si="0"/>
        <v>3</v>
      </c>
      <c r="D14" s="13">
        <f t="shared" si="0"/>
        <v>0</v>
      </c>
      <c r="E14" s="13">
        <f t="shared" si="0"/>
        <v>0</v>
      </c>
      <c r="F14" s="13">
        <f t="shared" si="0"/>
        <v>1</v>
      </c>
      <c r="G14" s="13">
        <f t="shared" si="0"/>
        <v>0</v>
      </c>
      <c r="H14" s="13">
        <f t="shared" si="0"/>
        <v>1</v>
      </c>
      <c r="I14" s="13">
        <f t="shared" si="0"/>
        <v>1</v>
      </c>
      <c r="J14" s="13">
        <f t="shared" si="0"/>
        <v>1</v>
      </c>
      <c r="K14" s="13"/>
      <c r="L14" s="13"/>
      <c r="M14" s="13">
        <f t="shared" si="0"/>
        <v>0</v>
      </c>
    </row>
    <row r="15" spans="1:14" ht="20.100000000000001" customHeight="1" x14ac:dyDescent="0.25"/>
    <row r="16" spans="1:14" ht="20.100000000000001" customHeight="1" x14ac:dyDescent="0.25"/>
    <row r="17" ht="20.100000000000001" customHeight="1" x14ac:dyDescent="0.25"/>
    <row r="18" ht="20.100000000000001" customHeight="1" x14ac:dyDescent="0.25"/>
    <row r="19" ht="20.100000000000001" customHeight="1" x14ac:dyDescent="0.25"/>
    <row r="20" ht="20.100000000000001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</sheetData>
  <mergeCells count="3">
    <mergeCell ref="A1:M1"/>
    <mergeCell ref="A2:D2"/>
    <mergeCell ref="E2:M2"/>
  </mergeCells>
  <pageMargins left="1.4960629921259843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68</vt:i4>
      </vt:variant>
    </vt:vector>
  </HeadingPairs>
  <TitlesOfParts>
    <vt:vector size="68" baseType="lpstr">
      <vt:lpstr>PLANTA ESTABLE</vt:lpstr>
      <vt:lpstr>ENJOY</vt:lpstr>
      <vt:lpstr>DOS57_ENTREGA_2024</vt:lpstr>
      <vt:lpstr>DOS57_ENTREGA_2025</vt:lpstr>
      <vt:lpstr>DOS57_ENTREGA_2026</vt:lpstr>
      <vt:lpstr>AGUIRRE DAVID</vt:lpstr>
      <vt:lpstr>BIBILONI SANTIAGO</vt:lpstr>
      <vt:lpstr>BIBILONI NICOLAS</vt:lpstr>
      <vt:lpstr>CARRIZO CARLOS</vt:lpstr>
      <vt:lpstr>CATALANO GONZALO</vt:lpstr>
      <vt:lpstr>CELIZ DENIS</vt:lpstr>
      <vt:lpstr>DIAZ MILTON</vt:lpstr>
      <vt:lpstr>FERNANDEZ RODRIGO</vt:lpstr>
      <vt:lpstr>GOMEZ FLORENCIA</vt:lpstr>
      <vt:lpstr>HERRERA LORENA</vt:lpstr>
      <vt:lpstr>LOPEZ MARIO</vt:lpstr>
      <vt:lpstr>LEDESMA LUIS</vt:lpstr>
      <vt:lpstr>MACHADO GERARDO</vt:lpstr>
      <vt:lpstr>OLIVETTO ANDREA</vt:lpstr>
      <vt:lpstr>ONTIVERO MAYRA</vt:lpstr>
      <vt:lpstr>PEREZ JOSE LUIS</vt:lpstr>
      <vt:lpstr>SALERNO VERONICA</vt:lpstr>
      <vt:lpstr>SANTILLAN POLA</vt:lpstr>
      <vt:lpstr>SOSA CHARA</vt:lpstr>
      <vt:lpstr>VALDIVIA JAZ</vt:lpstr>
      <vt:lpstr>VELEZ TONI</vt:lpstr>
      <vt:lpstr>VESSONI FURIA</vt:lpstr>
      <vt:lpstr>NAVARRO LEANDRO</vt:lpstr>
      <vt:lpstr>RODRIGUEZ MANOLO</vt:lpstr>
      <vt:lpstr>RODRIGUEZ URIEL</vt:lpstr>
      <vt:lpstr>MORA GABRIEL</vt:lpstr>
      <vt:lpstr>VERA ELI</vt:lpstr>
      <vt:lpstr>OCHOA ENZO</vt:lpstr>
      <vt:lpstr>AZNAL MANUEL</vt:lpstr>
      <vt:lpstr>GASCO BENJAMIN</vt:lpstr>
      <vt:lpstr>ORTOLANIS PATRICIO</vt:lpstr>
      <vt:lpstr>PUCHETA DAVID</vt:lpstr>
      <vt:lpstr>RODRIGUEZ LEONEL</vt:lpstr>
      <vt:lpstr>ROMERO LISANDRO</vt:lpstr>
      <vt:lpstr>SANCHEZ RODRIGO</vt:lpstr>
      <vt:lpstr>PONCE ALEJANDRO</vt:lpstr>
      <vt:lpstr>DARIO FLORES</vt:lpstr>
      <vt:lpstr>SINIANI FRANCO</vt:lpstr>
      <vt:lpstr>MUT MATIAS</vt:lpstr>
      <vt:lpstr>FICHA BCO.</vt:lpstr>
      <vt:lpstr>CEBALLOS FACU</vt:lpstr>
      <vt:lpstr>MARTINEZ MIGUEL</vt:lpstr>
      <vt:lpstr>GARCIA ROBERTO</vt:lpstr>
      <vt:lpstr>ZAMBRANO MERCE</vt:lpstr>
      <vt:lpstr>DIAZ DYLAN</vt:lpstr>
      <vt:lpstr>DESTEFANIS MAURI</vt:lpstr>
      <vt:lpstr>FARIAS TOMAS</vt:lpstr>
      <vt:lpstr>ROTUNNO LUCAS</vt:lpstr>
      <vt:lpstr>OCHOA ENZO_2025</vt:lpstr>
      <vt:lpstr>ALTAMIRANO AGUSTIN</vt:lpstr>
      <vt:lpstr>SIMONSEN FABIAN</vt:lpstr>
      <vt:lpstr>AGUIRRE DAVID X</vt:lpstr>
      <vt:lpstr>CHECA JONA</vt:lpstr>
      <vt:lpstr>MORENO FRANCO</vt:lpstr>
      <vt:lpstr>OLIVA DIEGO</vt:lpstr>
      <vt:lpstr>FLORES SAMUEL</vt:lpstr>
      <vt:lpstr>ROMERO TOMAS</vt:lpstr>
      <vt:lpstr>VALENCIA MANU</vt:lpstr>
      <vt:lpstr>FLORES DARIO</vt:lpstr>
      <vt:lpstr>ARIAS GONZALO</vt:lpstr>
      <vt:lpstr>FLORES NESTOR</vt:lpstr>
      <vt:lpstr>FLORES MATIAS</vt:lpstr>
      <vt:lpstr>SANCHEZ RODRIGO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Dos57 SRL</dc:creator>
  <cp:lastModifiedBy>HERNAN MILERS (EXTERNAL)</cp:lastModifiedBy>
  <cp:lastPrinted>2026-09-09T17:17:01Z</cp:lastPrinted>
  <dcterms:created xsi:type="dcterms:W3CDTF">2024-06-06T18:38:31Z</dcterms:created>
  <dcterms:modified xsi:type="dcterms:W3CDTF">2026-09-24T13:14:45Z</dcterms:modified>
</cp:coreProperties>
</file>