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ni" sheetId="1" r:id="rId5"/>
    <sheet state="visible" name="COWORKING" sheetId="2" r:id="rId6"/>
    <sheet state="visible" name="ENERO 2026" sheetId="3" r:id="rId7"/>
    <sheet state="visible" name="FEBRERO 2026" sheetId="4" r:id="rId8"/>
    <sheet state="visible" name="MARZO 2026" sheetId="5" r:id="rId9"/>
    <sheet state="visible" name="ABRIL 2026" sheetId="6" r:id="rId10"/>
    <sheet state="visible" name="MAYO 2026" sheetId="7" r:id="rId11"/>
    <sheet state="visible" name="JUNIO 2026" sheetId="8" r:id="rId12"/>
    <sheet state="visible" name="OTRAS" sheetId="9" r:id="rId13"/>
    <sheet state="hidden" name="Male" sheetId="10" r:id="rId14"/>
    <sheet state="hidden" name="Gus" sheetId="11" r:id="rId15"/>
    <sheet state="hidden" name="todas" sheetId="12" r:id="rId16"/>
    <sheet state="hidden" name="Hoja 8" sheetId="13" r:id="rId17"/>
    <sheet state="hidden" name="Flor" sheetId="14" r:id="rId18"/>
    <sheet state="hidden" name="Vicky" sheetId="15" r:id="rId19"/>
    <sheet state="hidden" name="mili" sheetId="16" r:id="rId20"/>
  </sheets>
  <definedNames/>
  <calcPr/>
</workbook>
</file>

<file path=xl/sharedStrings.xml><?xml version="1.0" encoding="utf-8"?>
<sst xmlns="http://schemas.openxmlformats.org/spreadsheetml/2006/main" count="1421" uniqueCount="649">
  <si>
    <t>CAJA CHICA_ENJOY</t>
  </si>
  <si>
    <t>SEGUIMIENTO DE CAJA</t>
  </si>
  <si>
    <t>NOMBRE: DANI YANELLO</t>
  </si>
  <si>
    <t>MES:DICIEMBRE</t>
  </si>
  <si>
    <t>FECHA</t>
  </si>
  <si>
    <t>DESCRIPCIÓN</t>
  </si>
  <si>
    <t>CAJA</t>
  </si>
  <si>
    <t>INGRESO</t>
  </si>
  <si>
    <t>EGRESO</t>
  </si>
  <si>
    <t>SALDO</t>
  </si>
  <si>
    <t>$ -</t>
  </si>
  <si>
    <t>SOBRANTE CAJA ANTERIOR</t>
  </si>
  <si>
    <t>APERTURA DE CAJA</t>
  </si>
  <si>
    <t>Operador pantalla Kempes</t>
  </si>
  <si>
    <t>ENJOY</t>
  </si>
  <si>
    <t>Refrigerio viaje x 3 (Cris)</t>
  </si>
  <si>
    <t>Compras depto MArio  Dani (Desayuno + bebidas)</t>
  </si>
  <si>
    <t>Pago jornalero carga de camión TC La Plata</t>
  </si>
  <si>
    <t>Asado cumple fausto + torta + carbon+ verdduras</t>
  </si>
  <si>
    <t>Cajones de fruta (Mario)</t>
  </si>
  <si>
    <t>Adelanto Serenos</t>
  </si>
  <si>
    <t>Pago combustible + peajes ida y vuelta UF</t>
  </si>
  <si>
    <t>Pago Limpieza RP</t>
  </si>
  <si>
    <t>compra de toner para impresora</t>
  </si>
  <si>
    <t>Almuerzo + gasto en ruta cabalen (Mario)</t>
  </si>
  <si>
    <t>Uber</t>
  </si>
  <si>
    <t>gaseosas asado</t>
  </si>
  <si>
    <t>Taxi rio iv</t>
  </si>
  <si>
    <t>Insumos limpieza Rio Iv</t>
  </si>
  <si>
    <t>Compras depto mario y dani + jabon para ropa</t>
  </si>
  <si>
    <t>Cena equipo carga camión Rio IV</t>
  </si>
  <si>
    <t>Uber Uf</t>
  </si>
  <si>
    <t>Pago Harleys + Ubers + Extra por trabajar para Enjoy</t>
  </si>
  <si>
    <t>compras de gaseosas</t>
  </si>
  <si>
    <t>desayuno para todos en predio 08/12</t>
  </si>
  <si>
    <t>10 pax extra de limpieza post evento</t>
  </si>
  <si>
    <t>Pagos serenos extra</t>
  </si>
  <si>
    <t>Comida Uf pro</t>
  </si>
  <si>
    <t>combustible y peajes nacho uf pro rio iv</t>
  </si>
  <si>
    <t>Cena lomo betos (Mario) Rio IV</t>
  </si>
  <si>
    <t>Peajes Rio IV</t>
  </si>
  <si>
    <t>Combustible Dani vuelta</t>
  </si>
  <si>
    <t>Cena Emma En ruta camino BSAS</t>
  </si>
  <si>
    <t>Pasajes ida y vuelta Benja Enjoy</t>
  </si>
  <si>
    <t>YPF cena x3 + red bull chofer</t>
  </si>
  <si>
    <t>Almuerzo Dani Aeropuerto</t>
  </si>
  <si>
    <t>MONSTER JAM</t>
  </si>
  <si>
    <t>Lavado de ropa x4 (Cris)</t>
  </si>
  <si>
    <t>Limpieza Final Precio Rio IV</t>
  </si>
  <si>
    <t>Pago a amigo de chara carga camion</t>
  </si>
  <si>
    <t>Cena Dos57 carga camion</t>
  </si>
  <si>
    <t>Pago gastos viaje + cena machado</t>
  </si>
  <si>
    <t>Limpieza RP</t>
  </si>
  <si>
    <t>Taxi Nestor</t>
  </si>
  <si>
    <t>Almuerzo x 3 (Cris)</t>
  </si>
  <si>
    <t>Combustible sprinter (Cris)</t>
  </si>
  <si>
    <t>refrigerio descarga x 6 (Cris)</t>
  </si>
  <si>
    <t>3 almuerzos (Nahuel)</t>
  </si>
  <si>
    <t>Combustible ranger (Nahuel)</t>
  </si>
  <si>
    <t>2 peajes (Nahuel)</t>
  </si>
  <si>
    <t>3 infusión para el viaje (Nahuel)</t>
  </si>
  <si>
    <t>Energizante + Bebida vuelta La Plata</t>
  </si>
  <si>
    <t>Cafe x 3 + sanguches vuelta la plata</t>
  </si>
  <si>
    <t>Pago agua diciembre</t>
  </si>
  <si>
    <t>Amuerzo Dani</t>
  </si>
  <si>
    <t>Bebida + Hielo montaje</t>
  </si>
  <si>
    <t>Almuerzo Dani</t>
  </si>
  <si>
    <t>TOTALES:</t>
  </si>
  <si>
    <t>$70.800 lavado completo  Ranger + Lavado completo Sprinter</t>
  </si>
  <si>
    <t>Lavado completo Ranger + Sprinter</t>
  </si>
  <si>
    <t>Red bull x2</t>
  </si>
  <si>
    <t>Desayuno  x2</t>
  </si>
  <si>
    <t>Almuerzo x2</t>
  </si>
  <si>
    <t>Uber regreso desde RP</t>
  </si>
  <si>
    <t>Uber desde colcar ida y vuelta</t>
  </si>
  <si>
    <t>Uber desde cada de matias</t>
  </si>
  <si>
    <t>Starlink Dani</t>
  </si>
  <si>
    <t>NOMBRE: MALE</t>
  </si>
  <si>
    <t>Pasajes male - Baires</t>
  </si>
  <si>
    <t>Horas Nahuel</t>
  </si>
  <si>
    <t>Horas emanuel</t>
  </si>
  <si>
    <t>Lucre Cortesías + cud + call center</t>
  </si>
  <si>
    <t>Personal x2 para cortesias días de evento</t>
  </si>
  <si>
    <t>Carga de seguros en berkley pre y en evento</t>
  </si>
  <si>
    <t>NOMBRE: COWORKING</t>
  </si>
  <si>
    <t>MES: ENERO 2026</t>
  </si>
  <si>
    <t>CONCEPTO</t>
  </si>
  <si>
    <t>Limpieza Coworking</t>
  </si>
  <si>
    <t>Elementos de limpieza</t>
  </si>
  <si>
    <t>TOTAL</t>
  </si>
  <si>
    <t>MES: Febrero 2026</t>
  </si>
  <si>
    <t>Desinfección</t>
  </si>
  <si>
    <t>MES: MARZO 2026</t>
  </si>
  <si>
    <t>MES: ABRIL 2026</t>
  </si>
  <si>
    <t>MES: MAYO 2026</t>
  </si>
  <si>
    <t>Limpieza Coworking + traslado</t>
  </si>
  <si>
    <t>MES:ENERO</t>
  </si>
  <si>
    <t>MES:FEBRERO</t>
  </si>
  <si>
    <t>Ingreso Caja Chica</t>
  </si>
  <si>
    <t>Almuerzo Dani - Vicky - Nahuel - Panchin</t>
  </si>
  <si>
    <t>Almuerzo En Ruta Cristian - Esteban - Ema</t>
  </si>
  <si>
    <t>Energizante Viaje + Aguas</t>
  </si>
  <si>
    <t>Cena (Asado) X 13</t>
  </si>
  <si>
    <t>Bebida Viaje + Bebida Cena + Bidones De Agua</t>
  </si>
  <si>
    <t>Desayuno X 13</t>
  </si>
  <si>
    <t>Bidones De Agua X 4</t>
  </si>
  <si>
    <t>Hielo X 4</t>
  </si>
  <si>
    <t>Jugos En Polvo X 10</t>
  </si>
  <si>
    <t>Fernet De Obsequio Para Jefe De Seguridad De Palacio</t>
  </si>
  <si>
    <t>Almuerzo X 13</t>
  </si>
  <si>
    <t>Cena X 8 (8 Menu De 8000 Y 4 De 10.000)</t>
  </si>
  <si>
    <t>Hielo X 3</t>
  </si>
  <si>
    <t>Cena</t>
  </si>
  <si>
    <t>Desayuno X 14</t>
  </si>
  <si>
    <t>Almuerzocx 15</t>
  </si>
  <si>
    <t>Hielo</t>
  </si>
  <si>
    <t>Sobres De Jugo X 20</t>
  </si>
  <si>
    <t>Cena X 16</t>
  </si>
  <si>
    <t>2 Bidones De Agua De 20Lts Para Dispenser + 6 Bidones De Agua De 10Lts</t>
  </si>
  <si>
    <t>Cabaña Canal 11</t>
  </si>
  <si>
    <t>Desayuno X 19</t>
  </si>
  <si>
    <t>Almuerzo X 19</t>
  </si>
  <si>
    <t>Ferreteria (Bujia Generador + 10 Tomas Hembra + Manguera De Paso De Combustible De Generador</t>
  </si>
  <si>
    <t>Hielo + Soda</t>
  </si>
  <si>
    <t>36 Botellas De Agua Para Gobierno</t>
  </si>
  <si>
    <t>Desagote Baños Quimicos</t>
  </si>
  <si>
    <t>Enregizante Nahuel + Desayuno Nahuel Y Pancho Uf</t>
  </si>
  <si>
    <t>Desayuno X 10</t>
  </si>
  <si>
    <t>Hielo X 5</t>
  </si>
  <si>
    <t>Almuerzo X 10</t>
  </si>
  <si>
    <t>Bebida Viaje + Energizante</t>
  </si>
  <si>
    <t>Pago Pancho Uf Por Asistencia A Enjoy</t>
  </si>
  <si>
    <t>Caja Miguel ($80.000 Gasoil + $56.000 Gasoil + $50.000 Almuerzo X 2 En Ruta + $9200 Bebida + Energizante)</t>
  </si>
  <si>
    <t>Cena Enjoy (Ruta)</t>
  </si>
  <si>
    <t>Bebida + Energizante</t>
  </si>
  <si>
    <t>Desayuno X 9</t>
  </si>
  <si>
    <t>Bidon De Agua + Hielo</t>
  </si>
  <si>
    <t>Almuerzo X 8</t>
  </si>
  <si>
    <t>Pago Horas Zamping</t>
  </si>
  <si>
    <t>Pago Traslado Zamping</t>
  </si>
  <si>
    <t>Aguas Saborizadas P/ Almuerzo En Viaje</t>
  </si>
  <si>
    <t>Energizante Taty Vuelta Cba</t>
  </si>
  <si>
    <t>Ajuste Emanuel - Jornalero</t>
  </si>
  <si>
    <t>Limpieza Rp</t>
  </si>
  <si>
    <t>Insumos Limpieza Coworking</t>
  </si>
  <si>
    <t>Pago Agua Rp</t>
  </si>
  <si>
    <t>Cena Esteban</t>
  </si>
  <si>
    <t>Lavado Techos De Gacebos Enjoy</t>
  </si>
  <si>
    <t>NOMBRE: MARCOS DIAZ</t>
  </si>
  <si>
    <t>Lavado Remeras Talleres</t>
  </si>
  <si>
    <t>Bolsas Compactadoras</t>
  </si>
  <si>
    <t>Casa Marcos  A Micro Bollo - Uber</t>
  </si>
  <si>
    <t>Valle Escondido A Casa Marcos - Uber</t>
  </si>
  <si>
    <t>Casa Marcos A Kempes - Uber</t>
  </si>
  <si>
    <t>Kempes A Casa Marcos - Uber</t>
  </si>
  <si>
    <t>Casa Marcos A Rp</t>
  </si>
  <si>
    <t>NOMBRE: VICTORIA ALMADA</t>
  </si>
  <si>
    <t>Banner Don Bosco A Rp</t>
  </si>
  <si>
    <t>Papel Entrada A Manantiales Y Al Panal - (Carpetas Letape)</t>
  </si>
  <si>
    <t>Compra Cajas</t>
  </si>
  <si>
    <t>Envios De Encomienda X 5 ($12.000 C/U)</t>
  </si>
  <si>
    <t>Marcos Diaz</t>
  </si>
  <si>
    <t>NOMBRE: DANI MARZO</t>
  </si>
  <si>
    <t>MES:MARZO</t>
  </si>
  <si>
    <t>Uber Male Reunión Neper</t>
  </si>
  <si>
    <t>Nafta Generador Enjoy + Pintura Blanca Para Boleteria + Desayuno Camionero</t>
  </si>
  <si>
    <t>Compra De Merienda Tecnica + Producción + Estructuras</t>
  </si>
  <si>
    <t>Galleetas Sin Tacc Para Vir</t>
  </si>
  <si>
    <t>Almuerzo Holliday Inn</t>
  </si>
  <si>
    <t>Uber Male Reunión Holiday</t>
  </si>
  <si>
    <t>Gastos Coworking Limpieza Rp</t>
  </si>
  <si>
    <t xml:space="preserve">Gastos Coworking Elementos De Limpieza Rp </t>
  </si>
  <si>
    <t>Uber Male Reunión Mati</t>
  </si>
  <si>
    <t>Impresones planos LEtape</t>
  </si>
  <si>
    <t>Pasaje Fede Seguridad</t>
  </si>
  <si>
    <t>Pasaje Miguel Seguridad + Gastos A Reintegrar</t>
  </si>
  <si>
    <t xml:space="preserve">Almuerzo Vir </t>
  </si>
  <si>
    <t xml:space="preserve">Cena Esteban </t>
  </si>
  <si>
    <t>Estacionamiento Muni</t>
  </si>
  <si>
    <t>Parche Gacebo Enjoy (Se Rajo En Rafaela Con El Viento)</t>
  </si>
  <si>
    <t>Arreglo Generador Enjoy</t>
  </si>
  <si>
    <t>Chips Para L'Etape Y Bingo Ilusión Celeste - (5 Chips + Carga)</t>
  </si>
  <si>
    <t xml:space="preserve">Ingreso Caja  </t>
  </si>
  <si>
    <t>Toner Dos57</t>
  </si>
  <si>
    <t>Almuerzo Celiacos + Especiales produccion</t>
  </si>
  <si>
    <t>Bebida almuerzo</t>
  </si>
  <si>
    <t>Compras Kit Marcos Diaz</t>
  </si>
  <si>
    <t>Merienda Enjoy</t>
  </si>
  <si>
    <t>Merienda Power Enjoy</t>
  </si>
  <si>
    <t>Combustible Kangoo</t>
  </si>
  <si>
    <t>Desayuno Reunion Vecky</t>
  </si>
  <si>
    <t>Almuerzo especial colaboradora</t>
  </si>
  <si>
    <t>Cables Antena De Policia</t>
  </si>
  <si>
    <t>Ramo De Flores</t>
  </si>
  <si>
    <t>Aguas Contrapeso</t>
  </si>
  <si>
    <t>Impresiones Planos Jaz Mario Lopez</t>
  </si>
  <si>
    <t>Combustible Heart Mario Lopez</t>
  </si>
  <si>
    <t>Combustible Heart Marcos Diaz</t>
  </si>
  <si>
    <t>Merienda X4 Ruta Mario Lopez</t>
  </si>
  <si>
    <t>Desayuno Reunión Mesa De Crisis X 15 Mario Lopez</t>
  </si>
  <si>
    <t>Uber Mario Lopez</t>
  </si>
  <si>
    <t>Combustible Camionetas (No Tenian La Tarjeta)</t>
  </si>
  <si>
    <t>Impresiones Dino (Pipa)</t>
  </si>
  <si>
    <t>Gaceosas Cena</t>
  </si>
  <si>
    <t>Pipa Impresiones Dino</t>
  </si>
  <si>
    <t>Combustible hertz</t>
  </si>
  <si>
    <t>Gaseosas + Energizantes</t>
  </si>
  <si>
    <t>Combustible Mario Lopez</t>
  </si>
  <si>
    <t>Almuerzo X 6 En Ruta Mario Lopez</t>
  </si>
  <si>
    <t>Desayuno</t>
  </si>
  <si>
    <t>Combustible Vespa</t>
  </si>
  <si>
    <t>Energizantes Desarme</t>
  </si>
  <si>
    <t xml:space="preserve">20 Banderas Rojas </t>
  </si>
  <si>
    <t>Uber Santa</t>
  </si>
  <si>
    <t>Uber Retiro Entrega De Banderas</t>
  </si>
  <si>
    <t>Combustible Heart Devolucion Mario Lopez</t>
  </si>
  <si>
    <t>Bebida En Ruta X 6 Mario Lopez</t>
  </si>
  <si>
    <t>Monster/Red Bull/ Pritty</t>
  </si>
  <si>
    <t>Bidones De Agua Camion Negro</t>
  </si>
  <si>
    <t>Estacionamiento Buen Pastor</t>
  </si>
  <si>
    <t>Bebida Almuerzo</t>
  </si>
  <si>
    <t>Seguros Letape</t>
  </si>
  <si>
    <t>Emanuel Certificaciones Electricidad Ccc</t>
  </si>
  <si>
    <t>Cba Contenedores</t>
  </si>
  <si>
    <t>Ubers Panchin</t>
  </si>
  <si>
    <t>Digitalizacion Plan De Evacuacion</t>
  </si>
  <si>
    <t>Totales:</t>
  </si>
  <si>
    <t>Activación Antena Starlink Cristian Letape</t>
  </si>
  <si>
    <t>Activación plan itinerante Starlink Dani</t>
  </si>
  <si>
    <t>Batería + aceite Vespa Matias</t>
  </si>
  <si>
    <t>Diferencia NAFTA auto Luciana</t>
  </si>
  <si>
    <t>Cable USB Dani - Autorizó Matías</t>
  </si>
  <si>
    <t>Desayuno Tony + Dany + Gera</t>
  </si>
  <si>
    <t>almuerzo Tony + Dani + Gera</t>
  </si>
  <si>
    <t>Tapizados asiento Cuadri</t>
  </si>
  <si>
    <t>Sandwich Panchin + Energizante</t>
  </si>
  <si>
    <t>Parche Kangoo</t>
  </si>
  <si>
    <t>NOMBRE: DANI ABRIL</t>
  </si>
  <si>
    <t>MES:ABRIL</t>
  </si>
  <si>
    <t>Fundas Starlink</t>
  </si>
  <si>
    <t>Parche cuadri Valentino</t>
  </si>
  <si>
    <t>Almuerzo Dani Kempes</t>
  </si>
  <si>
    <t xml:space="preserve">Insumos Limpieza RP </t>
  </si>
  <si>
    <t>Orrin Hidrolavadora</t>
  </si>
  <si>
    <t>Aguar RP</t>
  </si>
  <si>
    <t>Matafuegos</t>
  </si>
  <si>
    <t>Cable HDMI Pantalla</t>
  </si>
  <si>
    <t>Guante latex limpieza</t>
  </si>
  <si>
    <t>Bebida Almuerzo cumpleaños Valen</t>
  </si>
  <si>
    <t>Premio esfuerzo Pola Dos57</t>
  </si>
  <si>
    <t>Premio esfuerzo Benja Dos57</t>
  </si>
  <si>
    <t>Agua contrapesos Maratón</t>
  </si>
  <si>
    <t xml:space="preserve">Cumple Lu </t>
  </si>
  <si>
    <t>desayuno Maraton</t>
  </si>
  <si>
    <t>Hielo cumple Lu</t>
  </si>
  <si>
    <t>Arreglo Monopatin Matias</t>
  </si>
  <si>
    <t>Uber Nahuel</t>
  </si>
  <si>
    <t>Caja Gus Vanadia - Ubers</t>
  </si>
  <si>
    <t xml:space="preserve">Peaje Carlos Paz x2 </t>
  </si>
  <si>
    <t>Combustible Hilux</t>
  </si>
  <si>
    <t>Bebida Cena Acción Plaza de la musica</t>
  </si>
  <si>
    <t>dispensers + bidones RP</t>
  </si>
  <si>
    <t>Seguro Nahuel</t>
  </si>
  <si>
    <t>Adelanto Fede Guardía</t>
  </si>
  <si>
    <t>red bull + aguas viaje San Juan</t>
  </si>
  <si>
    <t>Desayuno viaje San Juan</t>
  </si>
  <si>
    <t>Control fitosanitario</t>
  </si>
  <si>
    <t xml:space="preserve">Pines Festival Km </t>
  </si>
  <si>
    <t>Cucheta + 2 colchones + sábanas + acolchados</t>
  </si>
  <si>
    <t>Limpieza</t>
  </si>
  <si>
    <t>Pago colectivo Miguel guardia de seguridad KM</t>
  </si>
  <si>
    <t xml:space="preserve"> Compras oficina (Catering - Limpieza - Papel higienico - Galletas - Redbull - Sobres de jugo - etc)</t>
  </si>
  <si>
    <t>Impresiones festival KM</t>
  </si>
  <si>
    <t>Merienda predio festival KM</t>
  </si>
  <si>
    <t>Toner impresora</t>
  </si>
  <si>
    <t>seguros</t>
  </si>
  <si>
    <t>seña alquiler alojamiento San Juan</t>
  </si>
  <si>
    <t>NOMBRE: DANI MAYO</t>
  </si>
  <si>
    <t>MES:MAYO</t>
  </si>
  <si>
    <t>Bebida almuerzo Panchin</t>
  </si>
  <si>
    <t>Almuerzo Panchin</t>
  </si>
  <si>
    <t>Merienda Panchin</t>
  </si>
  <si>
    <t>Comida Miguel Seguridad</t>
  </si>
  <si>
    <t>Camión agua predio (Agua potable para puestos de hidratacion + Llenado de contrapesos)</t>
  </si>
  <si>
    <t>Meriendas</t>
  </si>
  <si>
    <t>Desayuno Equipo</t>
  </si>
  <si>
    <t>Desayuno produccion</t>
  </si>
  <si>
    <t>Uber Miguel seguridad</t>
  </si>
  <si>
    <t>Soportes tv san Juan</t>
  </si>
  <si>
    <t>Cena x 2</t>
  </si>
  <si>
    <t>Bebida viaje + energizante + Bebida cena</t>
  </si>
  <si>
    <t>Cena salida San Juan</t>
  </si>
  <si>
    <t>Uber seguridad predio</t>
  </si>
  <si>
    <t>Uber a Polo Fede</t>
  </si>
  <si>
    <t>Uber al Kempes Fede</t>
  </si>
  <si>
    <t>Extra personal de Layher para volado de portico</t>
  </si>
  <si>
    <t xml:space="preserve">Desayuno cabañas - Papel higienico - bebida cena - Cafe - Azucar - Leche - </t>
  </si>
  <si>
    <t>Gafas de seguridad + Punteras de zapatilla (Seguridad en predio)</t>
  </si>
  <si>
    <t>14 cables extensores usb + 4 cables hdmi de 3 y 5m + hub de conexiones usb</t>
  </si>
  <si>
    <t>Adelanto Fede Seguridad</t>
  </si>
  <si>
    <t>Shampoo- desayuno Lysoform Cabañas</t>
  </si>
  <si>
    <t xml:space="preserve">tornillos Tv - Destornillador largo - Destornillador hexagonal - Couter - </t>
  </si>
  <si>
    <t>Desayuno Dani</t>
  </si>
  <si>
    <t>Limpieza RP + traslado</t>
  </si>
  <si>
    <t>Compra de punteras de seguridad + Gafas de sol</t>
  </si>
  <si>
    <t>Cena esteban</t>
  </si>
  <si>
    <t>Colectivos Vuelta serenos</t>
  </si>
  <si>
    <t>Uber vuelta Miguel</t>
  </si>
  <si>
    <t>Agua RP</t>
  </si>
  <si>
    <t>Pago hotel termas</t>
  </si>
  <si>
    <t xml:space="preserve">Cena </t>
  </si>
  <si>
    <t>Adelanto Fede Seguridad kempes</t>
  </si>
  <si>
    <t>6 parches ranger</t>
  </si>
  <si>
    <t xml:space="preserve">Desayuno x5.  (Galletitas)  </t>
  </si>
  <si>
    <t>Almuerzo x5</t>
  </si>
  <si>
    <t>Red Bull chofer</t>
  </si>
  <si>
    <t>Caja Pipa - rendida en otro Excel</t>
  </si>
  <si>
    <t>Almuerzo x 4(Dani + Milton + Krosty + Panchin)</t>
  </si>
  <si>
    <t>Red Bull Milton + Bebida</t>
  </si>
  <si>
    <t>Combustible Camión Dos57</t>
  </si>
  <si>
    <t>apto electrico KM</t>
  </si>
  <si>
    <t>Playa Municipalidad Dani</t>
  </si>
  <si>
    <t>Playa Ranger</t>
  </si>
  <si>
    <t>Almuerzo Buen Pastor</t>
  </si>
  <si>
    <t>Pago limpieza RP</t>
  </si>
  <si>
    <t>Marcos Díaz</t>
  </si>
  <si>
    <t>Fibrones autografos</t>
  </si>
  <si>
    <t xml:space="preserve">Gaseosas dos57 </t>
  </si>
  <si>
    <t>Cochera Ranger buen pastor</t>
  </si>
  <si>
    <t>Desayuno Coca</t>
  </si>
  <si>
    <t xml:space="preserve">Lavado de ranger </t>
  </si>
  <si>
    <t>Bulones + mecha</t>
  </si>
  <si>
    <t>Bidones de agua cabañas + Hielo + Jugos</t>
  </si>
  <si>
    <t>200 llaveros etiquetadores</t>
  </si>
  <si>
    <t>gomeria utv</t>
  </si>
  <si>
    <t>saldo para completar pedido ACTC</t>
  </si>
  <si>
    <t>bomba de agua +manguera + acoples</t>
  </si>
  <si>
    <t>Tacho de basura</t>
  </si>
  <si>
    <t>Pago matafuegos TC (x10)</t>
  </si>
  <si>
    <t>Insumos de limpieza</t>
  </si>
  <si>
    <t>Peajes + Traslado Harleys</t>
  </si>
  <si>
    <t xml:space="preserve">Peajes  </t>
  </si>
  <si>
    <t>Pasajes Miguel Seguridad Enjoy</t>
  </si>
  <si>
    <t>Piolin para estacionamiento</t>
  </si>
  <si>
    <t>Pan almuerzo</t>
  </si>
  <si>
    <t>Pilas</t>
  </si>
  <si>
    <t xml:space="preserve">NOMBRE: DANI </t>
  </si>
  <si>
    <t>MES:JUNIO</t>
  </si>
  <si>
    <t>Ingreso Caja Chica - Sobrante caja anterior</t>
  </si>
  <si>
    <t>Uber Lucas</t>
  </si>
  <si>
    <t xml:space="preserve">Comida dieta especial </t>
  </si>
  <si>
    <t>Pilas led de señalizacion (12)</t>
  </si>
  <si>
    <t>16 peajes del 27/05 al 1/06</t>
  </si>
  <si>
    <t>Plan starlink evento women in data</t>
  </si>
  <si>
    <t>Pasajes de colectivos Miguel seguridad</t>
  </si>
  <si>
    <t>Varilla del 8 y 100 arandelas</t>
  </si>
  <si>
    <t>Gomeria Kangoo</t>
  </si>
  <si>
    <t>100 Bolsas Compactadores</t>
  </si>
  <si>
    <t>Cena x 6 en Agec</t>
  </si>
  <si>
    <t xml:space="preserve">Art Limpieza para limpieza de evento </t>
  </si>
  <si>
    <t>Abrocadora + grampas Vecky</t>
  </si>
  <si>
    <t>Hilos para marcar estaciconamiento</t>
  </si>
  <si>
    <t>Pilas para gato</t>
  </si>
  <si>
    <t>Escobillones</t>
  </si>
  <si>
    <t>03 promotoras x $40.000</t>
  </si>
  <si>
    <t>Sobrante caja anterior</t>
  </si>
  <si>
    <t>copias de llaves de candados</t>
  </si>
  <si>
    <t>lavado Sprinter</t>
  </si>
  <si>
    <t>Autoadhesivo grafick</t>
  </si>
  <si>
    <t>Lavado auto Pipa</t>
  </si>
  <si>
    <t>almuerzo Pipa</t>
  </si>
  <si>
    <t>Combustible sprinter</t>
  </si>
  <si>
    <t>Uber Panchin para dejar sprinter</t>
  </si>
  <si>
    <t>Almuerzo Dani - Cristian - Nahuel - Montaje Coca</t>
  </si>
  <si>
    <t>Regondi</t>
  </si>
  <si>
    <t>Uber Panchin</t>
  </si>
  <si>
    <t>limpieza RP</t>
  </si>
  <si>
    <t>NOMBRE: PIPA MAYO</t>
  </si>
  <si>
    <t>Ingreso Caja Chica DANI</t>
  </si>
  <si>
    <t>Ingreso VICKY</t>
  </si>
  <si>
    <t xml:space="preserve">Almuerzo ida Esteban y Lucas </t>
  </si>
  <si>
    <t>agua / merienda tarde viaje ida</t>
  </si>
  <si>
    <t>Cena X 3</t>
  </si>
  <si>
    <t>desayuno y refrigerio para todos en autódromo</t>
  </si>
  <si>
    <t xml:space="preserve">almuerzo Esteban y Lucas  </t>
  </si>
  <si>
    <t>almuerzo Flor y pipa</t>
  </si>
  <si>
    <t>Comida y otros gastos</t>
  </si>
  <si>
    <t>Florencia</t>
  </si>
  <si>
    <t>Uber dos57</t>
  </si>
  <si>
    <t>Promotoras</t>
  </si>
  <si>
    <t>Repartidores de Flayers</t>
  </si>
  <si>
    <t>Pipa (rendición de caja)</t>
  </si>
  <si>
    <t>NOMBRE: VICKY MAYO</t>
  </si>
  <si>
    <t>MES: MAYO</t>
  </si>
  <si>
    <t xml:space="preserve">plancha acción Alta G 28/5 </t>
  </si>
  <si>
    <t>TC</t>
  </si>
  <si>
    <t>Pago promotoras Acción Kempes River Belgrano y producción Marcos</t>
  </si>
  <si>
    <t>Carpas Tagle</t>
  </si>
  <si>
    <t>RIO PINTO</t>
  </si>
  <si>
    <t>Camilo Nicolás 50% restante</t>
  </si>
  <si>
    <t>TC - Maderitas VIP - Harley</t>
  </si>
  <si>
    <t>NOMBRE: JAZ</t>
  </si>
  <si>
    <t>MES:MAYO/JUNIO</t>
  </si>
  <si>
    <t>Apertura de caja</t>
  </si>
  <si>
    <t>IMPRESION PLANOS</t>
  </si>
  <si>
    <t>TAXI TRASLADO PLANOS A CASA JAZ</t>
  </si>
  <si>
    <t>UBER TRASLADO PLANOS A CABALEN</t>
  </si>
  <si>
    <t>COMPRA LIBRERIA (HOJAS AUTOADHESIVAS, IMPRESION STICKER, RESMA A3)</t>
  </si>
  <si>
    <t>TRASLADO JAZ DESDE POLO A LIBRERIA</t>
  </si>
  <si>
    <t>COMPRA JABÓN Y SHAMPOO PARA CABAÑA AGEC (SIN TICKET - KIOSCO LADO PARRILLA)</t>
  </si>
  <si>
    <t>COPIA DE LLAVES DE BAÑOS VIP</t>
  </si>
  <si>
    <t>DEVOLUCIÓN PLATA A MOLINA POR GASTOS DE AGUA Y COMIDA EN KIOSCO (A PEDIDO DE MATÍAS)</t>
  </si>
  <si>
    <t>COMPRA GATORADE Y RED BULL (PEDIDO VECK)</t>
  </si>
  <si>
    <t>COMPRA FERRETERIA (CINTA PELIGRO, AEROSOL FLUO, HILO SISAL, GOMA ESPUMA, REMACHES)</t>
  </si>
  <si>
    <t>NOMBRE: MILI TC</t>
  </si>
  <si>
    <t>Uber de casa a Neper</t>
  </si>
  <si>
    <t>Uber de Neper a casa</t>
  </si>
  <si>
    <t>NOMBRE: MARIO</t>
  </si>
  <si>
    <t>Viceras Kangoo</t>
  </si>
  <si>
    <t>Pegamento para el espejo retrovisor kangoo</t>
  </si>
  <si>
    <t>Reunion Veck</t>
  </si>
  <si>
    <t>Impresion planos</t>
  </si>
  <si>
    <t>YPF Reunion con actc/enjoy</t>
  </si>
  <si>
    <t>Transferencia a Flor</t>
  </si>
  <si>
    <t>Articulos de limpieza</t>
  </si>
  <si>
    <t>Almacen Mario</t>
  </si>
  <si>
    <t>Ferreteria</t>
  </si>
  <si>
    <t>Bar cabalen</t>
  </si>
  <si>
    <t>Cena para 2 Pax DOS57</t>
  </si>
  <si>
    <t>Gastos autorizados veck</t>
  </si>
  <si>
    <t>3 cenas para guardias cabalen mas productos de limpieza</t>
  </si>
  <si>
    <t xml:space="preserve">Almacen Mario </t>
  </si>
  <si>
    <t>NOMBRE: MARCOS DÍAZ</t>
  </si>
  <si>
    <t>Combustible</t>
  </si>
  <si>
    <t>uber buscar auto (Pipa casa)</t>
  </si>
  <si>
    <t>Impresiones fino</t>
  </si>
  <si>
    <t>retiro de imprenta don bosco y entrega rp</t>
  </si>
  <si>
    <t>Retiro de sticker papel entrada</t>
  </si>
  <si>
    <t>Libreria</t>
  </si>
  <si>
    <t>Entrega de sobres con entradas</t>
  </si>
  <si>
    <t>Neper a casa (dejé el auto Hertz)</t>
  </si>
  <si>
    <t>Buzos Enjoy Santi Soria</t>
  </si>
  <si>
    <t>Seña Hotel Alta gracica (Lucila)</t>
  </si>
  <si>
    <t xml:space="preserve">Luca Scalzadona Diseño y Animación TC </t>
  </si>
  <si>
    <t>Uber a la terminal QLK</t>
  </si>
  <si>
    <t>Uber a Garden</t>
  </si>
  <si>
    <t>Taxi a Jcc</t>
  </si>
  <si>
    <t>Amerian Saldo noches mati y upgrade</t>
  </si>
  <si>
    <t>Pasajes ida QLK - Harleys</t>
  </si>
  <si>
    <t>Uber con mili a JCC</t>
  </si>
  <si>
    <t>Uber ida a la Terminal Rio IV</t>
  </si>
  <si>
    <t>Uber vuelta QLK</t>
  </si>
  <si>
    <t>Pasajes Vir</t>
  </si>
  <si>
    <t>Valija Male</t>
  </si>
  <si>
    <t>Aeropuerto</t>
  </si>
  <si>
    <t>Uber Vir y Male al aeropuerto</t>
  </si>
  <si>
    <t>Uber Agus a Aeroparque</t>
  </si>
  <si>
    <t>Fly bondi - Vicky</t>
  </si>
  <si>
    <t>Uber Gato y Male</t>
  </si>
  <si>
    <t>Uber Agus de Hotel a Estadio</t>
  </si>
  <si>
    <t>Dia de trabajo Esteban</t>
  </si>
  <si>
    <t>Amerian Noche Marcos Rojas</t>
  </si>
  <si>
    <t>Ida x1 + 2 vueltas rock and pelu</t>
  </si>
  <si>
    <t>Saldo dos57 + noche ultima en Sol</t>
  </si>
  <si>
    <t>Seguros la Mercantil</t>
  </si>
  <si>
    <t>NOMBRE: GUS</t>
  </si>
  <si>
    <t>RAMIRO ZORZOLI ENTREGA P.O.P TELEFE</t>
  </si>
  <si>
    <t>UBER VULCANITA PARA MEDIOS</t>
  </si>
  <si>
    <t>TAPONES OIDOS 3M</t>
  </si>
  <si>
    <t>FERRETERIA CINTA PELIGRO</t>
  </si>
  <si>
    <t>GRAFICA</t>
  </si>
  <si>
    <t>VIRUTA DE MADERA</t>
  </si>
  <si>
    <t>UBER DIA PRENSA RECORRIDO</t>
  </si>
  <si>
    <t>Ramiro Zorzoli Entrega P.O.P Telefe</t>
  </si>
  <si>
    <t>Uber Vulcanita Para Medios</t>
  </si>
  <si>
    <t>Tapones Oidos 3M</t>
  </si>
  <si>
    <t>Ferreteria Cinta Peligro</t>
  </si>
  <si>
    <t>Grafica</t>
  </si>
  <si>
    <t>Viruta De Madera</t>
  </si>
  <si>
    <t>Uber Dia Prensa Recorrido</t>
  </si>
  <si>
    <t>NOMBRE: FLORENCIA GOMEZ</t>
  </si>
  <si>
    <t>Desayuno Carga Camión</t>
  </si>
  <si>
    <t>Bebidas Viaje</t>
  </si>
  <si>
    <t>Energizante</t>
  </si>
  <si>
    <t>Cena + Bebida X 4 Viaje</t>
  </si>
  <si>
    <t>Desayuno X5</t>
  </si>
  <si>
    <t>Hielo Armado X 2</t>
  </si>
  <si>
    <t>Bidones De Agua X 3 Armado</t>
  </si>
  <si>
    <t>Almuerzo X5 Autodromo</t>
  </si>
  <si>
    <t>Hielo Armado X 3</t>
  </si>
  <si>
    <t>Ferreteria - Mecha + Tornillos + Tarugos + Brocas + Tubo (Cerramiento)</t>
  </si>
  <si>
    <t>Peajes X6</t>
  </si>
  <si>
    <t>Cena X 4 Autódromo</t>
  </si>
  <si>
    <t>Agua Dptos</t>
  </si>
  <si>
    <t>Desayuno X4</t>
  </si>
  <si>
    <t>Almuerzo X4 Autódromo</t>
  </si>
  <si>
    <t xml:space="preserve">Bebida + Hielo </t>
  </si>
  <si>
    <t>Cena X5 Dpto</t>
  </si>
  <si>
    <t>Almuerzo X5  Autódromo</t>
  </si>
  <si>
    <t xml:space="preserve">Hielo </t>
  </si>
  <si>
    <t>Agua X 3</t>
  </si>
  <si>
    <t>Bebida</t>
  </si>
  <si>
    <t>Almuerzo X6  Autódromo</t>
  </si>
  <si>
    <t>Agua X 4</t>
  </si>
  <si>
    <t>Cena X6 Autodromo</t>
  </si>
  <si>
    <t>Bebida X2</t>
  </si>
  <si>
    <t>Desayuno X 3 Ypf</t>
  </si>
  <si>
    <t>Caja Machado + Chara (Almuerzo, Cena + Uber) - Rendido</t>
  </si>
  <si>
    <t>Uber Hotel - Estadio Flor, Etc</t>
  </si>
  <si>
    <t>Monster Gringos 1Er Tanda</t>
  </si>
  <si>
    <t>Pedido Rider Gringos, Papitas, Monster, Caramelos, Latas Gaseosa</t>
  </si>
  <si>
    <t>Estacionamiento Ranger Hotel</t>
  </si>
  <si>
    <t>Lavanderia Flor, Panchin Y Benja</t>
  </si>
  <si>
    <t>Tela Negra Tipo Mantel All Day Mesas Grandes 7Mts</t>
  </si>
  <si>
    <t>Gatorade Gringos</t>
  </si>
  <si>
    <t>Uber Estadio - Benevento Machado</t>
  </si>
  <si>
    <t>Fernet Mati</t>
  </si>
  <si>
    <t>Desayuno Flor, Mili, Chino En Ypf Compu</t>
  </si>
  <si>
    <t>Uber Flor Aeropuerto - Casa</t>
  </si>
  <si>
    <t>1.300.000</t>
  </si>
  <si>
    <t>Caja monster jam - tc  - a cuenta mati mercado pago.</t>
  </si>
  <si>
    <t xml:space="preserve">Caja letape por activación </t>
  </si>
  <si>
    <t>flor</t>
  </si>
  <si>
    <t>Transfiere Flor</t>
  </si>
  <si>
    <t>NOMBRE: MILI</t>
  </si>
  <si>
    <t>Uber Facundo Y Macarena Bs As A La Plata</t>
  </si>
  <si>
    <t>Uber De Estadio - Grand Brizo</t>
  </si>
  <si>
    <t>Uber Grand Brizo - Estadio</t>
  </si>
  <si>
    <t>NOMBRE: VICKY</t>
  </si>
  <si>
    <t>Mobiliario Qlk</t>
  </si>
  <si>
    <t>Seña Colorearte Mj</t>
  </si>
  <si>
    <t>Imprenta Mj Cba</t>
  </si>
  <si>
    <t>Cajas Negras</t>
  </si>
  <si>
    <t>Remeras Letape</t>
  </si>
  <si>
    <t>Gustavo Vanadia Caja</t>
  </si>
  <si>
    <t>Gustavo Vanadia Adelanto Sueldo</t>
  </si>
  <si>
    <t>Seña Mochilas Enjoy/Dos57 (Santi)</t>
  </si>
  <si>
    <t xml:space="preserve">Galicia mayra </t>
  </si>
  <si>
    <t>Uber A La Terminal Qlk</t>
  </si>
  <si>
    <t>qlk</t>
  </si>
  <si>
    <t>Uber A Garden</t>
  </si>
  <si>
    <t>Taxi A Jcc</t>
  </si>
  <si>
    <t>Amerian Saldo Noches Mati Y Upgrade</t>
  </si>
  <si>
    <t>Pasajes Ida Qlk - Harleys</t>
  </si>
  <si>
    <t>Uber Con Mili A Jcc</t>
  </si>
  <si>
    <t>Uber Ida A La Terminal Rio Iv</t>
  </si>
  <si>
    <t>Uber Vuelta Qlk</t>
  </si>
  <si>
    <t>Saldo Dos57 + Noche Ultima En Sol</t>
  </si>
  <si>
    <t>mj</t>
  </si>
  <si>
    <t>Seguros La Mercantil</t>
  </si>
  <si>
    <t>Uber Vir Y Male Al Aeropuerto</t>
  </si>
  <si>
    <t>Uber Agus A Aeroparque</t>
  </si>
  <si>
    <t>Fly Bondi - Vicky</t>
  </si>
  <si>
    <t>Uber Gato Y Male</t>
  </si>
  <si>
    <t>Uber Agus De Hotel A Estadio</t>
  </si>
  <si>
    <t>Dia De Trabajo Esteban</t>
  </si>
  <si>
    <t>Ida X1 + 2 Vueltas Rock And Pelu</t>
  </si>
  <si>
    <t>Sobrante Caja Anterior</t>
  </si>
  <si>
    <t>Apertura De Caja</t>
  </si>
  <si>
    <t>Operador Pantalla Kempes</t>
  </si>
  <si>
    <t>Refrigerio Viaje X 3 (Cris)</t>
  </si>
  <si>
    <t>Compras Depto Mario  Dani (Desayuno + Bebidas)</t>
  </si>
  <si>
    <t>Asado Cumple Fausto + Torta + Carbon+ Verdduras</t>
  </si>
  <si>
    <t>Pago Combustible + Peajes Ida Y Vuelta Uf</t>
  </si>
  <si>
    <t>Pago Limpieza Rp</t>
  </si>
  <si>
    <t>Uber Male</t>
  </si>
  <si>
    <t>Gaseosas Asado</t>
  </si>
  <si>
    <t>Taxi Rio Iv</t>
  </si>
  <si>
    <t>Insumos Limpieza Rio Iv</t>
  </si>
  <si>
    <t>Desayuno Para Todos En Predio 08/12</t>
  </si>
  <si>
    <t>Combustible Dani Vuelta</t>
  </si>
  <si>
    <t>Cena Emma En Ruta Camino Bsas</t>
  </si>
  <si>
    <t>Pasajes Ida Y Vuelta Benja Enjoy</t>
  </si>
  <si>
    <t>Ypf Cena X3 + Red Bull Chofer</t>
  </si>
  <si>
    <t>Lavado De Ropa X4 (Cris)</t>
  </si>
  <si>
    <t>Pago A Amigo De Chara Carga Camion</t>
  </si>
  <si>
    <t>Cena Dos57 Carga Camion</t>
  </si>
  <si>
    <t>Pago Gastos Viaje + Cena Machado</t>
  </si>
  <si>
    <t>Limpieza Final Precio Rio Iv</t>
  </si>
  <si>
    <t>Almuerzo X 3 (Cris)</t>
  </si>
  <si>
    <t>Combustible Sprinter (Cris)</t>
  </si>
  <si>
    <t>Refrigerio Descarga X 6 (Cris)</t>
  </si>
  <si>
    <t>3 Almuerzos (Nahuel)</t>
  </si>
  <si>
    <t>Combustible Ranger (Nahuel)</t>
  </si>
  <si>
    <t>2 Peajes (Nahuel)</t>
  </si>
  <si>
    <t>3 Infusión Para El Viaje (Nahuel)</t>
  </si>
  <si>
    <t>Energizante + Bebida Vuelta La Plata</t>
  </si>
  <si>
    <t>Cafe X 3 + Sanguches Vuelta La Plata</t>
  </si>
  <si>
    <t>Pago Agua Diciembre</t>
  </si>
  <si>
    <t>Bebida + Hielo Montaje</t>
  </si>
  <si>
    <t>10 Pax Extra De Limpieza Post Evento</t>
  </si>
  <si>
    <t>Pago Harleys + Ubers + Extra Por Trabajar Para Enjoy</t>
  </si>
  <si>
    <t>Pagos Serenos Extra</t>
  </si>
  <si>
    <t>Comida Uf Pro</t>
  </si>
  <si>
    <t>Compras De Gaseosas</t>
  </si>
  <si>
    <t>Combustible Y Peajes Nacho Uf Pro Rio Iv</t>
  </si>
  <si>
    <t>Compra De Toner Para Impresora</t>
  </si>
  <si>
    <t>Compras Depto Mario Y Dani + Jabon Para Ropa</t>
  </si>
  <si>
    <t>Cena Equipo Carga Camión La Plata</t>
  </si>
  <si>
    <t>Cajones De Fruta (Mario)</t>
  </si>
  <si>
    <t>Almuerzo + Gasto En Ruta Cabalen (Mario)</t>
  </si>
  <si>
    <t>Cena Lomo Betos (Mario)</t>
  </si>
  <si>
    <t>Peajes</t>
  </si>
  <si>
    <t>TOTALES</t>
  </si>
  <si>
    <t>CAJA DANI</t>
  </si>
  <si>
    <t>CAJA VICKY</t>
  </si>
  <si>
    <t>CAJA MALE</t>
  </si>
  <si>
    <t>CAJA MILI</t>
  </si>
  <si>
    <t>CAJA FLOR</t>
  </si>
  <si>
    <t>CAJA GUS</t>
  </si>
  <si>
    <t>Male</t>
  </si>
  <si>
    <t>Mili</t>
  </si>
  <si>
    <t>Flor</t>
  </si>
  <si>
    <t>Fran</t>
  </si>
  <si>
    <t>Tiene viaticos</t>
  </si>
  <si>
    <t>Facundo</t>
  </si>
  <si>
    <t>Tato</t>
  </si>
  <si>
    <t>aldana</t>
  </si>
  <si>
    <t>Cena + Bebida x 4 Viaje</t>
  </si>
  <si>
    <t>Desayuno x5</t>
  </si>
  <si>
    <t>Hielo Armado x 2</t>
  </si>
  <si>
    <t>Bidones de Agua x 3 Armado</t>
  </si>
  <si>
    <t>Almuerzo x5 Autodromo</t>
  </si>
  <si>
    <t>Hielo Armado x 3</t>
  </si>
  <si>
    <t>Peajes x6</t>
  </si>
  <si>
    <t>Cena x 4 Autódromo</t>
  </si>
  <si>
    <t>Desayuno x4</t>
  </si>
  <si>
    <t>Almuerzo x4 Autódromo</t>
  </si>
  <si>
    <t>Cena x5 Dpto</t>
  </si>
  <si>
    <t>Almuerzo x5  Autódromo</t>
  </si>
  <si>
    <t>Agua x 3</t>
  </si>
  <si>
    <t>Almuerzo x6  Autódromo</t>
  </si>
  <si>
    <t>Agua x 4</t>
  </si>
  <si>
    <t>Cena x6 Autodromo</t>
  </si>
  <si>
    <t>Bebida x2</t>
  </si>
  <si>
    <t>Desayuno x 3 YPF</t>
  </si>
  <si>
    <t>Uber Hotel - Estadio Flor, etc</t>
  </si>
  <si>
    <t>Monster Gringos 1er Tanda</t>
  </si>
  <si>
    <t>Lavanderia Flor, Panchin y Benja</t>
  </si>
  <si>
    <t>Tela Negra Tipo Mantel All Day Mesas Grandes 7mts</t>
  </si>
  <si>
    <t>Desayuno Flor, Mili, Chino en YPF Compu</t>
  </si>
  <si>
    <t>Mobiliario QLK</t>
  </si>
  <si>
    <t>Seña Colorearte MJ</t>
  </si>
  <si>
    <t>Imprenta MJ Cba</t>
  </si>
  <si>
    <t>Gustavo Vanadia Adelanto sueldo</t>
  </si>
  <si>
    <t>Seña mochilas enjoy/dos57 (santi)</t>
  </si>
  <si>
    <t>uber facundo y macarena bs as a la plata</t>
  </si>
  <si>
    <t>uber de estadio - Grand Brizo</t>
  </si>
  <si>
    <t>uber Grand Brizo - estadio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</si>
</sst>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"/>
    <numFmt numFmtId="165" formatCode="[$ $]#,##0.00"/>
    <numFmt numFmtId="166" formatCode="_-&quot;$&quot;* #,##0.00_-;\-&quot;$&quot;* #,##0.00_-;_-&quot;$&quot;* &quot;-&quot;??_-;_-@"/>
    <numFmt numFmtId="167" formatCode="d/m"/>
    <numFmt numFmtId="168" formatCode="&quot;$&quot;\ #,##0"/>
    <numFmt numFmtId="169" formatCode="d-mmm"/>
    <numFmt numFmtId="170" formatCode="&quot;$&quot;#,##0.00"/>
    <numFmt numFmtId="171" formatCode="dd/mm/yy"/>
  </numFmts>
  <fonts count="28">
    <font>
      <sz val="10.0"/>
      <color rgb="FF000000"/>
      <name val="Arial"/>
      <scheme val="minor"/>
    </font>
    <font>
      <b/>
      <sz val="13.0"/>
      <color rgb="FF7F7F7F"/>
      <name val="Arial"/>
    </font>
    <font/>
    <font>
      <color theme="1"/>
      <name val="Arial"/>
    </font>
    <font>
      <b/>
      <sz val="13.0"/>
      <color rgb="FF262626"/>
      <name val="Arial"/>
    </font>
    <font>
      <b/>
      <sz val="13.0"/>
      <color theme="1"/>
      <name val="Arial"/>
    </font>
    <font>
      <b/>
      <color rgb="FFFFFFFF"/>
      <name val="Arial"/>
    </font>
    <font>
      <b/>
      <color rgb="FF7F7F7F"/>
      <name val="Arial"/>
    </font>
    <font>
      <b/>
      <color theme="1"/>
      <name val="Arial"/>
    </font>
    <font>
      <b/>
      <color theme="1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b/>
      <color rgb="FF990000"/>
      <name val="Arial"/>
    </font>
    <font>
      <b/>
      <color rgb="FF000000"/>
      <name val="Arial"/>
    </font>
    <font>
      <b/>
      <sz val="18.0"/>
      <color rgb="FF7F7F7F"/>
      <name val="Arial"/>
    </font>
    <font>
      <b/>
      <sz val="11.0"/>
      <color theme="1"/>
      <name val="Arial"/>
    </font>
    <font>
      <b/>
      <color theme="1"/>
      <name val="Calibri"/>
    </font>
    <font>
      <b/>
      <color rgb="FF000000"/>
      <name val="Calibri"/>
    </font>
    <font>
      <color rgb="FF000000"/>
      <name val="Calibri"/>
    </font>
    <font>
      <color theme="1"/>
      <name val="Calibri"/>
    </font>
    <font>
      <b/>
      <color rgb="FF7F7F7F"/>
      <name val="Calibri"/>
    </font>
    <font>
      <color rgb="FF000000"/>
      <name val="Arial"/>
      <scheme val="minor"/>
    </font>
    <font>
      <b/>
      <color rgb="FFA61C00"/>
      <name val="Arial"/>
    </font>
    <font>
      <color rgb="FF000000"/>
      <name val="Arial"/>
    </font>
    <font>
      <b/>
      <color rgb="FFFF0000"/>
      <name val="Arial"/>
    </font>
    <font>
      <color rgb="FF990000"/>
      <name val="Arial"/>
      <scheme val="minor"/>
    </font>
    <font>
      <b/>
      <color rgb="FF274E13"/>
      <name val="Arial"/>
    </font>
    <font>
      <sz val="11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33CCCC"/>
        <bgColor rgb="FF33CCCC"/>
      </patternFill>
    </fill>
    <fill>
      <patternFill patternType="solid">
        <fgColor rgb="FFB7E1CD"/>
        <bgColor rgb="FFB7E1CD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A2C4C9"/>
        <bgColor rgb="FFA2C4C9"/>
      </patternFill>
    </fill>
    <fill>
      <patternFill patternType="solid">
        <fgColor rgb="FFE06666"/>
        <bgColor rgb="FFE06666"/>
      </patternFill>
    </fill>
    <fill>
      <patternFill patternType="solid">
        <fgColor rgb="FFFFF2CC"/>
        <bgColor rgb="FFFFF2CC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</border>
    <border>
      <left style="thin">
        <color rgb="FFA5A5A5"/>
      </left>
      <right style="thin">
        <color rgb="FFA5A5A5"/>
      </right>
      <top style="thin">
        <color rgb="FFA5A5A5"/>
      </top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4" fillId="0" fontId="3" numFmtId="0" xfId="0" applyAlignment="1" applyBorder="1" applyFont="1">
      <alignment vertical="bottom"/>
    </xf>
    <xf borderId="4" fillId="2" fontId="6" numFmtId="0" xfId="0" applyAlignment="1" applyBorder="1" applyFill="1" applyFont="1">
      <alignment horizontal="center" vertical="bottom"/>
    </xf>
    <xf borderId="4" fillId="2" fontId="6" numFmtId="0" xfId="0" applyAlignment="1" applyBorder="1" applyFont="1">
      <alignment horizontal="center" readingOrder="0" vertical="bottom"/>
    </xf>
    <xf borderId="4" fillId="3" fontId="3" numFmtId="0" xfId="0" applyAlignment="1" applyBorder="1" applyFill="1" applyFont="1">
      <alignment vertical="bottom"/>
    </xf>
    <xf borderId="4" fillId="4" fontId="7" numFmtId="0" xfId="0" applyAlignment="1" applyBorder="1" applyFill="1" applyFont="1">
      <alignment horizontal="center" vertical="bottom"/>
    </xf>
    <xf borderId="4" fillId="0" fontId="8" numFmtId="164" xfId="0" applyAlignment="1" applyBorder="1" applyFont="1" applyNumberFormat="1">
      <alignment vertical="bottom"/>
    </xf>
    <xf borderId="4" fillId="0" fontId="8" numFmtId="0" xfId="0" applyAlignment="1" applyBorder="1" applyFont="1">
      <alignment horizontal="center" readingOrder="0" vertical="bottom"/>
    </xf>
    <xf borderId="4" fillId="5" fontId="7" numFmtId="165" xfId="0" applyAlignment="1" applyBorder="1" applyFill="1" applyFont="1" applyNumberFormat="1">
      <alignment horizontal="center" readingOrder="0" vertical="bottom"/>
    </xf>
    <xf borderId="4" fillId="0" fontId="8" numFmtId="165" xfId="0" applyAlignment="1" applyBorder="1" applyFont="1" applyNumberFormat="1">
      <alignment vertical="bottom"/>
    </xf>
    <xf borderId="4" fillId="4" fontId="7" numFmtId="166" xfId="0" applyAlignment="1" applyBorder="1" applyFont="1" applyNumberFormat="1">
      <alignment horizontal="center" shrinkToFit="0" vertical="bottom" wrapText="1"/>
    </xf>
    <xf borderId="0" fillId="0" fontId="3" numFmtId="166" xfId="0" applyAlignment="1" applyFont="1" applyNumberFormat="1">
      <alignment vertical="bottom"/>
    </xf>
    <xf borderId="4" fillId="0" fontId="8" numFmtId="0" xfId="0" applyAlignment="1" applyBorder="1" applyFont="1">
      <alignment horizontal="center" vertical="bottom"/>
    </xf>
    <xf borderId="4" fillId="0" fontId="8" numFmtId="164" xfId="0" applyAlignment="1" applyBorder="1" applyFont="1" applyNumberFormat="1">
      <alignment horizontal="center" readingOrder="0" vertical="bottom"/>
    </xf>
    <xf borderId="4" fillId="6" fontId="8" numFmtId="0" xfId="0" applyAlignment="1" applyBorder="1" applyFill="1" applyFont="1">
      <alignment horizontal="center" readingOrder="0" vertical="bottom"/>
    </xf>
    <xf borderId="4" fillId="6" fontId="8" numFmtId="165" xfId="0" applyAlignment="1" applyBorder="1" applyFont="1" applyNumberFormat="1">
      <alignment horizontal="center" readingOrder="0" vertical="bottom"/>
    </xf>
    <xf borderId="4" fillId="6" fontId="8" numFmtId="165" xfId="0" applyAlignment="1" applyBorder="1" applyFont="1" applyNumberFormat="1">
      <alignment horizontal="center" vertical="bottom"/>
    </xf>
    <xf borderId="4" fillId="7" fontId="8" numFmtId="165" xfId="0" applyAlignment="1" applyBorder="1" applyFill="1" applyFont="1" applyNumberFormat="1">
      <alignment horizontal="center" readingOrder="0" vertical="bottom"/>
    </xf>
    <xf borderId="0" fillId="0" fontId="3" numFmtId="165" xfId="0" applyAlignment="1" applyFont="1" applyNumberFormat="1">
      <alignment vertical="bottom"/>
    </xf>
    <xf borderId="4" fillId="6" fontId="8" numFmtId="0" xfId="0" applyAlignment="1" applyBorder="1" applyFont="1">
      <alignment horizontal="center" vertical="bottom"/>
    </xf>
    <xf borderId="4" fillId="6" fontId="8" numFmtId="0" xfId="0" applyAlignment="1" applyBorder="1" applyFont="1">
      <alignment vertical="bottom"/>
    </xf>
    <xf borderId="4" fillId="0" fontId="8" numFmtId="167" xfId="0" applyAlignment="1" applyBorder="1" applyFont="1" applyNumberFormat="1">
      <alignment horizontal="center" readingOrder="0" vertical="bottom"/>
    </xf>
    <xf borderId="4" fillId="0" fontId="9" numFmtId="164" xfId="0" applyAlignment="1" applyBorder="1" applyFont="1" applyNumberFormat="1">
      <alignment horizontal="center" readingOrder="0"/>
    </xf>
    <xf borderId="4" fillId="6" fontId="9" numFmtId="0" xfId="0" applyAlignment="1" applyBorder="1" applyFont="1">
      <alignment horizontal="center" readingOrder="0"/>
    </xf>
    <xf borderId="4" fillId="7" fontId="7" numFmtId="166" xfId="0" applyAlignment="1" applyBorder="1" applyFont="1" applyNumberFormat="1">
      <alignment horizontal="center" shrinkToFit="0" vertical="bottom" wrapText="1"/>
    </xf>
    <xf borderId="4" fillId="0" fontId="10" numFmtId="164" xfId="0" applyAlignment="1" applyBorder="1" applyFont="1" applyNumberFormat="1">
      <alignment horizontal="center" readingOrder="0" vertical="bottom"/>
    </xf>
    <xf borderId="0" fillId="0" fontId="11" numFmtId="0" xfId="0" applyFont="1"/>
    <xf borderId="4" fillId="0" fontId="8" numFmtId="165" xfId="0" applyAlignment="1" applyBorder="1" applyFont="1" applyNumberFormat="1">
      <alignment horizontal="center" vertical="bottom"/>
    </xf>
    <xf borderId="4" fillId="7" fontId="8" numFmtId="165" xfId="0" applyAlignment="1" applyBorder="1" applyFont="1" applyNumberFormat="1">
      <alignment horizontal="center" vertical="bottom"/>
    </xf>
    <xf borderId="4" fillId="7" fontId="12" numFmtId="166" xfId="0" applyAlignment="1" applyBorder="1" applyFont="1" applyNumberFormat="1">
      <alignment horizontal="center" shrinkToFit="0" vertical="bottom" wrapText="1"/>
    </xf>
    <xf borderId="0" fillId="0" fontId="3" numFmtId="0" xfId="0" applyAlignment="1" applyFont="1">
      <alignment readingOrder="0" vertical="bottom"/>
    </xf>
    <xf borderId="4" fillId="8" fontId="8" numFmtId="0" xfId="0" applyAlignment="1" applyBorder="1" applyFill="1" applyFont="1">
      <alignment horizontal="center" readingOrder="0" vertical="bottom"/>
    </xf>
    <xf borderId="4" fillId="8" fontId="8" numFmtId="165" xfId="0" applyAlignment="1" applyBorder="1" applyFont="1" applyNumberFormat="1">
      <alignment horizontal="center" readingOrder="0" vertical="bottom"/>
    </xf>
    <xf borderId="4" fillId="8" fontId="8" numFmtId="165" xfId="0" applyAlignment="1" applyBorder="1" applyFont="1" applyNumberFormat="1">
      <alignment horizontal="center" vertical="bottom"/>
    </xf>
    <xf borderId="4" fillId="9" fontId="13" numFmtId="166" xfId="0" applyAlignment="1" applyBorder="1" applyFill="1" applyFont="1" applyNumberFormat="1">
      <alignment horizontal="center" shrinkToFit="0" vertical="bottom" wrapText="1"/>
    </xf>
    <xf borderId="4" fillId="8" fontId="8" numFmtId="0" xfId="0" applyAlignment="1" applyBorder="1" applyFont="1">
      <alignment horizontal="center" vertical="bottom"/>
    </xf>
    <xf borderId="4" fillId="8" fontId="8" numFmtId="0" xfId="0" applyAlignment="1" applyBorder="1" applyFont="1">
      <alignment vertical="bottom"/>
    </xf>
    <xf borderId="4" fillId="9" fontId="12" numFmtId="166" xfId="0" applyAlignment="1" applyBorder="1" applyFont="1" applyNumberFormat="1">
      <alignment horizontal="center" shrinkToFit="0" vertical="bottom" wrapText="1"/>
    </xf>
    <xf borderId="4" fillId="0" fontId="8" numFmtId="164" xfId="0" applyAlignment="1" applyBorder="1" applyFont="1" applyNumberFormat="1">
      <alignment horizontal="center" vertical="bottom"/>
    </xf>
    <xf borderId="1" fillId="0" fontId="14" numFmtId="0" xfId="0" applyAlignment="1" applyBorder="1" applyFont="1">
      <alignment horizontal="center" vertical="bottom"/>
    </xf>
    <xf borderId="1" fillId="0" fontId="15" numFmtId="168" xfId="0" applyAlignment="1" applyBorder="1" applyFont="1" applyNumberFormat="1">
      <alignment horizontal="center" vertical="bottom"/>
    </xf>
    <xf borderId="5" fillId="2" fontId="6" numFmtId="0" xfId="0" applyAlignment="1" applyBorder="1" applyFont="1">
      <alignment horizontal="center" vertical="bottom"/>
    </xf>
    <xf borderId="6" fillId="2" fontId="6" numFmtId="0" xfId="0" applyAlignment="1" applyBorder="1" applyFont="1">
      <alignment horizontal="center" vertical="bottom"/>
    </xf>
    <xf borderId="7" fillId="2" fontId="6" numFmtId="168" xfId="0" applyAlignment="1" applyBorder="1" applyFont="1" applyNumberFormat="1">
      <alignment horizontal="center" vertical="bottom"/>
    </xf>
    <xf borderId="6" fillId="2" fontId="6" numFmtId="168" xfId="0" applyAlignment="1" applyBorder="1" applyFont="1" applyNumberFormat="1">
      <alignment horizontal="center" vertical="bottom"/>
    </xf>
    <xf borderId="8" fillId="2" fontId="6" numFmtId="168" xfId="0" applyAlignment="1" applyBorder="1" applyFont="1" applyNumberFormat="1">
      <alignment horizontal="center" shrinkToFit="0" vertical="bottom" wrapText="1"/>
    </xf>
    <xf borderId="9" fillId="3" fontId="3" numFmtId="0" xfId="0" applyAlignment="1" applyBorder="1" applyFont="1">
      <alignment vertical="bottom"/>
    </xf>
    <xf borderId="10" fillId="3" fontId="3" numFmtId="0" xfId="0" applyAlignment="1" applyBorder="1" applyFont="1">
      <alignment vertical="bottom"/>
    </xf>
    <xf borderId="10" fillId="3" fontId="3" numFmtId="166" xfId="0" applyAlignment="1" applyBorder="1" applyFont="1" applyNumberFormat="1">
      <alignment vertical="bottom"/>
    </xf>
    <xf borderId="10" fillId="3" fontId="7" numFmtId="166" xfId="0" applyAlignment="1" applyBorder="1" applyFont="1" applyNumberFormat="1">
      <alignment horizontal="center" vertical="bottom"/>
    </xf>
    <xf borderId="4" fillId="0" fontId="8" numFmtId="16" xfId="0" applyAlignment="1" applyBorder="1" applyFont="1" applyNumberFormat="1">
      <alignment horizontal="center" vertical="bottom"/>
    </xf>
    <xf borderId="4" fillId="0" fontId="8" numFmtId="166" xfId="0" applyAlignment="1" applyBorder="1" applyFont="1" applyNumberFormat="1">
      <alignment horizontal="center" vertical="bottom"/>
    </xf>
    <xf borderId="4" fillId="0" fontId="3" numFmtId="166" xfId="0" applyAlignment="1" applyBorder="1" applyFont="1" applyNumberFormat="1">
      <alignment vertical="bottom"/>
    </xf>
    <xf borderId="4" fillId="7" fontId="8" numFmtId="166" xfId="0" applyAlignment="1" applyBorder="1" applyFont="1" applyNumberFormat="1">
      <alignment horizontal="center" vertical="bottom"/>
    </xf>
    <xf borderId="4" fillId="0" fontId="7" numFmtId="166" xfId="0" applyAlignment="1" applyBorder="1" applyFont="1" applyNumberFormat="1">
      <alignment horizontal="center" shrinkToFit="0" vertical="bottom" wrapText="1"/>
    </xf>
    <xf borderId="4" fillId="0" fontId="10" numFmtId="164" xfId="0" applyAlignment="1" applyBorder="1" applyFont="1" applyNumberFormat="1">
      <alignment horizontal="center" vertical="bottom"/>
    </xf>
    <xf borderId="4" fillId="0" fontId="3" numFmtId="16" xfId="0" applyAlignment="1" applyBorder="1" applyFont="1" applyNumberFormat="1">
      <alignment vertical="bottom"/>
    </xf>
    <xf borderId="4" fillId="0" fontId="8" numFmtId="0" xfId="0" applyAlignment="1" applyBorder="1" applyFont="1">
      <alignment horizontal="center" shrinkToFit="0" vertical="bottom" wrapText="1"/>
    </xf>
    <xf borderId="11" fillId="8" fontId="8" numFmtId="169" xfId="0" applyAlignment="1" applyBorder="1" applyFont="1" applyNumberFormat="1">
      <alignment horizontal="center" vertical="bottom"/>
    </xf>
    <xf borderId="11" fillId="8" fontId="3" numFmtId="166" xfId="0" applyAlignment="1" applyBorder="1" applyFont="1" applyNumberFormat="1">
      <alignment vertical="bottom"/>
    </xf>
    <xf borderId="11" fillId="8" fontId="7" numFmtId="170" xfId="0" applyAlignment="1" applyBorder="1" applyFont="1" applyNumberFormat="1">
      <alignment horizontal="center" shrinkToFit="0" vertical="bottom" wrapText="1"/>
    </xf>
    <xf borderId="11" fillId="8" fontId="8" numFmtId="166" xfId="0" applyAlignment="1" applyBorder="1" applyFont="1" applyNumberFormat="1">
      <alignment horizontal="center" vertical="bottom"/>
    </xf>
    <xf borderId="11" fillId="8" fontId="3" numFmtId="16" xfId="0" applyAlignment="1" applyBorder="1" applyFont="1" applyNumberFormat="1">
      <alignment vertical="bottom"/>
    </xf>
    <xf borderId="11" fillId="8" fontId="8" numFmtId="0" xfId="0" applyAlignment="1" applyBorder="1" applyFont="1">
      <alignment horizontal="center" shrinkToFit="0" vertical="bottom" wrapText="1"/>
    </xf>
    <xf borderId="11" fillId="8" fontId="3" numFmtId="168" xfId="0" applyAlignment="1" applyBorder="1" applyFont="1" applyNumberFormat="1">
      <alignment vertical="bottom"/>
    </xf>
    <xf borderId="11" fillId="8" fontId="3" numFmtId="0" xfId="0" applyAlignment="1" applyBorder="1" applyFont="1">
      <alignment vertical="bottom"/>
    </xf>
    <xf borderId="0" fillId="0" fontId="3" numFmtId="16" xfId="0" applyAlignment="1" applyFont="1" applyNumberFormat="1">
      <alignment vertical="bottom"/>
    </xf>
    <xf borderId="1" fillId="0" fontId="14" numFmtId="16" xfId="0" applyAlignment="1" applyBorder="1" applyFont="1" applyNumberFormat="1">
      <alignment horizontal="center" vertical="bottom"/>
    </xf>
    <xf borderId="5" fillId="2" fontId="6" numFmtId="16" xfId="0" applyAlignment="1" applyBorder="1" applyFont="1" applyNumberFormat="1">
      <alignment horizontal="center" vertical="bottom"/>
    </xf>
    <xf borderId="9" fillId="3" fontId="3" numFmtId="16" xfId="0" applyAlignment="1" applyBorder="1" applyFont="1" applyNumberFormat="1">
      <alignment vertical="bottom"/>
    </xf>
    <xf borderId="10" fillId="3" fontId="3" numFmtId="16" xfId="0" applyAlignment="1" applyBorder="1" applyFont="1" applyNumberFormat="1">
      <alignment vertical="bottom"/>
    </xf>
    <xf borderId="12" fillId="8" fontId="8" numFmtId="169" xfId="0" applyAlignment="1" applyBorder="1" applyFont="1" applyNumberFormat="1">
      <alignment horizontal="center" vertical="bottom"/>
    </xf>
    <xf borderId="4" fillId="0" fontId="8" numFmtId="166" xfId="0" applyAlignment="1" applyBorder="1" applyFont="1" applyNumberFormat="1">
      <alignment horizontal="center" shrinkToFit="0" vertical="bottom" wrapText="1"/>
    </xf>
    <xf borderId="4" fillId="7" fontId="3" numFmtId="166" xfId="0" applyAlignment="1" applyBorder="1" applyFont="1" applyNumberFormat="1">
      <alignment vertical="bottom"/>
    </xf>
    <xf borderId="6" fillId="2" fontId="6" numFmtId="166" xfId="0" applyAlignment="1" applyBorder="1" applyFont="1" applyNumberFormat="1">
      <alignment horizontal="center" vertical="bottom"/>
    </xf>
    <xf borderId="9" fillId="3" fontId="3" numFmtId="164" xfId="0" applyAlignment="1" applyBorder="1" applyFont="1" applyNumberFormat="1">
      <alignment vertical="bottom"/>
    </xf>
    <xf borderId="10" fillId="3" fontId="3" numFmtId="164" xfId="0" applyAlignment="1" applyBorder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170" xfId="0" applyAlignment="1" applyFont="1" applyNumberFormat="1">
      <alignment vertical="bottom"/>
    </xf>
    <xf borderId="4" fillId="0" fontId="16" numFmtId="164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horizontal="center" readingOrder="0" vertical="bottom"/>
    </xf>
    <xf borderId="4" fillId="5" fontId="17" numFmtId="164" xfId="0" applyAlignment="1" applyBorder="1" applyFont="1" applyNumberFormat="1">
      <alignment shrinkToFit="0" wrapText="0"/>
    </xf>
    <xf borderId="4" fillId="5" fontId="18" numFmtId="0" xfId="0" applyAlignment="1" applyBorder="1" applyFont="1">
      <alignment readingOrder="0"/>
    </xf>
    <xf borderId="4" fillId="5" fontId="17" numFmtId="170" xfId="0" applyAlignment="1" applyBorder="1" applyFont="1" applyNumberFormat="1">
      <alignment horizontal="right" readingOrder="0"/>
    </xf>
    <xf borderId="4" fillId="5" fontId="17" numFmtId="165" xfId="0" applyAlignment="1" applyBorder="1" applyFont="1" applyNumberFormat="1">
      <alignment horizontal="right" shrinkToFit="0" wrapText="0"/>
    </xf>
    <xf borderId="4" fillId="5" fontId="7" numFmtId="166" xfId="0" applyAlignment="1" applyBorder="1" applyFont="1" applyNumberFormat="1">
      <alignment horizontal="center" shrinkToFit="0" vertical="bottom" wrapText="1"/>
    </xf>
    <xf borderId="4" fillId="0" fontId="17" numFmtId="164" xfId="0" applyAlignment="1" applyBorder="1" applyFont="1" applyNumberFormat="1">
      <alignment horizontal="right" readingOrder="0" shrinkToFit="0" wrapText="0"/>
    </xf>
    <xf borderId="4" fillId="0" fontId="18" numFmtId="0" xfId="0" applyBorder="1" applyFont="1"/>
    <xf borderId="4" fillId="0" fontId="17" numFmtId="170" xfId="0" applyAlignment="1" applyBorder="1" applyFont="1" applyNumberFormat="1">
      <alignment horizontal="right"/>
    </xf>
    <xf borderId="4" fillId="0" fontId="11" numFmtId="170" xfId="0" applyAlignment="1" applyBorder="1" applyFont="1" applyNumberFormat="1">
      <alignment readingOrder="0"/>
    </xf>
    <xf borderId="4" fillId="0" fontId="16" numFmtId="164" xfId="0" applyAlignment="1" applyBorder="1" applyFont="1" applyNumberFormat="1">
      <alignment horizontal="right" readingOrder="0" shrinkToFit="0" wrapText="0"/>
    </xf>
    <xf borderId="4" fillId="0" fontId="19" numFmtId="0" xfId="0" applyBorder="1" applyFont="1"/>
    <xf borderId="4" fillId="0" fontId="17" numFmtId="167" xfId="0" applyAlignment="1" applyBorder="1" applyFont="1" applyNumberFormat="1">
      <alignment horizontal="right" readingOrder="0" shrinkToFit="0" wrapText="0"/>
    </xf>
    <xf borderId="4" fillId="5" fontId="17" numFmtId="164" xfId="0" applyAlignment="1" applyBorder="1" applyFont="1" applyNumberFormat="1">
      <alignment horizontal="right" readingOrder="0" shrinkToFit="0" wrapText="0"/>
    </xf>
    <xf borderId="4" fillId="5" fontId="11" numFmtId="170" xfId="0" applyAlignment="1" applyBorder="1" applyFont="1" applyNumberFormat="1">
      <alignment readingOrder="0"/>
    </xf>
    <xf borderId="4" fillId="0" fontId="18" numFmtId="0" xfId="0" applyAlignment="1" applyBorder="1" applyFont="1">
      <alignment shrinkToFit="0" wrapText="1"/>
    </xf>
    <xf borderId="4" fillId="0" fontId="20" numFmtId="170" xfId="0" applyAlignment="1" applyBorder="1" applyFont="1" applyNumberFormat="1">
      <alignment shrinkToFit="0" vertical="bottom" wrapText="0"/>
    </xf>
    <xf borderId="4" fillId="0" fontId="18" numFmtId="0" xfId="0" applyAlignment="1" applyBorder="1" applyFont="1">
      <alignment readingOrder="0"/>
    </xf>
    <xf borderId="4" fillId="5" fontId="17" numFmtId="167" xfId="0" applyAlignment="1" applyBorder="1" applyFont="1" applyNumberFormat="1">
      <alignment horizontal="right" readingOrder="0" shrinkToFit="0" wrapText="0"/>
    </xf>
    <xf borderId="4" fillId="5" fontId="11" numFmtId="170" xfId="0" applyBorder="1" applyFont="1" applyNumberFormat="1"/>
    <xf borderId="4" fillId="0" fontId="11" numFmtId="164" xfId="0" applyAlignment="1" applyBorder="1" applyFont="1" applyNumberFormat="1">
      <alignment readingOrder="0"/>
    </xf>
    <xf borderId="4" fillId="0" fontId="11" numFmtId="0" xfId="0" applyBorder="1" applyFont="1"/>
    <xf borderId="4" fillId="0" fontId="9" numFmtId="170" xfId="0" applyBorder="1" applyFont="1" applyNumberFormat="1"/>
    <xf borderId="4" fillId="0" fontId="18" numFmtId="0" xfId="0" applyAlignment="1" applyBorder="1" applyFont="1">
      <alignment horizontal="right"/>
    </xf>
    <xf borderId="1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17" numFmtId="164" xfId="0" applyAlignment="1" applyFont="1" applyNumberFormat="1">
      <alignment readingOrder="0" shrinkToFit="0" wrapText="0"/>
    </xf>
    <xf borderId="0" fillId="0" fontId="18" numFmtId="0" xfId="0" applyAlignment="1" applyFont="1">
      <alignment readingOrder="0"/>
    </xf>
    <xf borderId="0" fillId="0" fontId="17" numFmtId="170" xfId="0" applyAlignment="1" applyFont="1" applyNumberFormat="1">
      <alignment horizontal="right" readingOrder="0"/>
    </xf>
    <xf borderId="0" fillId="0" fontId="17" numFmtId="165" xfId="0" applyAlignment="1" applyFont="1" applyNumberFormat="1">
      <alignment horizontal="right" shrinkToFit="0" wrapText="0"/>
    </xf>
    <xf borderId="0" fillId="0" fontId="7" numFmtId="166" xfId="0" applyAlignment="1" applyFont="1" applyNumberFormat="1">
      <alignment horizontal="center" shrinkToFit="0" vertical="bottom" wrapText="1"/>
    </xf>
    <xf borderId="0" fillId="0" fontId="17" numFmtId="164" xfId="0" applyAlignment="1" applyFont="1" applyNumberFormat="1">
      <alignment horizontal="right" readingOrder="0" shrinkToFit="0" wrapText="0"/>
    </xf>
    <xf borderId="0" fillId="0" fontId="16" numFmtId="164" xfId="0" applyAlignment="1" applyFont="1" applyNumberFormat="1">
      <alignment horizontal="right" readingOrder="0" shrinkToFit="0" wrapText="0"/>
    </xf>
    <xf borderId="0" fillId="0" fontId="19" numFmtId="0" xfId="0" applyAlignment="1" applyFont="1">
      <alignment readingOrder="0"/>
    </xf>
    <xf borderId="0" fillId="0" fontId="17" numFmtId="0" xfId="0" applyAlignment="1" applyFont="1">
      <alignment horizontal="right" readingOrder="0" shrinkToFit="0" wrapText="0"/>
    </xf>
    <xf borderId="0" fillId="0" fontId="11" numFmtId="0" xfId="0" applyAlignment="1" applyFont="1">
      <alignment readingOrder="0"/>
    </xf>
    <xf borderId="0" fillId="0" fontId="8" numFmtId="164" xfId="0" applyAlignment="1" applyFont="1" applyNumberFormat="1">
      <alignment vertical="bottom"/>
    </xf>
    <xf borderId="0" fillId="0" fontId="8" numFmtId="0" xfId="0" applyAlignment="1" applyFont="1">
      <alignment horizontal="center" vertical="bottom"/>
    </xf>
    <xf borderId="0" fillId="0" fontId="8" numFmtId="165" xfId="0" applyAlignment="1" applyFont="1" applyNumberFormat="1">
      <alignment horizontal="center" vertical="bottom"/>
    </xf>
    <xf borderId="4" fillId="0" fontId="8" numFmtId="164" xfId="0" applyAlignment="1" applyBorder="1" applyFont="1" applyNumberFormat="1">
      <alignment readingOrder="0" vertical="bottom"/>
    </xf>
    <xf borderId="4" fillId="0" fontId="17" numFmtId="170" xfId="0" applyAlignment="1" applyBorder="1" applyFont="1" applyNumberFormat="1">
      <alignment horizontal="right" readingOrder="0"/>
    </xf>
    <xf borderId="4" fillId="5" fontId="17" numFmtId="164" xfId="0" applyAlignment="1" applyBorder="1" applyFont="1" applyNumberFormat="1">
      <alignment readingOrder="0" shrinkToFit="0" wrapText="0"/>
    </xf>
    <xf borderId="4" fillId="0" fontId="11" numFmtId="0" xfId="0" applyAlignment="1" applyBorder="1" applyFont="1">
      <alignment readingOrder="0"/>
    </xf>
    <xf borderId="4" fillId="5" fontId="16" numFmtId="164" xfId="0" applyAlignment="1" applyBorder="1" applyFont="1" applyNumberFormat="1">
      <alignment horizontal="right" readingOrder="0" shrinkToFit="0" wrapText="0"/>
    </xf>
    <xf borderId="4" fillId="5" fontId="17" numFmtId="170" xfId="0" applyAlignment="1" applyBorder="1" applyFont="1" applyNumberFormat="1">
      <alignment horizontal="left" readingOrder="0"/>
    </xf>
    <xf borderId="4" fillId="0" fontId="3" numFmtId="165" xfId="0" applyAlignment="1" applyBorder="1" applyFont="1" applyNumberFormat="1">
      <alignment horizontal="left" vertical="bottom"/>
    </xf>
    <xf borderId="4" fillId="10" fontId="16" numFmtId="164" xfId="0" applyAlignment="1" applyBorder="1" applyFill="1" applyFont="1" applyNumberFormat="1">
      <alignment horizontal="right" readingOrder="0" shrinkToFit="0" wrapText="0"/>
    </xf>
    <xf borderId="4" fillId="0" fontId="8" numFmtId="164" xfId="0" applyAlignment="1" applyBorder="1" applyFont="1" applyNumberFormat="1">
      <alignment horizontal="right" readingOrder="0" vertical="bottom"/>
    </xf>
    <xf borderId="4" fillId="0" fontId="8" numFmtId="164" xfId="0" applyAlignment="1" applyBorder="1" applyFont="1" applyNumberFormat="1">
      <alignment horizontal="right" vertical="bottom"/>
    </xf>
    <xf borderId="4" fillId="0" fontId="8" numFmtId="165" xfId="0" applyAlignment="1" applyBorder="1" applyFont="1" applyNumberFormat="1">
      <alignment horizontal="center" readingOrder="0" vertical="bottom"/>
    </xf>
    <xf borderId="4" fillId="0" fontId="13" numFmtId="165" xfId="0" applyAlignment="1" applyBorder="1" applyFont="1" applyNumberFormat="1">
      <alignment horizontal="center" vertical="bottom"/>
    </xf>
    <xf borderId="0" fillId="0" fontId="11" numFmtId="170" xfId="0" applyAlignment="1" applyFont="1" applyNumberFormat="1">
      <alignment readingOrder="0"/>
    </xf>
    <xf borderId="4" fillId="0" fontId="21" numFmtId="0" xfId="0" applyAlignment="1" applyBorder="1" applyFont="1">
      <alignment readingOrder="0"/>
    </xf>
    <xf borderId="4" fillId="0" fontId="21" numFmtId="0" xfId="0" applyBorder="1" applyFont="1"/>
    <xf borderId="0" fillId="2" fontId="11" numFmtId="0" xfId="0" applyFont="1"/>
    <xf borderId="0" fillId="11" fontId="11" numFmtId="0" xfId="0" applyFill="1" applyFont="1"/>
    <xf borderId="4" fillId="9" fontId="7" numFmtId="166" xfId="0" applyAlignment="1" applyBorder="1" applyFont="1" applyNumberFormat="1">
      <alignment horizontal="center" shrinkToFit="0" vertical="bottom" wrapText="1"/>
    </xf>
    <xf borderId="4" fillId="9" fontId="22" numFmtId="166" xfId="0" applyAlignment="1" applyBorder="1" applyFont="1" applyNumberFormat="1">
      <alignment horizontal="center" shrinkToFit="0" vertical="bottom" wrapText="1"/>
    </xf>
    <xf borderId="4" fillId="3" fontId="3" numFmtId="0" xfId="0" applyAlignment="1" applyBorder="1" applyFont="1">
      <alignment horizontal="center" vertical="bottom"/>
    </xf>
    <xf borderId="4" fillId="3" fontId="3" numFmtId="0" xfId="0" applyAlignment="1" applyBorder="1" applyFont="1">
      <alignment horizontal="center" readingOrder="0" vertical="bottom"/>
    </xf>
    <xf borderId="4" fillId="3" fontId="3" numFmtId="170" xfId="0" applyAlignment="1" applyBorder="1" applyFont="1" applyNumberFormat="1">
      <alignment horizontal="center" vertical="bottom"/>
    </xf>
    <xf borderId="4" fillId="4" fontId="7" numFmtId="170" xfId="0" applyAlignment="1" applyBorder="1" applyFont="1" applyNumberFormat="1">
      <alignment horizontal="center" shrinkToFit="0" vertical="bottom" wrapText="1"/>
    </xf>
    <xf borderId="4" fillId="0" fontId="17" numFmtId="164" xfId="0" applyAlignment="1" applyBorder="1" applyFont="1" applyNumberFormat="1">
      <alignment horizontal="center" readingOrder="0" shrinkToFit="0" wrapText="0"/>
    </xf>
    <xf borderId="4" fillId="0" fontId="11" numFmtId="0" xfId="0" applyAlignment="1" applyBorder="1" applyFont="1">
      <alignment horizontal="center" readingOrder="0"/>
    </xf>
    <xf borderId="4" fillId="0" fontId="11" numFmtId="0" xfId="0" applyAlignment="1" applyBorder="1" applyFont="1">
      <alignment horizontal="center"/>
    </xf>
    <xf borderId="4" fillId="0" fontId="17" numFmtId="170" xfId="0" applyAlignment="1" applyBorder="1" applyFont="1" applyNumberFormat="1">
      <alignment horizontal="center" readingOrder="0"/>
    </xf>
    <xf borderId="0" fillId="0" fontId="11" numFmtId="0" xfId="0" applyAlignment="1" applyFont="1">
      <alignment horizontal="center"/>
    </xf>
    <xf borderId="0" fillId="2" fontId="11" numFmtId="0" xfId="0" applyAlignment="1" applyFont="1">
      <alignment horizontal="center"/>
    </xf>
    <xf borderId="3" fillId="0" fontId="1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readingOrder="0" vertical="bottom"/>
    </xf>
    <xf borderId="3" fillId="0" fontId="5" numFmtId="0" xfId="0" applyAlignment="1" applyBorder="1" applyFont="1">
      <alignment horizontal="center" readingOrder="0" vertical="bottom"/>
    </xf>
    <xf borderId="4" fillId="4" fontId="7" numFmtId="170" xfId="0" applyAlignment="1" applyBorder="1" applyFont="1" applyNumberFormat="1">
      <alignment horizontal="center" readingOrder="0" vertical="bottom"/>
    </xf>
    <xf borderId="4" fillId="0" fontId="23" numFmtId="171" xfId="0" applyAlignment="1" applyBorder="1" applyFont="1" applyNumberFormat="1">
      <alignment horizontal="center" readingOrder="0" shrinkToFit="0" vertical="bottom" wrapText="0"/>
    </xf>
    <xf borderId="4" fillId="0" fontId="23" numFmtId="0" xfId="0" applyAlignment="1" applyBorder="1" applyFont="1">
      <alignment horizontal="center" readingOrder="0" shrinkToFit="0" vertical="bottom" wrapText="0"/>
    </xf>
    <xf borderId="4" fillId="9" fontId="7" numFmtId="170" xfId="0" applyAlignment="1" applyBorder="1" applyFont="1" applyNumberFormat="1">
      <alignment horizontal="center" shrinkToFit="0" vertical="bottom" wrapText="1"/>
    </xf>
    <xf borderId="4" fillId="9" fontId="22" numFmtId="170" xfId="0" applyAlignment="1" applyBorder="1" applyFont="1" applyNumberFormat="1">
      <alignment horizontal="center" shrinkToFit="0" vertical="bottom" wrapText="1"/>
    </xf>
    <xf borderId="4" fillId="3" fontId="3" numFmtId="170" xfId="0" applyAlignment="1" applyBorder="1" applyFont="1" applyNumberFormat="1">
      <alignment horizontal="center" readingOrder="0" vertical="bottom"/>
    </xf>
    <xf borderId="4" fillId="0" fontId="17" numFmtId="0" xfId="0" applyAlignment="1" applyBorder="1" applyFont="1">
      <alignment horizontal="center" readingOrder="0" shrinkToFit="0" wrapText="0"/>
    </xf>
    <xf borderId="4" fillId="0" fontId="13" numFmtId="170" xfId="0" applyAlignment="1" applyBorder="1" applyFont="1" applyNumberFormat="1">
      <alignment horizontal="center" vertical="bottom"/>
    </xf>
    <xf borderId="4" fillId="0" fontId="11" numFmtId="170" xfId="0" applyAlignment="1" applyBorder="1" applyFont="1" applyNumberFormat="1">
      <alignment horizontal="center" readingOrder="0"/>
    </xf>
    <xf borderId="4" fillId="0" fontId="11" numFmtId="170" xfId="0" applyAlignment="1" applyBorder="1" applyFont="1" applyNumberFormat="1">
      <alignment horizontal="center"/>
    </xf>
    <xf borderId="4" fillId="0" fontId="8" numFmtId="170" xfId="0" applyAlignment="1" applyBorder="1" applyFont="1" applyNumberFormat="1">
      <alignment horizontal="center" readingOrder="0" vertical="bottom"/>
    </xf>
    <xf borderId="4" fillId="0" fontId="8" numFmtId="170" xfId="0" applyAlignment="1" applyBorder="1" applyFont="1" applyNumberFormat="1">
      <alignment horizontal="center" vertical="bottom"/>
    </xf>
    <xf borderId="4" fillId="9" fontId="24" numFmtId="170" xfId="0" applyAlignment="1" applyBorder="1" applyFont="1" applyNumberFormat="1">
      <alignment horizontal="center" vertical="bottom"/>
    </xf>
    <xf borderId="4" fillId="9" fontId="11" numFmtId="166" xfId="0" applyBorder="1" applyFont="1" applyNumberFormat="1"/>
    <xf borderId="4" fillId="0" fontId="3" numFmtId="164" xfId="0" applyAlignment="1" applyBorder="1" applyFont="1" applyNumberFormat="1">
      <alignment vertical="bottom"/>
    </xf>
    <xf borderId="4" fillId="9" fontId="25" numFmtId="166" xfId="0" applyBorder="1" applyFont="1" applyNumberFormat="1"/>
    <xf borderId="4" fillId="4" fontId="26" numFmtId="166" xfId="0" applyAlignment="1" applyBorder="1" applyFont="1" applyNumberFormat="1">
      <alignment horizontal="center" shrinkToFit="0" vertical="bottom" wrapText="1"/>
    </xf>
    <xf borderId="4" fillId="4" fontId="7" numFmtId="165" xfId="0" applyAlignment="1" applyBorder="1" applyFont="1" applyNumberFormat="1">
      <alignment horizontal="center" vertical="bottom"/>
    </xf>
    <xf borderId="4" fillId="0" fontId="3" numFmtId="165" xfId="0" applyAlignment="1" applyBorder="1" applyFont="1" applyNumberFormat="1">
      <alignment vertical="bottom"/>
    </xf>
    <xf borderId="4" fillId="0" fontId="8" numFmtId="167" xfId="0" applyAlignment="1" applyBorder="1" applyFont="1" applyNumberFormat="1">
      <alignment readingOrder="0" vertical="bottom"/>
    </xf>
    <xf borderId="4" fillId="0" fontId="8" numFmtId="0" xfId="0" applyAlignment="1" applyBorder="1" applyFont="1">
      <alignment readingOrder="0" vertical="bottom"/>
    </xf>
    <xf borderId="4" fillId="0" fontId="3" numFmtId="0" xfId="0" applyAlignment="1" applyBorder="1" applyFont="1">
      <alignment readingOrder="0" vertical="bottom"/>
    </xf>
    <xf borderId="4" fillId="7" fontId="3" numFmtId="165" xfId="0" applyAlignment="1" applyBorder="1" applyFont="1" applyNumberFormat="1">
      <alignment readingOrder="0" vertical="bottom"/>
    </xf>
    <xf borderId="4" fillId="0" fontId="3" numFmtId="164" xfId="0" applyAlignment="1" applyBorder="1" applyFont="1" applyNumberFormat="1">
      <alignment readingOrder="0" vertical="bottom"/>
    </xf>
    <xf borderId="4" fillId="7" fontId="22" numFmtId="166" xfId="0" applyAlignment="1" applyBorder="1" applyFont="1" applyNumberFormat="1">
      <alignment horizontal="center" shrinkToFit="0" vertical="bottom" wrapText="1"/>
    </xf>
    <xf borderId="4" fillId="4" fontId="8" numFmtId="165" xfId="0" applyAlignment="1" applyBorder="1" applyFont="1" applyNumberFormat="1">
      <alignment horizontal="center" vertical="bottom"/>
    </xf>
    <xf borderId="4" fillId="3" fontId="8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/>
    </xf>
    <xf borderId="0" fillId="0" fontId="11" numFmtId="166" xfId="0" applyFont="1" applyNumberFormat="1"/>
    <xf borderId="0" fillId="0" fontId="9" numFmtId="0" xfId="0" applyAlignment="1" applyFont="1">
      <alignment horizontal="center"/>
    </xf>
    <xf borderId="4" fillId="0" fontId="10" numFmtId="0" xfId="0" applyAlignment="1" applyBorder="1" applyFont="1">
      <alignment horizontal="center" vertical="bottom"/>
    </xf>
    <xf borderId="0" fillId="0" fontId="10" numFmtId="0" xfId="0" applyAlignment="1" applyFont="1">
      <alignment horizontal="center" vertical="bottom"/>
    </xf>
    <xf borderId="4" fillId="0" fontId="8" numFmtId="167" xfId="0" applyAlignment="1" applyBorder="1" applyFont="1" applyNumberFormat="1">
      <alignment horizontal="center" readingOrder="0" vertical="center"/>
    </xf>
    <xf borderId="4" fillId="0" fontId="8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center" vertical="bottom"/>
    </xf>
    <xf borderId="12" fillId="0" fontId="2" numFmtId="0" xfId="0" applyBorder="1" applyFont="1"/>
    <xf borderId="11" fillId="0" fontId="2" numFmtId="0" xfId="0" applyBorder="1" applyFont="1"/>
    <xf borderId="4" fillId="0" fontId="8" numFmtId="167" xfId="0" applyAlignment="1" applyBorder="1" applyFont="1" applyNumberFormat="1">
      <alignment horizontal="center" vertical="bottom"/>
    </xf>
    <xf borderId="4" fillId="12" fontId="8" numFmtId="164" xfId="0" applyAlignment="1" applyBorder="1" applyFill="1" applyFont="1" applyNumberFormat="1">
      <alignment horizontal="center" vertical="bottom"/>
    </xf>
    <xf borderId="4" fillId="12" fontId="8" numFmtId="0" xfId="0" applyAlignment="1" applyBorder="1" applyFont="1">
      <alignment horizontal="center" vertical="bottom"/>
    </xf>
    <xf borderId="4" fillId="0" fontId="9" numFmtId="0" xfId="0" applyAlignment="1" applyBorder="1" applyFont="1">
      <alignment readingOrder="0"/>
    </xf>
    <xf borderId="4" fillId="0" fontId="9" numFmtId="0" xfId="0" applyBorder="1" applyFont="1"/>
    <xf borderId="4" fillId="0" fontId="9" numFmtId="166" xfId="0" applyBorder="1" applyFont="1" applyNumberFormat="1"/>
    <xf borderId="4" fillId="13" fontId="9" numFmtId="166" xfId="0" applyBorder="1" applyFill="1" applyFont="1" applyNumberFormat="1"/>
    <xf borderId="0" fillId="0" fontId="11" numFmtId="170" xfId="0" applyFont="1" applyNumberFormat="1"/>
    <xf borderId="4" fillId="0" fontId="3" numFmtId="167" xfId="0" applyAlignment="1" applyBorder="1" applyFont="1" applyNumberFormat="1">
      <alignment readingOrder="0" vertical="bottom"/>
    </xf>
    <xf borderId="4" fillId="0" fontId="27" numFmtId="0" xfId="0" applyAlignment="1" applyBorder="1" applyFont="1">
      <alignment vertical="bottom"/>
    </xf>
    <xf borderId="4" fillId="7" fontId="3" numFmtId="165" xfId="0" applyAlignment="1" applyBorder="1" applyFont="1" applyNumberFormat="1">
      <alignment vertical="bottom"/>
    </xf>
    <xf borderId="0" fillId="0" fontId="27" numFmtId="0" xfId="0" applyAlignment="1" applyFont="1">
      <alignment vertical="bottom"/>
    </xf>
    <xf borderId="4" fillId="0" fontId="27" numFmtId="0" xfId="0" applyAlignment="1" applyBorder="1" applyFont="1">
      <alignment readingOrder="0" vertical="bottom"/>
    </xf>
    <xf borderId="0" fillId="0" fontId="27" numFmtId="0" xfId="0" applyAlignment="1" applyFont="1">
      <alignment readingOrder="0" vertical="bottom"/>
    </xf>
    <xf borderId="4" fillId="14" fontId="8" numFmtId="0" xfId="0" applyAlignment="1" applyBorder="1" applyFill="1" applyFont="1">
      <alignment horizontal="center" readingOrder="0" vertical="bottom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45.25"/>
    <col customWidth="1" hidden="1" min="3" max="3" width="18.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O1" s="4"/>
      <c r="P1" s="4"/>
      <c r="Q1" s="4"/>
      <c r="R1" s="4"/>
      <c r="S1" s="4"/>
      <c r="Y1" s="4"/>
      <c r="Z1" s="4"/>
      <c r="AF1" s="4"/>
      <c r="AG1" s="4"/>
    </row>
    <row r="2">
      <c r="A2" s="5" t="s">
        <v>1</v>
      </c>
      <c r="B2" s="2"/>
      <c r="C2" s="2"/>
      <c r="D2" s="2"/>
      <c r="E2" s="2"/>
      <c r="F2" s="3"/>
      <c r="G2" s="4"/>
      <c r="H2" s="4"/>
      <c r="I2" s="4"/>
      <c r="O2" s="4"/>
      <c r="P2" s="4"/>
      <c r="Q2" s="4"/>
      <c r="R2" s="4"/>
      <c r="S2" s="4"/>
      <c r="Y2" s="4"/>
      <c r="Z2" s="4"/>
      <c r="AF2" s="4"/>
      <c r="AG2" s="4"/>
    </row>
    <row r="3">
      <c r="A3" s="1" t="s">
        <v>2</v>
      </c>
      <c r="B3" s="2"/>
      <c r="C3" s="2"/>
      <c r="D3" s="3"/>
      <c r="E3" s="6" t="s">
        <v>3</v>
      </c>
      <c r="F3" s="3"/>
      <c r="G3" s="4"/>
      <c r="H3" s="4"/>
      <c r="I3" s="4"/>
      <c r="O3" s="4"/>
      <c r="P3" s="4"/>
      <c r="Q3" s="4"/>
      <c r="R3" s="4"/>
      <c r="S3" s="4"/>
      <c r="Y3" s="4"/>
      <c r="Z3" s="4"/>
      <c r="AF3" s="4"/>
      <c r="AG3" s="4"/>
    </row>
    <row r="4">
      <c r="A4" s="7"/>
      <c r="B4" s="7"/>
      <c r="C4" s="7"/>
      <c r="D4" s="7"/>
      <c r="E4" s="7"/>
      <c r="F4" s="7"/>
      <c r="G4" s="4"/>
      <c r="H4" s="4"/>
      <c r="I4" s="4"/>
      <c r="O4" s="4"/>
      <c r="P4" s="4"/>
      <c r="Q4" s="4"/>
      <c r="R4" s="4"/>
      <c r="S4" s="4"/>
      <c r="Y4" s="4"/>
      <c r="Z4" s="4"/>
      <c r="AF4" s="4"/>
      <c r="AG4" s="4"/>
    </row>
    <row r="5">
      <c r="A5" s="8" t="s">
        <v>4</v>
      </c>
      <c r="B5" s="8" t="s">
        <v>5</v>
      </c>
      <c r="C5" s="9" t="s">
        <v>6</v>
      </c>
      <c r="D5" s="8" t="s">
        <v>7</v>
      </c>
      <c r="E5" s="8" t="s">
        <v>8</v>
      </c>
      <c r="F5" s="8" t="s">
        <v>9</v>
      </c>
      <c r="G5" s="4"/>
      <c r="H5" s="4"/>
      <c r="I5" s="4"/>
      <c r="O5" s="4"/>
      <c r="P5" s="4"/>
      <c r="Q5" s="4"/>
      <c r="R5" s="4"/>
      <c r="S5" s="4"/>
      <c r="Y5" s="4"/>
      <c r="Z5" s="4"/>
      <c r="AF5" s="4"/>
      <c r="AG5" s="4"/>
    </row>
    <row r="6">
      <c r="A6" s="10"/>
      <c r="B6" s="10"/>
      <c r="C6" s="10"/>
      <c r="D6" s="10"/>
      <c r="E6" s="10"/>
      <c r="F6" s="11" t="s">
        <v>10</v>
      </c>
      <c r="G6" s="4"/>
      <c r="H6" s="4"/>
      <c r="I6" s="4"/>
      <c r="O6" s="4"/>
      <c r="P6" s="4"/>
      <c r="Q6" s="4"/>
      <c r="R6" s="4"/>
      <c r="S6" s="4"/>
      <c r="Y6" s="4"/>
      <c r="Z6" s="4"/>
      <c r="AF6" s="4"/>
      <c r="AG6" s="4"/>
    </row>
    <row r="7">
      <c r="A7" s="12"/>
      <c r="B7" s="13" t="s">
        <v>11</v>
      </c>
      <c r="C7" s="14"/>
      <c r="D7" s="14">
        <v>273450.0</v>
      </c>
      <c r="E7" s="15"/>
      <c r="F7" s="16"/>
      <c r="G7" s="4"/>
      <c r="H7" s="4"/>
      <c r="I7" s="4"/>
      <c r="O7" s="4"/>
      <c r="P7" s="4"/>
      <c r="Q7" s="4"/>
      <c r="R7" s="4"/>
      <c r="S7" s="4"/>
      <c r="Y7" s="4"/>
      <c r="Z7" s="4"/>
      <c r="AF7" s="17"/>
      <c r="AG7" s="17"/>
    </row>
    <row r="8">
      <c r="A8" s="12"/>
      <c r="B8" s="18" t="s">
        <v>12</v>
      </c>
      <c r="C8" s="14"/>
      <c r="D8" s="14">
        <v>800000.0</v>
      </c>
      <c r="E8" s="15"/>
      <c r="F8" s="16">
        <f>D7+D8</f>
        <v>1073450</v>
      </c>
      <c r="G8" s="4"/>
      <c r="H8" s="4"/>
      <c r="I8" s="4"/>
      <c r="O8" s="4"/>
      <c r="P8" s="4"/>
      <c r="Q8" s="4"/>
      <c r="R8" s="4"/>
      <c r="S8" s="4"/>
      <c r="Y8" s="4"/>
      <c r="Z8" s="4"/>
      <c r="AF8" s="17"/>
      <c r="AG8" s="17"/>
    </row>
    <row r="9">
      <c r="A9" s="19">
        <v>45988.0</v>
      </c>
      <c r="B9" s="20" t="s">
        <v>13</v>
      </c>
      <c r="C9" s="21" t="s">
        <v>14</v>
      </c>
      <c r="D9" s="22"/>
      <c r="E9" s="23">
        <v>120000.0</v>
      </c>
      <c r="F9" s="16">
        <f t="shared" ref="F9:F61" si="1">F8+D9-E9</f>
        <v>953450</v>
      </c>
      <c r="G9" s="4"/>
      <c r="H9" s="4"/>
      <c r="I9" s="24">
        <f>SUM(E9:E39)</f>
        <v>3235754</v>
      </c>
      <c r="O9" s="4"/>
      <c r="P9" s="4"/>
      <c r="Q9" s="4"/>
      <c r="R9" s="4"/>
      <c r="S9" s="4"/>
      <c r="Y9" s="4"/>
      <c r="Z9" s="4"/>
      <c r="AF9" s="17"/>
      <c r="AG9" s="17"/>
    </row>
    <row r="10">
      <c r="A10" s="19">
        <v>45993.0</v>
      </c>
      <c r="B10" s="20" t="s">
        <v>15</v>
      </c>
      <c r="C10" s="21" t="s">
        <v>14</v>
      </c>
      <c r="D10" s="25"/>
      <c r="E10" s="23">
        <v>27000.0</v>
      </c>
      <c r="F10" s="16">
        <f t="shared" si="1"/>
        <v>926450</v>
      </c>
      <c r="G10" s="4"/>
      <c r="H10" s="4"/>
      <c r="I10" s="4"/>
      <c r="O10" s="4"/>
      <c r="P10" s="4"/>
      <c r="Q10" s="4"/>
      <c r="R10" s="4"/>
      <c r="S10" s="4"/>
      <c r="Y10" s="4"/>
      <c r="Z10" s="4"/>
      <c r="AF10" s="17"/>
      <c r="AG10" s="17"/>
    </row>
    <row r="11">
      <c r="A11" s="19">
        <v>45993.0</v>
      </c>
      <c r="B11" s="20" t="s">
        <v>16</v>
      </c>
      <c r="C11" s="21" t="s">
        <v>14</v>
      </c>
      <c r="D11" s="25"/>
      <c r="E11" s="23">
        <v>98400.0</v>
      </c>
      <c r="F11" s="16">
        <f t="shared" si="1"/>
        <v>828050</v>
      </c>
      <c r="G11" s="4"/>
      <c r="H11" s="4"/>
      <c r="I11" s="4"/>
      <c r="O11" s="4"/>
      <c r="P11" s="4"/>
      <c r="Q11" s="4"/>
      <c r="R11" s="4"/>
      <c r="S11" s="4"/>
      <c r="Y11" s="4"/>
      <c r="Z11" s="4"/>
      <c r="AF11" s="17"/>
      <c r="AG11" s="17"/>
    </row>
    <row r="12">
      <c r="A12" s="19">
        <v>45993.0</v>
      </c>
      <c r="B12" s="20" t="s">
        <v>17</v>
      </c>
      <c r="C12" s="21" t="s">
        <v>14</v>
      </c>
      <c r="D12" s="26"/>
      <c r="E12" s="23">
        <v>25000.0</v>
      </c>
      <c r="F12" s="16">
        <f t="shared" si="1"/>
        <v>803050</v>
      </c>
      <c r="G12" s="4"/>
      <c r="H12" s="4"/>
      <c r="I12" s="4"/>
      <c r="O12" s="4"/>
      <c r="P12" s="4"/>
      <c r="Q12" s="4"/>
      <c r="R12" s="4"/>
      <c r="S12" s="4"/>
      <c r="Y12" s="4"/>
      <c r="Z12" s="4"/>
      <c r="AF12" s="17"/>
      <c r="AG12" s="17"/>
    </row>
    <row r="13">
      <c r="A13" s="19">
        <v>45994.0</v>
      </c>
      <c r="B13" s="20" t="s">
        <v>18</v>
      </c>
      <c r="C13" s="21" t="s">
        <v>14</v>
      </c>
      <c r="D13" s="25"/>
      <c r="E13" s="23">
        <v>280960.0</v>
      </c>
      <c r="F13" s="16">
        <f t="shared" si="1"/>
        <v>522090</v>
      </c>
      <c r="G13" s="4"/>
      <c r="H13" s="4"/>
      <c r="I13" s="4"/>
      <c r="O13" s="4"/>
      <c r="P13" s="4"/>
      <c r="Q13" s="4"/>
      <c r="R13" s="4"/>
      <c r="S13" s="4"/>
      <c r="Y13" s="4"/>
      <c r="Z13" s="4"/>
      <c r="AF13" s="17"/>
      <c r="AG13" s="17"/>
    </row>
    <row r="14">
      <c r="A14" s="19">
        <v>45994.0</v>
      </c>
      <c r="B14" s="20" t="s">
        <v>19</v>
      </c>
      <c r="C14" s="21" t="s">
        <v>14</v>
      </c>
      <c r="D14" s="25"/>
      <c r="E14" s="23">
        <v>41000.0</v>
      </c>
      <c r="F14" s="16">
        <f t="shared" si="1"/>
        <v>481090</v>
      </c>
      <c r="G14" s="4"/>
      <c r="H14" s="4"/>
      <c r="I14" s="4"/>
      <c r="O14" s="4"/>
      <c r="P14" s="4"/>
      <c r="Q14" s="4"/>
      <c r="R14" s="4"/>
      <c r="S14" s="4"/>
      <c r="Y14" s="4"/>
      <c r="Z14" s="4"/>
      <c r="AF14" s="17"/>
      <c r="AG14" s="17"/>
    </row>
    <row r="15">
      <c r="A15" s="27">
        <v>45995.0</v>
      </c>
      <c r="B15" s="20" t="s">
        <v>20</v>
      </c>
      <c r="C15" s="21" t="s">
        <v>14</v>
      </c>
      <c r="D15" s="25"/>
      <c r="E15" s="23">
        <v>180000.0</v>
      </c>
      <c r="F15" s="16">
        <f t="shared" si="1"/>
        <v>301090</v>
      </c>
      <c r="G15" s="4"/>
      <c r="H15" s="4"/>
      <c r="I15" s="4"/>
      <c r="O15" s="4"/>
      <c r="P15" s="4"/>
      <c r="Q15" s="4"/>
      <c r="R15" s="4"/>
      <c r="S15" s="4"/>
      <c r="Y15" s="4"/>
      <c r="Z15" s="4"/>
      <c r="AF15" s="17"/>
      <c r="AG15" s="17"/>
    </row>
    <row r="16">
      <c r="A16" s="19">
        <v>45996.0</v>
      </c>
      <c r="B16" s="20" t="s">
        <v>21</v>
      </c>
      <c r="C16" s="21" t="s">
        <v>14</v>
      </c>
      <c r="D16" s="25"/>
      <c r="E16" s="23">
        <v>100000.0</v>
      </c>
      <c r="F16" s="16">
        <f t="shared" si="1"/>
        <v>201090</v>
      </c>
      <c r="G16" s="4"/>
      <c r="H16" s="4"/>
      <c r="I16" s="4"/>
      <c r="O16" s="4"/>
      <c r="P16" s="4"/>
      <c r="Q16" s="4"/>
      <c r="R16" s="4"/>
      <c r="S16" s="4"/>
      <c r="Y16" s="4"/>
      <c r="Z16" s="4"/>
      <c r="AF16" s="17"/>
      <c r="AG16" s="17"/>
    </row>
    <row r="17">
      <c r="A17" s="19">
        <v>45996.0</v>
      </c>
      <c r="B17" s="20" t="s">
        <v>22</v>
      </c>
      <c r="C17" s="21" t="s">
        <v>14</v>
      </c>
      <c r="D17" s="25"/>
      <c r="E17" s="23">
        <v>32800.0</v>
      </c>
      <c r="F17" s="16">
        <f t="shared" si="1"/>
        <v>168290</v>
      </c>
      <c r="G17" s="4"/>
      <c r="H17" s="4"/>
      <c r="I17" s="4"/>
      <c r="O17" s="4"/>
      <c r="P17" s="4"/>
      <c r="Q17" s="4"/>
      <c r="R17" s="4"/>
      <c r="S17" s="4"/>
      <c r="Y17" s="4"/>
      <c r="Z17" s="4"/>
      <c r="AF17" s="17"/>
      <c r="AG17" s="17"/>
    </row>
    <row r="18">
      <c r="A18" s="19">
        <v>45996.0</v>
      </c>
      <c r="B18" s="20" t="s">
        <v>23</v>
      </c>
      <c r="C18" s="21" t="s">
        <v>14</v>
      </c>
      <c r="D18" s="25"/>
      <c r="E18" s="23">
        <v>55000.0</v>
      </c>
      <c r="F18" s="16">
        <f t="shared" si="1"/>
        <v>113290</v>
      </c>
      <c r="G18" s="4"/>
      <c r="H18" s="4"/>
      <c r="I18" s="4"/>
      <c r="O18" s="4"/>
      <c r="P18" s="4"/>
      <c r="Q18" s="4"/>
      <c r="R18" s="4"/>
      <c r="S18" s="4"/>
      <c r="Y18" s="4"/>
      <c r="Z18" s="4"/>
      <c r="AF18" s="17"/>
      <c r="AG18" s="17"/>
    </row>
    <row r="19">
      <c r="A19" s="19">
        <v>45996.0</v>
      </c>
      <c r="B19" s="20" t="s">
        <v>24</v>
      </c>
      <c r="C19" s="21" t="s">
        <v>14</v>
      </c>
      <c r="D19" s="25"/>
      <c r="E19" s="23">
        <v>21000.0</v>
      </c>
      <c r="F19" s="16">
        <f t="shared" si="1"/>
        <v>92290</v>
      </c>
      <c r="G19" s="4"/>
      <c r="H19" s="4"/>
      <c r="I19" s="4"/>
      <c r="O19" s="4"/>
      <c r="P19" s="4"/>
      <c r="Q19" s="4"/>
      <c r="R19" s="4"/>
      <c r="S19" s="4"/>
      <c r="Y19" s="4"/>
      <c r="Z19" s="4"/>
      <c r="AF19" s="17"/>
      <c r="AG19" s="17"/>
    </row>
    <row r="20">
      <c r="A20" s="19">
        <v>45997.0</v>
      </c>
      <c r="B20" s="20" t="s">
        <v>25</v>
      </c>
      <c r="C20" s="21" t="s">
        <v>14</v>
      </c>
      <c r="D20" s="25"/>
      <c r="E20" s="23">
        <v>12400.0</v>
      </c>
      <c r="F20" s="16">
        <f t="shared" si="1"/>
        <v>79890</v>
      </c>
      <c r="G20" s="4"/>
      <c r="H20" s="4"/>
      <c r="I20" s="4"/>
      <c r="O20" s="4"/>
      <c r="P20" s="4"/>
      <c r="Q20" s="4"/>
      <c r="R20" s="4"/>
      <c r="S20" s="4"/>
      <c r="Y20" s="4"/>
      <c r="Z20" s="4"/>
      <c r="AF20" s="17"/>
      <c r="AG20" s="17"/>
    </row>
    <row r="21">
      <c r="A21" s="19">
        <v>45997.0</v>
      </c>
      <c r="B21" s="20" t="s">
        <v>26</v>
      </c>
      <c r="C21" s="21" t="s">
        <v>14</v>
      </c>
      <c r="D21" s="25"/>
      <c r="E21" s="23">
        <v>19000.0</v>
      </c>
      <c r="F21" s="16">
        <f t="shared" si="1"/>
        <v>60890</v>
      </c>
      <c r="G21" s="4"/>
      <c r="H21" s="4"/>
      <c r="I21" s="4"/>
      <c r="O21" s="4"/>
      <c r="P21" s="4"/>
      <c r="Q21" s="4"/>
      <c r="R21" s="4"/>
      <c r="S21" s="4"/>
      <c r="Y21" s="4"/>
      <c r="Z21" s="4"/>
      <c r="AF21" s="17"/>
      <c r="AG21" s="17"/>
    </row>
    <row r="22">
      <c r="A22" s="19">
        <v>45997.0</v>
      </c>
      <c r="B22" s="20" t="s">
        <v>27</v>
      </c>
      <c r="C22" s="21" t="s">
        <v>14</v>
      </c>
      <c r="D22" s="25"/>
      <c r="E22" s="23">
        <v>5974.0</v>
      </c>
      <c r="F22" s="16">
        <f t="shared" si="1"/>
        <v>54916</v>
      </c>
      <c r="G22" s="4"/>
      <c r="H22" s="4"/>
      <c r="I22" s="4"/>
      <c r="O22" s="4"/>
      <c r="P22" s="4"/>
      <c r="Q22" s="4"/>
      <c r="R22" s="4"/>
      <c r="S22" s="4"/>
      <c r="Y22" s="4"/>
      <c r="Z22" s="4"/>
      <c r="AF22" s="17"/>
      <c r="AG22" s="17"/>
    </row>
    <row r="23">
      <c r="A23" s="28">
        <v>45997.0</v>
      </c>
      <c r="B23" s="29" t="s">
        <v>28</v>
      </c>
      <c r="C23" s="21" t="s">
        <v>14</v>
      </c>
      <c r="D23" s="25"/>
      <c r="E23" s="23">
        <v>360000.0</v>
      </c>
      <c r="F23" s="30">
        <f t="shared" si="1"/>
        <v>-305084</v>
      </c>
      <c r="G23" s="4"/>
      <c r="H23" s="4"/>
      <c r="I23" s="4"/>
      <c r="O23" s="4"/>
      <c r="P23" s="4"/>
      <c r="Q23" s="4"/>
      <c r="R23" s="4"/>
      <c r="S23" s="4"/>
      <c r="Y23" s="4"/>
      <c r="Z23" s="4"/>
      <c r="AF23" s="17"/>
      <c r="AG23" s="17"/>
    </row>
    <row r="24">
      <c r="A24" s="19">
        <v>45997.0</v>
      </c>
      <c r="B24" s="20" t="s">
        <v>29</v>
      </c>
      <c r="C24" s="21" t="s">
        <v>14</v>
      </c>
      <c r="D24" s="25"/>
      <c r="E24" s="23">
        <v>84320.0</v>
      </c>
      <c r="F24" s="30">
        <f t="shared" si="1"/>
        <v>-389404</v>
      </c>
      <c r="G24" s="4"/>
      <c r="H24" s="4"/>
      <c r="I24" s="4"/>
      <c r="O24" s="4"/>
      <c r="P24" s="4"/>
      <c r="Q24" s="4"/>
      <c r="R24" s="4"/>
      <c r="S24" s="4"/>
      <c r="Y24" s="4"/>
      <c r="Z24" s="4"/>
      <c r="AF24" s="17"/>
      <c r="AG24" s="17"/>
    </row>
    <row r="25">
      <c r="A25" s="19">
        <v>45997.0</v>
      </c>
      <c r="B25" s="20" t="s">
        <v>30</v>
      </c>
      <c r="C25" s="21" t="s">
        <v>14</v>
      </c>
      <c r="D25" s="25"/>
      <c r="E25" s="23">
        <v>45000.0</v>
      </c>
      <c r="F25" s="30">
        <f t="shared" si="1"/>
        <v>-434404</v>
      </c>
      <c r="G25" s="4"/>
      <c r="H25" s="4"/>
      <c r="I25" s="4"/>
      <c r="O25" s="4"/>
      <c r="P25" s="4"/>
      <c r="Q25" s="4"/>
      <c r="R25" s="4"/>
      <c r="S25" s="4"/>
      <c r="Y25" s="4"/>
      <c r="Z25" s="4"/>
      <c r="AF25" s="17"/>
      <c r="AG25" s="17"/>
    </row>
    <row r="26">
      <c r="A26" s="19">
        <v>45998.0</v>
      </c>
      <c r="B26" s="20" t="s">
        <v>31</v>
      </c>
      <c r="C26" s="21" t="s">
        <v>14</v>
      </c>
      <c r="D26" s="25"/>
      <c r="E26" s="23">
        <v>9000.0</v>
      </c>
      <c r="F26" s="30">
        <f t="shared" si="1"/>
        <v>-443404</v>
      </c>
      <c r="G26" s="4"/>
      <c r="H26" s="4"/>
      <c r="I26" s="4"/>
      <c r="O26" s="4"/>
      <c r="P26" s="4"/>
      <c r="Q26" s="4"/>
      <c r="R26" s="4"/>
      <c r="S26" s="4"/>
      <c r="Y26" s="4"/>
      <c r="Z26" s="4"/>
      <c r="AF26" s="17"/>
      <c r="AG26" s="17"/>
    </row>
    <row r="27">
      <c r="A27" s="19">
        <v>45998.0</v>
      </c>
      <c r="B27" s="20" t="s">
        <v>32</v>
      </c>
      <c r="C27" s="21" t="s">
        <v>14</v>
      </c>
      <c r="D27" s="25"/>
      <c r="E27" s="23">
        <v>520000.0</v>
      </c>
      <c r="F27" s="30">
        <f t="shared" si="1"/>
        <v>-963404</v>
      </c>
      <c r="G27" s="4"/>
      <c r="H27" s="4"/>
      <c r="I27" s="4"/>
      <c r="O27" s="4"/>
      <c r="P27" s="4"/>
      <c r="Q27" s="4"/>
      <c r="R27" s="4"/>
      <c r="S27" s="4"/>
      <c r="Y27" s="4"/>
      <c r="Z27" s="4"/>
      <c r="AF27" s="17"/>
      <c r="AG27" s="17"/>
    </row>
    <row r="28">
      <c r="A28" s="19">
        <v>45998.0</v>
      </c>
      <c r="B28" s="20" t="s">
        <v>33</v>
      </c>
      <c r="C28" s="21" t="s">
        <v>14</v>
      </c>
      <c r="D28" s="25"/>
      <c r="E28" s="23">
        <v>30000.0</v>
      </c>
      <c r="F28" s="30">
        <f t="shared" si="1"/>
        <v>-993404</v>
      </c>
      <c r="G28" s="4"/>
      <c r="H28" s="4"/>
      <c r="I28" s="4"/>
      <c r="O28" s="4"/>
      <c r="P28" s="4"/>
      <c r="Q28" s="4"/>
      <c r="R28" s="4"/>
      <c r="S28" s="4"/>
      <c r="Y28" s="4"/>
      <c r="Z28" s="4"/>
      <c r="AF28" s="17"/>
      <c r="AG28" s="17"/>
    </row>
    <row r="29">
      <c r="A29" s="19">
        <v>45999.0</v>
      </c>
      <c r="B29" s="20" t="s">
        <v>34</v>
      </c>
      <c r="C29" s="21" t="s">
        <v>14</v>
      </c>
      <c r="D29" s="25"/>
      <c r="E29" s="23">
        <v>50000.0</v>
      </c>
      <c r="F29" s="30">
        <f t="shared" si="1"/>
        <v>-1043404</v>
      </c>
      <c r="G29" s="4"/>
      <c r="H29" s="4"/>
      <c r="I29" s="4"/>
      <c r="O29" s="4"/>
      <c r="P29" s="4"/>
      <c r="Q29" s="4"/>
      <c r="R29" s="4"/>
      <c r="S29" s="4"/>
      <c r="Y29" s="4"/>
      <c r="Z29" s="4"/>
      <c r="AF29" s="17"/>
      <c r="AG29" s="17"/>
    </row>
    <row r="30">
      <c r="A30" s="27">
        <v>45999.0</v>
      </c>
      <c r="B30" s="20" t="s">
        <v>35</v>
      </c>
      <c r="C30" s="21" t="s">
        <v>14</v>
      </c>
      <c r="D30" s="25"/>
      <c r="E30" s="23">
        <v>455000.0</v>
      </c>
      <c r="F30" s="30">
        <f t="shared" si="1"/>
        <v>-1498404</v>
      </c>
      <c r="G30" s="4"/>
      <c r="H30" s="4"/>
      <c r="I30" s="4"/>
      <c r="O30" s="4"/>
      <c r="P30" s="4"/>
      <c r="Q30" s="4"/>
      <c r="R30" s="4"/>
      <c r="S30" s="4"/>
      <c r="Y30" s="4"/>
      <c r="Z30" s="4"/>
      <c r="AF30" s="17"/>
      <c r="AG30" s="17"/>
    </row>
    <row r="31">
      <c r="A31" s="19">
        <v>45999.0</v>
      </c>
      <c r="B31" s="20" t="s">
        <v>36</v>
      </c>
      <c r="C31" s="21" t="s">
        <v>14</v>
      </c>
      <c r="D31" s="25"/>
      <c r="E31" s="23">
        <v>300000.0</v>
      </c>
      <c r="F31" s="30">
        <f t="shared" si="1"/>
        <v>-1798404</v>
      </c>
      <c r="G31" s="4"/>
      <c r="H31" s="4"/>
      <c r="I31" s="4"/>
      <c r="O31" s="4"/>
      <c r="P31" s="4"/>
      <c r="Q31" s="4"/>
      <c r="R31" s="4"/>
      <c r="S31" s="4"/>
      <c r="Y31" s="4"/>
      <c r="Z31" s="4"/>
      <c r="AF31" s="17"/>
      <c r="AG31" s="17"/>
    </row>
    <row r="32">
      <c r="A32" s="19">
        <v>45999.0</v>
      </c>
      <c r="B32" s="20" t="s">
        <v>37</v>
      </c>
      <c r="C32" s="21" t="s">
        <v>14</v>
      </c>
      <c r="D32" s="25"/>
      <c r="E32" s="23">
        <v>60000.0</v>
      </c>
      <c r="F32" s="30">
        <f t="shared" si="1"/>
        <v>-1858404</v>
      </c>
      <c r="G32" s="4"/>
      <c r="H32" s="4"/>
      <c r="I32" s="4"/>
      <c r="O32" s="4"/>
      <c r="P32" s="4"/>
      <c r="Q32" s="4"/>
      <c r="R32" s="4"/>
      <c r="S32" s="4"/>
      <c r="Y32" s="4"/>
      <c r="Z32" s="4"/>
      <c r="AF32" s="17"/>
      <c r="AG32" s="17"/>
    </row>
    <row r="33">
      <c r="A33" s="19">
        <v>45999.0</v>
      </c>
      <c r="B33" s="20" t="s">
        <v>38</v>
      </c>
      <c r="C33" s="21" t="s">
        <v>14</v>
      </c>
      <c r="D33" s="25"/>
      <c r="E33" s="23">
        <v>100000.0</v>
      </c>
      <c r="F33" s="30">
        <f t="shared" si="1"/>
        <v>-1958404</v>
      </c>
      <c r="G33" s="4"/>
      <c r="H33" s="4"/>
      <c r="I33" s="4"/>
      <c r="O33" s="4"/>
      <c r="P33" s="4"/>
      <c r="Q33" s="4"/>
      <c r="R33" s="4"/>
      <c r="S33" s="4"/>
      <c r="Y33" s="4"/>
      <c r="Z33" s="4"/>
      <c r="AF33" s="17"/>
      <c r="AG33" s="17"/>
    </row>
    <row r="34">
      <c r="A34" s="19">
        <v>45999.0</v>
      </c>
      <c r="B34" s="20" t="s">
        <v>39</v>
      </c>
      <c r="C34" s="21" t="s">
        <v>14</v>
      </c>
      <c r="D34" s="25"/>
      <c r="E34" s="23">
        <v>21000.0</v>
      </c>
      <c r="F34" s="30">
        <f t="shared" si="1"/>
        <v>-1979404</v>
      </c>
      <c r="G34" s="4"/>
      <c r="H34" s="4"/>
      <c r="I34" s="4"/>
      <c r="O34" s="4"/>
      <c r="P34" s="4"/>
      <c r="Q34" s="4"/>
      <c r="R34" s="4"/>
      <c r="S34" s="4"/>
      <c r="Y34" s="4"/>
      <c r="Z34" s="4"/>
      <c r="AF34" s="17"/>
      <c r="AG34" s="17"/>
    </row>
    <row r="35">
      <c r="A35" s="19">
        <v>45999.0</v>
      </c>
      <c r="B35" s="20" t="s">
        <v>40</v>
      </c>
      <c r="C35" s="21" t="s">
        <v>14</v>
      </c>
      <c r="D35" s="26"/>
      <c r="E35" s="23">
        <v>15900.0</v>
      </c>
      <c r="F35" s="30">
        <f t="shared" si="1"/>
        <v>-1995304</v>
      </c>
      <c r="G35" s="4"/>
      <c r="H35" s="4"/>
      <c r="I35" s="4"/>
      <c r="O35" s="4"/>
      <c r="P35" s="4"/>
      <c r="Q35" s="4"/>
      <c r="R35" s="4"/>
      <c r="S35" s="4"/>
      <c r="Y35" s="4"/>
      <c r="Z35" s="4"/>
      <c r="AF35" s="17"/>
      <c r="AG35" s="17"/>
    </row>
    <row r="36">
      <c r="A36" s="19">
        <v>46000.0</v>
      </c>
      <c r="B36" s="20" t="s">
        <v>41</v>
      </c>
      <c r="C36" s="21" t="s">
        <v>14</v>
      </c>
      <c r="D36" s="25"/>
      <c r="E36" s="23">
        <v>30000.0</v>
      </c>
      <c r="F36" s="30">
        <f t="shared" si="1"/>
        <v>-2025304</v>
      </c>
      <c r="G36" s="4"/>
      <c r="H36" s="4"/>
      <c r="I36" s="4"/>
      <c r="O36" s="4"/>
      <c r="P36" s="4"/>
      <c r="Q36" s="4"/>
      <c r="R36" s="4"/>
      <c r="S36" s="4"/>
      <c r="Y36" s="4"/>
      <c r="Z36" s="4"/>
      <c r="AF36" s="17"/>
      <c r="AG36" s="17"/>
    </row>
    <row r="37">
      <c r="A37" s="19">
        <v>46000.0</v>
      </c>
      <c r="B37" s="20" t="s">
        <v>42</v>
      </c>
      <c r="C37" s="21" t="s">
        <v>14</v>
      </c>
      <c r="D37" s="25"/>
      <c r="E37" s="23">
        <v>22000.0</v>
      </c>
      <c r="F37" s="30">
        <f t="shared" si="1"/>
        <v>-2047304</v>
      </c>
      <c r="G37" s="4"/>
      <c r="H37" s="4"/>
      <c r="I37" s="4"/>
      <c r="O37" s="4"/>
      <c r="P37" s="4"/>
      <c r="Q37" s="4"/>
      <c r="R37" s="4"/>
      <c r="S37" s="4"/>
      <c r="Y37" s="4"/>
      <c r="Z37" s="4"/>
      <c r="AF37" s="17"/>
      <c r="AG37" s="17"/>
    </row>
    <row r="38">
      <c r="A38" s="19">
        <v>46000.0</v>
      </c>
      <c r="B38" s="20" t="s">
        <v>43</v>
      </c>
      <c r="C38" s="21" t="s">
        <v>14</v>
      </c>
      <c r="D38" s="25"/>
      <c r="E38" s="23">
        <v>60000.0</v>
      </c>
      <c r="F38" s="30">
        <f t="shared" si="1"/>
        <v>-2107304</v>
      </c>
      <c r="G38" s="4"/>
      <c r="H38" s="4"/>
      <c r="I38" s="4"/>
      <c r="O38" s="4"/>
      <c r="P38" s="4"/>
      <c r="Q38" s="4"/>
      <c r="R38" s="4"/>
      <c r="S38" s="4"/>
      <c r="Y38" s="4"/>
      <c r="Z38" s="4"/>
      <c r="AF38" s="17"/>
      <c r="AG38" s="17"/>
    </row>
    <row r="39">
      <c r="A39" s="19">
        <v>46000.0</v>
      </c>
      <c r="B39" s="20" t="s">
        <v>44</v>
      </c>
      <c r="C39" s="21" t="s">
        <v>14</v>
      </c>
      <c r="D39" s="25"/>
      <c r="E39" s="23">
        <v>55000.0</v>
      </c>
      <c r="F39" s="30">
        <f t="shared" si="1"/>
        <v>-2162304</v>
      </c>
      <c r="G39" s="4"/>
      <c r="H39" s="4"/>
      <c r="I39" s="4"/>
      <c r="O39" s="4"/>
      <c r="P39" s="4"/>
      <c r="Q39" s="4"/>
      <c r="R39" s="4"/>
      <c r="S39" s="4"/>
      <c r="Y39" s="4"/>
      <c r="Z39" s="4"/>
      <c r="AF39" s="17"/>
      <c r="AG39" s="17"/>
    </row>
    <row r="40">
      <c r="A40" s="19">
        <v>46000.0</v>
      </c>
      <c r="B40" s="13" t="s">
        <v>45</v>
      </c>
      <c r="C40" s="13" t="s">
        <v>46</v>
      </c>
      <c r="D40" s="18"/>
      <c r="E40" s="23">
        <v>21600.0</v>
      </c>
      <c r="F40" s="30">
        <f t="shared" si="1"/>
        <v>-2183904</v>
      </c>
      <c r="G40" s="4"/>
      <c r="H40" s="4"/>
      <c r="I40" s="4"/>
      <c r="O40" s="4"/>
      <c r="P40" s="4"/>
      <c r="Q40" s="4"/>
      <c r="R40" s="4"/>
      <c r="S40" s="4"/>
      <c r="Y40" s="4"/>
      <c r="Z40" s="4"/>
      <c r="AF40" s="17"/>
      <c r="AG40" s="17"/>
    </row>
    <row r="41">
      <c r="A41" s="19">
        <v>46001.0</v>
      </c>
      <c r="B41" s="13" t="s">
        <v>47</v>
      </c>
      <c r="C41" s="13" t="s">
        <v>46</v>
      </c>
      <c r="D41" s="18"/>
      <c r="E41" s="23">
        <v>18000.0</v>
      </c>
      <c r="F41" s="30">
        <f t="shared" si="1"/>
        <v>-2201904</v>
      </c>
      <c r="G41" s="4"/>
      <c r="H41" s="4"/>
      <c r="I41" s="24">
        <f>SUM(E40:E61)</f>
        <v>843300</v>
      </c>
      <c r="O41" s="4"/>
      <c r="P41" s="4"/>
      <c r="Q41" s="4"/>
      <c r="R41" s="4"/>
      <c r="S41" s="4"/>
      <c r="Y41" s="4"/>
      <c r="Z41" s="4"/>
      <c r="AF41" s="17"/>
      <c r="AG41" s="17"/>
    </row>
    <row r="42">
      <c r="A42" s="19">
        <v>46003.0</v>
      </c>
      <c r="B42" s="13" t="s">
        <v>48</v>
      </c>
      <c r="C42" s="13" t="s">
        <v>46</v>
      </c>
      <c r="D42" s="18"/>
      <c r="E42" s="23">
        <v>280000.0</v>
      </c>
      <c r="F42" s="30">
        <f t="shared" si="1"/>
        <v>-2481904</v>
      </c>
      <c r="G42" s="4"/>
      <c r="H42" s="4"/>
      <c r="I42" s="4"/>
      <c r="O42" s="4"/>
      <c r="P42" s="4"/>
      <c r="Q42" s="4"/>
      <c r="R42" s="4"/>
      <c r="S42" s="4"/>
      <c r="Y42" s="4"/>
      <c r="Z42" s="4"/>
      <c r="AF42" s="17"/>
      <c r="AG42" s="17"/>
    </row>
    <row r="43">
      <c r="A43" s="31">
        <v>46002.0</v>
      </c>
      <c r="B43" s="13" t="s">
        <v>49</v>
      </c>
      <c r="C43" s="13" t="s">
        <v>46</v>
      </c>
      <c r="D43" s="18"/>
      <c r="E43" s="23">
        <v>40000.0</v>
      </c>
      <c r="F43" s="30">
        <f t="shared" si="1"/>
        <v>-2521904</v>
      </c>
      <c r="G43" s="4"/>
      <c r="H43" s="4"/>
      <c r="I43" s="4"/>
      <c r="O43" s="4"/>
      <c r="P43" s="4"/>
      <c r="Q43" s="4"/>
      <c r="R43" s="4"/>
      <c r="S43" s="4"/>
      <c r="Y43" s="4"/>
      <c r="Z43" s="4"/>
      <c r="AF43" s="17"/>
      <c r="AG43" s="17"/>
    </row>
    <row r="44">
      <c r="A44" s="19">
        <v>46003.0</v>
      </c>
      <c r="B44" s="13" t="s">
        <v>50</v>
      </c>
      <c r="C44" s="13" t="s">
        <v>46</v>
      </c>
      <c r="D44" s="18"/>
      <c r="E44" s="23">
        <v>45000.0</v>
      </c>
      <c r="F44" s="30">
        <f t="shared" si="1"/>
        <v>-2566904</v>
      </c>
      <c r="G44" s="4"/>
      <c r="H44" s="4"/>
      <c r="I44" s="4"/>
      <c r="O44" s="4"/>
      <c r="P44" s="4"/>
      <c r="Q44" s="4"/>
      <c r="R44" s="4"/>
      <c r="S44" s="4"/>
      <c r="Y44" s="4"/>
      <c r="Z44" s="4"/>
      <c r="AF44" s="17"/>
      <c r="AG44" s="17"/>
    </row>
    <row r="45">
      <c r="A45" s="19">
        <v>46003.0</v>
      </c>
      <c r="B45" s="13" t="s">
        <v>51</v>
      </c>
      <c r="C45" s="13" t="s">
        <v>46</v>
      </c>
      <c r="D45" s="18"/>
      <c r="E45" s="23">
        <v>45000.0</v>
      </c>
      <c r="F45" s="30">
        <f t="shared" si="1"/>
        <v>-2611904</v>
      </c>
      <c r="G45" s="4"/>
      <c r="H45" s="4"/>
      <c r="I45" s="4"/>
      <c r="O45" s="4"/>
      <c r="P45" s="4"/>
      <c r="Q45" s="4"/>
      <c r="R45" s="4"/>
      <c r="S45" s="4"/>
      <c r="Y45" s="4"/>
      <c r="Z45" s="4"/>
      <c r="AF45" s="17"/>
      <c r="AG45" s="17"/>
    </row>
    <row r="46">
      <c r="A46" s="19">
        <v>46004.0</v>
      </c>
      <c r="B46" s="13" t="s">
        <v>52</v>
      </c>
      <c r="C46" s="13" t="s">
        <v>46</v>
      </c>
      <c r="D46" s="18"/>
      <c r="E46" s="23">
        <v>32800.0</v>
      </c>
      <c r="F46" s="30">
        <f t="shared" si="1"/>
        <v>-2644704</v>
      </c>
      <c r="G46" s="4"/>
      <c r="H46" s="4"/>
      <c r="I46" s="4"/>
      <c r="O46" s="4"/>
      <c r="P46" s="4"/>
      <c r="Q46" s="4"/>
      <c r="R46" s="4"/>
      <c r="S46" s="4"/>
      <c r="Y46" s="4"/>
      <c r="Z46" s="4"/>
      <c r="AF46" s="17"/>
      <c r="AG46" s="17"/>
    </row>
    <row r="47">
      <c r="A47" s="19">
        <v>46006.0</v>
      </c>
      <c r="B47" s="13" t="s">
        <v>53</v>
      </c>
      <c r="C47" s="13" t="s">
        <v>46</v>
      </c>
      <c r="D47" s="18"/>
      <c r="E47" s="23">
        <v>15000.0</v>
      </c>
      <c r="F47" s="30">
        <f t="shared" si="1"/>
        <v>-2659704</v>
      </c>
      <c r="G47" s="4"/>
      <c r="H47" s="4"/>
      <c r="I47" s="4"/>
      <c r="O47" s="4"/>
      <c r="P47" s="4"/>
      <c r="Q47" s="4"/>
      <c r="R47" s="4"/>
      <c r="S47" s="4"/>
      <c r="Y47" s="4"/>
      <c r="Z47" s="4"/>
      <c r="AF47" s="17"/>
      <c r="AG47" s="17"/>
    </row>
    <row r="48">
      <c r="A48" s="19">
        <v>46006.0</v>
      </c>
      <c r="B48" s="13" t="s">
        <v>54</v>
      </c>
      <c r="C48" s="13" t="s">
        <v>46</v>
      </c>
      <c r="D48" s="18"/>
      <c r="E48" s="23">
        <v>46800.0</v>
      </c>
      <c r="F48" s="30">
        <f t="shared" si="1"/>
        <v>-2706504</v>
      </c>
      <c r="G48" s="4"/>
      <c r="H48" s="4"/>
      <c r="I48" s="4"/>
      <c r="O48" s="4"/>
      <c r="P48" s="4"/>
      <c r="Q48" s="4"/>
      <c r="R48" s="4"/>
      <c r="S48" s="4"/>
      <c r="Y48" s="4"/>
      <c r="Z48" s="4"/>
      <c r="AF48" s="17"/>
      <c r="AG48" s="17"/>
    </row>
    <row r="49">
      <c r="A49" s="27">
        <v>46006.0</v>
      </c>
      <c r="B49" s="13" t="s">
        <v>55</v>
      </c>
      <c r="C49" s="13" t="s">
        <v>46</v>
      </c>
      <c r="D49" s="18"/>
      <c r="E49" s="23">
        <v>20000.0</v>
      </c>
      <c r="F49" s="30">
        <f t="shared" si="1"/>
        <v>-2726504</v>
      </c>
      <c r="G49" s="4"/>
      <c r="H49" s="4"/>
      <c r="I49" s="4"/>
      <c r="O49" s="4"/>
      <c r="P49" s="4"/>
      <c r="Q49" s="4"/>
      <c r="R49" s="4"/>
      <c r="S49" s="4"/>
      <c r="Y49" s="4"/>
      <c r="Z49" s="4"/>
      <c r="AF49" s="17"/>
      <c r="AG49" s="17"/>
    </row>
    <row r="50">
      <c r="A50" s="27">
        <v>46006.0</v>
      </c>
      <c r="B50" s="13" t="s">
        <v>15</v>
      </c>
      <c r="C50" s="13" t="s">
        <v>46</v>
      </c>
      <c r="D50" s="18"/>
      <c r="E50" s="23">
        <v>15600.0</v>
      </c>
      <c r="F50" s="30">
        <f t="shared" si="1"/>
        <v>-2742104</v>
      </c>
      <c r="G50" s="4"/>
      <c r="H50" s="4"/>
      <c r="I50" s="4"/>
      <c r="O50" s="4"/>
      <c r="P50" s="4"/>
      <c r="Q50" s="4"/>
      <c r="R50" s="4"/>
      <c r="S50" s="4"/>
      <c r="Y50" s="4"/>
      <c r="Z50" s="4"/>
      <c r="AF50" s="17"/>
      <c r="AG50" s="17"/>
    </row>
    <row r="51">
      <c r="A51" s="27">
        <v>46006.0</v>
      </c>
      <c r="B51" s="13" t="s">
        <v>56</v>
      </c>
      <c r="C51" s="13" t="s">
        <v>46</v>
      </c>
      <c r="D51" s="18"/>
      <c r="E51" s="23">
        <v>17600.0</v>
      </c>
      <c r="F51" s="30">
        <f t="shared" si="1"/>
        <v>-2759704</v>
      </c>
      <c r="G51" s="4"/>
      <c r="H51" s="4"/>
      <c r="I51" s="4"/>
      <c r="O51" s="4"/>
      <c r="P51" s="4"/>
      <c r="Q51" s="4"/>
      <c r="R51" s="4"/>
      <c r="S51" s="4"/>
      <c r="Y51" s="4"/>
      <c r="Z51" s="4"/>
      <c r="AF51" s="17"/>
      <c r="AG51" s="17"/>
    </row>
    <row r="52">
      <c r="A52" s="27">
        <v>46006.0</v>
      </c>
      <c r="B52" s="13" t="s">
        <v>57</v>
      </c>
      <c r="C52" s="13" t="s">
        <v>46</v>
      </c>
      <c r="D52" s="18"/>
      <c r="E52" s="23">
        <v>52000.0</v>
      </c>
      <c r="F52" s="30">
        <f t="shared" si="1"/>
        <v>-2811704</v>
      </c>
      <c r="G52" s="4"/>
      <c r="H52" s="4"/>
      <c r="I52" s="4"/>
      <c r="O52" s="4"/>
      <c r="P52" s="4"/>
      <c r="Q52" s="4"/>
      <c r="R52" s="4"/>
      <c r="S52" s="4"/>
      <c r="Y52" s="4"/>
      <c r="Z52" s="4"/>
      <c r="AF52" s="17"/>
      <c r="AG52" s="17"/>
    </row>
    <row r="53">
      <c r="A53" s="27">
        <v>46006.0</v>
      </c>
      <c r="B53" s="13" t="s">
        <v>58</v>
      </c>
      <c r="C53" s="13" t="s">
        <v>46</v>
      </c>
      <c r="D53" s="18"/>
      <c r="E53" s="23">
        <v>40000.0</v>
      </c>
      <c r="F53" s="30">
        <f t="shared" si="1"/>
        <v>-2851704</v>
      </c>
      <c r="G53" s="4"/>
      <c r="H53" s="4"/>
      <c r="I53" s="4"/>
      <c r="O53" s="4"/>
      <c r="P53" s="4"/>
      <c r="Q53" s="4"/>
      <c r="R53" s="4"/>
      <c r="S53" s="4"/>
      <c r="Y53" s="4"/>
      <c r="Z53" s="4"/>
      <c r="AF53" s="17"/>
      <c r="AG53" s="17"/>
    </row>
    <row r="54">
      <c r="A54" s="27">
        <v>46006.0</v>
      </c>
      <c r="B54" s="13" t="s">
        <v>59</v>
      </c>
      <c r="C54" s="13" t="s">
        <v>46</v>
      </c>
      <c r="D54" s="18"/>
      <c r="E54" s="23">
        <v>2600.0</v>
      </c>
      <c r="F54" s="30">
        <f t="shared" si="1"/>
        <v>-2854304</v>
      </c>
      <c r="G54" s="4"/>
      <c r="H54" s="4"/>
      <c r="I54" s="4"/>
      <c r="O54" s="4"/>
      <c r="P54" s="4"/>
      <c r="Q54" s="4"/>
      <c r="R54" s="4"/>
      <c r="S54" s="4"/>
      <c r="Y54" s="4"/>
      <c r="Z54" s="4"/>
      <c r="AF54" s="17"/>
      <c r="AG54" s="17"/>
    </row>
    <row r="55">
      <c r="A55" s="19">
        <v>46006.0</v>
      </c>
      <c r="B55" s="13" t="s">
        <v>60</v>
      </c>
      <c r="C55" s="13" t="s">
        <v>46</v>
      </c>
      <c r="D55" s="18"/>
      <c r="E55" s="23">
        <v>14000.0</v>
      </c>
      <c r="F55" s="30">
        <f t="shared" si="1"/>
        <v>-2868304</v>
      </c>
      <c r="G55" s="4"/>
      <c r="H55" s="4"/>
      <c r="I55" s="4"/>
      <c r="O55" s="4"/>
      <c r="P55" s="4"/>
      <c r="Q55" s="4"/>
      <c r="R55" s="4"/>
      <c r="S55" s="4"/>
      <c r="Y55" s="4"/>
      <c r="Z55" s="4"/>
      <c r="AF55" s="17"/>
      <c r="AG55" s="17"/>
    </row>
    <row r="56">
      <c r="A56" s="19">
        <v>46006.0</v>
      </c>
      <c r="B56" s="13" t="s">
        <v>61</v>
      </c>
      <c r="C56" s="13" t="s">
        <v>46</v>
      </c>
      <c r="D56" s="18"/>
      <c r="E56" s="23">
        <v>12000.0</v>
      </c>
      <c r="F56" s="30">
        <f t="shared" si="1"/>
        <v>-2880304</v>
      </c>
      <c r="G56" s="4"/>
      <c r="H56" s="4"/>
      <c r="I56" s="4"/>
      <c r="J56" s="32">
        <f>843300</f>
        <v>843300</v>
      </c>
      <c r="O56" s="4"/>
      <c r="P56" s="4"/>
      <c r="Q56" s="4"/>
      <c r="R56" s="4"/>
      <c r="S56" s="4"/>
      <c r="Y56" s="4"/>
      <c r="Z56" s="4"/>
      <c r="AF56" s="17"/>
      <c r="AG56" s="17"/>
    </row>
    <row r="57">
      <c r="A57" s="19">
        <v>46006.0</v>
      </c>
      <c r="B57" s="13" t="s">
        <v>62</v>
      </c>
      <c r="C57" s="13" t="s">
        <v>46</v>
      </c>
      <c r="D57" s="18"/>
      <c r="E57" s="23">
        <v>25300.0</v>
      </c>
      <c r="F57" s="30">
        <f t="shared" si="1"/>
        <v>-2905604</v>
      </c>
      <c r="G57" s="4"/>
      <c r="H57" s="4"/>
      <c r="I57" s="4"/>
      <c r="O57" s="4"/>
      <c r="P57" s="4"/>
      <c r="Q57" s="4"/>
      <c r="R57" s="4"/>
      <c r="S57" s="4"/>
      <c r="Y57" s="4"/>
      <c r="Z57" s="4"/>
      <c r="AF57" s="17"/>
      <c r="AG57" s="17"/>
    </row>
    <row r="58">
      <c r="A58" s="19">
        <v>46007.0</v>
      </c>
      <c r="B58" s="13" t="s">
        <v>63</v>
      </c>
      <c r="C58" s="13" t="s">
        <v>46</v>
      </c>
      <c r="D58" s="18"/>
      <c r="E58" s="23">
        <v>45000.0</v>
      </c>
      <c r="F58" s="30">
        <f t="shared" si="1"/>
        <v>-2950604</v>
      </c>
      <c r="G58" s="4"/>
      <c r="H58" s="4"/>
      <c r="I58" s="4"/>
      <c r="O58" s="4"/>
      <c r="P58" s="4"/>
      <c r="Q58" s="4"/>
      <c r="R58" s="4"/>
      <c r="S58" s="4"/>
      <c r="Y58" s="4"/>
      <c r="Z58" s="4"/>
      <c r="AF58" s="17"/>
      <c r="AG58" s="17"/>
    </row>
    <row r="59">
      <c r="A59" s="19">
        <v>46007.0</v>
      </c>
      <c r="B59" s="13" t="s">
        <v>64</v>
      </c>
      <c r="C59" s="13" t="s">
        <v>46</v>
      </c>
      <c r="D59" s="18"/>
      <c r="E59" s="23">
        <v>20000.0</v>
      </c>
      <c r="F59" s="30">
        <f t="shared" si="1"/>
        <v>-2970604</v>
      </c>
      <c r="G59" s="4"/>
      <c r="H59" s="4"/>
      <c r="I59" s="4"/>
      <c r="O59" s="4"/>
      <c r="P59" s="4"/>
      <c r="Q59" s="4"/>
      <c r="R59" s="4"/>
      <c r="S59" s="4"/>
      <c r="Y59" s="4"/>
      <c r="Z59" s="4"/>
      <c r="AF59" s="17"/>
      <c r="AG59" s="17"/>
    </row>
    <row r="60">
      <c r="A60" s="19">
        <v>46007.0</v>
      </c>
      <c r="B60" s="13" t="s">
        <v>65</v>
      </c>
      <c r="C60" s="13" t="s">
        <v>46</v>
      </c>
      <c r="D60" s="18"/>
      <c r="E60" s="23">
        <v>15000.0</v>
      </c>
      <c r="F60" s="30">
        <f t="shared" si="1"/>
        <v>-2985604</v>
      </c>
      <c r="G60" s="4"/>
      <c r="H60" s="4"/>
      <c r="I60" s="4"/>
      <c r="O60" s="4"/>
      <c r="P60" s="4"/>
      <c r="Q60" s="4"/>
      <c r="R60" s="4"/>
      <c r="S60" s="4"/>
      <c r="Y60" s="4"/>
      <c r="Z60" s="4"/>
      <c r="AF60" s="17"/>
      <c r="AG60" s="17"/>
    </row>
    <row r="61">
      <c r="A61" s="19">
        <v>46008.0</v>
      </c>
      <c r="B61" s="13" t="s">
        <v>66</v>
      </c>
      <c r="C61" s="13" t="s">
        <v>46</v>
      </c>
      <c r="D61" s="18"/>
      <c r="E61" s="23">
        <v>20000.0</v>
      </c>
      <c r="F61" s="30">
        <f t="shared" si="1"/>
        <v>-3005604</v>
      </c>
      <c r="G61" s="4"/>
      <c r="H61" s="4"/>
      <c r="I61" s="4"/>
      <c r="O61" s="4"/>
      <c r="P61" s="4"/>
      <c r="Q61" s="4"/>
      <c r="R61" s="4"/>
      <c r="S61" s="4"/>
      <c r="Y61" s="4"/>
      <c r="Z61" s="4"/>
      <c r="AF61" s="17"/>
      <c r="AG61" s="17"/>
    </row>
    <row r="62">
      <c r="A62" s="12"/>
      <c r="B62" s="18" t="s">
        <v>67</v>
      </c>
      <c r="C62" s="33"/>
      <c r="D62" s="33">
        <f>SUM(D7:D48)</f>
        <v>1073450</v>
      </c>
      <c r="E62" s="34">
        <f>SUM(E9:E61)</f>
        <v>4079054</v>
      </c>
      <c r="F62" s="35">
        <f>D62-E62</f>
        <v>-3005604</v>
      </c>
      <c r="G62" s="4"/>
      <c r="H62" s="4"/>
      <c r="I62" s="4"/>
      <c r="O62" s="4"/>
      <c r="P62" s="4"/>
      <c r="Q62" s="4"/>
      <c r="R62" s="4"/>
      <c r="S62" s="4"/>
      <c r="Y62" s="4"/>
      <c r="Z62" s="4"/>
      <c r="AF62" s="17"/>
      <c r="AG62" s="17"/>
    </row>
    <row r="63">
      <c r="A63" s="4"/>
      <c r="C63" s="4"/>
      <c r="D63" s="4"/>
      <c r="E63" s="4"/>
      <c r="F63" s="4"/>
      <c r="G63" s="36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Y63" s="4"/>
      <c r="Z63" s="4"/>
      <c r="AF63" s="4"/>
      <c r="AG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Y64" s="4"/>
      <c r="Z64" s="4"/>
      <c r="AA64" s="4"/>
      <c r="AB64" s="4"/>
      <c r="AC64" s="4"/>
      <c r="AD64" s="4"/>
      <c r="AE64" s="4"/>
      <c r="AF64" s="4"/>
      <c r="AG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</row>
    <row r="70">
      <c r="A70" s="36" t="s">
        <v>68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</row>
    <row r="75">
      <c r="A75" s="1" t="s">
        <v>0</v>
      </c>
      <c r="B75" s="2"/>
      <c r="C75" s="2"/>
      <c r="D75" s="2"/>
      <c r="E75" s="2"/>
      <c r="F75" s="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</row>
    <row r="76">
      <c r="A76" s="5" t="s">
        <v>1</v>
      </c>
      <c r="B76" s="2"/>
      <c r="C76" s="2"/>
      <c r="D76" s="2"/>
      <c r="E76" s="2"/>
      <c r="F76" s="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</row>
    <row r="77">
      <c r="A77" s="1" t="s">
        <v>2</v>
      </c>
      <c r="B77" s="2"/>
      <c r="C77" s="2"/>
      <c r="D77" s="3"/>
      <c r="E77" s="6" t="s">
        <v>3</v>
      </c>
      <c r="F77" s="3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</row>
    <row r="78">
      <c r="A78" s="7"/>
      <c r="B78" s="7"/>
      <c r="C78" s="7"/>
      <c r="D78" s="7"/>
      <c r="E78" s="7"/>
      <c r="F78" s="7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</row>
    <row r="79">
      <c r="A79" s="8" t="s">
        <v>4</v>
      </c>
      <c r="B79" s="8" t="s">
        <v>5</v>
      </c>
      <c r="C79" s="9" t="s">
        <v>6</v>
      </c>
      <c r="D79" s="8" t="s">
        <v>7</v>
      </c>
      <c r="E79" s="8" t="s">
        <v>8</v>
      </c>
      <c r="F79" s="8" t="s">
        <v>9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</row>
    <row r="80">
      <c r="A80" s="10"/>
      <c r="B80" s="10"/>
      <c r="C80" s="10"/>
      <c r="D80" s="10"/>
      <c r="E80" s="10"/>
      <c r="F80" s="11" t="s">
        <v>10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</row>
    <row r="81">
      <c r="A81" s="12"/>
      <c r="B81" s="18" t="s">
        <v>12</v>
      </c>
      <c r="C81" s="14"/>
      <c r="D81" s="14">
        <v>0.0</v>
      </c>
      <c r="E81" s="15"/>
      <c r="F81" s="16">
        <f>D81</f>
        <v>0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</row>
    <row r="82">
      <c r="A82" s="19">
        <v>46010.0</v>
      </c>
      <c r="B82" s="37" t="s">
        <v>69</v>
      </c>
      <c r="C82" s="38" t="s">
        <v>14</v>
      </c>
      <c r="D82" s="39"/>
      <c r="E82" s="23">
        <v>70800.0</v>
      </c>
      <c r="F82" s="40">
        <f t="shared" ref="F82:F89" si="2">F81+D82-E82</f>
        <v>-70800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</row>
    <row r="83">
      <c r="A83" s="19">
        <v>46012.0</v>
      </c>
      <c r="B83" s="37" t="s">
        <v>70</v>
      </c>
      <c r="C83" s="38" t="s">
        <v>14</v>
      </c>
      <c r="D83" s="41"/>
      <c r="E83" s="23">
        <v>10200.0</v>
      </c>
      <c r="F83" s="40">
        <f t="shared" si="2"/>
        <v>-81000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</row>
    <row r="84">
      <c r="A84" s="19">
        <v>46012.0</v>
      </c>
      <c r="B84" s="37" t="s">
        <v>71</v>
      </c>
      <c r="C84" s="38" t="s">
        <v>14</v>
      </c>
      <c r="D84" s="41"/>
      <c r="E84" s="23">
        <v>13200.0</v>
      </c>
      <c r="F84" s="40">
        <f t="shared" si="2"/>
        <v>-94200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</row>
    <row r="85">
      <c r="A85" s="19">
        <v>46012.0</v>
      </c>
      <c r="B85" s="37" t="s">
        <v>72</v>
      </c>
      <c r="C85" s="38" t="s">
        <v>14</v>
      </c>
      <c r="D85" s="42"/>
      <c r="E85" s="23">
        <v>46450.0</v>
      </c>
      <c r="F85" s="40">
        <f t="shared" si="2"/>
        <v>-140650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</row>
    <row r="86">
      <c r="A86" s="19">
        <v>46012.0</v>
      </c>
      <c r="B86" s="37" t="s">
        <v>73</v>
      </c>
      <c r="C86" s="38" t="s">
        <v>14</v>
      </c>
      <c r="D86" s="41"/>
      <c r="E86" s="23">
        <v>8600.0</v>
      </c>
      <c r="F86" s="40">
        <f t="shared" si="2"/>
        <v>-149250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</row>
    <row r="87">
      <c r="A87" s="19">
        <v>46015.0</v>
      </c>
      <c r="B87" s="37" t="s">
        <v>74</v>
      </c>
      <c r="C87" s="38" t="s">
        <v>14</v>
      </c>
      <c r="D87" s="41"/>
      <c r="E87" s="23">
        <v>26200.0</v>
      </c>
      <c r="F87" s="40">
        <f t="shared" si="2"/>
        <v>-175450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</row>
    <row r="88">
      <c r="A88" s="19">
        <v>46017.0</v>
      </c>
      <c r="B88" s="37" t="s">
        <v>75</v>
      </c>
      <c r="C88" s="38" t="s">
        <v>14</v>
      </c>
      <c r="D88" s="41"/>
      <c r="E88" s="23">
        <v>13200.0</v>
      </c>
      <c r="F88" s="40">
        <f t="shared" si="2"/>
        <v>-188650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</row>
    <row r="89">
      <c r="A89" s="19">
        <v>46001.0</v>
      </c>
      <c r="B89" s="37" t="s">
        <v>76</v>
      </c>
      <c r="C89" s="38" t="s">
        <v>14</v>
      </c>
      <c r="D89" s="41"/>
      <c r="E89" s="23">
        <v>87500.0</v>
      </c>
      <c r="F89" s="40">
        <f t="shared" si="2"/>
        <v>-276150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>
      <c r="A90" s="12"/>
      <c r="B90" s="18" t="s">
        <v>67</v>
      </c>
      <c r="C90" s="33"/>
      <c r="D90" s="33">
        <f>SUM(D81:D89)</f>
        <v>0</v>
      </c>
      <c r="E90" s="34">
        <f>SUM(E82:E89)</f>
        <v>276150</v>
      </c>
      <c r="F90" s="43">
        <f>D90-E90</f>
        <v>-276150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</row>
    <row r="94">
      <c r="A94" s="1" t="s">
        <v>0</v>
      </c>
      <c r="B94" s="2"/>
      <c r="C94" s="2"/>
      <c r="D94" s="2"/>
      <c r="E94" s="2"/>
      <c r="F94" s="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</row>
    <row r="95">
      <c r="A95" s="5" t="s">
        <v>1</v>
      </c>
      <c r="B95" s="2"/>
      <c r="C95" s="2"/>
      <c r="D95" s="2"/>
      <c r="E95" s="2"/>
      <c r="F95" s="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</row>
    <row r="96">
      <c r="A96" s="1" t="s">
        <v>77</v>
      </c>
      <c r="B96" s="2"/>
      <c r="C96" s="2"/>
      <c r="D96" s="3"/>
      <c r="E96" s="6" t="s">
        <v>3</v>
      </c>
      <c r="F96" s="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</row>
    <row r="97">
      <c r="A97" s="7"/>
      <c r="B97" s="7"/>
      <c r="C97" s="7"/>
      <c r="D97" s="7"/>
      <c r="E97" s="7"/>
      <c r="F97" s="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</row>
    <row r="98">
      <c r="A98" s="8" t="s">
        <v>4</v>
      </c>
      <c r="B98" s="8" t="s">
        <v>5</v>
      </c>
      <c r="C98" s="8" t="s">
        <v>7</v>
      </c>
      <c r="D98" s="8" t="s">
        <v>7</v>
      </c>
      <c r="E98" s="8" t="s">
        <v>8</v>
      </c>
      <c r="F98" s="8" t="s">
        <v>9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</row>
    <row r="99">
      <c r="A99" s="10"/>
      <c r="B99" s="10"/>
      <c r="C99" s="10"/>
      <c r="D99" s="10"/>
      <c r="E99" s="10"/>
      <c r="F99" s="11" t="s">
        <v>10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</row>
    <row r="100">
      <c r="A100" s="44"/>
      <c r="B100" s="18" t="s">
        <v>12</v>
      </c>
      <c r="C100" s="14">
        <v>0.0</v>
      </c>
      <c r="D100" s="14">
        <v>0.0</v>
      </c>
      <c r="E100" s="33"/>
      <c r="F100" s="16">
        <f>C100</f>
        <v>0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</row>
    <row r="101">
      <c r="A101" s="19">
        <v>45995.0</v>
      </c>
      <c r="B101" s="37" t="s">
        <v>78</v>
      </c>
      <c r="C101" s="38"/>
      <c r="D101" s="39"/>
      <c r="E101" s="23">
        <v>223533.0</v>
      </c>
      <c r="F101" s="40">
        <f>C100-E101</f>
        <v>-223533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</row>
    <row r="102">
      <c r="A102" s="19">
        <v>46017.0</v>
      </c>
      <c r="B102" s="37" t="s">
        <v>79</v>
      </c>
      <c r="C102" s="38"/>
      <c r="D102" s="39"/>
      <c r="E102" s="23">
        <v>156000.0</v>
      </c>
      <c r="F102" s="40">
        <f t="shared" ref="F102:F106" si="3">F101-E102</f>
        <v>-379533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</row>
    <row r="103">
      <c r="A103" s="19">
        <v>46017.0</v>
      </c>
      <c r="B103" s="37" t="s">
        <v>80</v>
      </c>
      <c r="C103" s="38"/>
      <c r="D103" s="39"/>
      <c r="E103" s="23">
        <v>51600.0</v>
      </c>
      <c r="F103" s="40">
        <f t="shared" si="3"/>
        <v>-431133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</row>
    <row r="104">
      <c r="A104" s="19">
        <v>46010.0</v>
      </c>
      <c r="B104" s="37" t="s">
        <v>81</v>
      </c>
      <c r="C104" s="38"/>
      <c r="D104" s="39"/>
      <c r="E104" s="23">
        <v>600000.0</v>
      </c>
      <c r="F104" s="40">
        <f t="shared" si="3"/>
        <v>-1031133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</row>
    <row r="105">
      <c r="A105" s="19">
        <v>46010.0</v>
      </c>
      <c r="B105" s="37" t="s">
        <v>82</v>
      </c>
      <c r="C105" s="38"/>
      <c r="D105" s="39"/>
      <c r="E105" s="23">
        <v>400000.0</v>
      </c>
      <c r="F105" s="40">
        <f t="shared" si="3"/>
        <v>-1431133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</row>
    <row r="106">
      <c r="A106" s="19">
        <v>46010.0</v>
      </c>
      <c r="B106" s="37" t="s">
        <v>83</v>
      </c>
      <c r="C106" s="38"/>
      <c r="D106" s="39"/>
      <c r="E106" s="23">
        <v>200000.0</v>
      </c>
      <c r="F106" s="43">
        <f t="shared" si="3"/>
        <v>-1631133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</row>
  </sheetData>
  <mergeCells count="12">
    <mergeCell ref="A77:D77"/>
    <mergeCell ref="A94:F94"/>
    <mergeCell ref="A95:F95"/>
    <mergeCell ref="A96:D96"/>
    <mergeCell ref="E96:F96"/>
    <mergeCell ref="A1:F1"/>
    <mergeCell ref="A2:F2"/>
    <mergeCell ref="A3:D3"/>
    <mergeCell ref="E3:F3"/>
    <mergeCell ref="A75:F75"/>
    <mergeCell ref="A76:F76"/>
    <mergeCell ref="E77:F77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12" max="12" width="18.38"/>
  </cols>
  <sheetData>
    <row r="2">
      <c r="A2" s="45" t="s">
        <v>84</v>
      </c>
      <c r="B2" s="2"/>
      <c r="C2" s="3"/>
      <c r="D2" s="46" t="s">
        <v>85</v>
      </c>
      <c r="E2" s="3"/>
    </row>
    <row r="3">
      <c r="A3" s="47" t="s">
        <v>4</v>
      </c>
      <c r="B3" s="48" t="s">
        <v>86</v>
      </c>
      <c r="C3" s="49" t="s">
        <v>7</v>
      </c>
      <c r="D3" s="50" t="s">
        <v>8</v>
      </c>
      <c r="E3" s="51" t="s">
        <v>9</v>
      </c>
    </row>
    <row r="4">
      <c r="A4" s="52"/>
      <c r="B4" s="53"/>
      <c r="C4" s="54"/>
      <c r="D4" s="54"/>
      <c r="E4" s="55">
        <v>0.0</v>
      </c>
    </row>
    <row r="5">
      <c r="A5" s="56">
        <v>46036.0</v>
      </c>
      <c r="B5" s="57" t="s">
        <v>87</v>
      </c>
      <c r="C5" s="58"/>
      <c r="D5" s="59">
        <v>34800.0</v>
      </c>
      <c r="E5" s="60">
        <f>D5</f>
        <v>34800</v>
      </c>
    </row>
    <row r="6">
      <c r="A6" s="56">
        <v>46035.0</v>
      </c>
      <c r="B6" s="57" t="s">
        <v>88</v>
      </c>
      <c r="C6" s="58"/>
      <c r="D6" s="59">
        <v>13600.0</v>
      </c>
      <c r="E6" s="60">
        <f t="shared" ref="E6:E7" si="1">E5+D6</f>
        <v>48400</v>
      </c>
    </row>
    <row r="7">
      <c r="A7" s="61">
        <v>46044.0</v>
      </c>
      <c r="B7" s="57" t="s">
        <v>87</v>
      </c>
      <c r="C7" s="7"/>
      <c r="D7" s="59">
        <v>34600.0</v>
      </c>
      <c r="E7" s="60">
        <f t="shared" si="1"/>
        <v>83000</v>
      </c>
    </row>
    <row r="8">
      <c r="A8" s="62"/>
      <c r="B8" s="63" t="s">
        <v>89</v>
      </c>
      <c r="C8" s="58"/>
      <c r="D8" s="58"/>
      <c r="E8" s="60">
        <f>E7-D8</f>
        <v>83000</v>
      </c>
    </row>
    <row r="9">
      <c r="A9" s="4"/>
      <c r="B9" s="4"/>
      <c r="C9" s="4"/>
      <c r="D9" s="4"/>
      <c r="E9" s="4"/>
    </row>
    <row r="10">
      <c r="A10" s="4"/>
      <c r="B10" s="4"/>
      <c r="C10" s="4"/>
      <c r="D10" s="4"/>
      <c r="E10" s="4"/>
    </row>
    <row r="11">
      <c r="A11" s="45" t="s">
        <v>84</v>
      </c>
      <c r="B11" s="2"/>
      <c r="C11" s="3"/>
      <c r="D11" s="46" t="s">
        <v>90</v>
      </c>
      <c r="E11" s="3"/>
    </row>
    <row r="12">
      <c r="A12" s="47" t="s">
        <v>4</v>
      </c>
      <c r="B12" s="48" t="s">
        <v>86</v>
      </c>
      <c r="C12" s="49" t="s">
        <v>7</v>
      </c>
      <c r="D12" s="50" t="s">
        <v>8</v>
      </c>
      <c r="E12" s="51" t="s">
        <v>9</v>
      </c>
    </row>
    <row r="13">
      <c r="A13" s="52"/>
      <c r="B13" s="53"/>
      <c r="C13" s="54"/>
      <c r="D13" s="54"/>
      <c r="E13" s="55" t="s">
        <v>10</v>
      </c>
    </row>
    <row r="14">
      <c r="A14" s="64">
        <v>46050.0</v>
      </c>
      <c r="B14" s="57" t="s">
        <v>87</v>
      </c>
      <c r="C14" s="65"/>
      <c r="D14" s="59">
        <v>33800.0</v>
      </c>
      <c r="E14" s="66">
        <v>33800.0</v>
      </c>
    </row>
    <row r="15">
      <c r="A15" s="64">
        <v>46058.0</v>
      </c>
      <c r="B15" s="57" t="s">
        <v>87</v>
      </c>
      <c r="C15" s="65"/>
      <c r="D15" s="59">
        <v>34400.0</v>
      </c>
      <c r="E15" s="66">
        <v>68200.0</v>
      </c>
    </row>
    <row r="16">
      <c r="A16" s="64">
        <v>46063.0</v>
      </c>
      <c r="B16" s="57" t="s">
        <v>87</v>
      </c>
      <c r="C16" s="65"/>
      <c r="D16" s="59">
        <v>34400.0</v>
      </c>
      <c r="E16" s="66">
        <v>102600.0</v>
      </c>
    </row>
    <row r="17">
      <c r="A17" s="64">
        <v>46071.0</v>
      </c>
      <c r="B17" s="67" t="s">
        <v>91</v>
      </c>
      <c r="C17" s="65"/>
      <c r="D17" s="59">
        <v>60000.0</v>
      </c>
      <c r="E17" s="66">
        <v>162600.0</v>
      </c>
    </row>
    <row r="18">
      <c r="A18" s="64">
        <v>46073.0</v>
      </c>
      <c r="B18" s="57" t="s">
        <v>87</v>
      </c>
      <c r="C18" s="65"/>
      <c r="D18" s="59">
        <v>37000.0</v>
      </c>
      <c r="E18" s="66">
        <v>199600.0</v>
      </c>
    </row>
    <row r="19">
      <c r="A19" s="64">
        <v>46080.0</v>
      </c>
      <c r="B19" s="57" t="s">
        <v>87</v>
      </c>
      <c r="C19" s="68"/>
      <c r="D19" s="59">
        <v>37000.0</v>
      </c>
      <c r="E19" s="66">
        <v>236600.0</v>
      </c>
    </row>
    <row r="20">
      <c r="A20" s="68"/>
      <c r="B20" s="69" t="s">
        <v>89</v>
      </c>
      <c r="C20" s="70"/>
      <c r="D20" s="70"/>
      <c r="E20" s="66">
        <v>236600.0</v>
      </c>
    </row>
    <row r="21">
      <c r="A21" s="71"/>
      <c r="B21" s="71"/>
      <c r="C21" s="65"/>
      <c r="D21" s="65"/>
      <c r="E21" s="65"/>
    </row>
    <row r="22">
      <c r="A22" s="72"/>
      <c r="B22" s="17"/>
      <c r="C22" s="17"/>
      <c r="D22" s="17"/>
      <c r="E22" s="17"/>
    </row>
    <row r="23">
      <c r="A23" s="72"/>
      <c r="B23" s="17"/>
      <c r="C23" s="17"/>
      <c r="D23" s="17"/>
      <c r="E23" s="17"/>
    </row>
    <row r="24">
      <c r="A24" s="73" t="s">
        <v>84</v>
      </c>
      <c r="B24" s="2"/>
      <c r="C24" s="3"/>
      <c r="D24" s="46" t="s">
        <v>92</v>
      </c>
      <c r="E24" s="3"/>
    </row>
    <row r="25">
      <c r="A25" s="74" t="s">
        <v>4</v>
      </c>
      <c r="B25" s="48" t="s">
        <v>86</v>
      </c>
      <c r="C25" s="49" t="s">
        <v>7</v>
      </c>
      <c r="D25" s="50" t="s">
        <v>8</v>
      </c>
      <c r="E25" s="51" t="s">
        <v>9</v>
      </c>
    </row>
    <row r="26">
      <c r="A26" s="75"/>
      <c r="B26" s="76"/>
      <c r="C26" s="54"/>
      <c r="D26" s="54"/>
      <c r="E26" s="55">
        <v>0.0</v>
      </c>
    </row>
    <row r="27">
      <c r="A27" s="64">
        <v>46093.0</v>
      </c>
      <c r="B27" s="57" t="s">
        <v>87</v>
      </c>
      <c r="C27" s="70"/>
      <c r="D27" s="59">
        <v>37000.0</v>
      </c>
      <c r="E27" s="66">
        <f>D27</f>
        <v>37000</v>
      </c>
    </row>
    <row r="28">
      <c r="A28" s="77">
        <v>46093.0</v>
      </c>
      <c r="B28" s="57" t="s">
        <v>88</v>
      </c>
      <c r="C28" s="65"/>
      <c r="D28" s="59">
        <v>18900.0</v>
      </c>
      <c r="E28" s="66">
        <f t="shared" ref="E28:E29" si="2">E27+D28</f>
        <v>55900</v>
      </c>
    </row>
    <row r="29">
      <c r="A29" s="64">
        <v>46103.0</v>
      </c>
      <c r="B29" s="57" t="s">
        <v>87</v>
      </c>
      <c r="C29" s="65"/>
      <c r="D29" s="59">
        <v>42000.0</v>
      </c>
      <c r="E29" s="66">
        <f t="shared" si="2"/>
        <v>97900</v>
      </c>
    </row>
    <row r="30">
      <c r="A30" s="62"/>
      <c r="B30" s="78" t="s">
        <v>89</v>
      </c>
      <c r="C30" s="58"/>
      <c r="D30" s="79"/>
      <c r="E30" s="60">
        <f>E29-D30</f>
        <v>97900</v>
      </c>
    </row>
    <row r="31">
      <c r="A31" s="72"/>
      <c r="B31" s="17"/>
      <c r="C31" s="4"/>
      <c r="D31" s="58"/>
      <c r="E31" s="17"/>
    </row>
    <row r="32">
      <c r="A32" s="72"/>
      <c r="B32" s="17"/>
      <c r="C32" s="4"/>
      <c r="D32" s="58"/>
      <c r="E32" s="17"/>
    </row>
    <row r="33">
      <c r="A33" s="72"/>
      <c r="B33" s="4"/>
      <c r="C33" s="17"/>
      <c r="D33" s="17"/>
      <c r="E33" s="17"/>
    </row>
    <row r="34">
      <c r="A34" s="45" t="s">
        <v>84</v>
      </c>
      <c r="B34" s="2"/>
      <c r="C34" s="3"/>
      <c r="D34" s="46" t="s">
        <v>93</v>
      </c>
      <c r="E34" s="3"/>
    </row>
    <row r="35">
      <c r="A35" s="74" t="s">
        <v>4</v>
      </c>
      <c r="B35" s="80" t="s">
        <v>86</v>
      </c>
      <c r="C35" s="49" t="s">
        <v>7</v>
      </c>
      <c r="D35" s="50" t="s">
        <v>8</v>
      </c>
      <c r="E35" s="51" t="s">
        <v>9</v>
      </c>
    </row>
    <row r="36">
      <c r="A36" s="81"/>
      <c r="B36" s="82"/>
      <c r="C36" s="54"/>
      <c r="D36" s="54"/>
      <c r="E36" s="55">
        <v>0.0</v>
      </c>
    </row>
    <row r="37">
      <c r="A37" s="56">
        <v>46120.0</v>
      </c>
      <c r="B37" s="57" t="s">
        <v>88</v>
      </c>
      <c r="C37" s="58"/>
      <c r="D37" s="59">
        <v>68000.0</v>
      </c>
      <c r="E37" s="60">
        <f>D37</f>
        <v>68000</v>
      </c>
    </row>
    <row r="38">
      <c r="A38" s="56">
        <v>46121.0</v>
      </c>
      <c r="B38" s="57" t="s">
        <v>87</v>
      </c>
      <c r="C38" s="58"/>
      <c r="D38" s="59">
        <v>39000.0</v>
      </c>
      <c r="E38" s="60">
        <f>E37+D38</f>
        <v>107000</v>
      </c>
    </row>
    <row r="39">
      <c r="A39" s="62"/>
      <c r="B39" s="63" t="s">
        <v>89</v>
      </c>
      <c r="C39" s="58"/>
      <c r="D39" s="58"/>
      <c r="E39" s="60">
        <f>E38</f>
        <v>107000</v>
      </c>
    </row>
    <row r="40">
      <c r="A40" s="83"/>
      <c r="B40" s="17"/>
      <c r="C40" s="17"/>
      <c r="D40" s="84"/>
      <c r="E40" s="17"/>
    </row>
    <row r="41">
      <c r="A41" s="72"/>
      <c r="B41" s="17"/>
      <c r="C41" s="4"/>
      <c r="D41" s="17"/>
      <c r="E41" s="17"/>
    </row>
    <row r="42">
      <c r="A42" s="73" t="s">
        <v>84</v>
      </c>
      <c r="B42" s="2"/>
      <c r="C42" s="3"/>
      <c r="D42" s="46" t="s">
        <v>94</v>
      </c>
      <c r="E42" s="3"/>
    </row>
    <row r="43">
      <c r="A43" s="74" t="s">
        <v>4</v>
      </c>
      <c r="B43" s="48" t="s">
        <v>86</v>
      </c>
      <c r="C43" s="49" t="s">
        <v>7</v>
      </c>
      <c r="D43" s="50" t="s">
        <v>8</v>
      </c>
      <c r="E43" s="51" t="s">
        <v>9</v>
      </c>
    </row>
    <row r="44">
      <c r="A44" s="52"/>
      <c r="B44" s="53"/>
      <c r="C44" s="54"/>
      <c r="D44" s="54"/>
      <c r="E44" s="55">
        <v>0.0</v>
      </c>
    </row>
    <row r="45">
      <c r="A45" s="56">
        <v>46135.0</v>
      </c>
      <c r="B45" s="57" t="s">
        <v>87</v>
      </c>
      <c r="C45" s="7"/>
      <c r="D45" s="59">
        <v>39000.0</v>
      </c>
      <c r="E45" s="60">
        <f>D45</f>
        <v>39000</v>
      </c>
    </row>
    <row r="46">
      <c r="A46" s="56">
        <v>46138.0</v>
      </c>
      <c r="B46" s="57" t="s">
        <v>87</v>
      </c>
      <c r="C46" s="7"/>
      <c r="D46" s="59">
        <v>40000.0</v>
      </c>
      <c r="E46" s="60">
        <f t="shared" ref="E46:E48" si="3">E45+D46</f>
        <v>79000</v>
      </c>
    </row>
    <row r="47">
      <c r="A47" s="85">
        <v>46148.0</v>
      </c>
      <c r="B47" s="57" t="s">
        <v>95</v>
      </c>
      <c r="C47" s="58"/>
      <c r="D47" s="59">
        <v>45000.0</v>
      </c>
      <c r="E47" s="60">
        <f t="shared" si="3"/>
        <v>124000</v>
      </c>
    </row>
    <row r="48">
      <c r="A48" s="85">
        <v>46162.0</v>
      </c>
      <c r="B48" s="57" t="s">
        <v>87</v>
      </c>
      <c r="C48" s="58"/>
      <c r="D48" s="59">
        <v>41000.0</v>
      </c>
      <c r="E48" s="60">
        <f t="shared" si="3"/>
        <v>165000</v>
      </c>
    </row>
    <row r="49">
      <c r="A49" s="62"/>
      <c r="B49" s="63" t="s">
        <v>89</v>
      </c>
      <c r="C49" s="58"/>
      <c r="D49" s="58"/>
      <c r="E49" s="60">
        <f>E48</f>
        <v>165000</v>
      </c>
    </row>
  </sheetData>
  <mergeCells count="10">
    <mergeCell ref="A34:C34"/>
    <mergeCell ref="A42:C42"/>
    <mergeCell ref="D42:E42"/>
    <mergeCell ref="A2:C2"/>
    <mergeCell ref="D2:E2"/>
    <mergeCell ref="A11:C11"/>
    <mergeCell ref="D11:E11"/>
    <mergeCell ref="A24:C24"/>
    <mergeCell ref="D24:E24"/>
    <mergeCell ref="D34:E3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0"/>
  </cols>
  <sheetData>
    <row r="1">
      <c r="A1" s="1" t="s">
        <v>0</v>
      </c>
      <c r="B1" s="2"/>
      <c r="C1" s="2"/>
      <c r="D1" s="2"/>
      <c r="E1" s="2"/>
      <c r="F1" s="3"/>
    </row>
    <row r="2">
      <c r="A2" s="5" t="s">
        <v>1</v>
      </c>
      <c r="B2" s="2"/>
      <c r="C2" s="2"/>
      <c r="D2" s="2"/>
      <c r="E2" s="2"/>
      <c r="F2" s="3"/>
    </row>
    <row r="3">
      <c r="A3" s="1" t="s">
        <v>2</v>
      </c>
      <c r="B3" s="2"/>
      <c r="C3" s="2"/>
      <c r="D3" s="3"/>
      <c r="E3" s="86" t="s">
        <v>96</v>
      </c>
      <c r="F3" s="3"/>
    </row>
    <row r="4">
      <c r="A4" s="7"/>
      <c r="B4" s="7"/>
      <c r="C4" s="7"/>
      <c r="D4" s="7"/>
      <c r="E4" s="7"/>
      <c r="F4" s="7"/>
    </row>
    <row r="5">
      <c r="A5" s="8" t="s">
        <v>4</v>
      </c>
      <c r="B5" s="8" t="s">
        <v>5</v>
      </c>
      <c r="C5" s="9" t="s">
        <v>6</v>
      </c>
      <c r="D5" s="8" t="s">
        <v>7</v>
      </c>
      <c r="E5" s="8" t="s">
        <v>8</v>
      </c>
      <c r="F5" s="8" t="s">
        <v>9</v>
      </c>
    </row>
    <row r="6">
      <c r="A6" s="10"/>
      <c r="B6" s="10"/>
      <c r="C6" s="10"/>
      <c r="D6" s="10"/>
      <c r="E6" s="10"/>
      <c r="F6" s="11" t="s">
        <v>10</v>
      </c>
    </row>
    <row r="7">
      <c r="A7" s="12"/>
      <c r="B7" s="13" t="s">
        <v>11</v>
      </c>
      <c r="C7" s="14"/>
      <c r="D7" s="14">
        <v>273450.0</v>
      </c>
      <c r="E7" s="15"/>
      <c r="F7" s="16"/>
    </row>
    <row r="8">
      <c r="A8" s="12"/>
      <c r="B8" s="18" t="s">
        <v>12</v>
      </c>
      <c r="C8" s="14"/>
      <c r="D8" s="14">
        <v>800000.0</v>
      </c>
      <c r="E8" s="15"/>
      <c r="F8" s="16">
        <f>D7+D8</f>
        <v>1073450</v>
      </c>
    </row>
    <row r="9">
      <c r="A9" s="19">
        <v>45988.0</v>
      </c>
      <c r="B9" s="20" t="s">
        <v>13</v>
      </c>
      <c r="C9" s="21" t="s">
        <v>14</v>
      </c>
      <c r="D9" s="22"/>
      <c r="E9" s="23">
        <v>120000.0</v>
      </c>
      <c r="F9" s="16">
        <f t="shared" ref="F9:F61" si="1">F8+D9-E9</f>
        <v>953450</v>
      </c>
    </row>
    <row r="10">
      <c r="A10" s="19">
        <v>45993.0</v>
      </c>
      <c r="B10" s="20" t="s">
        <v>15</v>
      </c>
      <c r="C10" s="21" t="s">
        <v>14</v>
      </c>
      <c r="D10" s="25"/>
      <c r="E10" s="23">
        <v>27000.0</v>
      </c>
      <c r="F10" s="16">
        <f t="shared" si="1"/>
        <v>926450</v>
      </c>
    </row>
    <row r="11">
      <c r="A11" s="19">
        <v>45993.0</v>
      </c>
      <c r="B11" s="20" t="s">
        <v>16</v>
      </c>
      <c r="C11" s="21" t="s">
        <v>14</v>
      </c>
      <c r="D11" s="25"/>
      <c r="E11" s="23">
        <v>98400.0</v>
      </c>
      <c r="F11" s="16">
        <f t="shared" si="1"/>
        <v>828050</v>
      </c>
    </row>
    <row r="12">
      <c r="A12" s="19">
        <v>45993.0</v>
      </c>
      <c r="B12" s="20" t="s">
        <v>17</v>
      </c>
      <c r="C12" s="21" t="s">
        <v>14</v>
      </c>
      <c r="D12" s="26"/>
      <c r="E12" s="23">
        <v>25000.0</v>
      </c>
      <c r="F12" s="16">
        <f t="shared" si="1"/>
        <v>803050</v>
      </c>
    </row>
    <row r="13">
      <c r="A13" s="19">
        <v>45994.0</v>
      </c>
      <c r="B13" s="20" t="s">
        <v>18</v>
      </c>
      <c r="C13" s="21" t="s">
        <v>14</v>
      </c>
      <c r="D13" s="25"/>
      <c r="E13" s="23">
        <v>280960.0</v>
      </c>
      <c r="F13" s="16">
        <f t="shared" si="1"/>
        <v>522090</v>
      </c>
    </row>
    <row r="14">
      <c r="A14" s="19">
        <v>45994.0</v>
      </c>
      <c r="B14" s="20" t="s">
        <v>19</v>
      </c>
      <c r="C14" s="21" t="s">
        <v>14</v>
      </c>
      <c r="D14" s="25"/>
      <c r="E14" s="23">
        <v>41000.0</v>
      </c>
      <c r="F14" s="16">
        <f t="shared" si="1"/>
        <v>481090</v>
      </c>
    </row>
    <row r="15">
      <c r="A15" s="27">
        <v>45995.0</v>
      </c>
      <c r="B15" s="20" t="s">
        <v>20</v>
      </c>
      <c r="C15" s="21" t="s">
        <v>14</v>
      </c>
      <c r="D15" s="25"/>
      <c r="E15" s="23">
        <v>180000.0</v>
      </c>
      <c r="F15" s="16">
        <f t="shared" si="1"/>
        <v>301090</v>
      </c>
    </row>
    <row r="16">
      <c r="A16" s="19">
        <v>45996.0</v>
      </c>
      <c r="B16" s="20" t="s">
        <v>21</v>
      </c>
      <c r="C16" s="21" t="s">
        <v>14</v>
      </c>
      <c r="D16" s="25"/>
      <c r="E16" s="23">
        <v>100000.0</v>
      </c>
      <c r="F16" s="16">
        <f t="shared" si="1"/>
        <v>201090</v>
      </c>
    </row>
    <row r="17">
      <c r="A17" s="19">
        <v>45996.0</v>
      </c>
      <c r="B17" s="20" t="s">
        <v>22</v>
      </c>
      <c r="C17" s="21" t="s">
        <v>14</v>
      </c>
      <c r="D17" s="25"/>
      <c r="E17" s="23">
        <v>32800.0</v>
      </c>
      <c r="F17" s="16">
        <f t="shared" si="1"/>
        <v>168290</v>
      </c>
    </row>
    <row r="18">
      <c r="A18" s="19">
        <v>45996.0</v>
      </c>
      <c r="B18" s="20" t="s">
        <v>23</v>
      </c>
      <c r="C18" s="21" t="s">
        <v>14</v>
      </c>
      <c r="D18" s="25"/>
      <c r="E18" s="23">
        <v>55000.0</v>
      </c>
      <c r="F18" s="16">
        <f t="shared" si="1"/>
        <v>113290</v>
      </c>
    </row>
    <row r="19">
      <c r="A19" s="19">
        <v>45996.0</v>
      </c>
      <c r="B19" s="20" t="s">
        <v>24</v>
      </c>
      <c r="C19" s="21" t="s">
        <v>14</v>
      </c>
      <c r="D19" s="25"/>
      <c r="E19" s="23">
        <v>21000.0</v>
      </c>
      <c r="F19" s="16">
        <f t="shared" si="1"/>
        <v>92290</v>
      </c>
    </row>
    <row r="20">
      <c r="A20" s="19">
        <v>45997.0</v>
      </c>
      <c r="B20" s="20" t="s">
        <v>25</v>
      </c>
      <c r="C20" s="21" t="s">
        <v>14</v>
      </c>
      <c r="D20" s="25"/>
      <c r="E20" s="23">
        <v>12400.0</v>
      </c>
      <c r="F20" s="16">
        <f t="shared" si="1"/>
        <v>79890</v>
      </c>
    </row>
    <row r="21">
      <c r="A21" s="19">
        <v>45997.0</v>
      </c>
      <c r="B21" s="20" t="s">
        <v>26</v>
      </c>
      <c r="C21" s="21" t="s">
        <v>14</v>
      </c>
      <c r="D21" s="25"/>
      <c r="E21" s="23">
        <v>19000.0</v>
      </c>
      <c r="F21" s="16">
        <f t="shared" si="1"/>
        <v>60890</v>
      </c>
    </row>
    <row r="22">
      <c r="A22" s="19">
        <v>45997.0</v>
      </c>
      <c r="B22" s="20" t="s">
        <v>27</v>
      </c>
      <c r="C22" s="21" t="s">
        <v>14</v>
      </c>
      <c r="D22" s="25"/>
      <c r="E22" s="23">
        <v>5974.0</v>
      </c>
      <c r="F22" s="16">
        <f t="shared" si="1"/>
        <v>54916</v>
      </c>
    </row>
    <row r="23">
      <c r="A23" s="28">
        <v>45997.0</v>
      </c>
      <c r="B23" s="29" t="s">
        <v>28</v>
      </c>
      <c r="C23" s="21" t="s">
        <v>14</v>
      </c>
      <c r="D23" s="25"/>
      <c r="E23" s="23">
        <v>360000.0</v>
      </c>
      <c r="F23" s="30">
        <f t="shared" si="1"/>
        <v>-305084</v>
      </c>
    </row>
    <row r="24">
      <c r="A24" s="19">
        <v>45997.0</v>
      </c>
      <c r="B24" s="20" t="s">
        <v>29</v>
      </c>
      <c r="C24" s="21" t="s">
        <v>14</v>
      </c>
      <c r="D24" s="25"/>
      <c r="E24" s="23">
        <v>84320.0</v>
      </c>
      <c r="F24" s="30">
        <f t="shared" si="1"/>
        <v>-389404</v>
      </c>
    </row>
    <row r="25">
      <c r="A25" s="19">
        <v>45997.0</v>
      </c>
      <c r="B25" s="20" t="s">
        <v>30</v>
      </c>
      <c r="C25" s="21" t="s">
        <v>14</v>
      </c>
      <c r="D25" s="25"/>
      <c r="E25" s="23">
        <v>45000.0</v>
      </c>
      <c r="F25" s="30">
        <f t="shared" si="1"/>
        <v>-434404</v>
      </c>
    </row>
    <row r="26">
      <c r="A26" s="19">
        <v>45998.0</v>
      </c>
      <c r="B26" s="20" t="s">
        <v>31</v>
      </c>
      <c r="C26" s="21" t="s">
        <v>14</v>
      </c>
      <c r="D26" s="25"/>
      <c r="E26" s="23">
        <v>9000.0</v>
      </c>
      <c r="F26" s="30">
        <f t="shared" si="1"/>
        <v>-443404</v>
      </c>
    </row>
    <row r="27">
      <c r="A27" s="19">
        <v>45998.0</v>
      </c>
      <c r="B27" s="20" t="s">
        <v>32</v>
      </c>
      <c r="C27" s="21" t="s">
        <v>14</v>
      </c>
      <c r="D27" s="25"/>
      <c r="E27" s="23">
        <v>520000.0</v>
      </c>
      <c r="F27" s="30">
        <f t="shared" si="1"/>
        <v>-963404</v>
      </c>
    </row>
    <row r="28">
      <c r="A28" s="19">
        <v>45998.0</v>
      </c>
      <c r="B28" s="20" t="s">
        <v>33</v>
      </c>
      <c r="C28" s="21" t="s">
        <v>14</v>
      </c>
      <c r="D28" s="25"/>
      <c r="E28" s="23">
        <v>30000.0</v>
      </c>
      <c r="F28" s="30">
        <f t="shared" si="1"/>
        <v>-993404</v>
      </c>
    </row>
    <row r="29">
      <c r="A29" s="19">
        <v>45999.0</v>
      </c>
      <c r="B29" s="20" t="s">
        <v>34</v>
      </c>
      <c r="C29" s="21" t="s">
        <v>14</v>
      </c>
      <c r="D29" s="25"/>
      <c r="E29" s="23">
        <v>50000.0</v>
      </c>
      <c r="F29" s="30">
        <f t="shared" si="1"/>
        <v>-1043404</v>
      </c>
    </row>
    <row r="30">
      <c r="A30" s="27">
        <v>45999.0</v>
      </c>
      <c r="B30" s="20" t="s">
        <v>35</v>
      </c>
      <c r="C30" s="21" t="s">
        <v>14</v>
      </c>
      <c r="D30" s="25"/>
      <c r="E30" s="23">
        <v>455000.0</v>
      </c>
      <c r="F30" s="30">
        <f t="shared" si="1"/>
        <v>-1498404</v>
      </c>
    </row>
    <row r="31">
      <c r="A31" s="19">
        <v>45999.0</v>
      </c>
      <c r="B31" s="20" t="s">
        <v>36</v>
      </c>
      <c r="C31" s="21" t="s">
        <v>14</v>
      </c>
      <c r="D31" s="25"/>
      <c r="E31" s="23">
        <v>300000.0</v>
      </c>
      <c r="F31" s="30">
        <f t="shared" si="1"/>
        <v>-1798404</v>
      </c>
    </row>
    <row r="32">
      <c r="A32" s="19">
        <v>45999.0</v>
      </c>
      <c r="B32" s="20" t="s">
        <v>37</v>
      </c>
      <c r="C32" s="21" t="s">
        <v>14</v>
      </c>
      <c r="D32" s="25"/>
      <c r="E32" s="23">
        <v>60000.0</v>
      </c>
      <c r="F32" s="30">
        <f t="shared" si="1"/>
        <v>-1858404</v>
      </c>
    </row>
    <row r="33">
      <c r="A33" s="19">
        <v>45999.0</v>
      </c>
      <c r="B33" s="20" t="s">
        <v>38</v>
      </c>
      <c r="C33" s="21" t="s">
        <v>14</v>
      </c>
      <c r="D33" s="25"/>
      <c r="E33" s="23">
        <v>100000.0</v>
      </c>
      <c r="F33" s="30">
        <f t="shared" si="1"/>
        <v>-1958404</v>
      </c>
    </row>
    <row r="34">
      <c r="A34" s="19">
        <v>45999.0</v>
      </c>
      <c r="B34" s="20" t="s">
        <v>39</v>
      </c>
      <c r="C34" s="21" t="s">
        <v>14</v>
      </c>
      <c r="D34" s="25"/>
      <c r="E34" s="23">
        <v>21000.0</v>
      </c>
      <c r="F34" s="30">
        <f t="shared" si="1"/>
        <v>-1979404</v>
      </c>
    </row>
    <row r="35">
      <c r="A35" s="19">
        <v>45999.0</v>
      </c>
      <c r="B35" s="20" t="s">
        <v>40</v>
      </c>
      <c r="C35" s="21" t="s">
        <v>14</v>
      </c>
      <c r="D35" s="26"/>
      <c r="E35" s="23">
        <v>15900.0</v>
      </c>
      <c r="F35" s="30">
        <f t="shared" si="1"/>
        <v>-1995304</v>
      </c>
    </row>
    <row r="36">
      <c r="A36" s="19">
        <v>46000.0</v>
      </c>
      <c r="B36" s="20" t="s">
        <v>41</v>
      </c>
      <c r="C36" s="21" t="s">
        <v>14</v>
      </c>
      <c r="D36" s="25"/>
      <c r="E36" s="23">
        <v>30000.0</v>
      </c>
      <c r="F36" s="30">
        <f t="shared" si="1"/>
        <v>-2025304</v>
      </c>
    </row>
    <row r="37">
      <c r="A37" s="19">
        <v>46000.0</v>
      </c>
      <c r="B37" s="20" t="s">
        <v>42</v>
      </c>
      <c r="C37" s="21" t="s">
        <v>14</v>
      </c>
      <c r="D37" s="25"/>
      <c r="E37" s="23">
        <v>22000.0</v>
      </c>
      <c r="F37" s="30">
        <f t="shared" si="1"/>
        <v>-2047304</v>
      </c>
    </row>
    <row r="38">
      <c r="A38" s="19">
        <v>46000.0</v>
      </c>
      <c r="B38" s="20" t="s">
        <v>43</v>
      </c>
      <c r="C38" s="21" t="s">
        <v>14</v>
      </c>
      <c r="D38" s="25"/>
      <c r="E38" s="23">
        <v>60000.0</v>
      </c>
      <c r="F38" s="30">
        <f t="shared" si="1"/>
        <v>-2107304</v>
      </c>
    </row>
    <row r="39">
      <c r="A39" s="19">
        <v>46000.0</v>
      </c>
      <c r="B39" s="20" t="s">
        <v>44</v>
      </c>
      <c r="C39" s="21" t="s">
        <v>14</v>
      </c>
      <c r="D39" s="25"/>
      <c r="E39" s="23">
        <v>55000.0</v>
      </c>
      <c r="F39" s="30">
        <f t="shared" si="1"/>
        <v>-2162304</v>
      </c>
    </row>
    <row r="40">
      <c r="A40" s="19">
        <v>46000.0</v>
      </c>
      <c r="B40" s="13" t="s">
        <v>45</v>
      </c>
      <c r="C40" s="13" t="s">
        <v>46</v>
      </c>
      <c r="D40" s="18"/>
      <c r="E40" s="23">
        <v>21600.0</v>
      </c>
      <c r="F40" s="30">
        <f t="shared" si="1"/>
        <v>-2183904</v>
      </c>
    </row>
    <row r="41">
      <c r="A41" s="19">
        <v>46001.0</v>
      </c>
      <c r="B41" s="13" t="s">
        <v>47</v>
      </c>
      <c r="C41" s="13" t="s">
        <v>46</v>
      </c>
      <c r="D41" s="18"/>
      <c r="E41" s="23">
        <v>18000.0</v>
      </c>
      <c r="F41" s="30">
        <f t="shared" si="1"/>
        <v>-2201904</v>
      </c>
    </row>
    <row r="42">
      <c r="A42" s="19">
        <v>46003.0</v>
      </c>
      <c r="B42" s="13" t="s">
        <v>48</v>
      </c>
      <c r="C42" s="13" t="s">
        <v>46</v>
      </c>
      <c r="D42" s="18"/>
      <c r="E42" s="23">
        <v>280000.0</v>
      </c>
      <c r="F42" s="30">
        <f t="shared" si="1"/>
        <v>-2481904</v>
      </c>
    </row>
    <row r="43">
      <c r="A43" s="31">
        <v>46002.0</v>
      </c>
      <c r="B43" s="13" t="s">
        <v>49</v>
      </c>
      <c r="C43" s="13" t="s">
        <v>46</v>
      </c>
      <c r="D43" s="18"/>
      <c r="E43" s="23">
        <v>40000.0</v>
      </c>
      <c r="F43" s="30">
        <f t="shared" si="1"/>
        <v>-2521904</v>
      </c>
    </row>
    <row r="44">
      <c r="A44" s="19">
        <v>46003.0</v>
      </c>
      <c r="B44" s="13" t="s">
        <v>50</v>
      </c>
      <c r="C44" s="13" t="s">
        <v>46</v>
      </c>
      <c r="D44" s="18"/>
      <c r="E44" s="23">
        <v>45000.0</v>
      </c>
      <c r="F44" s="30">
        <f t="shared" si="1"/>
        <v>-2566904</v>
      </c>
    </row>
    <row r="45">
      <c r="A45" s="19">
        <v>46003.0</v>
      </c>
      <c r="B45" s="13" t="s">
        <v>51</v>
      </c>
      <c r="C45" s="13" t="s">
        <v>46</v>
      </c>
      <c r="D45" s="18"/>
      <c r="E45" s="23">
        <v>45000.0</v>
      </c>
      <c r="F45" s="30">
        <f t="shared" si="1"/>
        <v>-2611904</v>
      </c>
    </row>
    <row r="46">
      <c r="A46" s="19">
        <v>46004.0</v>
      </c>
      <c r="B46" s="13" t="s">
        <v>52</v>
      </c>
      <c r="C46" s="13" t="s">
        <v>46</v>
      </c>
      <c r="D46" s="18"/>
      <c r="E46" s="23">
        <v>32800.0</v>
      </c>
      <c r="F46" s="30">
        <f t="shared" si="1"/>
        <v>-2644704</v>
      </c>
    </row>
    <row r="47">
      <c r="A47" s="19">
        <v>46006.0</v>
      </c>
      <c r="B47" s="13" t="s">
        <v>53</v>
      </c>
      <c r="C47" s="13" t="s">
        <v>46</v>
      </c>
      <c r="D47" s="18"/>
      <c r="E47" s="23">
        <v>15000.0</v>
      </c>
      <c r="F47" s="30">
        <f t="shared" si="1"/>
        <v>-2659704</v>
      </c>
    </row>
    <row r="48">
      <c r="A48" s="19">
        <v>46006.0</v>
      </c>
      <c r="B48" s="13" t="s">
        <v>54</v>
      </c>
      <c r="C48" s="13" t="s">
        <v>46</v>
      </c>
      <c r="D48" s="18"/>
      <c r="E48" s="23">
        <v>46800.0</v>
      </c>
      <c r="F48" s="30">
        <f t="shared" si="1"/>
        <v>-2706504</v>
      </c>
    </row>
    <row r="49">
      <c r="A49" s="27">
        <v>46006.0</v>
      </c>
      <c r="B49" s="13" t="s">
        <v>55</v>
      </c>
      <c r="C49" s="13" t="s">
        <v>46</v>
      </c>
      <c r="D49" s="18"/>
      <c r="E49" s="23">
        <v>20000.0</v>
      </c>
      <c r="F49" s="30">
        <f t="shared" si="1"/>
        <v>-2726504</v>
      </c>
    </row>
    <row r="50">
      <c r="A50" s="27">
        <v>46006.0</v>
      </c>
      <c r="B50" s="13" t="s">
        <v>15</v>
      </c>
      <c r="C50" s="13" t="s">
        <v>46</v>
      </c>
      <c r="D50" s="18"/>
      <c r="E50" s="23">
        <v>15600.0</v>
      </c>
      <c r="F50" s="30">
        <f t="shared" si="1"/>
        <v>-2742104</v>
      </c>
    </row>
    <row r="51">
      <c r="A51" s="27">
        <v>46006.0</v>
      </c>
      <c r="B51" s="13" t="s">
        <v>56</v>
      </c>
      <c r="C51" s="13" t="s">
        <v>46</v>
      </c>
      <c r="D51" s="18"/>
      <c r="E51" s="23">
        <v>17600.0</v>
      </c>
      <c r="F51" s="30">
        <f t="shared" si="1"/>
        <v>-2759704</v>
      </c>
    </row>
    <row r="52">
      <c r="A52" s="27">
        <v>46006.0</v>
      </c>
      <c r="B52" s="13" t="s">
        <v>57</v>
      </c>
      <c r="C52" s="13" t="s">
        <v>46</v>
      </c>
      <c r="D52" s="18"/>
      <c r="E52" s="23">
        <v>52000.0</v>
      </c>
      <c r="F52" s="30">
        <f t="shared" si="1"/>
        <v>-2811704</v>
      </c>
    </row>
    <row r="53">
      <c r="A53" s="27">
        <v>46006.0</v>
      </c>
      <c r="B53" s="13" t="s">
        <v>58</v>
      </c>
      <c r="C53" s="13" t="s">
        <v>46</v>
      </c>
      <c r="D53" s="18"/>
      <c r="E53" s="23">
        <v>40000.0</v>
      </c>
      <c r="F53" s="30">
        <f t="shared" si="1"/>
        <v>-2851704</v>
      </c>
    </row>
    <row r="54">
      <c r="A54" s="27">
        <v>46006.0</v>
      </c>
      <c r="B54" s="13" t="s">
        <v>59</v>
      </c>
      <c r="C54" s="13" t="s">
        <v>46</v>
      </c>
      <c r="D54" s="18"/>
      <c r="E54" s="23">
        <v>2600.0</v>
      </c>
      <c r="F54" s="30">
        <f t="shared" si="1"/>
        <v>-2854304</v>
      </c>
    </row>
    <row r="55">
      <c r="A55" s="19">
        <v>46006.0</v>
      </c>
      <c r="B55" s="13" t="s">
        <v>60</v>
      </c>
      <c r="C55" s="13" t="s">
        <v>46</v>
      </c>
      <c r="D55" s="18"/>
      <c r="E55" s="23">
        <v>14000.0</v>
      </c>
      <c r="F55" s="30">
        <f t="shared" si="1"/>
        <v>-2868304</v>
      </c>
    </row>
    <row r="56">
      <c r="A56" s="19">
        <v>46006.0</v>
      </c>
      <c r="B56" s="13" t="s">
        <v>61</v>
      </c>
      <c r="C56" s="13" t="s">
        <v>46</v>
      </c>
      <c r="D56" s="18"/>
      <c r="E56" s="23">
        <v>12000.0</v>
      </c>
      <c r="F56" s="30">
        <f t="shared" si="1"/>
        <v>-2880304</v>
      </c>
    </row>
    <row r="57">
      <c r="A57" s="19">
        <v>46006.0</v>
      </c>
      <c r="B57" s="13" t="s">
        <v>62</v>
      </c>
      <c r="C57" s="13" t="s">
        <v>46</v>
      </c>
      <c r="D57" s="18"/>
      <c r="E57" s="23">
        <v>25300.0</v>
      </c>
      <c r="F57" s="30">
        <f t="shared" si="1"/>
        <v>-2905604</v>
      </c>
    </row>
    <row r="58">
      <c r="A58" s="19">
        <v>46007.0</v>
      </c>
      <c r="B58" s="13" t="s">
        <v>63</v>
      </c>
      <c r="C58" s="13" t="s">
        <v>46</v>
      </c>
      <c r="D58" s="18"/>
      <c r="E58" s="23">
        <v>45000.0</v>
      </c>
      <c r="F58" s="30">
        <f t="shared" si="1"/>
        <v>-2950604</v>
      </c>
    </row>
    <row r="59">
      <c r="A59" s="19">
        <v>46007.0</v>
      </c>
      <c r="B59" s="13" t="s">
        <v>64</v>
      </c>
      <c r="C59" s="13" t="s">
        <v>46</v>
      </c>
      <c r="D59" s="18"/>
      <c r="E59" s="23">
        <v>20000.0</v>
      </c>
      <c r="F59" s="30">
        <f t="shared" si="1"/>
        <v>-2970604</v>
      </c>
    </row>
    <row r="60">
      <c r="A60" s="19">
        <v>46007.0</v>
      </c>
      <c r="B60" s="13" t="s">
        <v>65</v>
      </c>
      <c r="C60" s="13" t="s">
        <v>46</v>
      </c>
      <c r="D60" s="18"/>
      <c r="E60" s="23">
        <v>15000.0</v>
      </c>
      <c r="F60" s="30">
        <f t="shared" si="1"/>
        <v>-2985604</v>
      </c>
    </row>
    <row r="61">
      <c r="A61" s="19">
        <v>46008.0</v>
      </c>
      <c r="B61" s="13" t="s">
        <v>66</v>
      </c>
      <c r="C61" s="13" t="s">
        <v>46</v>
      </c>
      <c r="D61" s="18"/>
      <c r="E61" s="23">
        <v>20000.0</v>
      </c>
      <c r="F61" s="30">
        <f t="shared" si="1"/>
        <v>-3005604</v>
      </c>
    </row>
    <row r="62">
      <c r="A62" s="12"/>
      <c r="B62" s="18" t="s">
        <v>67</v>
      </c>
      <c r="C62" s="33"/>
      <c r="D62" s="33">
        <f>SUM(D7:D48)</f>
        <v>1073450</v>
      </c>
      <c r="E62" s="34">
        <f>SUM(E9:E61)</f>
        <v>4079054</v>
      </c>
      <c r="F62" s="35">
        <f>D62-E62</f>
        <v>-3005604</v>
      </c>
    </row>
  </sheetData>
  <mergeCells count="4">
    <mergeCell ref="A1:F1"/>
    <mergeCell ref="A2:F2"/>
    <mergeCell ref="A3:D3"/>
    <mergeCell ref="E3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9.25"/>
  </cols>
  <sheetData>
    <row r="1">
      <c r="A1" s="1" t="s">
        <v>0</v>
      </c>
      <c r="B1" s="2"/>
      <c r="C1" s="2"/>
      <c r="D1" s="2"/>
      <c r="E1" s="3"/>
    </row>
    <row r="2">
      <c r="A2" s="5" t="s">
        <v>1</v>
      </c>
      <c r="B2" s="2"/>
      <c r="C2" s="2"/>
      <c r="D2" s="2"/>
      <c r="E2" s="3"/>
    </row>
    <row r="3">
      <c r="A3" s="1" t="s">
        <v>2</v>
      </c>
      <c r="B3" s="2"/>
      <c r="C3" s="3"/>
      <c r="D3" s="86" t="s">
        <v>97</v>
      </c>
      <c r="E3" s="3"/>
    </row>
    <row r="4">
      <c r="A4" s="8" t="s">
        <v>4</v>
      </c>
      <c r="B4" s="8" t="s">
        <v>5</v>
      </c>
      <c r="C4" s="8" t="s">
        <v>7</v>
      </c>
      <c r="D4" s="8" t="s">
        <v>8</v>
      </c>
      <c r="E4" s="8" t="s">
        <v>9</v>
      </c>
    </row>
    <row r="5">
      <c r="A5" s="10"/>
      <c r="B5" s="10"/>
      <c r="C5" s="10"/>
      <c r="D5" s="10"/>
      <c r="E5" s="11" t="s">
        <v>10</v>
      </c>
    </row>
    <row r="6">
      <c r="A6" s="87"/>
      <c r="B6" s="88" t="s">
        <v>98</v>
      </c>
      <c r="C6" s="89">
        <v>1000000.0</v>
      </c>
      <c r="D6" s="90"/>
      <c r="E6" s="91">
        <f>C6-D6</f>
        <v>1000000</v>
      </c>
    </row>
    <row r="7">
      <c r="A7" s="92">
        <v>46052.0</v>
      </c>
      <c r="B7" s="93" t="s">
        <v>99</v>
      </c>
      <c r="C7" s="94"/>
      <c r="D7" s="95">
        <v>50000.0</v>
      </c>
      <c r="E7" s="16">
        <f t="shared" ref="E7:E65" si="1">E6+C7-D7</f>
        <v>950000</v>
      </c>
    </row>
    <row r="8">
      <c r="A8" s="96">
        <v>46052.0</v>
      </c>
      <c r="B8" s="97" t="s">
        <v>100</v>
      </c>
      <c r="C8" s="94"/>
      <c r="D8" s="95">
        <v>57359.0</v>
      </c>
      <c r="E8" s="16">
        <f t="shared" si="1"/>
        <v>892641</v>
      </c>
    </row>
    <row r="9">
      <c r="A9" s="96">
        <v>46052.0</v>
      </c>
      <c r="B9" s="97" t="s">
        <v>101</v>
      </c>
      <c r="C9" s="94"/>
      <c r="D9" s="95">
        <v>10500.0</v>
      </c>
      <c r="E9" s="16">
        <f t="shared" si="1"/>
        <v>882141</v>
      </c>
    </row>
    <row r="10">
      <c r="A10" s="96">
        <v>46052.0</v>
      </c>
      <c r="B10" s="97" t="s">
        <v>102</v>
      </c>
      <c r="C10" s="94"/>
      <c r="D10" s="95">
        <v>140000.0</v>
      </c>
      <c r="E10" s="16">
        <f t="shared" si="1"/>
        <v>742141</v>
      </c>
    </row>
    <row r="11">
      <c r="A11" s="96">
        <v>46052.0</v>
      </c>
      <c r="B11" s="97" t="s">
        <v>103</v>
      </c>
      <c r="C11" s="94"/>
      <c r="D11" s="95">
        <v>21700.0</v>
      </c>
      <c r="E11" s="16">
        <f t="shared" si="1"/>
        <v>720441</v>
      </c>
    </row>
    <row r="12">
      <c r="A12" s="92">
        <v>46053.0</v>
      </c>
      <c r="B12" s="93" t="s">
        <v>104</v>
      </c>
      <c r="C12" s="94"/>
      <c r="D12" s="95">
        <v>24000.0</v>
      </c>
      <c r="E12" s="16">
        <f t="shared" si="1"/>
        <v>696441</v>
      </c>
    </row>
    <row r="13">
      <c r="A13" s="92">
        <v>46053.0</v>
      </c>
      <c r="B13" s="93" t="s">
        <v>105</v>
      </c>
      <c r="C13" s="94"/>
      <c r="D13" s="95">
        <v>16000.0</v>
      </c>
      <c r="E13" s="16">
        <f t="shared" si="1"/>
        <v>680441</v>
      </c>
    </row>
    <row r="14">
      <c r="A14" s="98">
        <v>46053.0</v>
      </c>
      <c r="B14" s="93" t="s">
        <v>106</v>
      </c>
      <c r="C14" s="94"/>
      <c r="D14" s="95">
        <v>12000.0</v>
      </c>
      <c r="E14" s="16">
        <f t="shared" si="1"/>
        <v>668441</v>
      </c>
    </row>
    <row r="15">
      <c r="A15" s="92">
        <v>46053.0</v>
      </c>
      <c r="B15" s="93" t="s">
        <v>107</v>
      </c>
      <c r="C15" s="94"/>
      <c r="D15" s="95">
        <v>7000.0</v>
      </c>
      <c r="E15" s="16">
        <f t="shared" si="1"/>
        <v>661441</v>
      </c>
    </row>
    <row r="16">
      <c r="A16" s="92">
        <v>46053.0</v>
      </c>
      <c r="B16" s="93" t="s">
        <v>108</v>
      </c>
      <c r="C16" s="94"/>
      <c r="D16" s="95">
        <v>16000.0</v>
      </c>
      <c r="E16" s="16">
        <f t="shared" si="1"/>
        <v>645441</v>
      </c>
    </row>
    <row r="17">
      <c r="A17" s="96">
        <v>46053.0</v>
      </c>
      <c r="B17" s="97" t="s">
        <v>109</v>
      </c>
      <c r="C17" s="94"/>
      <c r="D17" s="95">
        <v>104000.0</v>
      </c>
      <c r="E17" s="16">
        <f t="shared" si="1"/>
        <v>541441</v>
      </c>
    </row>
    <row r="18">
      <c r="A18" s="96">
        <v>46053.0</v>
      </c>
      <c r="B18" s="97" t="s">
        <v>106</v>
      </c>
      <c r="C18" s="94"/>
      <c r="D18" s="95">
        <v>12000.0</v>
      </c>
      <c r="E18" s="16">
        <f t="shared" si="1"/>
        <v>529441</v>
      </c>
    </row>
    <row r="19">
      <c r="A19" s="92">
        <v>46053.0</v>
      </c>
      <c r="B19" s="93" t="s">
        <v>110</v>
      </c>
      <c r="C19" s="94"/>
      <c r="D19" s="95">
        <v>104000.0</v>
      </c>
      <c r="E19" s="16">
        <f t="shared" si="1"/>
        <v>425441</v>
      </c>
    </row>
    <row r="20">
      <c r="A20" s="92">
        <v>46054.0</v>
      </c>
      <c r="B20" s="93" t="s">
        <v>104</v>
      </c>
      <c r="C20" s="94"/>
      <c r="D20" s="95">
        <v>24000.0</v>
      </c>
      <c r="E20" s="16">
        <f t="shared" si="1"/>
        <v>401441</v>
      </c>
    </row>
    <row r="21">
      <c r="A21" s="92">
        <v>46054.0</v>
      </c>
      <c r="B21" s="93" t="s">
        <v>111</v>
      </c>
      <c r="C21" s="94"/>
      <c r="D21" s="95">
        <v>9000.0</v>
      </c>
      <c r="E21" s="16">
        <f t="shared" si="1"/>
        <v>392441</v>
      </c>
    </row>
    <row r="22">
      <c r="A22" s="92">
        <v>46054.0</v>
      </c>
      <c r="B22" s="93" t="s">
        <v>109</v>
      </c>
      <c r="C22" s="94"/>
      <c r="D22" s="95">
        <v>104000.0</v>
      </c>
      <c r="E22" s="16">
        <f t="shared" si="1"/>
        <v>288441</v>
      </c>
    </row>
    <row r="23">
      <c r="A23" s="92">
        <v>46054.0</v>
      </c>
      <c r="B23" s="93" t="s">
        <v>105</v>
      </c>
      <c r="C23" s="94"/>
      <c r="D23" s="95">
        <v>16000.0</v>
      </c>
      <c r="E23" s="16">
        <f t="shared" si="1"/>
        <v>272441</v>
      </c>
    </row>
    <row r="24">
      <c r="A24" s="92">
        <v>46054.0</v>
      </c>
      <c r="B24" s="93" t="s">
        <v>112</v>
      </c>
      <c r="C24" s="94"/>
      <c r="D24" s="95">
        <v>112000.0</v>
      </c>
      <c r="E24" s="16">
        <f t="shared" si="1"/>
        <v>160441</v>
      </c>
    </row>
    <row r="25">
      <c r="A25" s="92">
        <v>46055.0</v>
      </c>
      <c r="B25" s="93" t="s">
        <v>113</v>
      </c>
      <c r="C25" s="94"/>
      <c r="D25" s="95">
        <v>25000.0</v>
      </c>
      <c r="E25" s="16">
        <f t="shared" si="1"/>
        <v>135441</v>
      </c>
    </row>
    <row r="26">
      <c r="A26" s="99">
        <v>46055.0</v>
      </c>
      <c r="B26" s="88" t="s">
        <v>98</v>
      </c>
      <c r="C26" s="89">
        <v>1500000.0</v>
      </c>
      <c r="D26" s="100"/>
      <c r="E26" s="91">
        <f t="shared" si="1"/>
        <v>1635441</v>
      </c>
    </row>
    <row r="27">
      <c r="A27" s="92">
        <v>46055.0</v>
      </c>
      <c r="B27" s="93" t="s">
        <v>114</v>
      </c>
      <c r="C27" s="94"/>
      <c r="D27" s="95">
        <v>120000.0</v>
      </c>
      <c r="E27" s="16">
        <f t="shared" si="1"/>
        <v>1515441</v>
      </c>
    </row>
    <row r="28">
      <c r="A28" s="92">
        <v>46055.0</v>
      </c>
      <c r="B28" s="93" t="s">
        <v>115</v>
      </c>
      <c r="C28" s="94"/>
      <c r="D28" s="95">
        <v>16000.0</v>
      </c>
      <c r="E28" s="16">
        <f t="shared" si="1"/>
        <v>1499441</v>
      </c>
    </row>
    <row r="29">
      <c r="A29" s="98">
        <v>46055.0</v>
      </c>
      <c r="B29" s="93" t="s">
        <v>105</v>
      </c>
      <c r="C29" s="94"/>
      <c r="D29" s="95">
        <v>16000.0</v>
      </c>
      <c r="E29" s="16">
        <f t="shared" si="1"/>
        <v>1483441</v>
      </c>
    </row>
    <row r="30">
      <c r="A30" s="92">
        <v>46055.0</v>
      </c>
      <c r="B30" s="93" t="s">
        <v>116</v>
      </c>
      <c r="C30" s="94"/>
      <c r="D30" s="95">
        <v>16000.0</v>
      </c>
      <c r="E30" s="16">
        <f t="shared" si="1"/>
        <v>1467441</v>
      </c>
    </row>
    <row r="31">
      <c r="A31" s="92">
        <v>46055.0</v>
      </c>
      <c r="B31" s="93" t="s">
        <v>117</v>
      </c>
      <c r="C31" s="94"/>
      <c r="D31" s="95">
        <v>128000.0</v>
      </c>
      <c r="E31" s="16">
        <f t="shared" si="1"/>
        <v>1339441</v>
      </c>
    </row>
    <row r="32">
      <c r="A32" s="92">
        <v>46055.0</v>
      </c>
      <c r="B32" s="93" t="s">
        <v>118</v>
      </c>
      <c r="C32" s="94"/>
      <c r="D32" s="95">
        <v>67000.0</v>
      </c>
      <c r="E32" s="16">
        <f t="shared" si="1"/>
        <v>1272441</v>
      </c>
    </row>
    <row r="33">
      <c r="A33" s="92">
        <v>46055.0</v>
      </c>
      <c r="B33" s="93" t="s">
        <v>119</v>
      </c>
      <c r="C33" s="94"/>
      <c r="D33" s="95">
        <v>90000.0</v>
      </c>
      <c r="E33" s="16">
        <f t="shared" si="1"/>
        <v>1182441</v>
      </c>
    </row>
    <row r="34">
      <c r="A34" s="92">
        <v>46056.0</v>
      </c>
      <c r="B34" s="93" t="s">
        <v>120</v>
      </c>
      <c r="C34" s="94"/>
      <c r="D34" s="95">
        <v>38500.0</v>
      </c>
      <c r="E34" s="16">
        <f t="shared" si="1"/>
        <v>1143941</v>
      </c>
    </row>
    <row r="35">
      <c r="A35" s="92">
        <v>46056.0</v>
      </c>
      <c r="B35" s="93" t="s">
        <v>121</v>
      </c>
      <c r="C35" s="94"/>
      <c r="D35" s="95">
        <v>152000.0</v>
      </c>
      <c r="E35" s="16">
        <f t="shared" si="1"/>
        <v>991941</v>
      </c>
    </row>
    <row r="36">
      <c r="A36" s="92">
        <v>46056.0</v>
      </c>
      <c r="B36" s="101" t="s">
        <v>122</v>
      </c>
      <c r="C36" s="94"/>
      <c r="D36" s="95">
        <v>29600.0</v>
      </c>
      <c r="E36" s="16">
        <f t="shared" si="1"/>
        <v>962341</v>
      </c>
    </row>
    <row r="37">
      <c r="A37" s="92">
        <v>46056.0</v>
      </c>
      <c r="B37" s="93" t="s">
        <v>123</v>
      </c>
      <c r="C37" s="94"/>
      <c r="D37" s="95">
        <v>23000.0</v>
      </c>
      <c r="E37" s="16">
        <f t="shared" si="1"/>
        <v>939341</v>
      </c>
    </row>
    <row r="38">
      <c r="A38" s="92">
        <v>46056.0</v>
      </c>
      <c r="B38" s="93" t="s">
        <v>124</v>
      </c>
      <c r="C38" s="94"/>
      <c r="D38" s="95">
        <v>18720.0</v>
      </c>
      <c r="E38" s="16">
        <f t="shared" si="1"/>
        <v>920621</v>
      </c>
    </row>
    <row r="39">
      <c r="A39" s="92">
        <v>46056.0</v>
      </c>
      <c r="B39" s="93" t="s">
        <v>125</v>
      </c>
      <c r="C39" s="94"/>
      <c r="D39" s="95">
        <v>50000.0</v>
      </c>
      <c r="E39" s="16">
        <f t="shared" si="1"/>
        <v>870621</v>
      </c>
    </row>
    <row r="40">
      <c r="A40" s="92">
        <v>46056.0</v>
      </c>
      <c r="B40" s="93" t="s">
        <v>112</v>
      </c>
      <c r="C40" s="94"/>
      <c r="D40" s="95">
        <v>184000.0</v>
      </c>
      <c r="E40" s="16">
        <f t="shared" si="1"/>
        <v>686621</v>
      </c>
    </row>
    <row r="41">
      <c r="A41" s="92">
        <v>46057.0</v>
      </c>
      <c r="B41" s="93" t="s">
        <v>126</v>
      </c>
      <c r="C41" s="94"/>
      <c r="D41" s="95">
        <v>9500.0</v>
      </c>
      <c r="E41" s="16">
        <f t="shared" si="1"/>
        <v>677121</v>
      </c>
    </row>
    <row r="42">
      <c r="A42" s="92">
        <v>46057.0</v>
      </c>
      <c r="B42" s="93" t="s">
        <v>127</v>
      </c>
      <c r="C42" s="94"/>
      <c r="D42" s="95">
        <v>20000.0</v>
      </c>
      <c r="E42" s="16">
        <f t="shared" si="1"/>
        <v>657121</v>
      </c>
    </row>
    <row r="43">
      <c r="A43" s="92">
        <v>46057.0</v>
      </c>
      <c r="B43" s="93" t="s">
        <v>128</v>
      </c>
      <c r="C43" s="94"/>
      <c r="D43" s="95">
        <v>16000.0</v>
      </c>
      <c r="E43" s="16">
        <f t="shared" si="1"/>
        <v>641121</v>
      </c>
    </row>
    <row r="44">
      <c r="A44" s="92">
        <v>46057.0</v>
      </c>
      <c r="B44" s="93" t="s">
        <v>129</v>
      </c>
      <c r="C44" s="102"/>
      <c r="D44" s="95">
        <v>80000.0</v>
      </c>
      <c r="E44" s="16">
        <f t="shared" si="1"/>
        <v>561121</v>
      </c>
    </row>
    <row r="45">
      <c r="A45" s="92">
        <v>46057.0</v>
      </c>
      <c r="B45" s="93" t="s">
        <v>130</v>
      </c>
      <c r="C45" s="94"/>
      <c r="D45" s="95">
        <v>11500.0</v>
      </c>
      <c r="E45" s="16">
        <f t="shared" si="1"/>
        <v>549621</v>
      </c>
    </row>
    <row r="46">
      <c r="A46" s="92">
        <v>46057.0</v>
      </c>
      <c r="B46" s="93" t="s">
        <v>131</v>
      </c>
      <c r="C46" s="94"/>
      <c r="D46" s="95">
        <v>50000.0</v>
      </c>
      <c r="E46" s="16">
        <f t="shared" si="1"/>
        <v>499621</v>
      </c>
    </row>
    <row r="47">
      <c r="A47" s="92">
        <v>46057.0</v>
      </c>
      <c r="B47" s="101" t="s">
        <v>132</v>
      </c>
      <c r="C47" s="94"/>
      <c r="D47" s="95">
        <v>195200.0</v>
      </c>
      <c r="E47" s="16">
        <f t="shared" si="1"/>
        <v>304421</v>
      </c>
    </row>
    <row r="48">
      <c r="A48" s="98">
        <v>46057.0</v>
      </c>
      <c r="B48" s="93" t="s">
        <v>112</v>
      </c>
      <c r="C48" s="94"/>
      <c r="D48" s="95">
        <v>90000.0</v>
      </c>
      <c r="E48" s="16">
        <f t="shared" si="1"/>
        <v>214421</v>
      </c>
    </row>
    <row r="49">
      <c r="A49" s="98">
        <v>46057.0</v>
      </c>
      <c r="B49" s="93" t="s">
        <v>133</v>
      </c>
      <c r="C49" s="94"/>
      <c r="D49" s="95">
        <v>39000.0</v>
      </c>
      <c r="E49" s="16">
        <f t="shared" si="1"/>
        <v>175421</v>
      </c>
    </row>
    <row r="50">
      <c r="A50" s="98">
        <v>46057.0</v>
      </c>
      <c r="B50" s="103" t="s">
        <v>134</v>
      </c>
      <c r="C50" s="94"/>
      <c r="D50" s="95">
        <v>11500.0</v>
      </c>
      <c r="E50" s="16">
        <f t="shared" si="1"/>
        <v>163921</v>
      </c>
    </row>
    <row r="51">
      <c r="A51" s="104">
        <v>46058.0</v>
      </c>
      <c r="B51" s="88" t="s">
        <v>98</v>
      </c>
      <c r="C51" s="89">
        <v>1000000.0</v>
      </c>
      <c r="D51" s="105"/>
      <c r="E51" s="91">
        <f t="shared" si="1"/>
        <v>1163921</v>
      </c>
    </row>
    <row r="52">
      <c r="A52" s="98">
        <v>46058.0</v>
      </c>
      <c r="B52" s="93" t="s">
        <v>135</v>
      </c>
      <c r="C52" s="94"/>
      <c r="D52" s="95">
        <v>20000.0</v>
      </c>
      <c r="E52" s="16">
        <f t="shared" si="1"/>
        <v>1143921</v>
      </c>
    </row>
    <row r="53">
      <c r="A53" s="98">
        <v>46058.0</v>
      </c>
      <c r="B53" s="93" t="s">
        <v>136</v>
      </c>
      <c r="C53" s="94"/>
      <c r="D53" s="95">
        <v>8600.0</v>
      </c>
      <c r="E53" s="16">
        <f t="shared" si="1"/>
        <v>1135321</v>
      </c>
    </row>
    <row r="54">
      <c r="A54" s="92">
        <v>46058.0</v>
      </c>
      <c r="B54" s="93" t="s">
        <v>137</v>
      </c>
      <c r="C54" s="94"/>
      <c r="D54" s="95">
        <v>64000.0</v>
      </c>
      <c r="E54" s="16">
        <f t="shared" si="1"/>
        <v>1071321</v>
      </c>
    </row>
    <row r="55">
      <c r="A55" s="92">
        <v>46058.0</v>
      </c>
      <c r="B55" s="93" t="s">
        <v>138</v>
      </c>
      <c r="C55" s="94"/>
      <c r="D55" s="95">
        <v>990000.0</v>
      </c>
      <c r="E55" s="16">
        <f t="shared" si="1"/>
        <v>81321</v>
      </c>
    </row>
    <row r="56">
      <c r="A56" s="92">
        <v>46058.0</v>
      </c>
      <c r="B56" s="93" t="s">
        <v>139</v>
      </c>
      <c r="C56" s="94"/>
      <c r="D56" s="95">
        <v>150000.0</v>
      </c>
      <c r="E56" s="16">
        <f t="shared" si="1"/>
        <v>-68679</v>
      </c>
    </row>
    <row r="57">
      <c r="A57" s="92">
        <v>46058.0</v>
      </c>
      <c r="B57" s="93" t="s">
        <v>140</v>
      </c>
      <c r="C57" s="94"/>
      <c r="D57" s="95">
        <v>12000.0</v>
      </c>
      <c r="E57" s="16">
        <f t="shared" si="1"/>
        <v>-80679</v>
      </c>
    </row>
    <row r="58">
      <c r="A58" s="92">
        <v>46058.0</v>
      </c>
      <c r="B58" s="93" t="s">
        <v>141</v>
      </c>
      <c r="C58" s="94"/>
      <c r="D58" s="95">
        <v>4500.0</v>
      </c>
      <c r="E58" s="16">
        <f t="shared" si="1"/>
        <v>-85179</v>
      </c>
    </row>
    <row r="59">
      <c r="A59" s="92">
        <v>46059.0</v>
      </c>
      <c r="B59" s="93" t="s">
        <v>142</v>
      </c>
      <c r="C59" s="94"/>
      <c r="D59" s="95">
        <v>40850.0</v>
      </c>
      <c r="E59" s="16">
        <f t="shared" si="1"/>
        <v>-126029</v>
      </c>
    </row>
    <row r="60">
      <c r="A60" s="106">
        <v>46058.0</v>
      </c>
      <c r="B60" s="107" t="s">
        <v>143</v>
      </c>
      <c r="C60" s="108"/>
      <c r="D60" s="95">
        <v>34400.0</v>
      </c>
      <c r="E60" s="16">
        <f t="shared" si="1"/>
        <v>-160429</v>
      </c>
    </row>
    <row r="61">
      <c r="A61" s="106">
        <v>46058.0</v>
      </c>
      <c r="B61" s="93" t="s">
        <v>144</v>
      </c>
      <c r="C61" s="94"/>
      <c r="D61" s="95">
        <v>18000.0</v>
      </c>
      <c r="E61" s="16">
        <f t="shared" si="1"/>
        <v>-178429</v>
      </c>
    </row>
    <row r="62">
      <c r="A62" s="92">
        <v>46062.0</v>
      </c>
      <c r="B62" s="93" t="s">
        <v>145</v>
      </c>
      <c r="C62" s="94"/>
      <c r="D62" s="95">
        <v>45000.0</v>
      </c>
      <c r="E62" s="16">
        <f t="shared" si="1"/>
        <v>-223429</v>
      </c>
    </row>
    <row r="63">
      <c r="A63" s="92">
        <v>46062.0</v>
      </c>
      <c r="B63" s="93" t="s">
        <v>146</v>
      </c>
      <c r="C63" s="109"/>
      <c r="D63" s="95">
        <v>6000.0</v>
      </c>
      <c r="E63" s="16">
        <f t="shared" si="1"/>
        <v>-229429</v>
      </c>
    </row>
    <row r="64">
      <c r="A64" s="92">
        <v>46063.0</v>
      </c>
      <c r="B64" s="93" t="s">
        <v>147</v>
      </c>
      <c r="C64" s="109"/>
      <c r="D64" s="95">
        <v>40000.0</v>
      </c>
      <c r="E64" s="16">
        <f t="shared" si="1"/>
        <v>-269429</v>
      </c>
    </row>
    <row r="65">
      <c r="A65" s="92">
        <v>46063.0</v>
      </c>
      <c r="B65" s="93" t="s">
        <v>143</v>
      </c>
      <c r="C65" s="109"/>
      <c r="D65" s="95">
        <v>35000.0</v>
      </c>
      <c r="E65" s="16">
        <f t="shared" si="1"/>
        <v>-304429</v>
      </c>
    </row>
    <row r="66">
      <c r="A66" s="12"/>
      <c r="B66" s="18" t="s">
        <v>67</v>
      </c>
      <c r="C66" s="33">
        <f>SUM(C6:C65)</f>
        <v>3500000</v>
      </c>
      <c r="D66" s="34">
        <f>SUM(D7:D65)</f>
        <v>3804429</v>
      </c>
      <c r="E66" s="35">
        <f>C66-D66</f>
        <v>-304429</v>
      </c>
    </row>
    <row r="69">
      <c r="A69" s="1" t="s">
        <v>0</v>
      </c>
      <c r="B69" s="2"/>
      <c r="C69" s="2"/>
      <c r="D69" s="2"/>
      <c r="E69" s="3"/>
    </row>
    <row r="70">
      <c r="A70" s="5" t="s">
        <v>1</v>
      </c>
      <c r="B70" s="2"/>
      <c r="C70" s="2"/>
      <c r="D70" s="2"/>
      <c r="E70" s="3"/>
    </row>
    <row r="71">
      <c r="A71" s="110" t="s">
        <v>148</v>
      </c>
      <c r="B71" s="2"/>
      <c r="C71" s="3"/>
      <c r="D71" s="86" t="s">
        <v>97</v>
      </c>
      <c r="E71" s="3"/>
    </row>
    <row r="72">
      <c r="A72" s="8" t="s">
        <v>4</v>
      </c>
      <c r="B72" s="8" t="s">
        <v>5</v>
      </c>
      <c r="C72" s="8" t="s">
        <v>7</v>
      </c>
      <c r="D72" s="8" t="s">
        <v>8</v>
      </c>
      <c r="E72" s="8" t="s">
        <v>9</v>
      </c>
    </row>
    <row r="73">
      <c r="A73" s="10"/>
      <c r="B73" s="10"/>
      <c r="C73" s="10"/>
      <c r="D73" s="10"/>
      <c r="E73" s="11" t="s">
        <v>10</v>
      </c>
    </row>
    <row r="74">
      <c r="A74" s="87"/>
      <c r="B74" s="88" t="s">
        <v>98</v>
      </c>
      <c r="C74" s="89">
        <v>0.0</v>
      </c>
      <c r="D74" s="90"/>
      <c r="E74" s="91">
        <f>C74-D74</f>
        <v>0</v>
      </c>
    </row>
    <row r="75">
      <c r="A75" s="92">
        <v>46052.0</v>
      </c>
      <c r="B75" s="93" t="s">
        <v>149</v>
      </c>
      <c r="C75" s="94"/>
      <c r="D75" s="95">
        <v>10000.0</v>
      </c>
      <c r="E75" s="16">
        <f t="shared" ref="E75:E81" si="2">E74+C75-D75</f>
        <v>-10000</v>
      </c>
    </row>
    <row r="76">
      <c r="A76" s="96">
        <v>46052.0</v>
      </c>
      <c r="B76" s="97" t="s">
        <v>150</v>
      </c>
      <c r="C76" s="94"/>
      <c r="D76" s="95">
        <v>3500.0</v>
      </c>
      <c r="E76" s="16">
        <f t="shared" si="2"/>
        <v>-13500</v>
      </c>
    </row>
    <row r="77">
      <c r="A77" s="96">
        <v>46052.0</v>
      </c>
      <c r="B77" s="97" t="s">
        <v>151</v>
      </c>
      <c r="C77" s="94"/>
      <c r="D77" s="95">
        <v>8700.0</v>
      </c>
      <c r="E77" s="16">
        <f t="shared" si="2"/>
        <v>-22200</v>
      </c>
    </row>
    <row r="78">
      <c r="A78" s="96">
        <v>46052.0</v>
      </c>
      <c r="B78" s="97" t="s">
        <v>152</v>
      </c>
      <c r="C78" s="94"/>
      <c r="D78" s="95">
        <v>11300.0</v>
      </c>
      <c r="E78" s="16">
        <f t="shared" si="2"/>
        <v>-33500</v>
      </c>
    </row>
    <row r="79">
      <c r="A79" s="96">
        <v>46053.0</v>
      </c>
      <c r="B79" s="97" t="s">
        <v>153</v>
      </c>
      <c r="C79" s="94"/>
      <c r="D79" s="95">
        <v>11200.0</v>
      </c>
      <c r="E79" s="16">
        <f t="shared" si="2"/>
        <v>-44700</v>
      </c>
    </row>
    <row r="80">
      <c r="A80" s="96">
        <v>46053.0</v>
      </c>
      <c r="B80" s="97" t="s">
        <v>154</v>
      </c>
      <c r="C80" s="94"/>
      <c r="D80" s="95">
        <v>20500.0</v>
      </c>
      <c r="E80" s="16">
        <f t="shared" si="2"/>
        <v>-65200</v>
      </c>
    </row>
    <row r="81">
      <c r="A81" s="96">
        <v>46055.0</v>
      </c>
      <c r="B81" s="97" t="s">
        <v>155</v>
      </c>
      <c r="C81" s="94"/>
      <c r="D81" s="95">
        <v>7800.0</v>
      </c>
      <c r="E81" s="16">
        <f t="shared" si="2"/>
        <v>-73000</v>
      </c>
    </row>
    <row r="82">
      <c r="A82" s="12"/>
      <c r="B82" s="18" t="s">
        <v>67</v>
      </c>
      <c r="C82" s="33">
        <f>SUM(C74:C81)</f>
        <v>0</v>
      </c>
      <c r="D82" s="34">
        <f>SUM(D75:D81)</f>
        <v>73000</v>
      </c>
      <c r="E82" s="35">
        <f>C82-D82</f>
        <v>-73000</v>
      </c>
    </row>
    <row r="85">
      <c r="A85" s="1" t="s">
        <v>0</v>
      </c>
      <c r="B85" s="2"/>
      <c r="C85" s="2"/>
      <c r="D85" s="2"/>
      <c r="E85" s="3"/>
    </row>
    <row r="86">
      <c r="A86" s="5" t="s">
        <v>1</v>
      </c>
      <c r="B86" s="2"/>
      <c r="C86" s="2"/>
      <c r="D86" s="2"/>
      <c r="E86" s="3"/>
    </row>
    <row r="87">
      <c r="A87" s="110" t="s">
        <v>156</v>
      </c>
      <c r="B87" s="2"/>
      <c r="C87" s="3"/>
      <c r="D87" s="86" t="s">
        <v>97</v>
      </c>
      <c r="E87" s="3"/>
    </row>
    <row r="88">
      <c r="A88" s="8" t="s">
        <v>4</v>
      </c>
      <c r="B88" s="8" t="s">
        <v>5</v>
      </c>
      <c r="C88" s="8" t="s">
        <v>7</v>
      </c>
      <c r="D88" s="8" t="s">
        <v>8</v>
      </c>
      <c r="E88" s="8" t="s">
        <v>9</v>
      </c>
    </row>
    <row r="89">
      <c r="A89" s="10"/>
      <c r="B89" s="10"/>
      <c r="C89" s="10"/>
      <c r="D89" s="10"/>
      <c r="E89" s="11" t="s">
        <v>10</v>
      </c>
    </row>
    <row r="90">
      <c r="A90" s="87"/>
      <c r="B90" s="88" t="s">
        <v>98</v>
      </c>
      <c r="C90" s="89">
        <v>0.0</v>
      </c>
      <c r="D90" s="90"/>
      <c r="E90" s="91">
        <f>C90-D90</f>
        <v>0</v>
      </c>
    </row>
    <row r="91">
      <c r="A91" s="92"/>
      <c r="B91" s="93" t="s">
        <v>157</v>
      </c>
      <c r="C91" s="94"/>
      <c r="D91" s="95">
        <v>8000.0</v>
      </c>
      <c r="E91" s="16">
        <f t="shared" ref="E91:E95" si="3">E90+C91-D91</f>
        <v>-8000</v>
      </c>
    </row>
    <row r="92">
      <c r="A92" s="96"/>
      <c r="B92" s="97" t="s">
        <v>158</v>
      </c>
      <c r="C92" s="94"/>
      <c r="D92" s="95">
        <v>12000.0</v>
      </c>
      <c r="E92" s="16">
        <f t="shared" si="3"/>
        <v>-20000</v>
      </c>
    </row>
    <row r="93">
      <c r="A93" s="96"/>
      <c r="B93" s="97" t="s">
        <v>159</v>
      </c>
      <c r="C93" s="94"/>
      <c r="D93" s="95">
        <v>7000.0</v>
      </c>
      <c r="E93" s="16">
        <f t="shared" si="3"/>
        <v>-27000</v>
      </c>
    </row>
    <row r="94">
      <c r="A94" s="96"/>
      <c r="B94" s="97" t="s">
        <v>160</v>
      </c>
      <c r="C94" s="94"/>
      <c r="D94" s="95">
        <f>12000*5</f>
        <v>60000</v>
      </c>
      <c r="E94" s="16">
        <f t="shared" si="3"/>
        <v>-87000</v>
      </c>
    </row>
    <row r="95">
      <c r="A95" s="96"/>
      <c r="B95" s="93" t="s">
        <v>161</v>
      </c>
      <c r="C95" s="94"/>
      <c r="D95" s="95">
        <v>40000.0</v>
      </c>
      <c r="E95" s="16">
        <f t="shared" si="3"/>
        <v>-127000</v>
      </c>
    </row>
    <row r="96">
      <c r="A96" s="12"/>
      <c r="B96" s="18" t="s">
        <v>67</v>
      </c>
      <c r="C96" s="33">
        <f>SUM(C90:C95)</f>
        <v>0</v>
      </c>
      <c r="D96" s="34">
        <f>SUM(D91:D95)</f>
        <v>127000</v>
      </c>
      <c r="E96" s="35">
        <f>C96-D96</f>
        <v>-127000</v>
      </c>
    </row>
    <row r="101">
      <c r="G101" s="32" t="str">
        <f t="shared" ref="G101:G103" si="4">PROPER(B101)</f>
        <v/>
      </c>
    </row>
    <row r="102">
      <c r="A102" s="111"/>
      <c r="G102" s="32" t="str">
        <f t="shared" si="4"/>
        <v/>
      </c>
    </row>
    <row r="103">
      <c r="A103" s="112"/>
      <c r="G103" s="32" t="str">
        <f t="shared" si="4"/>
        <v/>
      </c>
    </row>
    <row r="104">
      <c r="A104" s="113"/>
      <c r="D104" s="114"/>
    </row>
    <row r="105">
      <c r="A105" s="115"/>
      <c r="B105" s="115"/>
      <c r="C105" s="115"/>
      <c r="D105" s="115"/>
      <c r="E105" s="115"/>
    </row>
    <row r="106">
      <c r="A106" s="4"/>
      <c r="B106" s="4"/>
      <c r="C106" s="4"/>
      <c r="D106" s="4"/>
      <c r="E106" s="116"/>
    </row>
    <row r="107">
      <c r="A107" s="117"/>
      <c r="B107" s="118"/>
      <c r="C107" s="119"/>
      <c r="D107" s="120"/>
      <c r="E107" s="121"/>
    </row>
    <row r="108">
      <c r="A108" s="122"/>
      <c r="B108" s="118"/>
      <c r="D108" s="119"/>
      <c r="E108" s="121"/>
    </row>
    <row r="109">
      <c r="A109" s="123"/>
      <c r="B109" s="124"/>
      <c r="D109" s="119"/>
      <c r="E109" s="121"/>
    </row>
    <row r="110">
      <c r="A110" s="123"/>
      <c r="B110" s="124"/>
      <c r="D110" s="119"/>
      <c r="E110" s="121"/>
    </row>
    <row r="111">
      <c r="A111" s="123"/>
      <c r="B111" s="124"/>
      <c r="D111" s="119"/>
      <c r="E111" s="121"/>
    </row>
    <row r="112">
      <c r="A112" s="123"/>
      <c r="B112" s="118"/>
      <c r="D112" s="119"/>
      <c r="E112" s="121"/>
    </row>
    <row r="113">
      <c r="A113" s="123"/>
      <c r="B113" s="118"/>
      <c r="D113" s="119"/>
      <c r="E113" s="121"/>
    </row>
    <row r="114">
      <c r="A114" s="125"/>
      <c r="B114" s="118"/>
      <c r="D114" s="119"/>
      <c r="E114" s="121"/>
    </row>
    <row r="115">
      <c r="A115" s="123"/>
      <c r="B115" s="118"/>
      <c r="D115" s="119"/>
      <c r="E115" s="121"/>
    </row>
    <row r="116">
      <c r="A116" s="123"/>
      <c r="B116" s="118"/>
      <c r="D116" s="119"/>
      <c r="E116" s="121"/>
    </row>
    <row r="117">
      <c r="A117" s="123"/>
      <c r="B117" s="118"/>
      <c r="D117" s="119"/>
      <c r="E117" s="121"/>
    </row>
    <row r="118">
      <c r="A118" s="123"/>
      <c r="B118" s="118"/>
      <c r="D118" s="119"/>
      <c r="E118" s="121"/>
    </row>
    <row r="119">
      <c r="A119" s="123"/>
      <c r="B119" s="118"/>
      <c r="D119" s="119"/>
      <c r="E119" s="121"/>
    </row>
    <row r="120">
      <c r="A120" s="123"/>
      <c r="B120" s="118"/>
      <c r="D120" s="119"/>
      <c r="E120" s="121"/>
    </row>
    <row r="121">
      <c r="A121" s="123"/>
      <c r="B121" s="118"/>
      <c r="D121" s="119"/>
      <c r="E121" s="121"/>
    </row>
    <row r="122">
      <c r="A122" s="123"/>
      <c r="B122" s="118"/>
      <c r="D122" s="119"/>
      <c r="E122" s="121"/>
    </row>
    <row r="123">
      <c r="A123" s="123"/>
      <c r="B123" s="118"/>
      <c r="D123" s="119"/>
      <c r="E123" s="121"/>
    </row>
    <row r="124">
      <c r="A124" s="123"/>
      <c r="B124" s="118"/>
      <c r="C124" s="126"/>
      <c r="D124" s="119"/>
      <c r="E124" s="121"/>
    </row>
    <row r="125">
      <c r="A125" s="123"/>
      <c r="B125" s="118"/>
      <c r="D125" s="119"/>
      <c r="E125" s="121"/>
    </row>
    <row r="126">
      <c r="A126" s="123"/>
      <c r="B126" s="118"/>
      <c r="D126" s="119"/>
      <c r="E126" s="121"/>
    </row>
    <row r="127">
      <c r="A127" s="123"/>
      <c r="B127" s="118"/>
      <c r="D127" s="119"/>
      <c r="E127" s="121"/>
    </row>
    <row r="128">
      <c r="A128" s="123"/>
      <c r="B128" s="118"/>
      <c r="D128" s="119"/>
      <c r="E128" s="121"/>
    </row>
    <row r="129">
      <c r="A129" s="123"/>
      <c r="B129" s="118"/>
      <c r="D129" s="119"/>
      <c r="E129" s="121"/>
    </row>
    <row r="130">
      <c r="A130" s="123"/>
      <c r="B130" s="118"/>
      <c r="D130" s="119"/>
      <c r="E130" s="121"/>
    </row>
    <row r="131">
      <c r="A131" s="127"/>
      <c r="B131" s="128"/>
      <c r="C131" s="129"/>
      <c r="D131" s="129"/>
      <c r="E131" s="129"/>
    </row>
    <row r="137">
      <c r="G137" s="32" t="str">
        <f t="shared" ref="G137:G159" si="5">PROPER(B137)</f>
        <v/>
      </c>
    </row>
    <row r="138">
      <c r="G138" s="32" t="str">
        <f t="shared" si="5"/>
        <v/>
      </c>
    </row>
    <row r="139">
      <c r="G139" s="32" t="str">
        <f t="shared" si="5"/>
        <v/>
      </c>
    </row>
    <row r="140">
      <c r="G140" s="32" t="str">
        <f t="shared" si="5"/>
        <v/>
      </c>
    </row>
    <row r="141">
      <c r="G141" s="32" t="str">
        <f t="shared" si="5"/>
        <v/>
      </c>
    </row>
    <row r="142">
      <c r="G142" s="32" t="str">
        <f t="shared" si="5"/>
        <v/>
      </c>
    </row>
    <row r="143">
      <c r="G143" s="32" t="str">
        <f t="shared" si="5"/>
        <v/>
      </c>
    </row>
    <row r="144">
      <c r="G144" s="32" t="str">
        <f t="shared" si="5"/>
        <v/>
      </c>
    </row>
    <row r="145">
      <c r="G145" s="32" t="str">
        <f t="shared" si="5"/>
        <v/>
      </c>
    </row>
    <row r="146">
      <c r="G146" s="32" t="str">
        <f t="shared" si="5"/>
        <v/>
      </c>
    </row>
    <row r="147">
      <c r="G147" s="32" t="str">
        <f t="shared" si="5"/>
        <v/>
      </c>
    </row>
    <row r="148">
      <c r="G148" s="32" t="str">
        <f t="shared" si="5"/>
        <v/>
      </c>
    </row>
    <row r="149">
      <c r="G149" s="32" t="str">
        <f t="shared" si="5"/>
        <v/>
      </c>
    </row>
    <row r="150">
      <c r="G150" s="32" t="str">
        <f t="shared" si="5"/>
        <v/>
      </c>
    </row>
    <row r="151">
      <c r="G151" s="32" t="str">
        <f t="shared" si="5"/>
        <v/>
      </c>
    </row>
    <row r="152">
      <c r="G152" s="32" t="str">
        <f t="shared" si="5"/>
        <v/>
      </c>
    </row>
    <row r="153">
      <c r="G153" s="32" t="str">
        <f t="shared" si="5"/>
        <v/>
      </c>
    </row>
    <row r="154">
      <c r="G154" s="32" t="str">
        <f t="shared" si="5"/>
        <v/>
      </c>
    </row>
    <row r="155">
      <c r="G155" s="32" t="str">
        <f t="shared" si="5"/>
        <v/>
      </c>
    </row>
    <row r="156">
      <c r="G156" s="32" t="str">
        <f t="shared" si="5"/>
        <v/>
      </c>
    </row>
    <row r="157">
      <c r="G157" s="32" t="str">
        <f t="shared" si="5"/>
        <v/>
      </c>
    </row>
    <row r="158">
      <c r="G158" s="32" t="str">
        <f t="shared" si="5"/>
        <v/>
      </c>
    </row>
    <row r="159">
      <c r="G159" s="32" t="str">
        <f t="shared" si="5"/>
        <v/>
      </c>
    </row>
  </sheetData>
  <mergeCells count="16">
    <mergeCell ref="A1:E1"/>
    <mergeCell ref="A2:E2"/>
    <mergeCell ref="A3:C3"/>
    <mergeCell ref="D3:E3"/>
    <mergeCell ref="A69:E69"/>
    <mergeCell ref="A70:E70"/>
    <mergeCell ref="D71:E71"/>
    <mergeCell ref="A104:C104"/>
    <mergeCell ref="D104:E104"/>
    <mergeCell ref="A71:C71"/>
    <mergeCell ref="A85:E85"/>
    <mergeCell ref="A86:E86"/>
    <mergeCell ref="A87:C87"/>
    <mergeCell ref="D87:E87"/>
    <mergeCell ref="A102:E102"/>
    <mergeCell ref="A103:E103"/>
  </mergeCell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8.88"/>
    <col customWidth="1" min="3" max="3" width="15.5"/>
  </cols>
  <sheetData>
    <row r="1">
      <c r="A1" s="1" t="s">
        <v>0</v>
      </c>
      <c r="B1" s="2"/>
      <c r="C1" s="2"/>
      <c r="D1" s="2"/>
      <c r="E1" s="3"/>
    </row>
    <row r="2">
      <c r="A2" s="5" t="s">
        <v>1</v>
      </c>
      <c r="B2" s="2"/>
      <c r="C2" s="2"/>
      <c r="D2" s="2"/>
      <c r="E2" s="3"/>
    </row>
    <row r="3">
      <c r="A3" s="110" t="s">
        <v>162</v>
      </c>
      <c r="B3" s="2"/>
      <c r="C3" s="3"/>
      <c r="D3" s="86" t="s">
        <v>163</v>
      </c>
      <c r="E3" s="3"/>
    </row>
    <row r="4">
      <c r="A4" s="8" t="s">
        <v>4</v>
      </c>
      <c r="B4" s="8" t="s">
        <v>5</v>
      </c>
      <c r="C4" s="8" t="s">
        <v>7</v>
      </c>
      <c r="D4" s="8" t="s">
        <v>8</v>
      </c>
      <c r="E4" s="8" t="s">
        <v>9</v>
      </c>
    </row>
    <row r="5">
      <c r="A5" s="10"/>
      <c r="B5" s="10"/>
      <c r="C5" s="10"/>
      <c r="D5" s="10"/>
      <c r="E5" s="11" t="s">
        <v>10</v>
      </c>
    </row>
    <row r="6">
      <c r="A6" s="130">
        <v>46076.0</v>
      </c>
      <c r="B6" s="107" t="s">
        <v>164</v>
      </c>
      <c r="C6" s="33"/>
      <c r="D6" s="131">
        <v>5840.0</v>
      </c>
      <c r="E6" s="91">
        <f>C6-D6</f>
        <v>-5840</v>
      </c>
    </row>
    <row r="7">
      <c r="A7" s="92">
        <v>46080.0</v>
      </c>
      <c r="B7" s="107" t="s">
        <v>165</v>
      </c>
      <c r="C7" s="107"/>
      <c r="D7" s="131">
        <v>60000.0</v>
      </c>
      <c r="E7" s="16">
        <f t="shared" ref="E7:E80" si="1">E6+C7-D7</f>
        <v>-65840</v>
      </c>
    </row>
    <row r="8">
      <c r="A8" s="96">
        <v>46081.0</v>
      </c>
      <c r="B8" s="107" t="s">
        <v>166</v>
      </c>
      <c r="C8" s="107"/>
      <c r="D8" s="131">
        <v>90000.0</v>
      </c>
      <c r="E8" s="16">
        <f t="shared" si="1"/>
        <v>-155840</v>
      </c>
    </row>
    <row r="9">
      <c r="A9" s="96">
        <v>46092.0</v>
      </c>
      <c r="B9" s="107" t="s">
        <v>167</v>
      </c>
      <c r="C9" s="107"/>
      <c r="D9" s="131">
        <v>11200.0</v>
      </c>
      <c r="E9" s="16">
        <f t="shared" si="1"/>
        <v>-167040</v>
      </c>
    </row>
    <row r="10">
      <c r="A10" s="96">
        <v>46092.0</v>
      </c>
      <c r="B10" s="107" t="s">
        <v>168</v>
      </c>
      <c r="C10" s="107"/>
      <c r="D10" s="131">
        <v>104000.0</v>
      </c>
      <c r="E10" s="16">
        <f t="shared" si="1"/>
        <v>-271040</v>
      </c>
    </row>
    <row r="11">
      <c r="A11" s="130">
        <v>46092.0</v>
      </c>
      <c r="B11" s="107" t="s">
        <v>169</v>
      </c>
      <c r="C11" s="33"/>
      <c r="D11" s="131">
        <v>16230.0</v>
      </c>
      <c r="E11" s="16">
        <f t="shared" si="1"/>
        <v>-287270</v>
      </c>
    </row>
    <row r="12">
      <c r="A12" s="96">
        <v>46093.0</v>
      </c>
      <c r="B12" s="107" t="s">
        <v>170</v>
      </c>
      <c r="C12" s="107"/>
      <c r="D12" s="131">
        <v>37000.0</v>
      </c>
      <c r="E12" s="16">
        <f t="shared" si="1"/>
        <v>-324270</v>
      </c>
    </row>
    <row r="13">
      <c r="A13" s="96">
        <v>46093.0</v>
      </c>
      <c r="B13" s="107" t="s">
        <v>171</v>
      </c>
      <c r="C13" s="107"/>
      <c r="D13" s="131">
        <v>18900.0</v>
      </c>
      <c r="E13" s="16">
        <f t="shared" si="1"/>
        <v>-343170</v>
      </c>
    </row>
    <row r="14">
      <c r="A14" s="132">
        <v>46094.0</v>
      </c>
      <c r="B14" s="88" t="s">
        <v>98</v>
      </c>
      <c r="C14" s="89">
        <v>1000000.0</v>
      </c>
      <c r="D14" s="90"/>
      <c r="E14" s="16">
        <f t="shared" si="1"/>
        <v>656830</v>
      </c>
    </row>
    <row r="15">
      <c r="A15" s="130">
        <v>46094.0</v>
      </c>
      <c r="B15" s="107" t="s">
        <v>172</v>
      </c>
      <c r="C15" s="33"/>
      <c r="D15" s="131">
        <v>18269.0</v>
      </c>
      <c r="E15" s="16">
        <f t="shared" si="1"/>
        <v>638561</v>
      </c>
    </row>
    <row r="16">
      <c r="A16" s="92">
        <v>46094.0</v>
      </c>
      <c r="B16" s="133" t="s">
        <v>173</v>
      </c>
      <c r="C16" s="107"/>
      <c r="D16" s="131">
        <v>32000.0</v>
      </c>
      <c r="E16" s="16">
        <f t="shared" si="1"/>
        <v>606561</v>
      </c>
    </row>
    <row r="17">
      <c r="A17" s="92">
        <v>46094.0</v>
      </c>
      <c r="B17" s="107" t="s">
        <v>168</v>
      </c>
      <c r="C17" s="107"/>
      <c r="D17" s="131">
        <v>104000.0</v>
      </c>
      <c r="E17" s="16">
        <f t="shared" si="1"/>
        <v>502561</v>
      </c>
    </row>
    <row r="18">
      <c r="A18" s="96">
        <v>46095.0</v>
      </c>
      <c r="B18" s="107" t="s">
        <v>174</v>
      </c>
      <c r="C18" s="107"/>
      <c r="D18" s="131">
        <v>50000.0</v>
      </c>
      <c r="E18" s="16">
        <f t="shared" si="1"/>
        <v>452561</v>
      </c>
    </row>
    <row r="19">
      <c r="A19" s="96">
        <v>46095.0</v>
      </c>
      <c r="B19" s="107" t="s">
        <v>175</v>
      </c>
      <c r="C19" s="107"/>
      <c r="D19" s="131">
        <v>93800.0</v>
      </c>
      <c r="E19" s="16">
        <f t="shared" si="1"/>
        <v>358761</v>
      </c>
    </row>
    <row r="20">
      <c r="A20" s="96">
        <v>46097.0</v>
      </c>
      <c r="B20" s="107" t="s">
        <v>176</v>
      </c>
      <c r="C20" s="107"/>
      <c r="D20" s="131">
        <v>9000.0</v>
      </c>
      <c r="E20" s="16">
        <f t="shared" si="1"/>
        <v>349761</v>
      </c>
    </row>
    <row r="21">
      <c r="A21" s="96">
        <v>46097.0</v>
      </c>
      <c r="B21" s="107" t="s">
        <v>177</v>
      </c>
      <c r="C21" s="107"/>
      <c r="D21" s="131">
        <v>7000.0</v>
      </c>
      <c r="E21" s="16">
        <f t="shared" si="1"/>
        <v>342761</v>
      </c>
    </row>
    <row r="22">
      <c r="A22" s="96">
        <v>46098.0</v>
      </c>
      <c r="B22" s="107" t="s">
        <v>66</v>
      </c>
      <c r="C22" s="107"/>
      <c r="D22" s="131">
        <v>12000.0</v>
      </c>
      <c r="E22" s="16">
        <f t="shared" si="1"/>
        <v>330761</v>
      </c>
    </row>
    <row r="23">
      <c r="A23" s="96">
        <v>46098.0</v>
      </c>
      <c r="B23" s="107" t="s">
        <v>178</v>
      </c>
      <c r="C23" s="107"/>
      <c r="D23" s="131">
        <v>14500.0</v>
      </c>
      <c r="E23" s="16">
        <f t="shared" si="1"/>
        <v>316261</v>
      </c>
    </row>
    <row r="24">
      <c r="A24" s="96">
        <v>46098.0</v>
      </c>
      <c r="B24" s="107" t="s">
        <v>179</v>
      </c>
      <c r="C24" s="107"/>
      <c r="D24" s="131">
        <v>20000.0</v>
      </c>
      <c r="E24" s="16">
        <f t="shared" si="1"/>
        <v>296261</v>
      </c>
    </row>
    <row r="25">
      <c r="A25" s="96">
        <v>46098.0</v>
      </c>
      <c r="B25" s="107" t="s">
        <v>180</v>
      </c>
      <c r="C25" s="107"/>
      <c r="D25" s="131">
        <v>250000.0</v>
      </c>
      <c r="E25" s="16">
        <f t="shared" si="1"/>
        <v>46261</v>
      </c>
    </row>
    <row r="26">
      <c r="A26" s="96">
        <v>46098.0</v>
      </c>
      <c r="B26" s="107" t="s">
        <v>146</v>
      </c>
      <c r="C26" s="107"/>
      <c r="D26" s="131">
        <v>7000.0</v>
      </c>
      <c r="E26" s="16">
        <f t="shared" si="1"/>
        <v>39261</v>
      </c>
    </row>
    <row r="27">
      <c r="A27" s="130">
        <v>46098.0</v>
      </c>
      <c r="B27" s="107" t="s">
        <v>181</v>
      </c>
      <c r="C27" s="33"/>
      <c r="D27" s="131">
        <v>55000.0</v>
      </c>
      <c r="E27" s="16">
        <f t="shared" si="1"/>
        <v>-15739</v>
      </c>
    </row>
    <row r="28">
      <c r="A28" s="134">
        <v>46099.0</v>
      </c>
      <c r="B28" s="135" t="s">
        <v>182</v>
      </c>
      <c r="C28" s="89">
        <v>1500000.0</v>
      </c>
      <c r="D28" s="89"/>
      <c r="E28" s="16">
        <f t="shared" si="1"/>
        <v>1484261</v>
      </c>
    </row>
    <row r="29">
      <c r="A29" s="130">
        <v>46099.0</v>
      </c>
      <c r="B29" s="133" t="s">
        <v>183</v>
      </c>
      <c r="C29" s="136"/>
      <c r="D29" s="131">
        <v>7600.0</v>
      </c>
      <c r="E29" s="16">
        <f t="shared" si="1"/>
        <v>1476661</v>
      </c>
    </row>
    <row r="30">
      <c r="A30" s="130">
        <v>46099.0</v>
      </c>
      <c r="B30" s="133" t="s">
        <v>184</v>
      </c>
      <c r="C30" s="136"/>
      <c r="D30" s="131">
        <v>49500.0</v>
      </c>
      <c r="E30" s="16">
        <f t="shared" si="1"/>
        <v>1427161</v>
      </c>
    </row>
    <row r="31">
      <c r="A31" s="130">
        <v>46099.0</v>
      </c>
      <c r="B31" s="133" t="s">
        <v>185</v>
      </c>
      <c r="C31" s="136"/>
      <c r="D31" s="131">
        <v>15000.0</v>
      </c>
      <c r="E31" s="16">
        <f t="shared" si="1"/>
        <v>1412161</v>
      </c>
    </row>
    <row r="32">
      <c r="A32" s="130">
        <v>46099.0</v>
      </c>
      <c r="B32" s="133" t="s">
        <v>186</v>
      </c>
      <c r="C32" s="136"/>
      <c r="D32" s="131">
        <v>18000.0</v>
      </c>
      <c r="E32" s="16">
        <f t="shared" si="1"/>
        <v>1394161</v>
      </c>
    </row>
    <row r="33">
      <c r="A33" s="130">
        <v>46099.0</v>
      </c>
      <c r="B33" s="133" t="s">
        <v>115</v>
      </c>
      <c r="C33" s="136"/>
      <c r="D33" s="131">
        <v>24800.0</v>
      </c>
      <c r="E33" s="16">
        <f t="shared" si="1"/>
        <v>1369361</v>
      </c>
    </row>
    <row r="34">
      <c r="A34" s="130">
        <v>46099.0</v>
      </c>
      <c r="B34" s="133" t="s">
        <v>187</v>
      </c>
      <c r="C34" s="136"/>
      <c r="D34" s="131">
        <v>18000.0</v>
      </c>
      <c r="E34" s="16">
        <f t="shared" si="1"/>
        <v>1351361</v>
      </c>
    </row>
    <row r="35">
      <c r="A35" s="130">
        <v>46100.0</v>
      </c>
      <c r="B35" s="133" t="s">
        <v>185</v>
      </c>
      <c r="C35" s="136"/>
      <c r="D35" s="131">
        <v>20000.0</v>
      </c>
      <c r="E35" s="16">
        <f t="shared" si="1"/>
        <v>1331361</v>
      </c>
    </row>
    <row r="36">
      <c r="A36" s="130">
        <v>46100.0</v>
      </c>
      <c r="B36" s="107" t="s">
        <v>188</v>
      </c>
      <c r="C36" s="136"/>
      <c r="D36" s="131">
        <v>16000.0</v>
      </c>
      <c r="E36" s="16">
        <f t="shared" si="1"/>
        <v>1315361</v>
      </c>
    </row>
    <row r="37">
      <c r="A37" s="130">
        <v>46100.0</v>
      </c>
      <c r="B37" s="133" t="s">
        <v>189</v>
      </c>
      <c r="C37" s="136"/>
      <c r="D37" s="131">
        <v>30000.0</v>
      </c>
      <c r="E37" s="16">
        <f t="shared" si="1"/>
        <v>1285361</v>
      </c>
    </row>
    <row r="38">
      <c r="A38" s="130">
        <v>46100.0</v>
      </c>
      <c r="B38" s="133" t="s">
        <v>190</v>
      </c>
      <c r="C38" s="136"/>
      <c r="D38" s="131">
        <v>39700.0</v>
      </c>
      <c r="E38" s="16">
        <f t="shared" si="1"/>
        <v>1245661</v>
      </c>
    </row>
    <row r="39">
      <c r="A39" s="130">
        <v>46100.0</v>
      </c>
      <c r="B39" s="133" t="s">
        <v>191</v>
      </c>
      <c r="C39" s="136"/>
      <c r="D39" s="131">
        <v>11600.0</v>
      </c>
      <c r="E39" s="16">
        <f t="shared" si="1"/>
        <v>1234061</v>
      </c>
    </row>
    <row r="40">
      <c r="A40" s="130">
        <v>46101.0</v>
      </c>
      <c r="B40" s="133" t="s">
        <v>191</v>
      </c>
      <c r="C40" s="136"/>
      <c r="D40" s="131">
        <v>8000.0</v>
      </c>
      <c r="E40" s="16">
        <f t="shared" si="1"/>
        <v>1226061</v>
      </c>
    </row>
    <row r="41">
      <c r="A41" s="96">
        <v>46101.0</v>
      </c>
      <c r="B41" s="107" t="s">
        <v>192</v>
      </c>
      <c r="C41" s="107"/>
      <c r="D41" s="131">
        <v>220400.0</v>
      </c>
      <c r="E41" s="16">
        <f t="shared" si="1"/>
        <v>1005661</v>
      </c>
    </row>
    <row r="42">
      <c r="A42" s="96">
        <v>46101.0</v>
      </c>
      <c r="B42" s="107" t="s">
        <v>193</v>
      </c>
      <c r="C42" s="107"/>
      <c r="D42" s="131">
        <v>320000.0</v>
      </c>
      <c r="E42" s="16">
        <f t="shared" si="1"/>
        <v>685661</v>
      </c>
    </row>
    <row r="43">
      <c r="A43" s="137">
        <v>46101.0</v>
      </c>
      <c r="B43" s="107" t="s">
        <v>194</v>
      </c>
      <c r="C43" s="107"/>
      <c r="D43" s="131">
        <v>90000.0</v>
      </c>
      <c r="E43" s="16">
        <f t="shared" si="1"/>
        <v>595661</v>
      </c>
    </row>
    <row r="44">
      <c r="A44" s="138">
        <v>46101.0</v>
      </c>
      <c r="B44" s="107" t="s">
        <v>195</v>
      </c>
      <c r="C44" s="136"/>
      <c r="D44" s="131">
        <v>48800.0</v>
      </c>
      <c r="E44" s="16">
        <f t="shared" si="1"/>
        <v>546861</v>
      </c>
    </row>
    <row r="45">
      <c r="A45" s="138">
        <v>46101.0</v>
      </c>
      <c r="B45" s="107" t="s">
        <v>196</v>
      </c>
      <c r="C45" s="136"/>
      <c r="D45" s="131">
        <v>50000.0</v>
      </c>
      <c r="E45" s="16">
        <f t="shared" si="1"/>
        <v>496861</v>
      </c>
    </row>
    <row r="46">
      <c r="A46" s="138">
        <v>46101.0</v>
      </c>
      <c r="B46" s="133" t="s">
        <v>197</v>
      </c>
      <c r="C46" s="136"/>
      <c r="D46" s="131">
        <v>50000.0</v>
      </c>
      <c r="E46" s="16">
        <f t="shared" si="1"/>
        <v>446861</v>
      </c>
    </row>
    <row r="47">
      <c r="A47" s="138">
        <v>46101.0</v>
      </c>
      <c r="B47" s="107" t="s">
        <v>198</v>
      </c>
      <c r="C47" s="136"/>
      <c r="D47" s="131">
        <v>10350.0</v>
      </c>
      <c r="E47" s="16">
        <f t="shared" si="1"/>
        <v>436511</v>
      </c>
    </row>
    <row r="48">
      <c r="A48" s="138">
        <v>46101.0</v>
      </c>
      <c r="B48" s="107" t="s">
        <v>199</v>
      </c>
      <c r="C48" s="136"/>
      <c r="D48" s="131">
        <v>39700.0</v>
      </c>
      <c r="E48" s="16">
        <f t="shared" si="1"/>
        <v>396811</v>
      </c>
    </row>
    <row r="49">
      <c r="A49" s="96">
        <v>46102.0</v>
      </c>
      <c r="B49" s="107" t="s">
        <v>182</v>
      </c>
      <c r="C49" s="131">
        <v>1000000.0</v>
      </c>
      <c r="D49" s="131"/>
      <c r="E49" s="16">
        <f t="shared" si="1"/>
        <v>1396811</v>
      </c>
    </row>
    <row r="50">
      <c r="A50" s="138">
        <v>46102.0</v>
      </c>
      <c r="B50" s="107" t="s">
        <v>200</v>
      </c>
      <c r="C50" s="136"/>
      <c r="D50" s="131">
        <v>16400.0</v>
      </c>
      <c r="E50" s="16">
        <f t="shared" si="1"/>
        <v>1380411</v>
      </c>
    </row>
    <row r="51">
      <c r="A51" s="130">
        <v>46102.0</v>
      </c>
      <c r="B51" s="107" t="s">
        <v>201</v>
      </c>
      <c r="C51" s="136"/>
      <c r="D51" s="131">
        <v>90000.0</v>
      </c>
      <c r="E51" s="16">
        <f t="shared" si="1"/>
        <v>1290411</v>
      </c>
    </row>
    <row r="52">
      <c r="A52" s="130">
        <v>46102.0</v>
      </c>
      <c r="B52" s="133" t="s">
        <v>202</v>
      </c>
      <c r="C52" s="136"/>
      <c r="D52" s="131">
        <v>98000.0</v>
      </c>
      <c r="E52" s="16">
        <f t="shared" si="1"/>
        <v>1192411</v>
      </c>
    </row>
    <row r="53">
      <c r="A53" s="130">
        <v>46102.0</v>
      </c>
      <c r="B53" s="107" t="s">
        <v>203</v>
      </c>
      <c r="C53" s="136"/>
      <c r="D53" s="131">
        <v>18000.0</v>
      </c>
      <c r="E53" s="16">
        <f t="shared" si="1"/>
        <v>1174411</v>
      </c>
    </row>
    <row r="54">
      <c r="A54" s="96">
        <v>46103.0</v>
      </c>
      <c r="B54" s="107" t="s">
        <v>204</v>
      </c>
      <c r="C54" s="107"/>
      <c r="D54" s="131">
        <v>100000.0</v>
      </c>
      <c r="E54" s="16">
        <f t="shared" si="1"/>
        <v>1074411</v>
      </c>
    </row>
    <row r="55">
      <c r="A55" s="96">
        <v>46103.0</v>
      </c>
      <c r="B55" s="133" t="s">
        <v>205</v>
      </c>
      <c r="C55" s="107"/>
      <c r="D55" s="131">
        <v>50000.0</v>
      </c>
      <c r="E55" s="16">
        <f t="shared" si="1"/>
        <v>1024411</v>
      </c>
    </row>
    <row r="56">
      <c r="A56" s="96">
        <v>46103.0</v>
      </c>
      <c r="B56" s="107" t="s">
        <v>206</v>
      </c>
      <c r="C56" s="107"/>
      <c r="D56" s="131">
        <v>48000.0</v>
      </c>
      <c r="E56" s="16">
        <f t="shared" si="1"/>
        <v>976411</v>
      </c>
    </row>
    <row r="57">
      <c r="A57" s="96">
        <v>46103.0</v>
      </c>
      <c r="B57" s="107" t="s">
        <v>143</v>
      </c>
      <c r="C57" s="107"/>
      <c r="D57" s="131">
        <v>42000.0</v>
      </c>
      <c r="E57" s="16">
        <f t="shared" si="1"/>
        <v>934411</v>
      </c>
    </row>
    <row r="58">
      <c r="A58" s="138">
        <v>46103.0</v>
      </c>
      <c r="B58" s="107" t="s">
        <v>207</v>
      </c>
      <c r="C58" s="136"/>
      <c r="D58" s="131">
        <v>80000.0</v>
      </c>
      <c r="E58" s="16">
        <f t="shared" si="1"/>
        <v>854411</v>
      </c>
    </row>
    <row r="59">
      <c r="A59" s="138">
        <v>46103.0</v>
      </c>
      <c r="B59" s="107" t="s">
        <v>208</v>
      </c>
      <c r="C59" s="136"/>
      <c r="D59" s="131">
        <v>87000.0</v>
      </c>
      <c r="E59" s="16">
        <f t="shared" si="1"/>
        <v>767411</v>
      </c>
    </row>
    <row r="60">
      <c r="A60" s="130">
        <v>46103.0</v>
      </c>
      <c r="B60" s="107" t="s">
        <v>209</v>
      </c>
      <c r="C60" s="136"/>
      <c r="D60" s="131">
        <v>38000.0</v>
      </c>
      <c r="E60" s="16">
        <f t="shared" si="1"/>
        <v>729411</v>
      </c>
    </row>
    <row r="61">
      <c r="A61" s="130">
        <v>46103.0</v>
      </c>
      <c r="B61" s="133" t="s">
        <v>210</v>
      </c>
      <c r="C61" s="136"/>
      <c r="D61" s="131">
        <v>15000.0</v>
      </c>
      <c r="E61" s="16">
        <f t="shared" si="1"/>
        <v>714411</v>
      </c>
    </row>
    <row r="62">
      <c r="A62" s="130">
        <v>46103.0</v>
      </c>
      <c r="B62" s="107" t="s">
        <v>211</v>
      </c>
      <c r="C62" s="136"/>
      <c r="D62" s="131">
        <v>28000.0</v>
      </c>
      <c r="E62" s="16">
        <f t="shared" si="1"/>
        <v>686411</v>
      </c>
    </row>
    <row r="63">
      <c r="A63" s="130">
        <v>46104.0</v>
      </c>
      <c r="B63" s="107" t="s">
        <v>212</v>
      </c>
      <c r="C63" s="33"/>
      <c r="D63" s="131">
        <v>52000.0</v>
      </c>
      <c r="E63" s="16">
        <f t="shared" si="1"/>
        <v>634411</v>
      </c>
    </row>
    <row r="64">
      <c r="A64" s="130">
        <v>46104.0</v>
      </c>
      <c r="B64" s="133" t="s">
        <v>213</v>
      </c>
      <c r="C64" s="33"/>
      <c r="D64" s="131">
        <v>12000.0</v>
      </c>
      <c r="E64" s="16">
        <f t="shared" si="1"/>
        <v>622411</v>
      </c>
    </row>
    <row r="65">
      <c r="A65" s="130">
        <v>46104.0</v>
      </c>
      <c r="B65" s="107" t="s">
        <v>214</v>
      </c>
      <c r="C65" s="33"/>
      <c r="D65" s="131">
        <v>13000.0</v>
      </c>
      <c r="E65" s="16">
        <f t="shared" si="1"/>
        <v>609411</v>
      </c>
    </row>
    <row r="66">
      <c r="A66" s="138">
        <v>46104.0</v>
      </c>
      <c r="B66" s="107" t="s">
        <v>215</v>
      </c>
      <c r="C66" s="136"/>
      <c r="D66" s="131">
        <v>40000.0</v>
      </c>
      <c r="E66" s="16">
        <f t="shared" si="1"/>
        <v>569411</v>
      </c>
    </row>
    <row r="67">
      <c r="A67" s="138">
        <v>46105.0</v>
      </c>
      <c r="B67" s="107" t="s">
        <v>216</v>
      </c>
      <c r="C67" s="136"/>
      <c r="D67" s="131">
        <v>21000.0</v>
      </c>
      <c r="E67" s="16">
        <f t="shared" si="1"/>
        <v>548411</v>
      </c>
    </row>
    <row r="68">
      <c r="A68" s="139">
        <v>46105.0</v>
      </c>
      <c r="B68" s="107" t="s">
        <v>217</v>
      </c>
      <c r="C68" s="136"/>
      <c r="D68" s="131">
        <v>15300.0</v>
      </c>
      <c r="E68" s="16">
        <f t="shared" si="1"/>
        <v>533111</v>
      </c>
    </row>
    <row r="69">
      <c r="A69" s="130">
        <v>46105.0</v>
      </c>
      <c r="B69" s="107" t="s">
        <v>66</v>
      </c>
      <c r="C69" s="136"/>
      <c r="D69" s="131">
        <v>14500.0</v>
      </c>
      <c r="E69" s="16">
        <f t="shared" si="1"/>
        <v>518611</v>
      </c>
    </row>
    <row r="70">
      <c r="A70" s="130">
        <v>46105.0</v>
      </c>
      <c r="B70" s="107" t="s">
        <v>218</v>
      </c>
      <c r="C70" s="136"/>
      <c r="D70" s="131">
        <v>8000.0</v>
      </c>
      <c r="E70" s="16">
        <f t="shared" si="1"/>
        <v>510611</v>
      </c>
    </row>
    <row r="71">
      <c r="A71" s="130">
        <v>46105.0</v>
      </c>
      <c r="B71" s="107" t="s">
        <v>219</v>
      </c>
      <c r="C71" s="136"/>
      <c r="D71" s="131">
        <v>12000.0</v>
      </c>
      <c r="E71" s="16">
        <f t="shared" si="1"/>
        <v>498611</v>
      </c>
    </row>
    <row r="72">
      <c r="A72" s="130">
        <v>46106.0</v>
      </c>
      <c r="B72" s="133" t="s">
        <v>209</v>
      </c>
      <c r="C72" s="33"/>
      <c r="D72" s="131">
        <v>10000.0</v>
      </c>
      <c r="E72" s="16">
        <f t="shared" si="1"/>
        <v>488611</v>
      </c>
    </row>
    <row r="73">
      <c r="A73" s="130">
        <v>46106.0</v>
      </c>
      <c r="B73" s="133" t="s">
        <v>220</v>
      </c>
      <c r="C73" s="33"/>
      <c r="D73" s="131">
        <v>16800.0</v>
      </c>
      <c r="E73" s="16">
        <f t="shared" si="1"/>
        <v>471811</v>
      </c>
    </row>
    <row r="74">
      <c r="A74" s="130">
        <v>46106.0</v>
      </c>
      <c r="B74" s="107" t="s">
        <v>221</v>
      </c>
      <c r="C74" s="33"/>
      <c r="D74" s="131">
        <v>148015.62</v>
      </c>
      <c r="E74" s="16">
        <f t="shared" si="1"/>
        <v>323795.38</v>
      </c>
    </row>
    <row r="75">
      <c r="A75" s="130">
        <v>46107.0</v>
      </c>
      <c r="B75" s="107" t="s">
        <v>222</v>
      </c>
      <c r="C75" s="136"/>
      <c r="D75" s="131">
        <v>250000.0</v>
      </c>
      <c r="E75" s="16">
        <f t="shared" si="1"/>
        <v>73795.38</v>
      </c>
    </row>
    <row r="76">
      <c r="A76" s="130">
        <v>46107.0</v>
      </c>
      <c r="B76" s="133" t="s">
        <v>52</v>
      </c>
      <c r="C76" s="140"/>
      <c r="D76" s="140">
        <v>37000.0</v>
      </c>
      <c r="E76" s="16">
        <f t="shared" si="1"/>
        <v>36795.38</v>
      </c>
    </row>
    <row r="77">
      <c r="A77" s="130">
        <v>46107.0</v>
      </c>
      <c r="B77" s="133" t="s">
        <v>143</v>
      </c>
      <c r="C77" s="140"/>
      <c r="D77" s="140">
        <v>37000.0</v>
      </c>
      <c r="E77" s="16">
        <f t="shared" si="1"/>
        <v>-204.62</v>
      </c>
    </row>
    <row r="78">
      <c r="A78" s="96"/>
      <c r="B78" s="107" t="s">
        <v>223</v>
      </c>
      <c r="C78" s="131"/>
      <c r="D78" s="131">
        <v>338800.0</v>
      </c>
      <c r="E78" s="16">
        <f t="shared" si="1"/>
        <v>-339004.62</v>
      </c>
    </row>
    <row r="79">
      <c r="A79" s="12"/>
      <c r="B79" s="133" t="s">
        <v>224</v>
      </c>
      <c r="C79" s="136"/>
      <c r="D79" s="131">
        <v>33000.0</v>
      </c>
      <c r="E79" s="16">
        <f t="shared" si="1"/>
        <v>-372004.62</v>
      </c>
    </row>
    <row r="80">
      <c r="A80" s="12"/>
      <c r="B80" s="107" t="s">
        <v>225</v>
      </c>
      <c r="C80" s="136"/>
      <c r="D80" s="131">
        <v>17200.0</v>
      </c>
      <c r="E80" s="16">
        <f t="shared" si="1"/>
        <v>-389204.62</v>
      </c>
    </row>
    <row r="81">
      <c r="A81" s="12"/>
      <c r="B81" s="107" t="s">
        <v>226</v>
      </c>
      <c r="C81" s="140">
        <v>3500000.0</v>
      </c>
      <c r="D81" s="33">
        <f>SUM(D6:D80)</f>
        <v>3889204.62</v>
      </c>
      <c r="E81" s="141">
        <f>C81-D81</f>
        <v>-389204.62</v>
      </c>
    </row>
    <row r="94">
      <c r="A94" s="1" t="s">
        <v>0</v>
      </c>
      <c r="B94" s="2"/>
      <c r="C94" s="2"/>
      <c r="D94" s="2"/>
      <c r="E94" s="3"/>
    </row>
    <row r="95">
      <c r="A95" s="5" t="s">
        <v>1</v>
      </c>
      <c r="B95" s="2"/>
      <c r="C95" s="2"/>
      <c r="D95" s="2"/>
      <c r="E95" s="3"/>
    </row>
    <row r="96">
      <c r="A96" s="110" t="s">
        <v>162</v>
      </c>
      <c r="B96" s="2"/>
      <c r="C96" s="3"/>
      <c r="D96" s="86" t="s">
        <v>163</v>
      </c>
      <c r="E96" s="3"/>
    </row>
    <row r="97">
      <c r="A97" s="8" t="s">
        <v>4</v>
      </c>
      <c r="B97" s="8" t="s">
        <v>5</v>
      </c>
      <c r="C97" s="8" t="s">
        <v>7</v>
      </c>
      <c r="D97" s="8" t="s">
        <v>8</v>
      </c>
      <c r="E97" s="8" t="s">
        <v>9</v>
      </c>
    </row>
    <row r="98">
      <c r="A98" s="10"/>
      <c r="B98" s="10"/>
      <c r="C98" s="10"/>
      <c r="D98" s="10"/>
      <c r="E98" s="11" t="s">
        <v>10</v>
      </c>
    </row>
    <row r="99">
      <c r="A99" s="132"/>
      <c r="B99" s="88" t="s">
        <v>98</v>
      </c>
      <c r="C99" s="89">
        <v>200000.0</v>
      </c>
      <c r="D99" s="90"/>
      <c r="E99" s="16">
        <f>C99</f>
        <v>200000</v>
      </c>
    </row>
    <row r="100">
      <c r="A100" s="130">
        <v>46108.0</v>
      </c>
      <c r="B100" s="133" t="s">
        <v>227</v>
      </c>
      <c r="C100" s="33"/>
      <c r="D100" s="131">
        <v>140000.0</v>
      </c>
      <c r="E100" s="16">
        <f t="shared" ref="E100:E109" si="2">E99+C100-D100</f>
        <v>60000</v>
      </c>
    </row>
    <row r="101">
      <c r="A101" s="92">
        <v>46111.0</v>
      </c>
      <c r="B101" s="133" t="s">
        <v>228</v>
      </c>
      <c r="C101" s="107"/>
      <c r="D101" s="131">
        <v>108237.5</v>
      </c>
      <c r="E101" s="16">
        <f t="shared" si="2"/>
        <v>-48237.5</v>
      </c>
    </row>
    <row r="102">
      <c r="A102" s="92">
        <v>46111.0</v>
      </c>
      <c r="B102" s="133" t="s">
        <v>229</v>
      </c>
      <c r="C102" s="107"/>
      <c r="D102" s="131">
        <v>65000.0</v>
      </c>
      <c r="E102" s="16">
        <f t="shared" si="2"/>
        <v>-113237.5</v>
      </c>
    </row>
    <row r="103">
      <c r="A103" s="92">
        <v>46111.0</v>
      </c>
      <c r="B103" s="133" t="s">
        <v>230</v>
      </c>
      <c r="C103" s="107"/>
      <c r="D103" s="131">
        <v>18500.0</v>
      </c>
      <c r="E103" s="16">
        <f t="shared" si="2"/>
        <v>-131737.5</v>
      </c>
    </row>
    <row r="104">
      <c r="A104" s="92">
        <v>46111.0</v>
      </c>
      <c r="B104" s="133" t="s">
        <v>231</v>
      </c>
      <c r="C104" s="107"/>
      <c r="D104" s="131">
        <v>19469.68</v>
      </c>
      <c r="E104" s="16">
        <f t="shared" si="2"/>
        <v>-151207.18</v>
      </c>
    </row>
    <row r="105">
      <c r="A105" s="92">
        <v>46111.0</v>
      </c>
      <c r="B105" s="133" t="s">
        <v>232</v>
      </c>
      <c r="C105" s="107"/>
      <c r="D105" s="131">
        <v>8000.0</v>
      </c>
      <c r="E105" s="16">
        <f t="shared" si="2"/>
        <v>-159207.18</v>
      </c>
    </row>
    <row r="106">
      <c r="A106" s="92">
        <v>46111.0</v>
      </c>
      <c r="B106" s="133" t="s">
        <v>233</v>
      </c>
      <c r="C106" s="107"/>
      <c r="D106" s="131">
        <v>12000.0</v>
      </c>
      <c r="E106" s="16">
        <f t="shared" si="2"/>
        <v>-171207.18</v>
      </c>
    </row>
    <row r="107">
      <c r="A107" s="96">
        <v>46113.0</v>
      </c>
      <c r="B107" s="133" t="s">
        <v>234</v>
      </c>
      <c r="C107" s="107"/>
      <c r="D107" s="131">
        <v>90000.0</v>
      </c>
      <c r="E107" s="16">
        <f t="shared" si="2"/>
        <v>-261207.18</v>
      </c>
    </row>
    <row r="108">
      <c r="A108" s="96">
        <v>46113.0</v>
      </c>
      <c r="B108" s="133" t="s">
        <v>235</v>
      </c>
      <c r="C108" s="107"/>
      <c r="D108" s="131">
        <v>12000.0</v>
      </c>
      <c r="E108" s="16">
        <f t="shared" si="2"/>
        <v>-273207.18</v>
      </c>
    </row>
    <row r="109">
      <c r="A109" s="96">
        <v>46113.0</v>
      </c>
      <c r="B109" s="133" t="s">
        <v>236</v>
      </c>
      <c r="C109" s="107"/>
      <c r="D109" s="131">
        <v>8000.0</v>
      </c>
      <c r="E109" s="16">
        <f t="shared" si="2"/>
        <v>-281207.18</v>
      </c>
    </row>
    <row r="110">
      <c r="A110" s="12"/>
      <c r="B110" s="107" t="s">
        <v>226</v>
      </c>
      <c r="C110" s="140">
        <f t="shared" ref="C110:D110" si="3">SUM(C99:C109)</f>
        <v>200000</v>
      </c>
      <c r="D110" s="33">
        <f t="shared" si="3"/>
        <v>481207.18</v>
      </c>
      <c r="E110" s="141">
        <f>C110-D110</f>
        <v>-281207.18</v>
      </c>
    </row>
  </sheetData>
  <mergeCells count="8">
    <mergeCell ref="A1:E1"/>
    <mergeCell ref="A2:E2"/>
    <mergeCell ref="A3:C3"/>
    <mergeCell ref="D3:E3"/>
    <mergeCell ref="A94:E94"/>
    <mergeCell ref="A95:E95"/>
    <mergeCell ref="A96:C96"/>
    <mergeCell ref="D96:E96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92.75"/>
  </cols>
  <sheetData>
    <row r="1">
      <c r="A1" s="1" t="s">
        <v>0</v>
      </c>
      <c r="B1" s="2"/>
      <c r="C1" s="2"/>
      <c r="D1" s="2"/>
      <c r="E1" s="3"/>
    </row>
    <row r="2">
      <c r="A2" s="5" t="s">
        <v>1</v>
      </c>
      <c r="B2" s="2"/>
      <c r="C2" s="2"/>
      <c r="D2" s="2"/>
      <c r="E2" s="3"/>
    </row>
    <row r="3">
      <c r="A3" s="110" t="s">
        <v>237</v>
      </c>
      <c r="B3" s="2"/>
      <c r="C3" s="3"/>
      <c r="D3" s="86" t="s">
        <v>238</v>
      </c>
      <c r="E3" s="3"/>
    </row>
    <row r="4">
      <c r="A4" s="8" t="s">
        <v>4</v>
      </c>
      <c r="B4" s="8" t="s">
        <v>5</v>
      </c>
      <c r="C4" s="8" t="s">
        <v>7</v>
      </c>
      <c r="D4" s="8" t="s">
        <v>8</v>
      </c>
      <c r="E4" s="8" t="s">
        <v>9</v>
      </c>
    </row>
    <row r="5">
      <c r="A5" s="10"/>
      <c r="B5" s="10"/>
      <c r="C5" s="10"/>
      <c r="D5" s="10"/>
      <c r="E5" s="11" t="s">
        <v>10</v>
      </c>
    </row>
    <row r="6">
      <c r="A6" s="132"/>
      <c r="B6" s="88" t="s">
        <v>98</v>
      </c>
      <c r="C6" s="89">
        <v>300000.0</v>
      </c>
      <c r="D6" s="90"/>
      <c r="E6" s="16">
        <f>C6</f>
        <v>300000</v>
      </c>
    </row>
    <row r="7">
      <c r="A7" s="130">
        <v>46118.0</v>
      </c>
      <c r="B7" s="133" t="s">
        <v>146</v>
      </c>
      <c r="C7" s="33"/>
      <c r="D7" s="131">
        <v>7000.0</v>
      </c>
      <c r="E7" s="16">
        <f t="shared" ref="E7:E15" si="1">E6+C7-D7</f>
        <v>293000</v>
      </c>
    </row>
    <row r="8">
      <c r="A8" s="92">
        <v>46119.0</v>
      </c>
      <c r="B8" s="133" t="s">
        <v>239</v>
      </c>
      <c r="C8" s="107"/>
      <c r="D8" s="131">
        <v>110000.0</v>
      </c>
      <c r="E8" s="16">
        <f t="shared" si="1"/>
        <v>183000</v>
      </c>
    </row>
    <row r="9">
      <c r="A9" s="92">
        <v>46120.0</v>
      </c>
      <c r="B9" s="133" t="s">
        <v>240</v>
      </c>
      <c r="C9" s="107"/>
      <c r="D9" s="131">
        <v>83000.0</v>
      </c>
      <c r="E9" s="16">
        <f t="shared" si="1"/>
        <v>100000</v>
      </c>
    </row>
    <row r="10">
      <c r="A10" s="92">
        <v>46120.0</v>
      </c>
      <c r="B10" s="133" t="s">
        <v>146</v>
      </c>
      <c r="C10" s="107"/>
      <c r="D10" s="131">
        <v>7000.0</v>
      </c>
      <c r="E10" s="16">
        <f t="shared" si="1"/>
        <v>93000</v>
      </c>
    </row>
    <row r="11">
      <c r="A11" s="92">
        <v>46120.0</v>
      </c>
      <c r="B11" s="133" t="s">
        <v>241</v>
      </c>
      <c r="C11" s="107"/>
      <c r="D11" s="131">
        <v>18000.0</v>
      </c>
      <c r="E11" s="16">
        <f t="shared" si="1"/>
        <v>75000</v>
      </c>
    </row>
    <row r="12">
      <c r="A12" s="92">
        <v>46120.0</v>
      </c>
      <c r="B12" s="133" t="s">
        <v>242</v>
      </c>
      <c r="C12" s="107"/>
      <c r="D12" s="131">
        <v>68000.0</v>
      </c>
      <c r="E12" s="16">
        <f t="shared" si="1"/>
        <v>7000</v>
      </c>
    </row>
    <row r="13">
      <c r="A13" s="92">
        <v>46120.0</v>
      </c>
      <c r="B13" s="133" t="s">
        <v>243</v>
      </c>
      <c r="C13" s="107"/>
      <c r="D13" s="131">
        <v>14000.0</v>
      </c>
      <c r="E13" s="16">
        <f t="shared" si="1"/>
        <v>-7000</v>
      </c>
    </row>
    <row r="14">
      <c r="A14" s="92">
        <v>46120.0</v>
      </c>
      <c r="B14" s="133" t="s">
        <v>244</v>
      </c>
      <c r="C14" s="107"/>
      <c r="D14" s="131">
        <v>52000.0</v>
      </c>
      <c r="E14" s="16">
        <f t="shared" si="1"/>
        <v>-59000</v>
      </c>
    </row>
    <row r="15">
      <c r="A15" s="96">
        <v>46121.0</v>
      </c>
      <c r="B15" s="133" t="s">
        <v>245</v>
      </c>
      <c r="C15" s="107"/>
      <c r="D15" s="131">
        <v>96300.0</v>
      </c>
      <c r="E15" s="16">
        <f t="shared" si="1"/>
        <v>-155300</v>
      </c>
    </row>
    <row r="16">
      <c r="A16" s="96"/>
      <c r="B16" s="133"/>
      <c r="C16" s="107"/>
      <c r="D16" s="131"/>
      <c r="E16" s="16"/>
    </row>
    <row r="17">
      <c r="A17" s="12"/>
      <c r="B17" s="107" t="s">
        <v>226</v>
      </c>
      <c r="C17" s="140">
        <f t="shared" ref="C17:D17" si="2">SUM(C6:C16)</f>
        <v>300000</v>
      </c>
      <c r="D17" s="33">
        <f t="shared" si="2"/>
        <v>455300</v>
      </c>
      <c r="E17" s="141">
        <f>C17-D17</f>
        <v>-155300</v>
      </c>
    </row>
    <row r="21">
      <c r="A21" s="1" t="s">
        <v>0</v>
      </c>
      <c r="B21" s="2"/>
      <c r="C21" s="2"/>
      <c r="D21" s="2"/>
      <c r="E21" s="3"/>
    </row>
    <row r="22">
      <c r="A22" s="5" t="s">
        <v>1</v>
      </c>
      <c r="B22" s="2"/>
      <c r="C22" s="2"/>
      <c r="D22" s="2"/>
      <c r="E22" s="3"/>
    </row>
    <row r="23">
      <c r="A23" s="110" t="s">
        <v>237</v>
      </c>
      <c r="B23" s="2"/>
      <c r="C23" s="3"/>
      <c r="D23" s="86" t="s">
        <v>238</v>
      </c>
      <c r="E23" s="3"/>
    </row>
    <row r="24">
      <c r="A24" s="8" t="s">
        <v>4</v>
      </c>
      <c r="B24" s="8" t="s">
        <v>5</v>
      </c>
      <c r="C24" s="8" t="s">
        <v>7</v>
      </c>
      <c r="D24" s="8" t="s">
        <v>8</v>
      </c>
      <c r="E24" s="8" t="s">
        <v>9</v>
      </c>
    </row>
    <row r="25">
      <c r="A25" s="10"/>
      <c r="B25" s="10"/>
      <c r="C25" s="10"/>
      <c r="D25" s="10"/>
      <c r="E25" s="11" t="s">
        <v>10</v>
      </c>
    </row>
    <row r="26">
      <c r="A26" s="132"/>
      <c r="B26" s="88" t="s">
        <v>98</v>
      </c>
      <c r="C26" s="89">
        <v>300000.0</v>
      </c>
      <c r="D26" s="90"/>
      <c r="E26" s="16">
        <f>C26</f>
        <v>300000</v>
      </c>
    </row>
    <row r="27">
      <c r="A27" s="130">
        <v>46121.0</v>
      </c>
      <c r="B27" s="133" t="s">
        <v>143</v>
      </c>
      <c r="C27" s="33"/>
      <c r="D27" s="131">
        <v>39000.0</v>
      </c>
      <c r="E27" s="16">
        <f t="shared" ref="E27:E39" si="3">E26+C27-D27</f>
        <v>261000</v>
      </c>
      <c r="F27" s="142"/>
      <c r="G27" s="119"/>
    </row>
    <row r="28">
      <c r="A28" s="130">
        <v>46121.0</v>
      </c>
      <c r="B28" s="133" t="s">
        <v>146</v>
      </c>
      <c r="C28" s="107"/>
      <c r="D28" s="131">
        <v>7000.0</v>
      </c>
      <c r="E28" s="16">
        <f t="shared" si="3"/>
        <v>254000</v>
      </c>
      <c r="F28" s="142"/>
      <c r="G28" s="119"/>
    </row>
    <row r="29">
      <c r="A29" s="92">
        <v>46122.0</v>
      </c>
      <c r="B29" s="133" t="s">
        <v>246</v>
      </c>
      <c r="C29" s="107"/>
      <c r="D29" s="131">
        <v>16000.0</v>
      </c>
      <c r="E29" s="16">
        <f t="shared" si="3"/>
        <v>238000</v>
      </c>
      <c r="F29" s="142"/>
      <c r="G29" s="119"/>
    </row>
    <row r="30">
      <c r="A30" s="92">
        <v>46122.0</v>
      </c>
      <c r="B30" s="133" t="s">
        <v>247</v>
      </c>
      <c r="C30" s="107"/>
      <c r="D30" s="131">
        <v>8600.0</v>
      </c>
      <c r="E30" s="16">
        <f t="shared" si="3"/>
        <v>229400</v>
      </c>
      <c r="F30" s="142"/>
      <c r="G30" s="119"/>
    </row>
    <row r="31">
      <c r="A31" s="92">
        <v>46122.0</v>
      </c>
      <c r="B31" s="133" t="s">
        <v>248</v>
      </c>
      <c r="C31" s="107"/>
      <c r="D31" s="131">
        <v>8000.0</v>
      </c>
      <c r="E31" s="16">
        <f t="shared" si="3"/>
        <v>221400</v>
      </c>
      <c r="F31" s="142"/>
      <c r="G31" s="119"/>
    </row>
    <row r="32">
      <c r="A32" s="92">
        <v>46123.0</v>
      </c>
      <c r="B32" s="143" t="s">
        <v>249</v>
      </c>
      <c r="C32" s="144"/>
      <c r="D32" s="131">
        <v>50000.0</v>
      </c>
      <c r="E32" s="16">
        <f t="shared" si="3"/>
        <v>171400</v>
      </c>
      <c r="F32" s="142"/>
      <c r="G32" s="119"/>
    </row>
    <row r="33">
      <c r="A33" s="92">
        <v>46123.0</v>
      </c>
      <c r="B33" s="143" t="s">
        <v>250</v>
      </c>
      <c r="C33" s="144"/>
      <c r="D33" s="131">
        <v>50000.0</v>
      </c>
      <c r="E33" s="16">
        <f t="shared" si="3"/>
        <v>121400</v>
      </c>
      <c r="F33" s="142"/>
      <c r="G33" s="119"/>
    </row>
    <row r="34">
      <c r="A34" s="96">
        <v>46123.0</v>
      </c>
      <c r="B34" s="133" t="s">
        <v>251</v>
      </c>
      <c r="C34" s="107"/>
      <c r="D34" s="131">
        <v>90000.0</v>
      </c>
      <c r="E34" s="16">
        <f t="shared" si="3"/>
        <v>31400</v>
      </c>
      <c r="F34" s="142"/>
      <c r="G34" s="119"/>
    </row>
    <row r="35">
      <c r="A35" s="92">
        <v>46123.0</v>
      </c>
      <c r="B35" s="143" t="s">
        <v>252</v>
      </c>
      <c r="C35" s="144"/>
      <c r="D35" s="131">
        <v>35000.0</v>
      </c>
      <c r="E35" s="16">
        <f t="shared" si="3"/>
        <v>-3600</v>
      </c>
      <c r="F35" s="142"/>
      <c r="G35" s="119"/>
    </row>
    <row r="36">
      <c r="A36" s="96">
        <v>46124.0</v>
      </c>
      <c r="B36" s="133" t="s">
        <v>253</v>
      </c>
      <c r="C36" s="107"/>
      <c r="D36" s="131">
        <v>28500.0</v>
      </c>
      <c r="E36" s="16">
        <f t="shared" si="3"/>
        <v>-32100</v>
      </c>
      <c r="F36" s="142"/>
      <c r="G36" s="119"/>
    </row>
    <row r="37">
      <c r="A37" s="96">
        <v>46125.0</v>
      </c>
      <c r="B37" s="133" t="s">
        <v>254</v>
      </c>
      <c r="C37" s="107"/>
      <c r="D37" s="131">
        <v>30000.0</v>
      </c>
      <c r="E37" s="16">
        <f t="shared" si="3"/>
        <v>-62100</v>
      </c>
      <c r="F37" s="142"/>
      <c r="G37" s="119"/>
    </row>
    <row r="38">
      <c r="A38" s="96">
        <v>46128.0</v>
      </c>
      <c r="B38" s="133" t="s">
        <v>143</v>
      </c>
      <c r="C38" s="107"/>
      <c r="D38" s="131">
        <v>39000.0</v>
      </c>
      <c r="E38" s="16">
        <f t="shared" si="3"/>
        <v>-101100</v>
      </c>
      <c r="F38" s="142"/>
      <c r="G38" s="119"/>
    </row>
    <row r="39">
      <c r="A39" s="96">
        <v>46128.0</v>
      </c>
      <c r="B39" s="133" t="s">
        <v>255</v>
      </c>
      <c r="C39" s="107"/>
      <c r="D39" s="131">
        <v>45000.0</v>
      </c>
      <c r="E39" s="16">
        <f t="shared" si="3"/>
        <v>-146100</v>
      </c>
    </row>
    <row r="40">
      <c r="A40" s="12"/>
      <c r="B40" s="107" t="s">
        <v>226</v>
      </c>
      <c r="C40" s="140">
        <f t="shared" ref="C40:D40" si="4">SUM(C26:C39)</f>
        <v>300000</v>
      </c>
      <c r="D40" s="33">
        <f t="shared" si="4"/>
        <v>446100</v>
      </c>
      <c r="E40" s="141">
        <f>C40-D40</f>
        <v>-146100</v>
      </c>
    </row>
    <row r="46">
      <c r="A46" s="1" t="s">
        <v>0</v>
      </c>
      <c r="B46" s="2"/>
      <c r="C46" s="2"/>
      <c r="D46" s="2"/>
      <c r="E46" s="3"/>
    </row>
    <row r="47">
      <c r="A47" s="5" t="s">
        <v>1</v>
      </c>
      <c r="B47" s="2"/>
      <c r="C47" s="2"/>
      <c r="D47" s="2"/>
      <c r="E47" s="3"/>
    </row>
    <row r="48">
      <c r="A48" s="110" t="s">
        <v>237</v>
      </c>
      <c r="B48" s="2"/>
      <c r="C48" s="3"/>
      <c r="D48" s="86" t="s">
        <v>238</v>
      </c>
      <c r="E48" s="3"/>
    </row>
    <row r="49">
      <c r="A49" s="8" t="s">
        <v>4</v>
      </c>
      <c r="B49" s="8" t="s">
        <v>5</v>
      </c>
      <c r="C49" s="8" t="s">
        <v>7</v>
      </c>
      <c r="D49" s="8" t="s">
        <v>8</v>
      </c>
      <c r="E49" s="8" t="s">
        <v>9</v>
      </c>
    </row>
    <row r="50">
      <c r="A50" s="10"/>
      <c r="B50" s="10"/>
      <c r="C50" s="10"/>
      <c r="D50" s="10"/>
      <c r="E50" s="11" t="s">
        <v>10</v>
      </c>
    </row>
    <row r="51">
      <c r="A51" s="132"/>
      <c r="B51" s="88" t="s">
        <v>98</v>
      </c>
      <c r="C51" s="89">
        <v>300000.0</v>
      </c>
      <c r="D51" s="90"/>
      <c r="E51" s="16">
        <f>C51</f>
        <v>300000</v>
      </c>
    </row>
    <row r="52">
      <c r="A52" s="92">
        <v>46131.0</v>
      </c>
      <c r="B52" s="133" t="s">
        <v>256</v>
      </c>
      <c r="C52" s="107"/>
      <c r="D52" s="131">
        <v>12500.0</v>
      </c>
      <c r="E52" s="16">
        <f t="shared" ref="E52:E66" si="5">E51+C52-D52</f>
        <v>287500</v>
      </c>
      <c r="F52" s="142"/>
    </row>
    <row r="53">
      <c r="A53" s="92">
        <v>46131.0</v>
      </c>
      <c r="B53" s="133" t="s">
        <v>257</v>
      </c>
      <c r="C53" s="107"/>
      <c r="D53" s="131">
        <f>100000-39000</f>
        <v>61000</v>
      </c>
      <c r="E53" s="16">
        <f t="shared" si="5"/>
        <v>226500</v>
      </c>
      <c r="F53" s="142"/>
    </row>
    <row r="54">
      <c r="A54" s="92">
        <v>46132.0</v>
      </c>
      <c r="B54" s="133" t="s">
        <v>258</v>
      </c>
      <c r="C54" s="107"/>
      <c r="D54" s="131">
        <v>6000.0</v>
      </c>
      <c r="E54" s="16">
        <f t="shared" si="5"/>
        <v>220500</v>
      </c>
      <c r="F54" s="142"/>
    </row>
    <row r="55">
      <c r="A55" s="92">
        <v>46132.0</v>
      </c>
      <c r="B55" s="133" t="s">
        <v>259</v>
      </c>
      <c r="C55" s="107"/>
      <c r="D55" s="131">
        <v>30000.0</v>
      </c>
      <c r="E55" s="16">
        <f t="shared" si="5"/>
        <v>190500</v>
      </c>
      <c r="F55" s="142"/>
    </row>
    <row r="56">
      <c r="A56" s="92">
        <v>46132.0</v>
      </c>
      <c r="B56" s="133" t="s">
        <v>260</v>
      </c>
      <c r="C56" s="107"/>
      <c r="D56" s="131">
        <v>3000.0</v>
      </c>
      <c r="E56" s="16">
        <f t="shared" si="5"/>
        <v>187500</v>
      </c>
      <c r="F56" s="142"/>
    </row>
    <row r="57">
      <c r="A57" s="92">
        <v>46133.0</v>
      </c>
      <c r="B57" s="143" t="s">
        <v>261</v>
      </c>
      <c r="C57" s="144"/>
      <c r="D57" s="131">
        <v>51748.0</v>
      </c>
      <c r="E57" s="16">
        <f t="shared" si="5"/>
        <v>135752</v>
      </c>
      <c r="F57" s="142"/>
    </row>
    <row r="58">
      <c r="A58" s="92">
        <v>46133.0</v>
      </c>
      <c r="B58" s="143" t="s">
        <v>262</v>
      </c>
      <c r="C58" s="144"/>
      <c r="D58" s="131">
        <v>10844.6</v>
      </c>
      <c r="E58" s="16">
        <f t="shared" si="5"/>
        <v>124907.4</v>
      </c>
      <c r="F58" s="142"/>
    </row>
    <row r="59">
      <c r="A59" s="92">
        <v>46134.0</v>
      </c>
      <c r="B59" s="133" t="s">
        <v>263</v>
      </c>
      <c r="C59" s="107"/>
      <c r="D59" s="131">
        <v>100000.0</v>
      </c>
      <c r="E59" s="16">
        <f t="shared" si="5"/>
        <v>24907.4</v>
      </c>
      <c r="F59" s="142"/>
    </row>
    <row r="60">
      <c r="A60" s="92">
        <v>46134.0</v>
      </c>
      <c r="B60" s="143" t="s">
        <v>264</v>
      </c>
      <c r="C60" s="144"/>
      <c r="D60" s="131">
        <v>12400.0</v>
      </c>
      <c r="E60" s="16">
        <f t="shared" si="5"/>
        <v>12507.4</v>
      </c>
      <c r="F60" s="142"/>
    </row>
    <row r="61">
      <c r="A61" s="92">
        <v>46134.0</v>
      </c>
      <c r="B61" s="133" t="s">
        <v>265</v>
      </c>
      <c r="C61" s="107"/>
      <c r="D61" s="131">
        <v>28000.0</v>
      </c>
      <c r="E61" s="16">
        <f t="shared" si="5"/>
        <v>-15492.6</v>
      </c>
      <c r="F61" s="142"/>
    </row>
    <row r="62">
      <c r="A62" s="92">
        <v>46134.0</v>
      </c>
      <c r="B62" s="133" t="s">
        <v>266</v>
      </c>
      <c r="C62" s="107"/>
      <c r="D62" s="131">
        <v>4000.0</v>
      </c>
      <c r="E62" s="16">
        <f t="shared" si="5"/>
        <v>-19492.6</v>
      </c>
      <c r="F62" s="142"/>
    </row>
    <row r="63">
      <c r="A63" s="92">
        <v>46134.0</v>
      </c>
      <c r="B63" s="133" t="s">
        <v>256</v>
      </c>
      <c r="C63" s="107"/>
      <c r="D63" s="131">
        <v>13000.0</v>
      </c>
      <c r="E63" s="16">
        <f t="shared" si="5"/>
        <v>-32492.6</v>
      </c>
      <c r="F63" s="142"/>
    </row>
    <row r="64">
      <c r="A64" s="92">
        <v>46135.0</v>
      </c>
      <c r="B64" s="133" t="s">
        <v>267</v>
      </c>
      <c r="C64" s="33"/>
      <c r="D64" s="131">
        <v>46000.0</v>
      </c>
      <c r="E64" s="16">
        <f t="shared" si="5"/>
        <v>-78492.6</v>
      </c>
    </row>
    <row r="65">
      <c r="A65" s="92">
        <v>46135.0</v>
      </c>
      <c r="B65" s="133" t="s">
        <v>268</v>
      </c>
      <c r="C65" s="107"/>
      <c r="D65" s="131">
        <v>350000.0</v>
      </c>
      <c r="E65" s="16">
        <f t="shared" si="5"/>
        <v>-428492.6</v>
      </c>
    </row>
    <row r="66">
      <c r="A66" s="92">
        <v>46135.0</v>
      </c>
      <c r="B66" s="133" t="s">
        <v>269</v>
      </c>
      <c r="C66" s="107"/>
      <c r="D66" s="131">
        <v>39000.0</v>
      </c>
      <c r="E66" s="16">
        <f t="shared" si="5"/>
        <v>-467492.6</v>
      </c>
      <c r="F66" s="142"/>
    </row>
    <row r="67">
      <c r="A67" s="12"/>
      <c r="B67" s="107" t="s">
        <v>226</v>
      </c>
      <c r="C67" s="140">
        <f t="shared" ref="C67:D67" si="6">SUM(C51:C65)</f>
        <v>300000</v>
      </c>
      <c r="D67" s="33">
        <f t="shared" si="6"/>
        <v>728492.6</v>
      </c>
      <c r="E67" s="141">
        <f>C67-D67</f>
        <v>-428492.6</v>
      </c>
    </row>
    <row r="73">
      <c r="A73" s="1" t="s">
        <v>0</v>
      </c>
      <c r="B73" s="2"/>
      <c r="C73" s="2"/>
      <c r="D73" s="2"/>
      <c r="E73" s="3"/>
    </row>
    <row r="74">
      <c r="A74" s="5" t="s">
        <v>1</v>
      </c>
      <c r="B74" s="2"/>
      <c r="C74" s="2"/>
      <c r="D74" s="2"/>
      <c r="E74" s="3"/>
    </row>
    <row r="75">
      <c r="A75" s="110" t="s">
        <v>237</v>
      </c>
      <c r="B75" s="2"/>
      <c r="C75" s="3"/>
      <c r="D75" s="86" t="s">
        <v>238</v>
      </c>
      <c r="E75" s="3"/>
    </row>
    <row r="76">
      <c r="A76" s="8" t="s">
        <v>4</v>
      </c>
      <c r="B76" s="8" t="s">
        <v>5</v>
      </c>
      <c r="C76" s="8" t="s">
        <v>7</v>
      </c>
      <c r="D76" s="8" t="s">
        <v>8</v>
      </c>
      <c r="E76" s="8" t="s">
        <v>9</v>
      </c>
    </row>
    <row r="77">
      <c r="A77" s="10"/>
      <c r="B77" s="10"/>
      <c r="C77" s="10"/>
      <c r="D77" s="10"/>
      <c r="E77" s="11" t="s">
        <v>10</v>
      </c>
    </row>
    <row r="78">
      <c r="A78" s="132"/>
      <c r="B78" s="88" t="s">
        <v>98</v>
      </c>
      <c r="C78" s="89">
        <v>500000.0</v>
      </c>
      <c r="D78" s="90"/>
      <c r="E78" s="16">
        <f>C78</f>
        <v>500000</v>
      </c>
    </row>
    <row r="79">
      <c r="A79" s="92">
        <v>46136.0</v>
      </c>
      <c r="B79" s="133" t="s">
        <v>270</v>
      </c>
      <c r="C79" s="107"/>
      <c r="D79" s="131">
        <v>47400.0</v>
      </c>
      <c r="E79" s="16">
        <f t="shared" ref="E79:E86" si="7">E78+C79-D79</f>
        <v>452600</v>
      </c>
      <c r="F79" s="142"/>
    </row>
    <row r="80">
      <c r="A80" s="92">
        <v>46136.0</v>
      </c>
      <c r="B80" s="133" t="s">
        <v>271</v>
      </c>
      <c r="C80" s="107"/>
      <c r="D80" s="131">
        <v>88418.0</v>
      </c>
      <c r="E80" s="16">
        <f t="shared" si="7"/>
        <v>364182</v>
      </c>
      <c r="F80" s="142"/>
    </row>
    <row r="81">
      <c r="A81" s="92">
        <v>46137.0</v>
      </c>
      <c r="B81" s="133" t="s">
        <v>272</v>
      </c>
      <c r="C81" s="107"/>
      <c r="D81" s="131">
        <v>59000.0</v>
      </c>
      <c r="E81" s="16">
        <f t="shared" si="7"/>
        <v>305182</v>
      </c>
      <c r="F81" s="142"/>
    </row>
    <row r="82">
      <c r="A82" s="92">
        <v>46138.0</v>
      </c>
      <c r="B82" s="133" t="s">
        <v>269</v>
      </c>
      <c r="C82" s="107"/>
      <c r="D82" s="131">
        <v>40000.0</v>
      </c>
      <c r="E82" s="16">
        <f t="shared" si="7"/>
        <v>265182</v>
      </c>
      <c r="F82" s="142"/>
    </row>
    <row r="83">
      <c r="A83" s="92">
        <v>46138.0</v>
      </c>
      <c r="B83" s="133" t="s">
        <v>273</v>
      </c>
      <c r="C83" s="107"/>
      <c r="D83" s="131">
        <v>28800.0</v>
      </c>
      <c r="E83" s="16">
        <f t="shared" si="7"/>
        <v>236382</v>
      </c>
      <c r="F83" s="142"/>
    </row>
    <row r="84">
      <c r="A84" s="92">
        <v>46139.0</v>
      </c>
      <c r="B84" s="143" t="s">
        <v>274</v>
      </c>
      <c r="C84" s="144"/>
      <c r="D84" s="131">
        <v>32000.0</v>
      </c>
      <c r="E84" s="16">
        <f t="shared" si="7"/>
        <v>204382</v>
      </c>
      <c r="F84" s="142"/>
    </row>
    <row r="85">
      <c r="A85" s="92">
        <v>46141.0</v>
      </c>
      <c r="B85" s="143" t="s">
        <v>275</v>
      </c>
      <c r="C85" s="144"/>
      <c r="D85" s="131">
        <v>359668.55</v>
      </c>
      <c r="E85" s="16">
        <f t="shared" si="7"/>
        <v>-155286.55</v>
      </c>
      <c r="F85" s="142"/>
    </row>
    <row r="86">
      <c r="A86" s="92">
        <v>46141.0</v>
      </c>
      <c r="B86" s="133" t="s">
        <v>276</v>
      </c>
      <c r="C86" s="107"/>
      <c r="D86" s="131">
        <v>450000.0</v>
      </c>
      <c r="E86" s="16">
        <f t="shared" si="7"/>
        <v>-605286.55</v>
      </c>
      <c r="F86" s="142"/>
    </row>
    <row r="87">
      <c r="A87" s="12"/>
      <c r="B87" s="107" t="s">
        <v>226</v>
      </c>
      <c r="C87" s="140">
        <f t="shared" ref="C87:D87" si="8">SUM(C78:C86)</f>
        <v>500000</v>
      </c>
      <c r="D87" s="33">
        <f t="shared" si="8"/>
        <v>1105286.55</v>
      </c>
      <c r="E87" s="141">
        <f>C87-D87</f>
        <v>-605286.55</v>
      </c>
    </row>
  </sheetData>
  <mergeCells count="16">
    <mergeCell ref="A1:E1"/>
    <mergeCell ref="A2:E2"/>
    <mergeCell ref="A3:C3"/>
    <mergeCell ref="D3:E3"/>
    <mergeCell ref="A21:E21"/>
    <mergeCell ref="A22:E22"/>
    <mergeCell ref="D23:E23"/>
    <mergeCell ref="A75:C75"/>
    <mergeCell ref="D75:E75"/>
    <mergeCell ref="A23:C23"/>
    <mergeCell ref="A46:E46"/>
    <mergeCell ref="A47:E47"/>
    <mergeCell ref="A48:C48"/>
    <mergeCell ref="D48:E48"/>
    <mergeCell ref="A73:E73"/>
    <mergeCell ref="A74:E7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68.13"/>
    <col customWidth="1" min="3" max="3" width="19.75"/>
  </cols>
  <sheetData>
    <row r="2">
      <c r="A2" s="1" t="s">
        <v>0</v>
      </c>
      <c r="B2" s="2"/>
      <c r="C2" s="2"/>
      <c r="D2" s="2"/>
      <c r="E2" s="3"/>
    </row>
    <row r="3">
      <c r="A3" s="5" t="s">
        <v>1</v>
      </c>
      <c r="B3" s="2"/>
      <c r="C3" s="2"/>
      <c r="D3" s="2"/>
      <c r="E3" s="3"/>
    </row>
    <row r="4">
      <c r="A4" s="110" t="s">
        <v>277</v>
      </c>
      <c r="B4" s="2"/>
      <c r="C4" s="3"/>
      <c r="D4" s="86" t="s">
        <v>278</v>
      </c>
      <c r="E4" s="3"/>
    </row>
    <row r="5">
      <c r="A5" s="8" t="s">
        <v>4</v>
      </c>
      <c r="B5" s="8" t="s">
        <v>5</v>
      </c>
      <c r="C5" s="8" t="s">
        <v>7</v>
      </c>
      <c r="D5" s="8" t="s">
        <v>8</v>
      </c>
      <c r="E5" s="8" t="s">
        <v>9</v>
      </c>
    </row>
    <row r="6">
      <c r="A6" s="10"/>
      <c r="B6" s="10"/>
      <c r="C6" s="10"/>
      <c r="D6" s="10"/>
      <c r="E6" s="11" t="s">
        <v>10</v>
      </c>
    </row>
    <row r="7">
      <c r="A7" s="132"/>
      <c r="B7" s="88" t="s">
        <v>98</v>
      </c>
      <c r="C7" s="89">
        <v>1000000.0</v>
      </c>
      <c r="D7" s="90"/>
      <c r="E7" s="16">
        <f>C7</f>
        <v>1000000</v>
      </c>
    </row>
    <row r="8">
      <c r="A8" s="92">
        <v>46136.0</v>
      </c>
      <c r="B8" s="133" t="s">
        <v>279</v>
      </c>
      <c r="C8" s="107"/>
      <c r="D8" s="131">
        <v>11400.0</v>
      </c>
      <c r="E8" s="16">
        <f t="shared" ref="E8:E39" si="1">E7+C8-D8</f>
        <v>988600</v>
      </c>
      <c r="F8" s="142"/>
    </row>
    <row r="9">
      <c r="A9" s="92">
        <v>46137.0</v>
      </c>
      <c r="B9" s="133" t="s">
        <v>280</v>
      </c>
      <c r="C9" s="107"/>
      <c r="D9" s="131">
        <v>6000.0</v>
      </c>
      <c r="E9" s="16">
        <f t="shared" si="1"/>
        <v>982600</v>
      </c>
      <c r="F9" s="142"/>
    </row>
    <row r="10">
      <c r="A10" s="92">
        <v>46141.0</v>
      </c>
      <c r="B10" s="133" t="s">
        <v>281</v>
      </c>
      <c r="C10" s="107"/>
      <c r="D10" s="131">
        <v>12600.0</v>
      </c>
      <c r="E10" s="16">
        <f t="shared" si="1"/>
        <v>970000</v>
      </c>
      <c r="F10" s="142"/>
    </row>
    <row r="11">
      <c r="A11" s="92">
        <v>46143.0</v>
      </c>
      <c r="B11" s="133" t="s">
        <v>282</v>
      </c>
      <c r="C11" s="107"/>
      <c r="D11" s="131">
        <v>50000.0</v>
      </c>
      <c r="E11" s="16">
        <f t="shared" si="1"/>
        <v>920000</v>
      </c>
      <c r="F11" s="142"/>
    </row>
    <row r="12">
      <c r="A12" s="92">
        <v>46143.0</v>
      </c>
      <c r="B12" s="133" t="s">
        <v>283</v>
      </c>
      <c r="C12" s="107"/>
      <c r="D12" s="131">
        <v>350000.0</v>
      </c>
      <c r="E12" s="16">
        <f t="shared" si="1"/>
        <v>570000</v>
      </c>
      <c r="F12" s="142"/>
    </row>
    <row r="13">
      <c r="A13" s="92">
        <v>46143.0</v>
      </c>
      <c r="B13" s="133" t="s">
        <v>284</v>
      </c>
      <c r="C13" s="107"/>
      <c r="D13" s="131">
        <v>20000.0</v>
      </c>
      <c r="E13" s="16">
        <f t="shared" si="1"/>
        <v>550000</v>
      </c>
      <c r="F13" s="142"/>
    </row>
    <row r="14">
      <c r="A14" s="92">
        <v>46143.0</v>
      </c>
      <c r="B14" s="133" t="s">
        <v>285</v>
      </c>
      <c r="C14" s="107"/>
      <c r="D14" s="131">
        <v>47700.0</v>
      </c>
      <c r="E14" s="16">
        <f t="shared" si="1"/>
        <v>502300</v>
      </c>
      <c r="F14" s="142"/>
    </row>
    <row r="15">
      <c r="A15" s="92">
        <v>46143.0</v>
      </c>
      <c r="B15" s="133" t="s">
        <v>286</v>
      </c>
      <c r="C15" s="107"/>
      <c r="D15" s="131">
        <v>29100.0</v>
      </c>
      <c r="E15" s="16">
        <f t="shared" si="1"/>
        <v>473200</v>
      </c>
      <c r="F15" s="142"/>
    </row>
    <row r="16">
      <c r="A16" s="92">
        <v>46143.0</v>
      </c>
      <c r="B16" s="133" t="s">
        <v>287</v>
      </c>
      <c r="C16" s="107"/>
      <c r="D16" s="131">
        <v>6684.0</v>
      </c>
      <c r="E16" s="16">
        <f t="shared" si="1"/>
        <v>466516</v>
      </c>
      <c r="F16" s="142"/>
    </row>
    <row r="17">
      <c r="A17" s="92">
        <v>46144.0</v>
      </c>
      <c r="B17" s="143" t="s">
        <v>288</v>
      </c>
      <c r="C17" s="144"/>
      <c r="D17" s="131">
        <v>171000.0</v>
      </c>
      <c r="E17" s="16">
        <f t="shared" si="1"/>
        <v>295516</v>
      </c>
      <c r="F17" s="142"/>
    </row>
    <row r="18">
      <c r="A18" s="92">
        <v>46144.0</v>
      </c>
      <c r="B18" s="133" t="s">
        <v>289</v>
      </c>
      <c r="C18" s="107"/>
      <c r="D18" s="131">
        <v>14000.0</v>
      </c>
      <c r="E18" s="16">
        <f t="shared" si="1"/>
        <v>281516</v>
      </c>
      <c r="F18" s="142"/>
    </row>
    <row r="19">
      <c r="A19" s="92">
        <v>46144.0</v>
      </c>
      <c r="B19" s="133" t="s">
        <v>290</v>
      </c>
      <c r="C19" s="107"/>
      <c r="D19" s="131">
        <v>29900.0</v>
      </c>
      <c r="E19" s="16">
        <f t="shared" si="1"/>
        <v>251616</v>
      </c>
      <c r="F19" s="142"/>
    </row>
    <row r="20">
      <c r="A20" s="92">
        <v>46144.0</v>
      </c>
      <c r="B20" s="133" t="s">
        <v>291</v>
      </c>
      <c r="C20" s="107"/>
      <c r="D20" s="131">
        <v>72400.0</v>
      </c>
      <c r="E20" s="16">
        <f t="shared" si="1"/>
        <v>179216</v>
      </c>
    </row>
    <row r="21">
      <c r="A21" s="92">
        <v>46144.0</v>
      </c>
      <c r="B21" s="133" t="s">
        <v>292</v>
      </c>
      <c r="C21" s="107"/>
      <c r="D21" s="131">
        <v>16198.0</v>
      </c>
      <c r="E21" s="16">
        <f t="shared" si="1"/>
        <v>163018</v>
      </c>
    </row>
    <row r="22">
      <c r="A22" s="92">
        <v>46144.0</v>
      </c>
      <c r="B22" s="133" t="s">
        <v>286</v>
      </c>
      <c r="C22" s="107"/>
      <c r="D22" s="131">
        <v>22198.0</v>
      </c>
      <c r="E22" s="16">
        <f t="shared" si="1"/>
        <v>140820</v>
      </c>
    </row>
    <row r="23">
      <c r="A23" s="92">
        <v>46144.0</v>
      </c>
      <c r="B23" s="133" t="s">
        <v>292</v>
      </c>
      <c r="C23" s="107"/>
      <c r="D23" s="131">
        <v>11380.0</v>
      </c>
      <c r="E23" s="16">
        <f t="shared" si="1"/>
        <v>129440</v>
      </c>
    </row>
    <row r="24">
      <c r="A24" s="92">
        <v>46145.0</v>
      </c>
      <c r="B24" s="143" t="s">
        <v>293</v>
      </c>
      <c r="C24" s="144"/>
      <c r="D24" s="131">
        <v>15000.0</v>
      </c>
      <c r="E24" s="16">
        <f t="shared" si="1"/>
        <v>114440</v>
      </c>
    </row>
    <row r="25">
      <c r="A25" s="92">
        <v>46145.0</v>
      </c>
      <c r="B25" s="133" t="s">
        <v>294</v>
      </c>
      <c r="C25" s="107"/>
      <c r="D25" s="131">
        <v>14100.0</v>
      </c>
      <c r="E25" s="16">
        <f t="shared" si="1"/>
        <v>100340</v>
      </c>
    </row>
    <row r="26">
      <c r="A26" s="92">
        <v>46146.0</v>
      </c>
      <c r="B26" s="143" t="s">
        <v>295</v>
      </c>
      <c r="C26" s="144"/>
      <c r="D26" s="131">
        <v>40000.0</v>
      </c>
      <c r="E26" s="16">
        <f t="shared" si="1"/>
        <v>60340</v>
      </c>
    </row>
    <row r="27">
      <c r="A27" s="92">
        <v>46146.0</v>
      </c>
      <c r="B27" s="133" t="s">
        <v>296</v>
      </c>
      <c r="C27" s="107"/>
      <c r="D27" s="131">
        <v>51800.0</v>
      </c>
      <c r="E27" s="16">
        <f t="shared" si="1"/>
        <v>8540</v>
      </c>
    </row>
    <row r="28">
      <c r="A28" s="92">
        <v>46146.0</v>
      </c>
      <c r="B28" s="133" t="s">
        <v>297</v>
      </c>
      <c r="C28" s="107"/>
      <c r="D28" s="131">
        <v>30000.0</v>
      </c>
      <c r="E28" s="16">
        <f t="shared" si="1"/>
        <v>-21460</v>
      </c>
    </row>
    <row r="29">
      <c r="A29" s="92">
        <v>46146.0</v>
      </c>
      <c r="B29" s="133" t="s">
        <v>298</v>
      </c>
      <c r="C29" s="140"/>
      <c r="D29" s="131">
        <v>280000.0</v>
      </c>
      <c r="E29" s="16">
        <f t="shared" si="1"/>
        <v>-301460</v>
      </c>
    </row>
    <row r="30">
      <c r="A30" s="92">
        <v>46147.0</v>
      </c>
      <c r="B30" s="133" t="s">
        <v>299</v>
      </c>
      <c r="C30" s="107"/>
      <c r="D30" s="131">
        <v>100000.0</v>
      </c>
      <c r="E30" s="16">
        <f t="shared" si="1"/>
        <v>-401460</v>
      </c>
      <c r="F30" s="142"/>
    </row>
    <row r="31">
      <c r="A31" s="92">
        <v>46147.0</v>
      </c>
      <c r="B31" s="133" t="s">
        <v>300</v>
      </c>
      <c r="C31" s="107"/>
      <c r="D31" s="131">
        <v>34600.0</v>
      </c>
      <c r="E31" s="16">
        <f t="shared" si="1"/>
        <v>-436060</v>
      </c>
      <c r="F31" s="142"/>
    </row>
    <row r="32">
      <c r="A32" s="92">
        <v>46147.0</v>
      </c>
      <c r="B32" s="133" t="s">
        <v>287</v>
      </c>
      <c r="C32" s="107"/>
      <c r="D32" s="131">
        <v>16850.0</v>
      </c>
      <c r="E32" s="16">
        <f t="shared" si="1"/>
        <v>-452910</v>
      </c>
      <c r="F32" s="142"/>
    </row>
    <row r="33">
      <c r="A33" s="92">
        <v>46147.0</v>
      </c>
      <c r="B33" s="133" t="s">
        <v>301</v>
      </c>
      <c r="C33" s="107"/>
      <c r="D33" s="131">
        <v>75800.0</v>
      </c>
      <c r="E33" s="16">
        <f t="shared" si="1"/>
        <v>-528710</v>
      </c>
      <c r="F33" s="142"/>
    </row>
    <row r="34">
      <c r="A34" s="92">
        <v>46147.0</v>
      </c>
      <c r="B34" s="133" t="s">
        <v>302</v>
      </c>
      <c r="C34" s="107"/>
      <c r="D34" s="131">
        <v>7000.0</v>
      </c>
      <c r="E34" s="16">
        <f t="shared" si="1"/>
        <v>-535710</v>
      </c>
      <c r="F34" s="142"/>
    </row>
    <row r="35">
      <c r="A35" s="92">
        <v>46147.0</v>
      </c>
      <c r="B35" s="133" t="s">
        <v>177</v>
      </c>
      <c r="C35" s="140"/>
      <c r="D35" s="131">
        <v>7000.0</v>
      </c>
      <c r="E35" s="16">
        <f t="shared" si="1"/>
        <v>-542710</v>
      </c>
      <c r="F35" s="142"/>
    </row>
    <row r="36">
      <c r="A36" s="92">
        <v>46148.0</v>
      </c>
      <c r="B36" s="133" t="s">
        <v>303</v>
      </c>
      <c r="C36" s="107"/>
      <c r="D36" s="131">
        <v>45000.0</v>
      </c>
      <c r="E36" s="16">
        <f t="shared" si="1"/>
        <v>-587710</v>
      </c>
      <c r="F36" s="142"/>
    </row>
    <row r="37">
      <c r="A37" s="92">
        <v>46148.0</v>
      </c>
      <c r="B37" s="133" t="s">
        <v>302</v>
      </c>
      <c r="C37" s="33"/>
      <c r="D37" s="131">
        <v>6600.0</v>
      </c>
      <c r="E37" s="16">
        <f t="shared" si="1"/>
        <v>-594310</v>
      </c>
    </row>
    <row r="38">
      <c r="A38" s="92">
        <v>46149.0</v>
      </c>
      <c r="B38" s="133" t="s">
        <v>302</v>
      </c>
      <c r="C38" s="33"/>
      <c r="D38" s="131">
        <v>7000.0</v>
      </c>
      <c r="E38" s="16">
        <f t="shared" si="1"/>
        <v>-601310</v>
      </c>
    </row>
    <row r="39">
      <c r="A39" s="92">
        <v>46149.0</v>
      </c>
      <c r="B39" s="133" t="s">
        <v>244</v>
      </c>
      <c r="C39" s="140"/>
      <c r="D39" s="131">
        <v>51208.0</v>
      </c>
      <c r="E39" s="16">
        <f t="shared" si="1"/>
        <v>-652518</v>
      </c>
    </row>
    <row r="40">
      <c r="A40" s="12"/>
      <c r="B40" s="107" t="s">
        <v>226</v>
      </c>
      <c r="C40" s="140">
        <f>SUM(C7:C29)</f>
        <v>1000000</v>
      </c>
      <c r="D40" s="33">
        <f>SUM(D7:D39)</f>
        <v>1652518</v>
      </c>
      <c r="E40" s="141">
        <f>C40-D40</f>
        <v>-652518</v>
      </c>
    </row>
    <row r="42">
      <c r="A42" s="1" t="s">
        <v>0</v>
      </c>
      <c r="B42" s="2"/>
      <c r="C42" s="2"/>
      <c r="D42" s="2"/>
      <c r="E42" s="3"/>
    </row>
    <row r="43">
      <c r="A43" s="5" t="s">
        <v>1</v>
      </c>
      <c r="B43" s="2"/>
      <c r="C43" s="2"/>
      <c r="D43" s="2"/>
      <c r="E43" s="3"/>
    </row>
    <row r="44">
      <c r="A44" s="110" t="s">
        <v>277</v>
      </c>
      <c r="B44" s="2"/>
      <c r="C44" s="3"/>
      <c r="D44" s="86" t="s">
        <v>278</v>
      </c>
      <c r="E44" s="3"/>
    </row>
    <row r="45">
      <c r="A45" s="8" t="s">
        <v>4</v>
      </c>
      <c r="B45" s="8" t="s">
        <v>5</v>
      </c>
      <c r="C45" s="8" t="s">
        <v>7</v>
      </c>
      <c r="D45" s="8" t="s">
        <v>8</v>
      </c>
      <c r="E45" s="8" t="s">
        <v>9</v>
      </c>
    </row>
    <row r="46">
      <c r="A46" s="10"/>
      <c r="B46" s="10"/>
      <c r="C46" s="10"/>
      <c r="D46" s="10"/>
      <c r="E46" s="11" t="s">
        <v>10</v>
      </c>
    </row>
    <row r="47">
      <c r="A47" s="132"/>
      <c r="B47" s="88" t="s">
        <v>98</v>
      </c>
      <c r="C47" s="89">
        <v>700000.0</v>
      </c>
      <c r="D47" s="90"/>
      <c r="E47" s="16">
        <f>C47</f>
        <v>700000</v>
      </c>
    </row>
    <row r="48">
      <c r="A48" s="92">
        <v>46145.0</v>
      </c>
      <c r="B48" s="126" t="s">
        <v>304</v>
      </c>
      <c r="C48" s="107"/>
      <c r="D48" s="131">
        <v>30000.0</v>
      </c>
      <c r="E48" s="16">
        <f t="shared" ref="E48:E66" si="2">E47+C48-D48</f>
        <v>670000</v>
      </c>
    </row>
    <row r="49">
      <c r="A49" s="92">
        <v>46147.0</v>
      </c>
      <c r="B49" s="133" t="s">
        <v>305</v>
      </c>
      <c r="C49" s="107"/>
      <c r="D49" s="131">
        <v>7000.0</v>
      </c>
      <c r="E49" s="16">
        <f t="shared" si="2"/>
        <v>663000</v>
      </c>
    </row>
    <row r="50">
      <c r="A50" s="92">
        <v>46147.0</v>
      </c>
      <c r="B50" s="133" t="s">
        <v>306</v>
      </c>
      <c r="C50" s="107"/>
      <c r="D50" s="131">
        <v>100000.0</v>
      </c>
      <c r="E50" s="16">
        <f t="shared" si="2"/>
        <v>563000</v>
      </c>
    </row>
    <row r="51">
      <c r="A51" s="92">
        <v>46147.0</v>
      </c>
      <c r="B51" s="133" t="s">
        <v>307</v>
      </c>
      <c r="C51" s="107"/>
      <c r="D51" s="131">
        <v>13353.0</v>
      </c>
      <c r="E51" s="16">
        <f t="shared" si="2"/>
        <v>549647</v>
      </c>
    </row>
    <row r="52">
      <c r="A52" s="92">
        <v>46148.0</v>
      </c>
      <c r="B52" s="133" t="s">
        <v>302</v>
      </c>
      <c r="C52" s="107"/>
      <c r="D52" s="131">
        <v>6600.0</v>
      </c>
      <c r="E52" s="16">
        <f t="shared" si="2"/>
        <v>543047</v>
      </c>
    </row>
    <row r="53">
      <c r="A53" s="92">
        <v>46149.0</v>
      </c>
      <c r="B53" s="133" t="s">
        <v>308</v>
      </c>
      <c r="C53" s="107"/>
      <c r="D53" s="131">
        <v>51208.0</v>
      </c>
      <c r="E53" s="16">
        <f t="shared" si="2"/>
        <v>491839</v>
      </c>
    </row>
    <row r="54">
      <c r="A54" s="92">
        <v>46150.0</v>
      </c>
      <c r="B54" s="133" t="s">
        <v>309</v>
      </c>
      <c r="C54" s="107"/>
      <c r="D54" s="131">
        <v>90000.0</v>
      </c>
      <c r="E54" s="16">
        <f t="shared" si="2"/>
        <v>401839</v>
      </c>
    </row>
    <row r="55">
      <c r="A55" s="92">
        <v>46150.0</v>
      </c>
      <c r="B55" s="133" t="s">
        <v>310</v>
      </c>
      <c r="C55" s="107"/>
      <c r="D55" s="131">
        <v>144000.0</v>
      </c>
      <c r="E55" s="16">
        <f t="shared" si="2"/>
        <v>257839</v>
      </c>
    </row>
    <row r="56">
      <c r="A56" s="92">
        <v>46151.0</v>
      </c>
      <c r="B56" s="133" t="s">
        <v>310</v>
      </c>
      <c r="C56" s="107"/>
      <c r="D56" s="131">
        <v>90000.0</v>
      </c>
      <c r="E56" s="16">
        <f t="shared" si="2"/>
        <v>167839</v>
      </c>
    </row>
    <row r="57">
      <c r="A57" s="92">
        <v>46152.0</v>
      </c>
      <c r="B57" s="133" t="s">
        <v>311</v>
      </c>
      <c r="C57" s="107"/>
      <c r="D57" s="131">
        <v>100000.0</v>
      </c>
      <c r="E57" s="16">
        <f t="shared" si="2"/>
        <v>67839</v>
      </c>
    </row>
    <row r="58">
      <c r="A58" s="92">
        <v>46152.0</v>
      </c>
      <c r="B58" s="133" t="s">
        <v>312</v>
      </c>
      <c r="C58" s="107"/>
      <c r="D58" s="131">
        <v>120000.0</v>
      </c>
      <c r="E58" s="16">
        <f t="shared" si="2"/>
        <v>-52161</v>
      </c>
    </row>
    <row r="59">
      <c r="A59" s="92">
        <v>46152.0</v>
      </c>
      <c r="B59" s="133" t="s">
        <v>313</v>
      </c>
      <c r="C59" s="107"/>
      <c r="D59" s="131">
        <v>7000.0</v>
      </c>
      <c r="E59" s="16">
        <f t="shared" si="2"/>
        <v>-59161</v>
      </c>
    </row>
    <row r="60">
      <c r="A60" s="92">
        <v>46152.0</v>
      </c>
      <c r="B60" s="133" t="s">
        <v>314</v>
      </c>
      <c r="C60" s="107"/>
      <c r="D60" s="131">
        <v>77300.0</v>
      </c>
      <c r="E60" s="16">
        <f t="shared" si="2"/>
        <v>-136461</v>
      </c>
    </row>
    <row r="61">
      <c r="A61" s="92">
        <v>46152.0</v>
      </c>
      <c r="B61" s="133" t="s">
        <v>315</v>
      </c>
      <c r="C61" s="107"/>
      <c r="D61" s="131">
        <v>4000.0</v>
      </c>
      <c r="E61" s="16">
        <f t="shared" si="2"/>
        <v>-140461</v>
      </c>
    </row>
    <row r="62">
      <c r="A62" s="92">
        <v>46152.0</v>
      </c>
      <c r="B62" s="133" t="s">
        <v>316</v>
      </c>
      <c r="C62" s="107"/>
      <c r="D62" s="131">
        <v>110000.0</v>
      </c>
      <c r="E62" s="16">
        <f t="shared" si="2"/>
        <v>-250461</v>
      </c>
    </row>
    <row r="63">
      <c r="A63" s="92">
        <v>46152.0</v>
      </c>
      <c r="B63" s="133" t="s">
        <v>317</v>
      </c>
      <c r="C63" s="107"/>
      <c r="D63" s="131">
        <v>46000.0</v>
      </c>
      <c r="E63" s="16">
        <f t="shared" si="2"/>
        <v>-296461</v>
      </c>
    </row>
    <row r="64">
      <c r="A64" s="92">
        <v>46152.0</v>
      </c>
      <c r="B64" s="133" t="s">
        <v>318</v>
      </c>
      <c r="C64" s="107"/>
      <c r="D64" s="131">
        <v>12800.0</v>
      </c>
      <c r="E64" s="16">
        <f t="shared" si="2"/>
        <v>-309261</v>
      </c>
    </row>
    <row r="65">
      <c r="A65" s="92">
        <v>46152.0</v>
      </c>
      <c r="B65" s="133" t="s">
        <v>319</v>
      </c>
      <c r="C65" s="107"/>
      <c r="D65" s="131">
        <v>200000.0</v>
      </c>
      <c r="E65" s="16">
        <f t="shared" si="2"/>
        <v>-509261</v>
      </c>
    </row>
    <row r="66">
      <c r="A66" s="92">
        <v>46153.0</v>
      </c>
      <c r="B66" s="133" t="s">
        <v>256</v>
      </c>
      <c r="C66" s="107"/>
      <c r="D66" s="131">
        <v>10953.0</v>
      </c>
      <c r="E66" s="16">
        <f t="shared" si="2"/>
        <v>-520214</v>
      </c>
    </row>
    <row r="67">
      <c r="A67" s="12"/>
      <c r="B67" s="107" t="s">
        <v>226</v>
      </c>
      <c r="C67" s="140">
        <f t="shared" ref="C67:D67" si="3">SUM(C47:C66)</f>
        <v>700000</v>
      </c>
      <c r="D67" s="33">
        <f t="shared" si="3"/>
        <v>1220214</v>
      </c>
      <c r="E67" s="141">
        <f>C67-D67</f>
        <v>-520214</v>
      </c>
    </row>
    <row r="71">
      <c r="A71" s="1" t="s">
        <v>0</v>
      </c>
      <c r="B71" s="2"/>
      <c r="C71" s="2"/>
      <c r="D71" s="2"/>
      <c r="E71" s="3"/>
    </row>
    <row r="72">
      <c r="A72" s="5" t="s">
        <v>1</v>
      </c>
      <c r="B72" s="2"/>
      <c r="C72" s="2"/>
      <c r="D72" s="2"/>
      <c r="E72" s="3"/>
    </row>
    <row r="73">
      <c r="A73" s="110" t="s">
        <v>277</v>
      </c>
      <c r="B73" s="2"/>
      <c r="C73" s="3"/>
      <c r="D73" s="86" t="s">
        <v>278</v>
      </c>
      <c r="E73" s="3"/>
    </row>
    <row r="74">
      <c r="A74" s="8" t="s">
        <v>4</v>
      </c>
      <c r="B74" s="8" t="s">
        <v>5</v>
      </c>
      <c r="C74" s="8" t="s">
        <v>7</v>
      </c>
      <c r="D74" s="8" t="s">
        <v>8</v>
      </c>
      <c r="E74" s="8" t="s">
        <v>9</v>
      </c>
    </row>
    <row r="75">
      <c r="A75" s="10"/>
      <c r="B75" s="10"/>
      <c r="C75" s="10"/>
      <c r="D75" s="10"/>
      <c r="E75" s="11" t="s">
        <v>10</v>
      </c>
    </row>
    <row r="76">
      <c r="A76" s="132"/>
      <c r="B76" s="88" t="s">
        <v>98</v>
      </c>
      <c r="C76" s="89">
        <v>500000.0</v>
      </c>
      <c r="D76" s="90"/>
      <c r="E76" s="16">
        <f>C76</f>
        <v>500000</v>
      </c>
    </row>
    <row r="77">
      <c r="A77" s="92">
        <v>46160.0</v>
      </c>
      <c r="B77" s="126" t="s">
        <v>320</v>
      </c>
      <c r="C77" s="107"/>
      <c r="D77" s="131">
        <v>250000.0</v>
      </c>
      <c r="E77" s="16">
        <f t="shared" ref="E77:E88" si="4">E76+C77-D77</f>
        <v>250000</v>
      </c>
    </row>
    <row r="78">
      <c r="A78" s="92">
        <v>46161.0</v>
      </c>
      <c r="B78" s="133" t="s">
        <v>321</v>
      </c>
      <c r="C78" s="107"/>
      <c r="D78" s="131">
        <v>3800.0</v>
      </c>
      <c r="E78" s="16">
        <f t="shared" si="4"/>
        <v>246200</v>
      </c>
    </row>
    <row r="79">
      <c r="A79" s="92">
        <v>46161.0</v>
      </c>
      <c r="B79" s="133" t="s">
        <v>322</v>
      </c>
      <c r="C79" s="107"/>
      <c r="D79" s="131">
        <v>18000.0</v>
      </c>
      <c r="E79" s="16">
        <f t="shared" si="4"/>
        <v>228200</v>
      </c>
    </row>
    <row r="80">
      <c r="A80" s="92">
        <v>46161.0</v>
      </c>
      <c r="B80" s="133" t="s">
        <v>323</v>
      </c>
      <c r="C80" s="107"/>
      <c r="D80" s="131">
        <v>25000.0</v>
      </c>
      <c r="E80" s="16">
        <f t="shared" si="4"/>
        <v>203200</v>
      </c>
    </row>
    <row r="81">
      <c r="A81" s="92">
        <v>46161.0</v>
      </c>
      <c r="B81" s="133" t="s">
        <v>220</v>
      </c>
      <c r="C81" s="107"/>
      <c r="D81" s="131">
        <v>8000.0</v>
      </c>
      <c r="E81" s="16">
        <f t="shared" si="4"/>
        <v>195200</v>
      </c>
    </row>
    <row r="82">
      <c r="A82" s="92">
        <v>46162.0</v>
      </c>
      <c r="B82" s="133" t="s">
        <v>324</v>
      </c>
      <c r="C82" s="107"/>
      <c r="D82" s="131">
        <v>41000.0</v>
      </c>
      <c r="E82" s="16">
        <f t="shared" si="4"/>
        <v>154200</v>
      </c>
    </row>
    <row r="83">
      <c r="A83" s="92">
        <v>46162.0</v>
      </c>
      <c r="B83" s="133" t="s">
        <v>325</v>
      </c>
      <c r="C83" s="107"/>
      <c r="D83" s="131">
        <v>100000.0</v>
      </c>
      <c r="E83" s="16">
        <f t="shared" si="4"/>
        <v>54200</v>
      </c>
    </row>
    <row r="84">
      <c r="A84" s="92">
        <v>46162.0</v>
      </c>
      <c r="B84" s="133" t="s">
        <v>326</v>
      </c>
      <c r="C84" s="107"/>
      <c r="D84" s="131">
        <v>13200.0</v>
      </c>
      <c r="E84" s="16">
        <f t="shared" si="4"/>
        <v>41000</v>
      </c>
    </row>
    <row r="85">
      <c r="A85" s="92">
        <v>46162.0</v>
      </c>
      <c r="B85" s="133" t="s">
        <v>327</v>
      </c>
      <c r="C85" s="107"/>
      <c r="D85" s="131">
        <v>16000.0</v>
      </c>
      <c r="E85" s="16">
        <f t="shared" si="4"/>
        <v>25000</v>
      </c>
    </row>
    <row r="86">
      <c r="A86" s="92">
        <v>46162.0</v>
      </c>
      <c r="B86" s="133" t="s">
        <v>328</v>
      </c>
      <c r="C86" s="107"/>
      <c r="D86" s="131">
        <v>24500.0</v>
      </c>
      <c r="E86" s="16">
        <f t="shared" si="4"/>
        <v>500</v>
      </c>
    </row>
    <row r="87">
      <c r="A87" s="92">
        <v>46163.0</v>
      </c>
      <c r="B87" s="133" t="s">
        <v>25</v>
      </c>
      <c r="C87" s="107"/>
      <c r="D87" s="131">
        <v>16000.0</v>
      </c>
      <c r="E87" s="16">
        <f t="shared" si="4"/>
        <v>-15500</v>
      </c>
    </row>
    <row r="88">
      <c r="A88" s="92">
        <v>46163.0</v>
      </c>
      <c r="B88" s="133" t="s">
        <v>329</v>
      </c>
      <c r="C88" s="107"/>
      <c r="D88" s="131">
        <v>18600.0</v>
      </c>
      <c r="E88" s="16">
        <f t="shared" si="4"/>
        <v>-34100</v>
      </c>
    </row>
    <row r="89">
      <c r="A89" s="12"/>
      <c r="B89" s="107" t="s">
        <v>226</v>
      </c>
      <c r="C89" s="140">
        <f t="shared" ref="C89:D89" si="5">SUM(C76:C88)</f>
        <v>500000</v>
      </c>
      <c r="D89" s="33">
        <f t="shared" si="5"/>
        <v>534100</v>
      </c>
      <c r="E89" s="141">
        <f>C89-D89</f>
        <v>-34100</v>
      </c>
    </row>
    <row r="92">
      <c r="A92" s="1" t="s">
        <v>0</v>
      </c>
      <c r="B92" s="2"/>
      <c r="C92" s="2"/>
      <c r="D92" s="2"/>
      <c r="E92" s="3"/>
    </row>
    <row r="93">
      <c r="A93" s="5" t="s">
        <v>1</v>
      </c>
      <c r="B93" s="2"/>
      <c r="C93" s="2"/>
      <c r="D93" s="2"/>
      <c r="E93" s="3"/>
    </row>
    <row r="94">
      <c r="A94" s="110" t="s">
        <v>277</v>
      </c>
      <c r="B94" s="2"/>
      <c r="C94" s="3"/>
      <c r="D94" s="86" t="s">
        <v>278</v>
      </c>
      <c r="E94" s="3"/>
    </row>
    <row r="95">
      <c r="A95" s="8" t="s">
        <v>4</v>
      </c>
      <c r="B95" s="8" t="s">
        <v>5</v>
      </c>
      <c r="C95" s="8" t="s">
        <v>7</v>
      </c>
      <c r="D95" s="8" t="s">
        <v>8</v>
      </c>
      <c r="E95" s="8" t="s">
        <v>9</v>
      </c>
    </row>
    <row r="96">
      <c r="A96" s="10"/>
      <c r="B96" s="10"/>
      <c r="C96" s="10"/>
      <c r="D96" s="10"/>
      <c r="E96" s="11" t="s">
        <v>10</v>
      </c>
    </row>
    <row r="97">
      <c r="A97" s="132"/>
      <c r="B97" s="88" t="s">
        <v>98</v>
      </c>
      <c r="C97" s="89">
        <v>1000000.0</v>
      </c>
      <c r="D97" s="90"/>
      <c r="E97" s="16">
        <f>C97</f>
        <v>1000000</v>
      </c>
    </row>
    <row r="98">
      <c r="A98" s="92">
        <v>46153.0</v>
      </c>
      <c r="B98" s="126" t="s">
        <v>330</v>
      </c>
      <c r="C98" s="107"/>
      <c r="D98" s="131">
        <v>30000.0</v>
      </c>
      <c r="E98" s="16">
        <f t="shared" ref="E98:E114" si="6">E97+C98-D98</f>
        <v>970000</v>
      </c>
    </row>
    <row r="99">
      <c r="A99" s="92">
        <v>46164.0</v>
      </c>
      <c r="B99" s="133" t="s">
        <v>331</v>
      </c>
      <c r="C99" s="107"/>
      <c r="D99" s="131">
        <v>12000.0</v>
      </c>
      <c r="E99" s="16">
        <f t="shared" si="6"/>
        <v>958000</v>
      </c>
    </row>
    <row r="100">
      <c r="A100" s="92">
        <v>46166.0</v>
      </c>
      <c r="B100" s="126" t="s">
        <v>332</v>
      </c>
      <c r="C100" s="107"/>
      <c r="D100" s="131">
        <v>38000.0</v>
      </c>
      <c r="E100" s="16">
        <f t="shared" si="6"/>
        <v>920000</v>
      </c>
    </row>
    <row r="101">
      <c r="A101" s="92">
        <v>46166.0</v>
      </c>
      <c r="B101" s="133" t="s">
        <v>333</v>
      </c>
      <c r="C101" s="107"/>
      <c r="D101" s="131">
        <v>65000.0</v>
      </c>
      <c r="E101" s="16">
        <f t="shared" si="6"/>
        <v>855000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92">
        <v>46167.0</v>
      </c>
      <c r="B102" s="126" t="s">
        <v>334</v>
      </c>
      <c r="C102" s="107"/>
      <c r="D102" s="131">
        <v>20000.0</v>
      </c>
      <c r="E102" s="16">
        <f t="shared" si="6"/>
        <v>835000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92">
        <v>46168.0</v>
      </c>
      <c r="B103" s="133" t="s">
        <v>335</v>
      </c>
      <c r="C103" s="107"/>
      <c r="D103" s="131">
        <v>79200.0</v>
      </c>
      <c r="E103" s="16">
        <f t="shared" si="6"/>
        <v>755800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92">
        <v>46168.0</v>
      </c>
      <c r="B104" s="126" t="s">
        <v>336</v>
      </c>
      <c r="C104" s="107"/>
      <c r="D104" s="131">
        <v>97000.0</v>
      </c>
      <c r="E104" s="16">
        <f t="shared" si="6"/>
        <v>658800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92">
        <v>46168.0</v>
      </c>
      <c r="B105" s="133" t="s">
        <v>337</v>
      </c>
      <c r="C105" s="107"/>
      <c r="D105" s="131">
        <v>152000.0</v>
      </c>
      <c r="E105" s="16">
        <f t="shared" si="6"/>
        <v>506800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92">
        <v>46168.0</v>
      </c>
      <c r="B106" s="126" t="s">
        <v>338</v>
      </c>
      <c r="C106" s="107"/>
      <c r="D106" s="131">
        <v>226270.0</v>
      </c>
      <c r="E106" s="16">
        <f t="shared" si="6"/>
        <v>280530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92">
        <v>46168.0</v>
      </c>
      <c r="B107" s="133" t="s">
        <v>143</v>
      </c>
      <c r="C107" s="107"/>
      <c r="D107" s="131">
        <v>45000.0</v>
      </c>
      <c r="E107" s="16">
        <f t="shared" si="6"/>
        <v>235530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92">
        <v>46168.0</v>
      </c>
      <c r="B108" s="126" t="s">
        <v>339</v>
      </c>
      <c r="C108" s="107"/>
      <c r="D108" s="131">
        <v>27300.0</v>
      </c>
      <c r="E108" s="16">
        <f t="shared" si="6"/>
        <v>208230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92">
        <v>46169.0</v>
      </c>
      <c r="B109" s="133" t="s">
        <v>340</v>
      </c>
      <c r="C109" s="107"/>
      <c r="D109" s="131">
        <v>50000.0</v>
      </c>
      <c r="E109" s="16">
        <f t="shared" si="6"/>
        <v>158230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0" customHeight="1">
      <c r="A110" s="92">
        <v>46169.0</v>
      </c>
      <c r="B110" s="126" t="s">
        <v>341</v>
      </c>
      <c r="C110" s="107"/>
      <c r="D110" s="131">
        <v>24000.0</v>
      </c>
      <c r="E110" s="16">
        <f t="shared" si="6"/>
        <v>134230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0" customHeight="1">
      <c r="A111" s="92">
        <v>46170.0</v>
      </c>
      <c r="B111" s="133" t="s">
        <v>342</v>
      </c>
      <c r="C111" s="107"/>
      <c r="D111" s="131">
        <v>68800.0</v>
      </c>
      <c r="E111" s="16">
        <f t="shared" si="6"/>
        <v>65430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92">
        <v>46170.0</v>
      </c>
      <c r="B112" s="126" t="s">
        <v>343</v>
      </c>
      <c r="C112" s="107"/>
      <c r="D112" s="131">
        <v>32000.0</v>
      </c>
      <c r="E112" s="16">
        <f t="shared" si="6"/>
        <v>33430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92">
        <v>46170.0</v>
      </c>
      <c r="B113" s="133" t="s">
        <v>344</v>
      </c>
      <c r="C113" s="107"/>
      <c r="D113" s="131">
        <v>8000.0</v>
      </c>
      <c r="E113" s="16">
        <f t="shared" si="6"/>
        <v>25430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92">
        <v>46170.0</v>
      </c>
      <c r="B114" s="133" t="s">
        <v>345</v>
      </c>
      <c r="C114" s="107"/>
      <c r="D114" s="131">
        <v>9000.0</v>
      </c>
      <c r="E114" s="16">
        <f t="shared" si="6"/>
        <v>16430</v>
      </c>
    </row>
    <row r="115">
      <c r="A115" s="12"/>
      <c r="B115" s="107" t="s">
        <v>226</v>
      </c>
      <c r="C115" s="140">
        <f>SUM(C97:C113)</f>
        <v>1000000</v>
      </c>
      <c r="D115" s="33">
        <f>SUM(D97:D114)</f>
        <v>983570</v>
      </c>
      <c r="E115" s="141">
        <f>C115-D115</f>
        <v>16430</v>
      </c>
    </row>
  </sheetData>
  <mergeCells count="16">
    <mergeCell ref="A2:E2"/>
    <mergeCell ref="A3:E3"/>
    <mergeCell ref="A4:C4"/>
    <mergeCell ref="D4:E4"/>
    <mergeCell ref="A42:E42"/>
    <mergeCell ref="A43:E43"/>
    <mergeCell ref="D44:E44"/>
    <mergeCell ref="A94:C94"/>
    <mergeCell ref="D94:E94"/>
    <mergeCell ref="A44:C44"/>
    <mergeCell ref="A71:E71"/>
    <mergeCell ref="A72:E72"/>
    <mergeCell ref="A73:C73"/>
    <mergeCell ref="D73:E73"/>
    <mergeCell ref="A92:E92"/>
    <mergeCell ref="A93:E93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5.0"/>
    <col customWidth="1" min="3" max="3" width="26.88"/>
  </cols>
  <sheetData>
    <row r="2">
      <c r="A2" s="1" t="s">
        <v>0</v>
      </c>
      <c r="B2" s="2"/>
      <c r="C2" s="2"/>
      <c r="D2" s="2"/>
      <c r="E2" s="3"/>
    </row>
    <row r="3">
      <c r="A3" s="5" t="s">
        <v>1</v>
      </c>
      <c r="B3" s="2"/>
      <c r="C3" s="2"/>
      <c r="D3" s="2"/>
      <c r="E3" s="3"/>
    </row>
    <row r="4">
      <c r="A4" s="110" t="s">
        <v>346</v>
      </c>
      <c r="B4" s="2"/>
      <c r="C4" s="3"/>
      <c r="D4" s="86" t="s">
        <v>347</v>
      </c>
      <c r="E4" s="3"/>
    </row>
    <row r="5">
      <c r="A5" s="8" t="s">
        <v>4</v>
      </c>
      <c r="B5" s="8" t="s">
        <v>5</v>
      </c>
      <c r="C5" s="8" t="s">
        <v>7</v>
      </c>
      <c r="D5" s="8" t="s">
        <v>8</v>
      </c>
      <c r="E5" s="8" t="s">
        <v>9</v>
      </c>
    </row>
    <row r="6">
      <c r="A6" s="10"/>
      <c r="B6" s="10"/>
      <c r="C6" s="10"/>
      <c r="D6" s="10"/>
      <c r="E6" s="11" t="s">
        <v>10</v>
      </c>
    </row>
    <row r="7">
      <c r="A7" s="132"/>
      <c r="B7" s="88" t="s">
        <v>98</v>
      </c>
      <c r="C7" s="89">
        <v>1000000.0</v>
      </c>
      <c r="D7" s="90"/>
      <c r="E7" s="16">
        <f>C7</f>
        <v>1000000</v>
      </c>
    </row>
    <row r="8">
      <c r="A8" s="132"/>
      <c r="B8" s="88" t="s">
        <v>348</v>
      </c>
      <c r="C8" s="89">
        <v>16430.0</v>
      </c>
      <c r="D8" s="90"/>
      <c r="E8" s="16">
        <f t="shared" ref="E8:E26" si="1">E7+C8-D8</f>
        <v>1016430</v>
      </c>
    </row>
    <row r="9">
      <c r="A9" s="92">
        <v>46174.0</v>
      </c>
      <c r="B9" s="133" t="s">
        <v>349</v>
      </c>
      <c r="C9" s="107"/>
      <c r="D9" s="131">
        <v>4262.0</v>
      </c>
      <c r="E9" s="16">
        <f t="shared" si="1"/>
        <v>1012168</v>
      </c>
    </row>
    <row r="10">
      <c r="A10" s="92">
        <v>46174.0</v>
      </c>
      <c r="B10" s="133" t="s">
        <v>349</v>
      </c>
      <c r="C10" s="107"/>
      <c r="D10" s="131">
        <v>10109.0</v>
      </c>
      <c r="E10" s="16">
        <f t="shared" si="1"/>
        <v>1002059</v>
      </c>
    </row>
    <row r="11">
      <c r="A11" s="92">
        <v>46169.0</v>
      </c>
      <c r="B11" s="133" t="s">
        <v>350</v>
      </c>
      <c r="C11" s="107"/>
      <c r="D11" s="131">
        <v>16000.0</v>
      </c>
      <c r="E11" s="16">
        <f t="shared" si="1"/>
        <v>986059</v>
      </c>
    </row>
    <row r="12">
      <c r="A12" s="92">
        <v>46171.0</v>
      </c>
      <c r="B12" s="133" t="s">
        <v>351</v>
      </c>
      <c r="C12" s="107"/>
      <c r="D12" s="131">
        <v>85000.0</v>
      </c>
      <c r="E12" s="16">
        <f t="shared" si="1"/>
        <v>901059</v>
      </c>
      <c r="F12" s="4"/>
      <c r="G12" s="4"/>
    </row>
    <row r="13">
      <c r="A13" s="92">
        <v>46169.0</v>
      </c>
      <c r="B13" s="126" t="s">
        <v>352</v>
      </c>
      <c r="C13" s="107"/>
      <c r="D13" s="131">
        <v>48000.0</v>
      </c>
      <c r="E13" s="16">
        <f t="shared" si="1"/>
        <v>853059</v>
      </c>
      <c r="F13" s="4"/>
      <c r="G13" s="4"/>
    </row>
    <row r="14">
      <c r="B14" s="133" t="s">
        <v>353</v>
      </c>
      <c r="C14" s="107"/>
      <c r="D14" s="131">
        <v>140000.0</v>
      </c>
      <c r="E14" s="16">
        <f t="shared" si="1"/>
        <v>713059</v>
      </c>
      <c r="F14" s="4"/>
      <c r="G14" s="4"/>
    </row>
    <row r="15">
      <c r="A15" s="92">
        <v>46176.0</v>
      </c>
      <c r="B15" s="126" t="s">
        <v>354</v>
      </c>
      <c r="C15" s="107"/>
      <c r="D15" s="131">
        <v>75000.0</v>
      </c>
      <c r="E15" s="16">
        <f t="shared" si="1"/>
        <v>638059</v>
      </c>
      <c r="F15" s="4"/>
      <c r="G15" s="4"/>
    </row>
    <row r="16">
      <c r="A16" s="92">
        <v>46170.0</v>
      </c>
      <c r="B16" s="133" t="s">
        <v>355</v>
      </c>
      <c r="C16" s="107"/>
      <c r="D16" s="131">
        <v>56000.0</v>
      </c>
      <c r="E16" s="16">
        <f t="shared" si="1"/>
        <v>582059</v>
      </c>
      <c r="F16" s="4"/>
      <c r="G16" s="4"/>
    </row>
    <row r="17">
      <c r="A17" s="92">
        <v>46174.0</v>
      </c>
      <c r="B17" s="126" t="s">
        <v>356</v>
      </c>
      <c r="C17" s="107"/>
      <c r="D17" s="131">
        <v>26000.0</v>
      </c>
      <c r="E17" s="16">
        <f t="shared" si="1"/>
        <v>556059</v>
      </c>
      <c r="F17" s="4"/>
      <c r="G17" s="4"/>
    </row>
    <row r="18">
      <c r="A18" s="92">
        <v>46174.0</v>
      </c>
      <c r="B18" s="133" t="s">
        <v>357</v>
      </c>
      <c r="C18" s="107"/>
      <c r="D18" s="131">
        <v>38000.0</v>
      </c>
      <c r="E18" s="16">
        <f t="shared" si="1"/>
        <v>518059</v>
      </c>
      <c r="F18" s="4"/>
      <c r="G18" s="4"/>
    </row>
    <row r="19">
      <c r="A19" s="92">
        <v>46174.0</v>
      </c>
      <c r="B19" s="126" t="s">
        <v>358</v>
      </c>
      <c r="C19" s="107"/>
      <c r="D19" s="131">
        <v>70000.0</v>
      </c>
      <c r="E19" s="16">
        <f t="shared" si="1"/>
        <v>448059</v>
      </c>
      <c r="F19" s="4"/>
      <c r="G19" s="4"/>
    </row>
    <row r="20">
      <c r="A20" s="92">
        <v>46171.0</v>
      </c>
      <c r="B20" s="133" t="s">
        <v>359</v>
      </c>
      <c r="C20" s="107"/>
      <c r="D20" s="131">
        <v>280000.0</v>
      </c>
      <c r="E20" s="16">
        <f t="shared" si="1"/>
        <v>168059</v>
      </c>
      <c r="F20" s="4"/>
      <c r="G20" s="4"/>
    </row>
    <row r="21">
      <c r="A21" s="92">
        <v>46171.0</v>
      </c>
      <c r="B21" s="126" t="s">
        <v>360</v>
      </c>
      <c r="C21" s="107"/>
      <c r="D21" s="131">
        <v>12000.0</v>
      </c>
      <c r="E21" s="16">
        <f t="shared" si="1"/>
        <v>156059</v>
      </c>
      <c r="F21" s="4"/>
      <c r="G21" s="4"/>
    </row>
    <row r="22">
      <c r="A22" s="92">
        <v>46171.0</v>
      </c>
      <c r="B22" s="133" t="s">
        <v>361</v>
      </c>
      <c r="C22" s="107"/>
      <c r="D22" s="131">
        <v>28500.0</v>
      </c>
      <c r="E22" s="16">
        <f t="shared" si="1"/>
        <v>127559</v>
      </c>
      <c r="F22" s="4"/>
      <c r="G22" s="4"/>
    </row>
    <row r="23">
      <c r="A23" s="92">
        <v>46171.0</v>
      </c>
      <c r="B23" s="126" t="s">
        <v>344</v>
      </c>
      <c r="C23" s="107"/>
      <c r="D23" s="131">
        <v>5200.0</v>
      </c>
      <c r="E23" s="16">
        <f t="shared" si="1"/>
        <v>122359</v>
      </c>
      <c r="F23" s="4"/>
      <c r="G23" s="4"/>
    </row>
    <row r="24">
      <c r="A24" s="92">
        <v>46171.0</v>
      </c>
      <c r="B24" s="133" t="s">
        <v>362</v>
      </c>
      <c r="C24" s="107"/>
      <c r="D24" s="131">
        <v>9500.0</v>
      </c>
      <c r="E24" s="16">
        <f t="shared" si="1"/>
        <v>112859</v>
      </c>
      <c r="F24" s="4"/>
      <c r="G24" s="4"/>
    </row>
    <row r="25">
      <c r="A25" s="92">
        <v>46171.0</v>
      </c>
      <c r="B25" s="133" t="s">
        <v>363</v>
      </c>
      <c r="C25" s="107"/>
      <c r="D25" s="131">
        <v>20000.0</v>
      </c>
      <c r="E25" s="16">
        <f t="shared" si="1"/>
        <v>92859</v>
      </c>
    </row>
    <row r="26">
      <c r="A26" s="130">
        <v>46177.0</v>
      </c>
      <c r="B26" s="133" t="s">
        <v>364</v>
      </c>
      <c r="C26" s="140"/>
      <c r="D26" s="131">
        <v>120000.0</v>
      </c>
      <c r="E26" s="16">
        <f t="shared" si="1"/>
        <v>-27141</v>
      </c>
    </row>
    <row r="27">
      <c r="A27" s="12"/>
      <c r="B27" s="107" t="s">
        <v>226</v>
      </c>
      <c r="C27" s="140">
        <f>SUM(C7:C24)</f>
        <v>1016430</v>
      </c>
      <c r="D27" s="33">
        <f>SUM(D9:D26)</f>
        <v>1043571</v>
      </c>
      <c r="E27" s="141">
        <f>C27-D27</f>
        <v>-27141</v>
      </c>
    </row>
    <row r="32">
      <c r="A32" s="1" t="s">
        <v>0</v>
      </c>
      <c r="B32" s="2"/>
      <c r="C32" s="2"/>
      <c r="D32" s="2"/>
      <c r="E32" s="3"/>
    </row>
    <row r="33">
      <c r="A33" s="5" t="s">
        <v>1</v>
      </c>
      <c r="B33" s="2"/>
      <c r="C33" s="2"/>
      <c r="D33" s="2"/>
      <c r="E33" s="3"/>
    </row>
    <row r="34">
      <c r="A34" s="110" t="s">
        <v>346</v>
      </c>
      <c r="B34" s="2"/>
      <c r="C34" s="3"/>
      <c r="D34" s="86" t="s">
        <v>347</v>
      </c>
      <c r="E34" s="3"/>
    </row>
    <row r="35">
      <c r="A35" s="8" t="s">
        <v>4</v>
      </c>
      <c r="B35" s="8" t="s">
        <v>5</v>
      </c>
      <c r="C35" s="8" t="s">
        <v>7</v>
      </c>
      <c r="D35" s="8" t="s">
        <v>8</v>
      </c>
      <c r="E35" s="8" t="s">
        <v>9</v>
      </c>
    </row>
    <row r="36">
      <c r="A36" s="10"/>
      <c r="B36" s="10"/>
      <c r="C36" s="10"/>
      <c r="D36" s="10"/>
      <c r="E36" s="11" t="s">
        <v>10</v>
      </c>
    </row>
    <row r="37">
      <c r="A37" s="132"/>
      <c r="B37" s="88" t="s">
        <v>365</v>
      </c>
      <c r="C37" s="89">
        <v>180000.0</v>
      </c>
      <c r="D37" s="90"/>
      <c r="E37" s="16">
        <f>C37</f>
        <v>180000</v>
      </c>
    </row>
    <row r="38">
      <c r="A38" s="92">
        <v>46183.0</v>
      </c>
      <c r="B38" s="133" t="s">
        <v>366</v>
      </c>
      <c r="C38" s="107"/>
      <c r="D38" s="131">
        <v>36000.0</v>
      </c>
      <c r="E38" s="16">
        <f t="shared" ref="E38:E47" si="2">E37+C38-D38</f>
        <v>144000</v>
      </c>
    </row>
    <row r="39">
      <c r="A39" s="106">
        <v>46184.0</v>
      </c>
      <c r="B39" s="133" t="s">
        <v>367</v>
      </c>
      <c r="C39" s="107"/>
      <c r="D39" s="131">
        <v>30000.0</v>
      </c>
      <c r="E39" s="16">
        <f t="shared" si="2"/>
        <v>114000</v>
      </c>
    </row>
    <row r="40" ht="18.0" customHeight="1">
      <c r="A40" s="92">
        <v>46185.0</v>
      </c>
      <c r="B40" s="133" t="s">
        <v>368</v>
      </c>
      <c r="C40" s="107"/>
      <c r="D40" s="131">
        <v>2900.0</v>
      </c>
      <c r="E40" s="16">
        <f t="shared" si="2"/>
        <v>111100</v>
      </c>
    </row>
    <row r="41">
      <c r="A41" s="92">
        <v>46185.0</v>
      </c>
      <c r="B41" s="133" t="s">
        <v>369</v>
      </c>
      <c r="C41" s="107"/>
      <c r="D41" s="131">
        <v>30000.0</v>
      </c>
      <c r="E41" s="16">
        <f t="shared" si="2"/>
        <v>81100</v>
      </c>
    </row>
    <row r="42">
      <c r="A42" s="92">
        <v>46185.0</v>
      </c>
      <c r="B42" s="133" t="s">
        <v>370</v>
      </c>
      <c r="C42" s="107"/>
      <c r="D42" s="131">
        <v>20000.0</v>
      </c>
      <c r="E42" s="16">
        <f t="shared" si="2"/>
        <v>61100</v>
      </c>
    </row>
    <row r="43">
      <c r="A43" s="92">
        <v>46186.0</v>
      </c>
      <c r="B43" s="133" t="s">
        <v>371</v>
      </c>
      <c r="C43" s="107"/>
      <c r="D43" s="131">
        <v>30000.0</v>
      </c>
      <c r="E43" s="16">
        <f t="shared" si="2"/>
        <v>31100</v>
      </c>
    </row>
    <row r="44">
      <c r="A44" s="92">
        <v>46186.0</v>
      </c>
      <c r="B44" s="133" t="s">
        <v>372</v>
      </c>
      <c r="C44" s="107"/>
      <c r="D44" s="131">
        <v>14000.0</v>
      </c>
      <c r="E44" s="16">
        <f t="shared" si="2"/>
        <v>17100</v>
      </c>
    </row>
    <row r="45">
      <c r="A45" s="130">
        <v>46188.0</v>
      </c>
      <c r="B45" s="133" t="s">
        <v>373</v>
      </c>
      <c r="C45" s="140"/>
      <c r="D45" s="131">
        <v>24000.0</v>
      </c>
      <c r="E45" s="16">
        <f t="shared" si="2"/>
        <v>-6900</v>
      </c>
    </row>
    <row r="46">
      <c r="A46" s="130">
        <v>46190.0</v>
      </c>
      <c r="B46" s="126" t="s">
        <v>374</v>
      </c>
      <c r="C46" s="140"/>
      <c r="D46" s="131">
        <v>51478.0</v>
      </c>
      <c r="E46" s="16">
        <f t="shared" si="2"/>
        <v>-58378</v>
      </c>
    </row>
    <row r="47">
      <c r="A47" s="130">
        <v>46191.0</v>
      </c>
      <c r="B47" s="133" t="s">
        <v>52</v>
      </c>
      <c r="C47" s="140"/>
      <c r="D47" s="131">
        <v>50000.0</v>
      </c>
      <c r="E47" s="16">
        <f t="shared" si="2"/>
        <v>-108378</v>
      </c>
    </row>
    <row r="48">
      <c r="A48" s="12"/>
      <c r="B48" s="107" t="s">
        <v>226</v>
      </c>
      <c r="C48" s="140">
        <v>180000.0</v>
      </c>
      <c r="D48" s="33">
        <f>SUM(D38:D47)</f>
        <v>288378</v>
      </c>
      <c r="E48" s="141">
        <f>C48-D48</f>
        <v>-108378</v>
      </c>
    </row>
    <row r="51">
      <c r="A51" s="1" t="s">
        <v>0</v>
      </c>
      <c r="B51" s="2"/>
      <c r="C51" s="2"/>
      <c r="D51" s="2"/>
      <c r="E51" s="3"/>
    </row>
    <row r="52">
      <c r="A52" s="5" t="s">
        <v>1</v>
      </c>
      <c r="B52" s="2"/>
      <c r="C52" s="2"/>
      <c r="D52" s="2"/>
      <c r="E52" s="3"/>
    </row>
    <row r="53">
      <c r="A53" s="110" t="s">
        <v>346</v>
      </c>
      <c r="B53" s="2"/>
      <c r="C53" s="3"/>
      <c r="D53" s="86" t="s">
        <v>347</v>
      </c>
      <c r="E53" s="3"/>
    </row>
    <row r="54">
      <c r="A54" s="8" t="s">
        <v>4</v>
      </c>
      <c r="B54" s="8" t="s">
        <v>5</v>
      </c>
      <c r="C54" s="8" t="s">
        <v>7</v>
      </c>
      <c r="D54" s="8" t="s">
        <v>8</v>
      </c>
      <c r="E54" s="8" t="s">
        <v>9</v>
      </c>
    </row>
    <row r="55">
      <c r="A55" s="10"/>
      <c r="B55" s="10"/>
      <c r="C55" s="10"/>
      <c r="D55" s="10"/>
      <c r="E55" s="11" t="s">
        <v>10</v>
      </c>
    </row>
    <row r="56">
      <c r="A56" s="132"/>
      <c r="B56" s="88" t="s">
        <v>365</v>
      </c>
      <c r="C56" s="89">
        <v>200000.0</v>
      </c>
      <c r="D56" s="90"/>
      <c r="E56" s="16">
        <f>C56</f>
        <v>200000</v>
      </c>
    </row>
    <row r="57">
      <c r="A57" s="92">
        <v>46192.0</v>
      </c>
      <c r="B57" s="133" t="s">
        <v>375</v>
      </c>
      <c r="C57" s="107"/>
      <c r="D57" s="131">
        <v>12800.0</v>
      </c>
      <c r="E57" s="16">
        <f t="shared" ref="E57:E60" si="3">E56+C57-D57</f>
        <v>187200</v>
      </c>
    </row>
    <row r="58">
      <c r="A58" s="106">
        <v>46197.0</v>
      </c>
      <c r="B58" s="133" t="s">
        <v>376</v>
      </c>
      <c r="C58" s="107"/>
      <c r="D58" s="131">
        <v>50000.0</v>
      </c>
      <c r="E58" s="16">
        <f t="shared" si="3"/>
        <v>137200</v>
      </c>
    </row>
    <row r="59">
      <c r="A59" s="92"/>
      <c r="B59" s="133"/>
      <c r="C59" s="107"/>
      <c r="D59" s="131"/>
      <c r="E59" s="16">
        <f t="shared" si="3"/>
        <v>137200</v>
      </c>
    </row>
    <row r="60">
      <c r="A60" s="92"/>
      <c r="B60" s="133"/>
      <c r="C60" s="107"/>
      <c r="D60" s="131"/>
      <c r="E60" s="16">
        <f t="shared" si="3"/>
        <v>137200</v>
      </c>
    </row>
    <row r="61">
      <c r="A61" s="12"/>
      <c r="B61" s="107" t="s">
        <v>226</v>
      </c>
      <c r="C61" s="140">
        <v>200000.0</v>
      </c>
      <c r="D61" s="33">
        <f>SUM(D57:D60)</f>
        <v>62800</v>
      </c>
      <c r="E61" s="141">
        <f>C61-D61</f>
        <v>137200</v>
      </c>
    </row>
    <row r="65">
      <c r="A65" s="1" t="s">
        <v>0</v>
      </c>
      <c r="B65" s="2"/>
      <c r="C65" s="2"/>
      <c r="D65" s="2"/>
      <c r="E65" s="3"/>
    </row>
    <row r="66">
      <c r="A66" s="5" t="s">
        <v>1</v>
      </c>
      <c r="B66" s="2"/>
      <c r="C66" s="2"/>
      <c r="D66" s="2"/>
      <c r="E66" s="3"/>
    </row>
    <row r="67">
      <c r="A67" s="110" t="s">
        <v>346</v>
      </c>
      <c r="B67" s="2"/>
      <c r="C67" s="3"/>
      <c r="D67" s="86" t="s">
        <v>347</v>
      </c>
      <c r="E67" s="3"/>
    </row>
    <row r="68">
      <c r="A68" s="8" t="s">
        <v>4</v>
      </c>
      <c r="B68" s="8" t="s">
        <v>5</v>
      </c>
      <c r="C68" s="8" t="s">
        <v>7</v>
      </c>
      <c r="D68" s="8" t="s">
        <v>8</v>
      </c>
      <c r="E68" s="8" t="s">
        <v>9</v>
      </c>
    </row>
    <row r="69">
      <c r="A69" s="10"/>
      <c r="B69" s="10"/>
      <c r="C69" s="10"/>
      <c r="D69" s="10"/>
      <c r="E69" s="11" t="s">
        <v>10</v>
      </c>
    </row>
    <row r="70">
      <c r="A70" s="132"/>
      <c r="B70" s="88" t="s">
        <v>365</v>
      </c>
      <c r="C70" s="89">
        <v>137200.0</v>
      </c>
      <c r="D70" s="90"/>
      <c r="E70" s="16">
        <f>C70</f>
        <v>137200</v>
      </c>
    </row>
    <row r="71">
      <c r="A71" s="92"/>
      <c r="B71" s="133"/>
      <c r="C71" s="107"/>
      <c r="D71" s="131"/>
      <c r="E71" s="16">
        <f t="shared" ref="E71:E80" si="4">E70+C71-D71</f>
        <v>137200</v>
      </c>
    </row>
    <row r="72">
      <c r="A72" s="106"/>
      <c r="B72" s="133"/>
      <c r="C72" s="107"/>
      <c r="D72" s="131"/>
      <c r="E72" s="16">
        <f t="shared" si="4"/>
        <v>137200</v>
      </c>
    </row>
    <row r="73">
      <c r="A73" s="92"/>
      <c r="B73" s="133"/>
      <c r="C73" s="107"/>
      <c r="D73" s="131"/>
      <c r="E73" s="16">
        <f t="shared" si="4"/>
        <v>137200</v>
      </c>
    </row>
    <row r="74">
      <c r="A74" s="92"/>
      <c r="B74" s="133"/>
      <c r="C74" s="107"/>
      <c r="D74" s="131"/>
      <c r="E74" s="16">
        <f t="shared" si="4"/>
        <v>137200</v>
      </c>
    </row>
    <row r="75">
      <c r="A75" s="92"/>
      <c r="B75" s="133"/>
      <c r="C75" s="107"/>
      <c r="D75" s="131"/>
      <c r="E75" s="16">
        <f t="shared" si="4"/>
        <v>137200</v>
      </c>
    </row>
    <row r="76">
      <c r="A76" s="92"/>
      <c r="B76" s="133"/>
      <c r="C76" s="107"/>
      <c r="D76" s="131"/>
      <c r="E76" s="16">
        <f t="shared" si="4"/>
        <v>137200</v>
      </c>
    </row>
    <row r="77">
      <c r="A77" s="92"/>
      <c r="B77" s="133"/>
      <c r="C77" s="107"/>
      <c r="D77" s="131"/>
      <c r="E77" s="16">
        <f t="shared" si="4"/>
        <v>137200</v>
      </c>
    </row>
    <row r="78">
      <c r="A78" s="130"/>
      <c r="B78" s="133"/>
      <c r="C78" s="140"/>
      <c r="D78" s="131"/>
      <c r="E78" s="16">
        <f t="shared" si="4"/>
        <v>137200</v>
      </c>
    </row>
    <row r="79">
      <c r="A79" s="130"/>
      <c r="C79" s="140"/>
      <c r="D79" s="131"/>
      <c r="E79" s="16">
        <f t="shared" si="4"/>
        <v>137200</v>
      </c>
    </row>
    <row r="80">
      <c r="A80" s="130"/>
      <c r="B80" s="133"/>
      <c r="C80" s="140"/>
      <c r="D80" s="131"/>
      <c r="E80" s="16">
        <f t="shared" si="4"/>
        <v>137200</v>
      </c>
    </row>
    <row r="81">
      <c r="A81" s="12"/>
      <c r="B81" s="107" t="s">
        <v>226</v>
      </c>
      <c r="C81" s="140">
        <v>137200.0</v>
      </c>
      <c r="D81" s="33">
        <f>SUM(D71:D80)</f>
        <v>0</v>
      </c>
      <c r="E81" s="141">
        <f>C81-D81</f>
        <v>137200</v>
      </c>
    </row>
  </sheetData>
  <mergeCells count="16">
    <mergeCell ref="A2:E2"/>
    <mergeCell ref="A3:E3"/>
    <mergeCell ref="A4:C4"/>
    <mergeCell ref="D4:E4"/>
    <mergeCell ref="A32:E32"/>
    <mergeCell ref="A33:E33"/>
    <mergeCell ref="D34:E34"/>
    <mergeCell ref="A67:C67"/>
    <mergeCell ref="D67:E67"/>
    <mergeCell ref="A34:C34"/>
    <mergeCell ref="A51:E51"/>
    <mergeCell ref="A52:E52"/>
    <mergeCell ref="A53:C53"/>
    <mergeCell ref="D53:E53"/>
    <mergeCell ref="A65:E65"/>
    <mergeCell ref="A66:E66"/>
  </mergeCells>
  <printOptions gridLines="1" horizontalCentered="1"/>
  <pageMargins bottom="0.75" footer="0.0" header="0.0" left="0.7" right="0.7" top="0.75"/>
  <pageSetup fitToHeight="0" cellComments="atEnd" orientation="portrait" pageOrder="overThenDown" paperHeight="23.62204724409449in" paperWidth="11.692913385826772i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83.88"/>
    <col customWidth="1" min="5" max="5" width="26.0"/>
  </cols>
  <sheetData>
    <row r="1">
      <c r="A1" s="1" t="s">
        <v>0</v>
      </c>
      <c r="B1" s="2"/>
      <c r="C1" s="2"/>
      <c r="D1" s="2"/>
      <c r="E1" s="3"/>
    </row>
    <row r="2">
      <c r="A2" s="5" t="s">
        <v>1</v>
      </c>
      <c r="B2" s="2"/>
      <c r="C2" s="2"/>
      <c r="D2" s="2"/>
      <c r="E2" s="3"/>
    </row>
    <row r="3">
      <c r="A3" s="110" t="s">
        <v>377</v>
      </c>
      <c r="B3" s="2"/>
      <c r="C3" s="3"/>
      <c r="D3" s="86" t="s">
        <v>278</v>
      </c>
      <c r="E3" s="3"/>
    </row>
    <row r="4">
      <c r="A4" s="8" t="s">
        <v>4</v>
      </c>
      <c r="B4" s="8" t="s">
        <v>5</v>
      </c>
      <c r="C4" s="8" t="s">
        <v>7</v>
      </c>
      <c r="D4" s="8" t="s">
        <v>8</v>
      </c>
      <c r="E4" s="8" t="s">
        <v>9</v>
      </c>
    </row>
    <row r="5">
      <c r="A5" s="10"/>
      <c r="B5" s="10"/>
      <c r="C5" s="10"/>
      <c r="D5" s="10"/>
      <c r="E5" s="11" t="s">
        <v>10</v>
      </c>
    </row>
    <row r="6">
      <c r="A6" s="132"/>
      <c r="B6" s="88" t="s">
        <v>378</v>
      </c>
      <c r="C6" s="89">
        <v>110000.0</v>
      </c>
      <c r="D6" s="90"/>
      <c r="E6" s="16">
        <f>C6</f>
        <v>110000</v>
      </c>
    </row>
    <row r="7">
      <c r="A7" s="132"/>
      <c r="B7" s="88" t="s">
        <v>379</v>
      </c>
      <c r="C7" s="89">
        <v>30000.0</v>
      </c>
      <c r="D7" s="90"/>
      <c r="E7" s="16">
        <f t="shared" ref="E7:E17" si="1">E6+C7-D7</f>
        <v>140000</v>
      </c>
    </row>
    <row r="8" ht="1.5" customHeight="1">
      <c r="A8" s="92">
        <v>46151.0</v>
      </c>
      <c r="B8" s="133" t="s">
        <v>380</v>
      </c>
      <c r="C8" s="107"/>
      <c r="D8" s="131">
        <v>19000.0</v>
      </c>
      <c r="E8" s="16">
        <f t="shared" si="1"/>
        <v>121000</v>
      </c>
    </row>
    <row r="9">
      <c r="A9" s="92">
        <v>46151.0</v>
      </c>
      <c r="B9" s="133" t="s">
        <v>381</v>
      </c>
      <c r="C9" s="107"/>
      <c r="D9" s="131">
        <v>10000.0</v>
      </c>
      <c r="E9" s="16">
        <f t="shared" si="1"/>
        <v>111000</v>
      </c>
    </row>
    <row r="10">
      <c r="A10" s="92">
        <v>46151.0</v>
      </c>
      <c r="B10" s="133" t="s">
        <v>382</v>
      </c>
      <c r="C10" s="107"/>
      <c r="D10" s="131">
        <v>51000.0</v>
      </c>
      <c r="E10" s="16">
        <f t="shared" si="1"/>
        <v>60000</v>
      </c>
    </row>
    <row r="11">
      <c r="A11" s="92">
        <v>46152.0</v>
      </c>
      <c r="B11" s="133" t="s">
        <v>383</v>
      </c>
      <c r="C11" s="107"/>
      <c r="D11" s="131">
        <v>39000.0</v>
      </c>
      <c r="E11" s="16">
        <f t="shared" si="1"/>
        <v>21000</v>
      </c>
    </row>
    <row r="12">
      <c r="A12" s="92">
        <v>46152.0</v>
      </c>
      <c r="B12" s="133" t="s">
        <v>384</v>
      </c>
      <c r="C12" s="107"/>
      <c r="D12" s="131">
        <v>20000.0</v>
      </c>
      <c r="E12" s="16">
        <f t="shared" si="1"/>
        <v>1000</v>
      </c>
    </row>
    <row r="13">
      <c r="A13" s="92">
        <v>46152.0</v>
      </c>
      <c r="B13" s="133" t="s">
        <v>385</v>
      </c>
      <c r="C13" s="107"/>
      <c r="D13" s="131">
        <v>32000.0</v>
      </c>
      <c r="E13" s="16">
        <f t="shared" si="1"/>
        <v>-31000</v>
      </c>
    </row>
    <row r="14">
      <c r="A14" s="92">
        <v>46152.0</v>
      </c>
      <c r="B14" s="133" t="s">
        <v>386</v>
      </c>
      <c r="C14" s="107"/>
      <c r="D14" s="131">
        <v>40000.0</v>
      </c>
      <c r="E14" s="16">
        <f t="shared" si="1"/>
        <v>-71000</v>
      </c>
    </row>
    <row r="15">
      <c r="A15" s="92"/>
      <c r="B15" s="133"/>
      <c r="C15" s="107"/>
      <c r="D15" s="131"/>
      <c r="E15" s="16">
        <f t="shared" si="1"/>
        <v>-71000</v>
      </c>
    </row>
    <row r="16">
      <c r="A16" s="92"/>
      <c r="B16" s="143"/>
      <c r="C16" s="144"/>
      <c r="D16" s="131"/>
      <c r="E16" s="16">
        <f t="shared" si="1"/>
        <v>-71000</v>
      </c>
    </row>
    <row r="17">
      <c r="A17" s="92"/>
      <c r="B17" s="133"/>
      <c r="C17" s="107"/>
      <c r="D17" s="131"/>
      <c r="E17" s="16">
        <f t="shared" si="1"/>
        <v>-71000</v>
      </c>
    </row>
    <row r="18">
      <c r="A18" s="12"/>
      <c r="B18" s="107" t="s">
        <v>226</v>
      </c>
      <c r="C18" s="140">
        <f t="shared" ref="C18:D18" si="2">SUM(C6:C17)</f>
        <v>140000</v>
      </c>
      <c r="D18" s="33">
        <f t="shared" si="2"/>
        <v>211000</v>
      </c>
      <c r="E18" s="141">
        <f>C18-D18</f>
        <v>-71000</v>
      </c>
    </row>
    <row r="20">
      <c r="A20" s="145"/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</row>
    <row r="22">
      <c r="A22" s="8" t="s">
        <v>4</v>
      </c>
      <c r="B22" s="8" t="s">
        <v>5</v>
      </c>
      <c r="C22" s="8" t="s">
        <v>7</v>
      </c>
      <c r="D22" s="8" t="s">
        <v>8</v>
      </c>
      <c r="E22" s="8" t="s">
        <v>9</v>
      </c>
    </row>
    <row r="23">
      <c r="A23" s="10"/>
      <c r="B23" s="10"/>
      <c r="C23" s="10"/>
      <c r="D23" s="10"/>
      <c r="E23" s="11" t="s">
        <v>10</v>
      </c>
    </row>
    <row r="24">
      <c r="A24" s="132"/>
      <c r="B24" s="88" t="s">
        <v>98</v>
      </c>
      <c r="C24" s="89">
        <v>550000.0</v>
      </c>
      <c r="D24" s="90"/>
      <c r="E24" s="16">
        <f>C24</f>
        <v>550000</v>
      </c>
    </row>
    <row r="25">
      <c r="A25" s="92"/>
      <c r="B25" s="126" t="s">
        <v>387</v>
      </c>
      <c r="C25" s="107"/>
      <c r="D25" s="131">
        <v>100000.0</v>
      </c>
      <c r="E25" s="16">
        <f t="shared" ref="E25:E29" si="3">E24+C25-D25</f>
        <v>450000</v>
      </c>
    </row>
    <row r="26">
      <c r="A26" s="92"/>
      <c r="B26" s="133" t="s">
        <v>388</v>
      </c>
      <c r="C26" s="107"/>
      <c r="D26" s="131">
        <v>70000.0</v>
      </c>
      <c r="E26" s="16">
        <f t="shared" si="3"/>
        <v>380000</v>
      </c>
    </row>
    <row r="27">
      <c r="A27" s="92"/>
      <c r="B27" s="133" t="s">
        <v>389</v>
      </c>
      <c r="C27" s="107"/>
      <c r="D27" s="131">
        <v>200000.0</v>
      </c>
      <c r="E27" s="16">
        <f t="shared" si="3"/>
        <v>180000</v>
      </c>
    </row>
    <row r="28">
      <c r="A28" s="92"/>
      <c r="B28" s="133" t="s">
        <v>390</v>
      </c>
      <c r="C28" s="107"/>
      <c r="D28" s="131">
        <v>150000.0</v>
      </c>
      <c r="E28" s="16">
        <f t="shared" si="3"/>
        <v>30000</v>
      </c>
    </row>
    <row r="29">
      <c r="A29" s="92"/>
      <c r="B29" s="133" t="s">
        <v>391</v>
      </c>
      <c r="C29" s="107"/>
      <c r="D29" s="131">
        <v>30000.0</v>
      </c>
      <c r="E29" s="16">
        <f t="shared" si="3"/>
        <v>0</v>
      </c>
    </row>
    <row r="30">
      <c r="A30" s="12"/>
      <c r="B30" s="107" t="s">
        <v>226</v>
      </c>
      <c r="C30" s="140">
        <f>SUM(C24:C28)</f>
        <v>550000</v>
      </c>
      <c r="D30" s="33">
        <f>SUM(D24:D29)</f>
        <v>550000</v>
      </c>
      <c r="E30" s="141">
        <f>C30-D30</f>
        <v>0</v>
      </c>
    </row>
    <row r="32">
      <c r="A32" s="146"/>
      <c r="B32" s="146"/>
      <c r="C32" s="146"/>
      <c r="D32" s="146"/>
      <c r="E32" s="146"/>
      <c r="F32" s="146"/>
      <c r="G32" s="146"/>
    </row>
    <row r="34" hidden="1">
      <c r="A34" s="1" t="s">
        <v>0</v>
      </c>
      <c r="B34" s="2"/>
      <c r="C34" s="2"/>
      <c r="D34" s="2"/>
      <c r="E34" s="2"/>
      <c r="F34" s="3"/>
    </row>
    <row r="35" hidden="1">
      <c r="A35" s="5" t="s">
        <v>1</v>
      </c>
      <c r="B35" s="2"/>
      <c r="C35" s="2"/>
      <c r="D35" s="2"/>
      <c r="E35" s="2"/>
      <c r="F35" s="3"/>
    </row>
    <row r="36" hidden="1">
      <c r="A36" s="110" t="s">
        <v>392</v>
      </c>
      <c r="B36" s="2"/>
      <c r="C36" s="2"/>
      <c r="D36" s="3"/>
      <c r="E36" s="86" t="s">
        <v>393</v>
      </c>
      <c r="F36" s="3"/>
    </row>
    <row r="37" hidden="1">
      <c r="A37" s="8" t="s">
        <v>4</v>
      </c>
      <c r="B37" s="8" t="s">
        <v>5</v>
      </c>
      <c r="C37" s="9" t="s">
        <v>6</v>
      </c>
      <c r="D37" s="8" t="s">
        <v>7</v>
      </c>
      <c r="E37" s="8" t="s">
        <v>8</v>
      </c>
      <c r="F37" s="8" t="s">
        <v>9</v>
      </c>
    </row>
    <row r="38" hidden="1">
      <c r="A38" s="10"/>
      <c r="B38" s="10"/>
      <c r="C38" s="10"/>
      <c r="D38" s="10"/>
      <c r="E38" s="10"/>
      <c r="F38" s="11" t="s">
        <v>10</v>
      </c>
    </row>
    <row r="39" hidden="1">
      <c r="A39" s="132"/>
      <c r="B39" s="88" t="s">
        <v>98</v>
      </c>
      <c r="C39" s="89"/>
      <c r="D39" s="89"/>
      <c r="E39" s="90"/>
      <c r="F39" s="16" t="str">
        <f>D39</f>
        <v/>
      </c>
    </row>
    <row r="40" hidden="1">
      <c r="A40" s="92">
        <v>46170.0</v>
      </c>
      <c r="B40" s="133" t="s">
        <v>394</v>
      </c>
      <c r="C40" s="133" t="s">
        <v>395</v>
      </c>
      <c r="D40" s="107"/>
      <c r="E40" s="131">
        <v>200000.0</v>
      </c>
      <c r="F40" s="147">
        <f t="shared" ref="F40:F44" si="4">F39+D40-E40</f>
        <v>-200000</v>
      </c>
    </row>
    <row r="41" hidden="1">
      <c r="A41" s="92">
        <v>46170.0</v>
      </c>
      <c r="B41" s="133" t="s">
        <v>396</v>
      </c>
      <c r="C41" s="133" t="s">
        <v>395</v>
      </c>
      <c r="D41" s="107"/>
      <c r="E41" s="131">
        <v>480000.0</v>
      </c>
      <c r="F41" s="147">
        <f t="shared" si="4"/>
        <v>-680000</v>
      </c>
    </row>
    <row r="42" hidden="1">
      <c r="A42" s="92">
        <v>46172.0</v>
      </c>
      <c r="B42" s="126" t="s">
        <v>397</v>
      </c>
      <c r="C42" s="133" t="s">
        <v>398</v>
      </c>
      <c r="D42" s="107"/>
      <c r="E42" s="131">
        <v>1050000.0</v>
      </c>
      <c r="F42" s="147">
        <f t="shared" si="4"/>
        <v>-1730000</v>
      </c>
    </row>
    <row r="43" hidden="1">
      <c r="A43" s="92">
        <v>46174.0</v>
      </c>
      <c r="B43" s="133" t="s">
        <v>399</v>
      </c>
      <c r="C43" s="133" t="s">
        <v>395</v>
      </c>
      <c r="D43" s="107"/>
      <c r="E43" s="131">
        <v>1500000.0</v>
      </c>
      <c r="F43" s="147">
        <f t="shared" si="4"/>
        <v>-3230000</v>
      </c>
    </row>
    <row r="44" hidden="1">
      <c r="A44" s="92"/>
      <c r="B44" s="133" t="s">
        <v>400</v>
      </c>
      <c r="C44" s="133" t="s">
        <v>395</v>
      </c>
      <c r="D44" s="107"/>
      <c r="E44" s="131">
        <v>590000.0</v>
      </c>
      <c r="F44" s="147">
        <f t="shared" si="4"/>
        <v>-3820000</v>
      </c>
    </row>
    <row r="45" hidden="1">
      <c r="A45" s="12"/>
      <c r="B45" s="107" t="s">
        <v>226</v>
      </c>
      <c r="C45" s="140"/>
      <c r="D45" s="140">
        <f t="shared" ref="D45:E45" si="5">SUM(D39:D44)</f>
        <v>0</v>
      </c>
      <c r="E45" s="33">
        <f t="shared" si="5"/>
        <v>3820000</v>
      </c>
      <c r="F45" s="148">
        <f>D45-E45</f>
        <v>-3820000</v>
      </c>
    </row>
    <row r="46" hidden="1"/>
    <row r="47" hidden="1"/>
    <row r="48" hidden="1"/>
    <row r="50">
      <c r="A50" s="145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2">
      <c r="A52" s="1" t="s">
        <v>0</v>
      </c>
      <c r="B52" s="2"/>
      <c r="C52" s="2"/>
      <c r="D52" s="2"/>
      <c r="E52" s="3"/>
    </row>
    <row r="53">
      <c r="A53" s="5" t="s">
        <v>1</v>
      </c>
      <c r="B53" s="2"/>
      <c r="C53" s="2"/>
      <c r="D53" s="2"/>
      <c r="E53" s="3"/>
    </row>
    <row r="54">
      <c r="A54" s="110" t="s">
        <v>401</v>
      </c>
      <c r="B54" s="2"/>
      <c r="C54" s="3"/>
      <c r="D54" s="86" t="s">
        <v>402</v>
      </c>
      <c r="E54" s="3"/>
    </row>
    <row r="55">
      <c r="A55" s="8" t="s">
        <v>4</v>
      </c>
      <c r="B55" s="8" t="s">
        <v>5</v>
      </c>
      <c r="C55" s="8" t="s">
        <v>7</v>
      </c>
      <c r="D55" s="8" t="s">
        <v>8</v>
      </c>
      <c r="E55" s="8" t="s">
        <v>9</v>
      </c>
    </row>
    <row r="56">
      <c r="A56" s="149"/>
      <c r="B56" s="150" t="s">
        <v>403</v>
      </c>
      <c r="C56" s="151">
        <v>400000.0</v>
      </c>
      <c r="D56" s="149"/>
      <c r="E56" s="152">
        <f>C56</f>
        <v>400000</v>
      </c>
    </row>
    <row r="57">
      <c r="A57" s="153">
        <v>46165.0</v>
      </c>
      <c r="B57" s="154" t="s">
        <v>404</v>
      </c>
      <c r="C57" s="155"/>
      <c r="D57" s="156">
        <v>56100.0</v>
      </c>
      <c r="E57" s="152">
        <f t="shared" ref="E57:E66" si="6">E56+C57-D57</f>
        <v>343900</v>
      </c>
    </row>
    <row r="58">
      <c r="A58" s="153">
        <v>46165.0</v>
      </c>
      <c r="B58" s="154" t="s">
        <v>405</v>
      </c>
      <c r="C58" s="155"/>
      <c r="D58" s="156">
        <v>6400.0</v>
      </c>
      <c r="E58" s="152">
        <f t="shared" si="6"/>
        <v>337500</v>
      </c>
    </row>
    <row r="59">
      <c r="A59" s="153">
        <v>46165.0</v>
      </c>
      <c r="B59" s="154" t="s">
        <v>406</v>
      </c>
      <c r="C59" s="155"/>
      <c r="D59" s="156">
        <v>21778.0</v>
      </c>
      <c r="E59" s="152">
        <f t="shared" si="6"/>
        <v>315722</v>
      </c>
    </row>
    <row r="60">
      <c r="A60" s="153">
        <v>46166.0</v>
      </c>
      <c r="B60" s="154" t="s">
        <v>407</v>
      </c>
      <c r="C60" s="155"/>
      <c r="D60" s="156">
        <v>46700.06</v>
      </c>
      <c r="E60" s="152">
        <f t="shared" si="6"/>
        <v>269021.94</v>
      </c>
    </row>
    <row r="61">
      <c r="A61" s="153">
        <v>46166.0</v>
      </c>
      <c r="B61" s="154" t="s">
        <v>408</v>
      </c>
      <c r="C61" s="155"/>
      <c r="D61" s="156">
        <v>6761.0</v>
      </c>
      <c r="E61" s="152">
        <f t="shared" si="6"/>
        <v>262260.94</v>
      </c>
    </row>
    <row r="62">
      <c r="A62" s="153">
        <v>46167.0</v>
      </c>
      <c r="B62" s="154" t="s">
        <v>409</v>
      </c>
      <c r="C62" s="155"/>
      <c r="D62" s="156">
        <v>14000.0</v>
      </c>
      <c r="E62" s="152">
        <f t="shared" si="6"/>
        <v>248260.94</v>
      </c>
    </row>
    <row r="63">
      <c r="A63" s="153">
        <v>46167.0</v>
      </c>
      <c r="B63" s="154" t="s">
        <v>410</v>
      </c>
      <c r="C63" s="155"/>
      <c r="D63" s="156">
        <v>32000.0</v>
      </c>
      <c r="E63" s="152">
        <f t="shared" si="6"/>
        <v>216260.94</v>
      </c>
    </row>
    <row r="64">
      <c r="A64" s="153">
        <v>46167.0</v>
      </c>
      <c r="B64" s="154" t="s">
        <v>411</v>
      </c>
      <c r="C64" s="155"/>
      <c r="D64" s="156">
        <v>54000.0</v>
      </c>
      <c r="E64" s="152">
        <f t="shared" si="6"/>
        <v>162260.94</v>
      </c>
    </row>
    <row r="65">
      <c r="A65" s="153">
        <v>46167.0</v>
      </c>
      <c r="B65" s="154" t="s">
        <v>412</v>
      </c>
      <c r="C65" s="153"/>
      <c r="D65" s="156">
        <v>19400.0</v>
      </c>
      <c r="E65" s="152">
        <f t="shared" si="6"/>
        <v>142860.94</v>
      </c>
    </row>
    <row r="66">
      <c r="A66" s="153">
        <v>46169.0</v>
      </c>
      <c r="B66" s="154" t="s">
        <v>413</v>
      </c>
      <c r="C66" s="153"/>
      <c r="D66" s="156">
        <v>138698.52</v>
      </c>
      <c r="E66" s="152">
        <f t="shared" si="6"/>
        <v>4162.42</v>
      </c>
    </row>
    <row r="67">
      <c r="A67" s="44"/>
      <c r="B67" s="155" t="s">
        <v>226</v>
      </c>
      <c r="C67" s="140">
        <f t="shared" ref="C67:D67" si="7">SUM(C56:C66)</f>
        <v>400000</v>
      </c>
      <c r="D67" s="33">
        <f t="shared" si="7"/>
        <v>395837.58</v>
      </c>
      <c r="E67" s="141">
        <f>C67-D67</f>
        <v>4162.42</v>
      </c>
    </row>
    <row r="68">
      <c r="A68" s="157"/>
      <c r="B68" s="157"/>
      <c r="C68" s="157"/>
      <c r="D68" s="157"/>
      <c r="E68" s="157"/>
    </row>
    <row r="69">
      <c r="A69" s="158"/>
      <c r="B69" s="158"/>
      <c r="C69" s="158"/>
      <c r="D69" s="158"/>
      <c r="E69" s="158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>
      <c r="A70" s="157"/>
      <c r="B70" s="157"/>
      <c r="C70" s="157"/>
      <c r="D70" s="157"/>
      <c r="E70" s="157"/>
    </row>
    <row r="71">
      <c r="A71" s="157"/>
      <c r="B71" s="157"/>
      <c r="C71" s="157"/>
      <c r="D71" s="157"/>
      <c r="E71" s="157"/>
    </row>
    <row r="72">
      <c r="A72" s="1" t="s">
        <v>0</v>
      </c>
      <c r="B72" s="2"/>
      <c r="C72" s="2"/>
      <c r="D72" s="2"/>
      <c r="E72" s="3"/>
      <c r="F72" s="159"/>
    </row>
    <row r="73">
      <c r="A73" s="5" t="s">
        <v>1</v>
      </c>
      <c r="B73" s="2"/>
      <c r="C73" s="2"/>
      <c r="D73" s="2"/>
      <c r="E73" s="3"/>
      <c r="F73" s="160"/>
    </row>
    <row r="74">
      <c r="A74" s="110" t="s">
        <v>414</v>
      </c>
      <c r="B74" s="2"/>
      <c r="C74" s="2"/>
      <c r="D74" s="3"/>
      <c r="E74" s="161" t="s">
        <v>393</v>
      </c>
      <c r="F74" s="162"/>
    </row>
    <row r="75">
      <c r="A75" s="8" t="s">
        <v>4</v>
      </c>
      <c r="B75" s="8" t="s">
        <v>5</v>
      </c>
      <c r="C75" s="8" t="s">
        <v>7</v>
      </c>
      <c r="D75" s="8" t="s">
        <v>8</v>
      </c>
      <c r="E75" s="8" t="s">
        <v>9</v>
      </c>
    </row>
    <row r="76">
      <c r="A76" s="149"/>
      <c r="B76" s="150" t="s">
        <v>403</v>
      </c>
      <c r="C76" s="149"/>
      <c r="D76" s="149"/>
      <c r="E76" s="163">
        <v>0.0</v>
      </c>
    </row>
    <row r="77">
      <c r="A77" s="164">
        <v>46160.0</v>
      </c>
      <c r="B77" s="165" t="s">
        <v>415</v>
      </c>
      <c r="C77" s="155"/>
      <c r="D77" s="156">
        <v>3480.0</v>
      </c>
      <c r="E77" s="166">
        <f t="shared" ref="E77:E79" si="8">E76+C77-D77</f>
        <v>-3480</v>
      </c>
    </row>
    <row r="78">
      <c r="A78" s="164">
        <v>46160.0</v>
      </c>
      <c r="B78" s="165" t="s">
        <v>416</v>
      </c>
      <c r="C78" s="155"/>
      <c r="D78" s="156">
        <v>4508.0</v>
      </c>
      <c r="E78" s="166">
        <f t="shared" si="8"/>
        <v>-7988</v>
      </c>
    </row>
    <row r="79">
      <c r="A79" s="164">
        <v>46174.0</v>
      </c>
      <c r="B79" s="165" t="s">
        <v>416</v>
      </c>
      <c r="C79" s="155"/>
      <c r="D79" s="156">
        <v>3235.0</v>
      </c>
      <c r="E79" s="166">
        <f t="shared" si="8"/>
        <v>-11223</v>
      </c>
    </row>
    <row r="80">
      <c r="A80" s="44"/>
      <c r="B80" s="155" t="s">
        <v>226</v>
      </c>
      <c r="C80" s="140">
        <f t="shared" ref="C80:D80" si="9">SUM(C77:C79)</f>
        <v>0</v>
      </c>
      <c r="D80" s="33">
        <f t="shared" si="9"/>
        <v>11223</v>
      </c>
      <c r="E80" s="167">
        <f>C80-D80</f>
        <v>-11223</v>
      </c>
    </row>
    <row r="81">
      <c r="A81" s="157"/>
      <c r="B81" s="157"/>
      <c r="C81" s="157"/>
      <c r="D81" s="157"/>
      <c r="E81" s="157"/>
    </row>
    <row r="82">
      <c r="A82" s="158"/>
      <c r="B82" s="158"/>
      <c r="C82" s="158"/>
      <c r="D82" s="158"/>
      <c r="E82" s="158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>
      <c r="A83" s="157"/>
      <c r="B83" s="157"/>
      <c r="C83" s="157"/>
      <c r="D83" s="157"/>
      <c r="E83" s="157"/>
    </row>
    <row r="84" ht="1.5" customHeight="1">
      <c r="A84" s="157"/>
      <c r="B84" s="157"/>
      <c r="C84" s="157"/>
      <c r="D84" s="157"/>
      <c r="E84" s="157"/>
    </row>
    <row r="85">
      <c r="A85" s="157"/>
      <c r="B85" s="157"/>
      <c r="C85" s="157"/>
      <c r="D85" s="157"/>
      <c r="E85" s="157"/>
    </row>
    <row r="86">
      <c r="A86" s="157"/>
      <c r="B86" s="157"/>
      <c r="C86" s="157"/>
      <c r="D86" s="157"/>
      <c r="E86" s="157"/>
    </row>
    <row r="87">
      <c r="A87" s="1" t="s">
        <v>0</v>
      </c>
      <c r="B87" s="2"/>
      <c r="C87" s="2"/>
      <c r="D87" s="2"/>
      <c r="E87" s="3"/>
    </row>
    <row r="88">
      <c r="A88" s="5" t="s">
        <v>1</v>
      </c>
      <c r="B88" s="2"/>
      <c r="C88" s="2"/>
      <c r="D88" s="2"/>
      <c r="E88" s="3"/>
    </row>
    <row r="89">
      <c r="A89" s="110" t="s">
        <v>417</v>
      </c>
      <c r="B89" s="2"/>
      <c r="C89" s="3"/>
      <c r="D89" s="86" t="s">
        <v>402</v>
      </c>
      <c r="E89" s="3"/>
    </row>
    <row r="90">
      <c r="A90" s="8" t="s">
        <v>4</v>
      </c>
      <c r="B90" s="8" t="s">
        <v>5</v>
      </c>
      <c r="C90" s="8" t="s">
        <v>7</v>
      </c>
      <c r="D90" s="8" t="s">
        <v>8</v>
      </c>
      <c r="E90" s="8" t="s">
        <v>9</v>
      </c>
    </row>
    <row r="91">
      <c r="A91" s="149"/>
      <c r="B91" s="150" t="s">
        <v>403</v>
      </c>
      <c r="C91" s="168">
        <v>750000.0</v>
      </c>
      <c r="D91" s="149"/>
      <c r="E91" s="163">
        <v>750000.0</v>
      </c>
    </row>
    <row r="92">
      <c r="A92" s="153">
        <v>46150.0</v>
      </c>
      <c r="B92" s="154" t="s">
        <v>418</v>
      </c>
      <c r="C92" s="155"/>
      <c r="D92" s="156">
        <v>56000.0</v>
      </c>
      <c r="E92" s="152">
        <f t="shared" ref="E92:E106" si="10">E91+C92-D92</f>
        <v>694000</v>
      </c>
    </row>
    <row r="93">
      <c r="A93" s="153">
        <v>46150.0</v>
      </c>
      <c r="B93" s="154" t="s">
        <v>419</v>
      </c>
      <c r="C93" s="155"/>
      <c r="D93" s="156">
        <v>14000.0</v>
      </c>
      <c r="E93" s="152">
        <f t="shared" si="10"/>
        <v>680000</v>
      </c>
    </row>
    <row r="94">
      <c r="A94" s="153">
        <v>46161.0</v>
      </c>
      <c r="B94" s="154" t="s">
        <v>420</v>
      </c>
      <c r="C94" s="169"/>
      <c r="D94" s="156">
        <v>13600.0</v>
      </c>
      <c r="E94" s="152">
        <f t="shared" si="10"/>
        <v>666400</v>
      </c>
    </row>
    <row r="95">
      <c r="A95" s="153">
        <v>46163.0</v>
      </c>
      <c r="B95" s="154" t="s">
        <v>421</v>
      </c>
      <c r="C95" s="155"/>
      <c r="D95" s="156">
        <v>12000.0</v>
      </c>
      <c r="E95" s="152">
        <f t="shared" si="10"/>
        <v>654400</v>
      </c>
    </row>
    <row r="96">
      <c r="A96" s="153">
        <v>46163.0</v>
      </c>
      <c r="B96" s="154" t="s">
        <v>422</v>
      </c>
      <c r="C96" s="155"/>
      <c r="D96" s="156">
        <v>17400.0</v>
      </c>
      <c r="E96" s="152">
        <f t="shared" si="10"/>
        <v>637000</v>
      </c>
    </row>
    <row r="97">
      <c r="A97" s="153">
        <v>46165.0</v>
      </c>
      <c r="B97" s="154" t="s">
        <v>423</v>
      </c>
      <c r="C97" s="153"/>
      <c r="D97" s="156">
        <v>50000.0</v>
      </c>
      <c r="E97" s="152">
        <f t="shared" si="10"/>
        <v>587000</v>
      </c>
    </row>
    <row r="98">
      <c r="A98" s="153">
        <v>46165.0</v>
      </c>
      <c r="B98" s="154" t="s">
        <v>424</v>
      </c>
      <c r="C98" s="153"/>
      <c r="D98" s="156">
        <v>44600.0</v>
      </c>
      <c r="E98" s="152">
        <f t="shared" si="10"/>
        <v>542400</v>
      </c>
    </row>
    <row r="99">
      <c r="A99" s="153">
        <v>46166.0</v>
      </c>
      <c r="B99" s="154" t="s">
        <v>425</v>
      </c>
      <c r="C99" s="155"/>
      <c r="D99" s="156">
        <v>16500.0</v>
      </c>
      <c r="E99" s="152">
        <f t="shared" si="10"/>
        <v>525900</v>
      </c>
    </row>
    <row r="100">
      <c r="A100" s="153">
        <v>46167.0</v>
      </c>
      <c r="B100" s="154" t="s">
        <v>426</v>
      </c>
      <c r="C100" s="153"/>
      <c r="D100" s="156">
        <v>39700.0</v>
      </c>
      <c r="E100" s="152">
        <f t="shared" si="10"/>
        <v>486200</v>
      </c>
    </row>
    <row r="101">
      <c r="A101" s="153">
        <v>46170.0</v>
      </c>
      <c r="B101" s="154" t="s">
        <v>427</v>
      </c>
      <c r="C101" s="153"/>
      <c r="D101" s="156">
        <v>7000.0</v>
      </c>
      <c r="E101" s="152">
        <f t="shared" si="10"/>
        <v>479200</v>
      </c>
    </row>
    <row r="102">
      <c r="A102" s="153">
        <v>46171.0</v>
      </c>
      <c r="B102" s="154" t="s">
        <v>428</v>
      </c>
      <c r="C102" s="153"/>
      <c r="D102" s="156">
        <v>30000.0</v>
      </c>
      <c r="E102" s="152">
        <f t="shared" si="10"/>
        <v>449200</v>
      </c>
    </row>
    <row r="103">
      <c r="A103" s="153">
        <v>46171.0</v>
      </c>
      <c r="B103" s="154" t="s">
        <v>429</v>
      </c>
      <c r="C103" s="153"/>
      <c r="D103" s="156">
        <v>23500.0</v>
      </c>
      <c r="E103" s="152">
        <f t="shared" si="10"/>
        <v>425700</v>
      </c>
    </row>
    <row r="104">
      <c r="A104" s="153">
        <v>46175.0</v>
      </c>
      <c r="B104" s="154" t="s">
        <v>430</v>
      </c>
      <c r="C104" s="155"/>
      <c r="D104" s="156">
        <v>50000.0</v>
      </c>
      <c r="E104" s="152">
        <f t="shared" si="10"/>
        <v>375700</v>
      </c>
    </row>
    <row r="105">
      <c r="A105" s="153">
        <v>46175.0</v>
      </c>
      <c r="B105" s="154" t="s">
        <v>431</v>
      </c>
      <c r="C105" s="153"/>
      <c r="D105" s="156">
        <v>14700.0</v>
      </c>
      <c r="E105" s="152">
        <f t="shared" si="10"/>
        <v>361000</v>
      </c>
    </row>
    <row r="106">
      <c r="A106" s="153">
        <v>46177.0</v>
      </c>
      <c r="B106" s="154" t="s">
        <v>189</v>
      </c>
      <c r="C106" s="155"/>
      <c r="D106" s="156">
        <v>100005.99</v>
      </c>
      <c r="E106" s="152">
        <f t="shared" si="10"/>
        <v>260994.01</v>
      </c>
    </row>
    <row r="107">
      <c r="A107" s="44"/>
      <c r="B107" s="155" t="s">
        <v>226</v>
      </c>
      <c r="C107" s="140">
        <f>SUM(C91:C106)</f>
        <v>750000</v>
      </c>
      <c r="D107" s="33">
        <f>SUM(D92:D106)</f>
        <v>489005.99</v>
      </c>
      <c r="E107" s="170">
        <f>C107-D107</f>
        <v>260994.01</v>
      </c>
    </row>
    <row r="108">
      <c r="A108" s="157"/>
      <c r="B108" s="157"/>
      <c r="C108" s="157"/>
      <c r="D108" s="157"/>
      <c r="E108" s="157"/>
    </row>
    <row r="109">
      <c r="A109" s="157"/>
      <c r="B109" s="157"/>
      <c r="C109" s="157"/>
      <c r="D109" s="157"/>
      <c r="E109" s="157"/>
    </row>
    <row r="110">
      <c r="A110" s="1" t="s">
        <v>0</v>
      </c>
      <c r="B110" s="2"/>
      <c r="C110" s="2"/>
      <c r="D110" s="2"/>
      <c r="E110" s="3"/>
    </row>
    <row r="111">
      <c r="A111" s="5" t="s">
        <v>1</v>
      </c>
      <c r="B111" s="2"/>
      <c r="C111" s="2"/>
      <c r="D111" s="2"/>
      <c r="E111" s="3"/>
    </row>
    <row r="112">
      <c r="A112" s="110" t="s">
        <v>432</v>
      </c>
      <c r="B112" s="2"/>
      <c r="C112" s="3"/>
      <c r="D112" s="86" t="s">
        <v>402</v>
      </c>
      <c r="E112" s="3"/>
    </row>
    <row r="113">
      <c r="A113" s="8" t="s">
        <v>4</v>
      </c>
      <c r="B113" s="8" t="s">
        <v>5</v>
      </c>
      <c r="C113" s="8" t="s">
        <v>7</v>
      </c>
      <c r="D113" s="8" t="s">
        <v>8</v>
      </c>
      <c r="E113" s="8" t="s">
        <v>9</v>
      </c>
    </row>
    <row r="114">
      <c r="A114" s="149"/>
      <c r="B114" s="168" t="s">
        <v>403</v>
      </c>
      <c r="C114" s="168">
        <v>100000.0</v>
      </c>
      <c r="D114" s="151"/>
      <c r="E114" s="163">
        <v>100000.0</v>
      </c>
    </row>
    <row r="115">
      <c r="A115" s="153">
        <v>46165.0</v>
      </c>
      <c r="B115" s="171" t="s">
        <v>433</v>
      </c>
      <c r="C115" s="172"/>
      <c r="D115" s="156">
        <v>30000.0</v>
      </c>
      <c r="E115" s="166">
        <f t="shared" ref="E115:E122" si="11">E114+C115-D115</f>
        <v>70000</v>
      </c>
    </row>
    <row r="116">
      <c r="A116" s="153">
        <v>46166.0</v>
      </c>
      <c r="B116" s="171" t="s">
        <v>434</v>
      </c>
      <c r="C116" s="172"/>
      <c r="D116" s="156">
        <v>23200.0</v>
      </c>
      <c r="E116" s="166">
        <f t="shared" si="11"/>
        <v>46800</v>
      </c>
    </row>
    <row r="117">
      <c r="A117" s="153">
        <v>46168.0</v>
      </c>
      <c r="B117" s="171" t="s">
        <v>435</v>
      </c>
      <c r="C117" s="172"/>
      <c r="D117" s="156">
        <v>3600.0</v>
      </c>
      <c r="E117" s="166">
        <f t="shared" si="11"/>
        <v>43200</v>
      </c>
    </row>
    <row r="118">
      <c r="A118" s="153">
        <v>46169.0</v>
      </c>
      <c r="B118" s="171" t="s">
        <v>436</v>
      </c>
      <c r="C118" s="172"/>
      <c r="D118" s="156">
        <v>7500.0</v>
      </c>
      <c r="E118" s="166">
        <f t="shared" si="11"/>
        <v>35700</v>
      </c>
    </row>
    <row r="119">
      <c r="A119" s="153">
        <v>46169.0</v>
      </c>
      <c r="B119" s="171" t="s">
        <v>437</v>
      </c>
      <c r="C119" s="172"/>
      <c r="D119" s="156">
        <v>5000.0</v>
      </c>
      <c r="E119" s="166">
        <f t="shared" si="11"/>
        <v>30700</v>
      </c>
    </row>
    <row r="120">
      <c r="A120" s="153">
        <v>46169.0</v>
      </c>
      <c r="B120" s="171" t="s">
        <v>438</v>
      </c>
      <c r="C120" s="172"/>
      <c r="D120" s="156">
        <v>60000.0</v>
      </c>
      <c r="E120" s="166">
        <f t="shared" si="11"/>
        <v>-29300</v>
      </c>
    </row>
    <row r="121">
      <c r="A121" s="153">
        <v>46170.0</v>
      </c>
      <c r="B121" s="171" t="s">
        <v>439</v>
      </c>
      <c r="C121" s="172"/>
      <c r="D121" s="156">
        <v>27000.0</v>
      </c>
      <c r="E121" s="166">
        <f t="shared" si="11"/>
        <v>-56300</v>
      </c>
    </row>
    <row r="122">
      <c r="A122" s="153"/>
      <c r="B122" s="171" t="s">
        <v>440</v>
      </c>
      <c r="C122" s="172"/>
      <c r="D122" s="156">
        <v>6500.0</v>
      </c>
      <c r="E122" s="166">
        <f t="shared" si="11"/>
        <v>-62800</v>
      </c>
    </row>
    <row r="123">
      <c r="A123" s="44"/>
      <c r="B123" s="172" t="s">
        <v>226</v>
      </c>
      <c r="C123" s="173">
        <f>SUM(C114:C122)</f>
        <v>100000</v>
      </c>
      <c r="D123" s="174">
        <f>SUM(D115:D122)</f>
        <v>162800</v>
      </c>
      <c r="E123" s="175">
        <f>C123-D123</f>
        <v>-62800</v>
      </c>
    </row>
    <row r="127">
      <c r="A127" s="1" t="s">
        <v>0</v>
      </c>
      <c r="B127" s="2"/>
      <c r="C127" s="2"/>
      <c r="D127" s="2"/>
      <c r="E127" s="2"/>
      <c r="F127" s="3"/>
    </row>
    <row r="128">
      <c r="A128" s="5" t="s">
        <v>1</v>
      </c>
      <c r="B128" s="2"/>
      <c r="C128" s="2"/>
      <c r="D128" s="2"/>
      <c r="E128" s="2"/>
      <c r="F128" s="3"/>
    </row>
    <row r="129">
      <c r="A129" s="110" t="s">
        <v>392</v>
      </c>
      <c r="B129" s="2"/>
      <c r="C129" s="2"/>
      <c r="D129" s="3"/>
      <c r="E129" s="86" t="s">
        <v>393</v>
      </c>
      <c r="F129" s="3"/>
    </row>
    <row r="130">
      <c r="A130" s="8" t="s">
        <v>4</v>
      </c>
      <c r="B130" s="8" t="s">
        <v>5</v>
      </c>
      <c r="C130" s="9" t="s">
        <v>6</v>
      </c>
      <c r="D130" s="8" t="s">
        <v>7</v>
      </c>
      <c r="E130" s="8" t="s">
        <v>8</v>
      </c>
      <c r="F130" s="8" t="s">
        <v>9</v>
      </c>
    </row>
    <row r="131">
      <c r="A131" s="10"/>
      <c r="B131" s="10"/>
      <c r="C131" s="10"/>
      <c r="D131" s="10"/>
      <c r="E131" s="10"/>
      <c r="F131" s="11" t="s">
        <v>10</v>
      </c>
    </row>
    <row r="132">
      <c r="A132" s="132"/>
      <c r="B132" s="88" t="s">
        <v>98</v>
      </c>
      <c r="C132" s="89"/>
      <c r="D132" s="89"/>
      <c r="E132" s="90"/>
      <c r="F132" s="16" t="str">
        <f>D132</f>
        <v/>
      </c>
    </row>
    <row r="133">
      <c r="A133" s="92"/>
      <c r="B133" s="133" t="s">
        <v>441</v>
      </c>
      <c r="C133" s="133"/>
      <c r="D133" s="107"/>
      <c r="E133" s="131">
        <v>1700000.0</v>
      </c>
      <c r="F133" s="147">
        <f t="shared" ref="F133:F135" si="12">F132+D133-E133</f>
        <v>-1700000</v>
      </c>
    </row>
    <row r="134">
      <c r="A134" s="92"/>
      <c r="B134" s="133" t="s">
        <v>442</v>
      </c>
      <c r="C134" s="133"/>
      <c r="D134" s="107"/>
      <c r="E134" s="131">
        <v>110000.0</v>
      </c>
      <c r="F134" s="147">
        <f t="shared" si="12"/>
        <v>-1810000</v>
      </c>
    </row>
    <row r="135">
      <c r="A135" s="92"/>
      <c r="B135" s="126" t="s">
        <v>443</v>
      </c>
      <c r="C135" s="133"/>
      <c r="D135" s="107"/>
      <c r="E135" s="131">
        <v>500000.0</v>
      </c>
      <c r="F135" s="147">
        <f t="shared" si="12"/>
        <v>-2310000</v>
      </c>
    </row>
    <row r="136">
      <c r="A136" s="12"/>
      <c r="B136" s="107" t="s">
        <v>226</v>
      </c>
      <c r="C136" s="140"/>
      <c r="D136" s="140"/>
      <c r="E136" s="33">
        <f>SUM(E132:E135)</f>
        <v>2310000</v>
      </c>
      <c r="F136" s="148">
        <f>D136-E136</f>
        <v>-2310000</v>
      </c>
    </row>
    <row r="138">
      <c r="A138" s="145"/>
      <c r="B138" s="145"/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</sheetData>
  <mergeCells count="27">
    <mergeCell ref="A1:E1"/>
    <mergeCell ref="A2:E2"/>
    <mergeCell ref="A3:C3"/>
    <mergeCell ref="D3:E3"/>
    <mergeCell ref="A34:F34"/>
    <mergeCell ref="A35:F35"/>
    <mergeCell ref="E36:F36"/>
    <mergeCell ref="A36:D36"/>
    <mergeCell ref="A52:E52"/>
    <mergeCell ref="A53:E53"/>
    <mergeCell ref="A54:C54"/>
    <mergeCell ref="D54:E54"/>
    <mergeCell ref="A72:E72"/>
    <mergeCell ref="A73:E73"/>
    <mergeCell ref="A112:C112"/>
    <mergeCell ref="D112:E112"/>
    <mergeCell ref="A127:F127"/>
    <mergeCell ref="A128:F128"/>
    <mergeCell ref="A129:D129"/>
    <mergeCell ref="E129:F129"/>
    <mergeCell ref="A74:D74"/>
    <mergeCell ref="A87:E87"/>
    <mergeCell ref="A88:E88"/>
    <mergeCell ref="A89:C89"/>
    <mergeCell ref="D89:E89"/>
    <mergeCell ref="A110:E110"/>
    <mergeCell ref="A111:E111"/>
  </mergeCells>
  <printOptions gridLines="1" horizontalCentered="1"/>
  <pageMargins bottom="0.75" footer="0.0" header="0.0" left="0.7" right="0.7" top="0.75"/>
  <pageSetup fitToHeight="0" cellComments="atEnd" orientation="portrait" pageOrder="overThenDown" paperHeight="23.62204724409449in" paperWidth="11.692913385826772i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63"/>
    <col customWidth="1" min="10" max="11" width="40.5"/>
  </cols>
  <sheetData>
    <row r="1">
      <c r="A1" s="1" t="s">
        <v>0</v>
      </c>
      <c r="B1" s="2"/>
      <c r="C1" s="2"/>
      <c r="D1" s="2"/>
      <c r="E1" s="3"/>
    </row>
    <row r="2">
      <c r="A2" s="5" t="s">
        <v>1</v>
      </c>
      <c r="B2" s="2"/>
      <c r="C2" s="2"/>
      <c r="D2" s="2"/>
      <c r="E2" s="3"/>
    </row>
    <row r="3">
      <c r="A3" s="1" t="s">
        <v>77</v>
      </c>
      <c r="B3" s="2"/>
      <c r="C3" s="3"/>
      <c r="D3" s="6" t="s">
        <v>3</v>
      </c>
      <c r="E3" s="3"/>
    </row>
    <row r="4">
      <c r="A4" s="7"/>
      <c r="B4" s="7"/>
      <c r="C4" s="7"/>
      <c r="D4" s="7"/>
      <c r="E4" s="7"/>
    </row>
    <row r="5">
      <c r="A5" s="8" t="s">
        <v>4</v>
      </c>
      <c r="B5" s="8" t="s">
        <v>5</v>
      </c>
      <c r="C5" s="8" t="s">
        <v>7</v>
      </c>
      <c r="D5" s="8" t="s">
        <v>8</v>
      </c>
      <c r="E5" s="8" t="s">
        <v>9</v>
      </c>
    </row>
    <row r="6">
      <c r="A6" s="10"/>
      <c r="B6" s="10"/>
      <c r="C6" s="10"/>
      <c r="D6" s="10"/>
      <c r="E6" s="11" t="s">
        <v>10</v>
      </c>
    </row>
    <row r="7">
      <c r="A7" s="44"/>
      <c r="B7" s="18" t="s">
        <v>12</v>
      </c>
      <c r="C7" s="14">
        <v>0.0</v>
      </c>
      <c r="D7" s="33"/>
      <c r="E7" s="16">
        <f>C7</f>
        <v>0</v>
      </c>
    </row>
    <row r="8">
      <c r="A8" s="27">
        <v>45997.0</v>
      </c>
      <c r="B8" s="13" t="s">
        <v>444</v>
      </c>
      <c r="C8" s="18"/>
      <c r="D8" s="23">
        <v>12700.0</v>
      </c>
      <c r="E8" s="16">
        <f t="shared" ref="E8:E29" si="1">E7+C8-D8</f>
        <v>-12700</v>
      </c>
    </row>
    <row r="9">
      <c r="A9" s="27">
        <v>45997.0</v>
      </c>
      <c r="B9" s="13" t="s">
        <v>445</v>
      </c>
      <c r="C9" s="18"/>
      <c r="D9" s="23">
        <v>3643.0</v>
      </c>
      <c r="E9" s="16">
        <f t="shared" si="1"/>
        <v>-16343</v>
      </c>
    </row>
    <row r="10">
      <c r="A10" s="27">
        <v>45997.0</v>
      </c>
      <c r="B10" s="13" t="s">
        <v>446</v>
      </c>
      <c r="C10" s="18"/>
      <c r="D10" s="23">
        <v>5400.0</v>
      </c>
      <c r="E10" s="16">
        <f t="shared" si="1"/>
        <v>-21743</v>
      </c>
    </row>
    <row r="11">
      <c r="A11" s="19">
        <v>45998.0</v>
      </c>
      <c r="B11" s="13" t="s">
        <v>447</v>
      </c>
      <c r="C11" s="18"/>
      <c r="D11" s="23">
        <v>241000.0</v>
      </c>
      <c r="E11" s="16">
        <f t="shared" si="1"/>
        <v>-262743</v>
      </c>
    </row>
    <row r="12">
      <c r="A12" s="19">
        <v>45998.0</v>
      </c>
      <c r="B12" s="13" t="s">
        <v>448</v>
      </c>
      <c r="C12" s="18"/>
      <c r="D12" s="23">
        <v>68572.0</v>
      </c>
      <c r="E12" s="16">
        <f t="shared" si="1"/>
        <v>-331315</v>
      </c>
    </row>
    <row r="13">
      <c r="A13" s="27">
        <v>45998.0</v>
      </c>
      <c r="B13" s="13" t="s">
        <v>449</v>
      </c>
      <c r="C13" s="18"/>
      <c r="D13" s="23">
        <v>3914.0</v>
      </c>
      <c r="E13" s="16">
        <f t="shared" si="1"/>
        <v>-335229</v>
      </c>
    </row>
    <row r="14">
      <c r="A14" s="27">
        <v>45999.0</v>
      </c>
      <c r="B14" s="13" t="s">
        <v>450</v>
      </c>
      <c r="C14" s="18"/>
      <c r="D14" s="23">
        <v>4327.0</v>
      </c>
      <c r="E14" s="16">
        <f t="shared" si="1"/>
        <v>-339556</v>
      </c>
    </row>
    <row r="15">
      <c r="A15" s="27">
        <v>45999.0</v>
      </c>
      <c r="B15" s="13" t="s">
        <v>451</v>
      </c>
      <c r="C15" s="18"/>
      <c r="D15" s="23">
        <v>8384.0</v>
      </c>
      <c r="E15" s="16">
        <f t="shared" si="1"/>
        <v>-347940</v>
      </c>
    </row>
    <row r="16">
      <c r="A16" s="19">
        <v>46000.0</v>
      </c>
      <c r="B16" s="13" t="s">
        <v>452</v>
      </c>
      <c r="C16" s="18"/>
      <c r="D16" s="23">
        <v>270475.0</v>
      </c>
      <c r="E16" s="16">
        <f t="shared" si="1"/>
        <v>-618415</v>
      </c>
    </row>
    <row r="17">
      <c r="A17" s="19">
        <v>46000.0</v>
      </c>
      <c r="B17" s="13" t="s">
        <v>453</v>
      </c>
      <c r="C17" s="18"/>
      <c r="D17" s="23">
        <v>64500.0</v>
      </c>
      <c r="E17" s="16">
        <f t="shared" si="1"/>
        <v>-682915</v>
      </c>
      <c r="J17" s="1" t="s">
        <v>0</v>
      </c>
      <c r="K17" s="2"/>
      <c r="L17" s="2"/>
      <c r="M17" s="2"/>
      <c r="N17" s="3"/>
    </row>
    <row r="18">
      <c r="A18" s="19">
        <v>46001.0</v>
      </c>
      <c r="B18" s="13" t="s">
        <v>454</v>
      </c>
      <c r="C18" s="18"/>
      <c r="D18" s="23">
        <f>38400+8000</f>
        <v>46400</v>
      </c>
      <c r="E18" s="16">
        <f t="shared" si="1"/>
        <v>-729315</v>
      </c>
      <c r="J18" s="5" t="s">
        <v>1</v>
      </c>
      <c r="K18" s="2"/>
      <c r="L18" s="2"/>
      <c r="M18" s="2"/>
      <c r="N18" s="3"/>
    </row>
    <row r="19">
      <c r="A19" s="19">
        <v>46001.0</v>
      </c>
      <c r="B19" s="13" t="s">
        <v>455</v>
      </c>
      <c r="C19" s="18"/>
      <c r="D19" s="23">
        <v>16870.0</v>
      </c>
      <c r="E19" s="16">
        <f t="shared" si="1"/>
        <v>-746185</v>
      </c>
      <c r="J19" s="1" t="s">
        <v>77</v>
      </c>
      <c r="K19" s="2"/>
      <c r="L19" s="3"/>
      <c r="M19" s="6" t="s">
        <v>3</v>
      </c>
      <c r="N19" s="3"/>
    </row>
    <row r="20">
      <c r="A20" s="19">
        <v>46001.0</v>
      </c>
      <c r="B20" s="13" t="s">
        <v>456</v>
      </c>
      <c r="C20" s="33"/>
      <c r="D20" s="23">
        <v>9300.0</v>
      </c>
      <c r="E20" s="16">
        <f t="shared" si="1"/>
        <v>-755485</v>
      </c>
      <c r="J20" s="7"/>
      <c r="K20" s="7"/>
      <c r="L20" s="7"/>
      <c r="M20" s="7"/>
      <c r="N20" s="7"/>
    </row>
    <row r="21">
      <c r="A21" s="19">
        <v>46002.0</v>
      </c>
      <c r="B21" s="13" t="s">
        <v>457</v>
      </c>
      <c r="C21" s="18"/>
      <c r="D21" s="23">
        <v>140652.87</v>
      </c>
      <c r="E21" s="16">
        <f t="shared" si="1"/>
        <v>-896137.87</v>
      </c>
      <c r="J21" s="8" t="s">
        <v>4</v>
      </c>
      <c r="K21" s="8" t="s">
        <v>5</v>
      </c>
      <c r="L21" s="8" t="s">
        <v>7</v>
      </c>
      <c r="M21" s="8" t="s">
        <v>8</v>
      </c>
      <c r="N21" s="8" t="s">
        <v>9</v>
      </c>
    </row>
    <row r="22">
      <c r="A22" s="19">
        <v>46004.0</v>
      </c>
      <c r="B22" s="13" t="s">
        <v>458</v>
      </c>
      <c r="C22" s="18"/>
      <c r="D22" s="23">
        <v>27344.0</v>
      </c>
      <c r="E22" s="16">
        <f t="shared" si="1"/>
        <v>-923481.87</v>
      </c>
      <c r="J22" s="10"/>
      <c r="K22" s="10"/>
      <c r="L22" s="10"/>
      <c r="M22" s="10"/>
      <c r="N22" s="11" t="s">
        <v>10</v>
      </c>
    </row>
    <row r="23">
      <c r="A23" s="19">
        <v>46004.0</v>
      </c>
      <c r="B23" s="13" t="s">
        <v>459</v>
      </c>
      <c r="C23" s="33"/>
      <c r="D23" s="23">
        <v>5300.0</v>
      </c>
      <c r="E23" s="16">
        <f t="shared" si="1"/>
        <v>-928781.87</v>
      </c>
      <c r="J23" s="44"/>
      <c r="K23" s="18" t="s">
        <v>12</v>
      </c>
      <c r="L23" s="14">
        <v>0.0</v>
      </c>
      <c r="M23" s="33"/>
      <c r="N23" s="16">
        <f>L23</f>
        <v>0</v>
      </c>
    </row>
    <row r="24">
      <c r="A24" s="27">
        <v>46006.0</v>
      </c>
      <c r="B24" s="13" t="s">
        <v>460</v>
      </c>
      <c r="C24" s="18"/>
      <c r="D24" s="23">
        <v>60200.0</v>
      </c>
      <c r="E24" s="16">
        <f t="shared" si="1"/>
        <v>-988981.87</v>
      </c>
      <c r="J24" s="19">
        <v>45995.0</v>
      </c>
      <c r="K24" s="133" t="s">
        <v>78</v>
      </c>
      <c r="L24" s="107"/>
      <c r="M24" s="95">
        <v>223533.0</v>
      </c>
      <c r="N24" s="147">
        <f>L23-M24</f>
        <v>-223533</v>
      </c>
    </row>
    <row r="25">
      <c r="A25" s="31">
        <v>46006.0</v>
      </c>
      <c r="B25" s="13" t="s">
        <v>461</v>
      </c>
      <c r="C25" s="18"/>
      <c r="D25" s="23">
        <v>85705.0</v>
      </c>
      <c r="E25" s="16">
        <f t="shared" si="1"/>
        <v>-1074686.87</v>
      </c>
      <c r="J25" s="27">
        <v>46017.0</v>
      </c>
      <c r="K25" s="133" t="s">
        <v>79</v>
      </c>
      <c r="L25" s="107"/>
      <c r="M25" s="95">
        <v>156000.0</v>
      </c>
      <c r="N25" s="176">
        <f t="shared" ref="N25:N29" si="2">N24-M25</f>
        <v>-379533</v>
      </c>
    </row>
    <row r="26">
      <c r="A26" s="19">
        <v>46006.0</v>
      </c>
      <c r="B26" s="13" t="s">
        <v>462</v>
      </c>
      <c r="C26" s="18"/>
      <c r="D26" s="23">
        <f>104411.12*3</f>
        <v>313233.36</v>
      </c>
      <c r="E26" s="16">
        <f t="shared" si="1"/>
        <v>-1387920.23</v>
      </c>
      <c r="J26" s="27">
        <v>46017.0</v>
      </c>
      <c r="K26" s="133" t="s">
        <v>80</v>
      </c>
      <c r="L26" s="107"/>
      <c r="M26" s="95">
        <v>51600.0</v>
      </c>
      <c r="N26" s="176">
        <f t="shared" si="2"/>
        <v>-431133</v>
      </c>
    </row>
    <row r="27">
      <c r="A27" s="19">
        <v>46008.0</v>
      </c>
      <c r="B27" s="13" t="s">
        <v>463</v>
      </c>
      <c r="C27" s="33"/>
      <c r="D27" s="23">
        <v>325000.0</v>
      </c>
      <c r="E27" s="16">
        <f t="shared" si="1"/>
        <v>-1712920.23</v>
      </c>
      <c r="J27" s="27">
        <v>46010.0</v>
      </c>
      <c r="K27" s="133" t="s">
        <v>81</v>
      </c>
      <c r="L27" s="107"/>
      <c r="M27" s="95">
        <v>600000.0</v>
      </c>
      <c r="N27" s="176">
        <f t="shared" si="2"/>
        <v>-1031133</v>
      </c>
    </row>
    <row r="28">
      <c r="A28" s="19">
        <v>46009.0</v>
      </c>
      <c r="B28" s="13" t="s">
        <v>464</v>
      </c>
      <c r="C28" s="18"/>
      <c r="D28" s="23">
        <v>185341.29</v>
      </c>
      <c r="E28" s="16">
        <f t="shared" si="1"/>
        <v>-1898261.52</v>
      </c>
      <c r="J28" s="27">
        <v>46010.0</v>
      </c>
      <c r="K28" s="133" t="s">
        <v>82</v>
      </c>
      <c r="L28" s="107"/>
      <c r="M28" s="95">
        <v>400000.0</v>
      </c>
      <c r="N28" s="176">
        <f t="shared" si="2"/>
        <v>-1431133</v>
      </c>
    </row>
    <row r="29">
      <c r="A29" s="177"/>
      <c r="B29" s="18"/>
      <c r="C29" s="33"/>
      <c r="D29" s="34"/>
      <c r="E29" s="16">
        <f t="shared" si="1"/>
        <v>-1898261.52</v>
      </c>
      <c r="J29" s="27">
        <v>46010.0</v>
      </c>
      <c r="K29" s="133" t="s">
        <v>83</v>
      </c>
      <c r="L29" s="107"/>
      <c r="M29" s="95">
        <v>200000.0</v>
      </c>
      <c r="N29" s="178">
        <f t="shared" si="2"/>
        <v>-1631133</v>
      </c>
    </row>
    <row r="30">
      <c r="A30" s="177"/>
      <c r="B30" s="18" t="s">
        <v>67</v>
      </c>
      <c r="C30" s="33">
        <f>SUM(C7:C16)</f>
        <v>0</v>
      </c>
      <c r="D30" s="34">
        <f>SUM(D8:D28)</f>
        <v>1898261.52</v>
      </c>
      <c r="E30" s="179">
        <f>C30-D30</f>
        <v>-1898261.52</v>
      </c>
    </row>
    <row r="31">
      <c r="A31" s="4"/>
      <c r="B31" s="4"/>
      <c r="C31" s="4"/>
      <c r="D31" s="4"/>
      <c r="E31" s="4"/>
    </row>
  </sheetData>
  <mergeCells count="8">
    <mergeCell ref="A1:E1"/>
    <mergeCell ref="A2:E2"/>
    <mergeCell ref="A3:C3"/>
    <mergeCell ref="D3:E3"/>
    <mergeCell ref="J17:N17"/>
    <mergeCell ref="J18:N18"/>
    <mergeCell ref="J19:L19"/>
    <mergeCell ref="M19:N19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63"/>
  </cols>
  <sheetData>
    <row r="1">
      <c r="A1" s="1" t="s">
        <v>0</v>
      </c>
      <c r="B1" s="2"/>
      <c r="C1" s="2"/>
      <c r="D1" s="2"/>
      <c r="E1" s="3"/>
    </row>
    <row r="2">
      <c r="A2" s="5" t="s">
        <v>1</v>
      </c>
      <c r="B2" s="2"/>
      <c r="C2" s="2"/>
      <c r="D2" s="2"/>
      <c r="E2" s="3"/>
    </row>
    <row r="3">
      <c r="A3" s="1" t="s">
        <v>465</v>
      </c>
      <c r="B3" s="2"/>
      <c r="C3" s="3"/>
      <c r="D3" s="6" t="s">
        <v>3</v>
      </c>
      <c r="E3" s="3"/>
    </row>
    <row r="4">
      <c r="A4" s="7"/>
      <c r="B4" s="7"/>
      <c r="C4" s="7"/>
      <c r="D4" s="7"/>
      <c r="E4" s="7"/>
    </row>
    <row r="5">
      <c r="A5" s="8" t="s">
        <v>4</v>
      </c>
      <c r="B5" s="8" t="s">
        <v>5</v>
      </c>
      <c r="C5" s="8" t="s">
        <v>7</v>
      </c>
      <c r="D5" s="8" t="s">
        <v>8</v>
      </c>
      <c r="E5" s="8" t="s">
        <v>9</v>
      </c>
    </row>
    <row r="6">
      <c r="A6" s="10"/>
      <c r="B6" s="10"/>
      <c r="C6" s="10"/>
      <c r="D6" s="10"/>
      <c r="E6" s="11" t="s">
        <v>10</v>
      </c>
    </row>
    <row r="7">
      <c r="A7" s="177"/>
      <c r="B7" s="18" t="s">
        <v>12</v>
      </c>
      <c r="C7" s="180">
        <v>500000.0</v>
      </c>
      <c r="D7" s="181"/>
      <c r="E7" s="16">
        <f>C7</f>
        <v>500000</v>
      </c>
    </row>
    <row r="8">
      <c r="A8" s="182">
        <v>46001.0</v>
      </c>
      <c r="B8" s="183" t="s">
        <v>466</v>
      </c>
      <c r="C8" s="184"/>
      <c r="D8" s="185">
        <v>60000.0</v>
      </c>
      <c r="E8" s="16">
        <f t="shared" ref="E8:E14" si="1">E7+C8-D8</f>
        <v>440000</v>
      </c>
    </row>
    <row r="9">
      <c r="A9" s="186">
        <v>46001.0</v>
      </c>
      <c r="B9" s="184" t="s">
        <v>467</v>
      </c>
      <c r="C9" s="7"/>
      <c r="D9" s="185">
        <v>30000.0</v>
      </c>
      <c r="E9" s="16">
        <f t="shared" si="1"/>
        <v>410000</v>
      </c>
    </row>
    <row r="10">
      <c r="A10" s="186">
        <v>46001.0</v>
      </c>
      <c r="B10" s="184" t="s">
        <v>468</v>
      </c>
      <c r="C10" s="7"/>
      <c r="D10" s="185">
        <v>42519.0</v>
      </c>
      <c r="E10" s="16">
        <f t="shared" si="1"/>
        <v>367481</v>
      </c>
    </row>
    <row r="11">
      <c r="A11" s="186">
        <v>46001.0</v>
      </c>
      <c r="B11" s="184" t="s">
        <v>469</v>
      </c>
      <c r="C11" s="7"/>
      <c r="D11" s="185">
        <v>9300.0</v>
      </c>
      <c r="E11" s="16">
        <f t="shared" si="1"/>
        <v>358181</v>
      </c>
    </row>
    <row r="12">
      <c r="A12" s="186">
        <v>46001.0</v>
      </c>
      <c r="B12" s="184" t="s">
        <v>470</v>
      </c>
      <c r="C12" s="7"/>
      <c r="D12" s="185">
        <v>85039.0</v>
      </c>
      <c r="E12" s="16">
        <f t="shared" si="1"/>
        <v>273142</v>
      </c>
    </row>
    <row r="13">
      <c r="A13" s="186">
        <v>46001.0</v>
      </c>
      <c r="B13" s="184" t="s">
        <v>471</v>
      </c>
      <c r="C13" s="7"/>
      <c r="D13" s="185">
        <v>166000.0</v>
      </c>
      <c r="E13" s="16">
        <f t="shared" si="1"/>
        <v>107142</v>
      </c>
    </row>
    <row r="14">
      <c r="A14" s="186">
        <v>46001.0</v>
      </c>
      <c r="B14" s="184" t="s">
        <v>472</v>
      </c>
      <c r="C14" s="7"/>
      <c r="D14" s="185">
        <v>121000.0</v>
      </c>
      <c r="E14" s="187">
        <f t="shared" si="1"/>
        <v>-13858</v>
      </c>
    </row>
    <row r="15">
      <c r="A15" s="177"/>
      <c r="B15" s="18" t="s">
        <v>67</v>
      </c>
      <c r="C15" s="188">
        <f>SUM(C7:C14)</f>
        <v>500000</v>
      </c>
      <c r="D15" s="188">
        <f>SUM(D8:D14)</f>
        <v>513858</v>
      </c>
      <c r="E15" s="187">
        <f>C15-D15</f>
        <v>-13858</v>
      </c>
    </row>
    <row r="16">
      <c r="A16" s="4"/>
      <c r="B16" s="4"/>
      <c r="C16" s="4"/>
      <c r="D16" s="4"/>
      <c r="E16" s="4"/>
    </row>
    <row r="17">
      <c r="A17" s="4"/>
      <c r="B17" s="4"/>
      <c r="C17" s="4"/>
      <c r="D17" s="4"/>
      <c r="E17" s="4"/>
    </row>
  </sheetData>
  <mergeCells count="4">
    <mergeCell ref="A1:E1"/>
    <mergeCell ref="A2:E2"/>
    <mergeCell ref="A3:C3"/>
    <mergeCell ref="D3:E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69.5"/>
    <col customWidth="1" min="3" max="3" width="15.5"/>
    <col customWidth="1" min="8" max="8" width="22.5"/>
  </cols>
  <sheetData>
    <row r="1">
      <c r="A1" s="1" t="s">
        <v>0</v>
      </c>
      <c r="B1" s="2"/>
      <c r="C1" s="2"/>
      <c r="D1" s="2"/>
      <c r="E1" s="3"/>
    </row>
    <row r="2">
      <c r="A2" s="5" t="s">
        <v>1</v>
      </c>
      <c r="B2" s="2"/>
      <c r="C2" s="2"/>
      <c r="D2" s="2"/>
      <c r="E2" s="3"/>
    </row>
    <row r="3">
      <c r="A3" s="1" t="s">
        <v>465</v>
      </c>
      <c r="B3" s="2"/>
      <c r="C3" s="3"/>
      <c r="D3" s="6" t="s">
        <v>3</v>
      </c>
      <c r="E3" s="3"/>
    </row>
    <row r="4">
      <c r="A4" s="18"/>
      <c r="B4" s="18"/>
      <c r="C4" s="18"/>
      <c r="D4" s="18"/>
      <c r="E4" s="18"/>
    </row>
    <row r="5">
      <c r="A5" s="8" t="s">
        <v>4</v>
      </c>
      <c r="B5" s="8" t="s">
        <v>5</v>
      </c>
      <c r="C5" s="8" t="s">
        <v>7</v>
      </c>
      <c r="D5" s="8" t="s">
        <v>8</v>
      </c>
      <c r="E5" s="8" t="s">
        <v>9</v>
      </c>
    </row>
    <row r="6">
      <c r="A6" s="189"/>
      <c r="B6" s="189"/>
      <c r="C6" s="189"/>
      <c r="D6" s="189"/>
      <c r="E6" s="11" t="s">
        <v>10</v>
      </c>
    </row>
    <row r="7">
      <c r="A7" s="44"/>
      <c r="B7" s="18" t="s">
        <v>12</v>
      </c>
      <c r="C7" s="180">
        <v>500000.0</v>
      </c>
      <c r="D7" s="33"/>
      <c r="E7" s="16">
        <f>C7</f>
        <v>500000</v>
      </c>
    </row>
    <row r="8">
      <c r="A8" s="27">
        <v>46001.0</v>
      </c>
      <c r="B8" s="190" t="s">
        <v>473</v>
      </c>
      <c r="C8" s="13"/>
      <c r="D8" s="23">
        <v>60000.0</v>
      </c>
      <c r="E8" s="16">
        <f t="shared" ref="E8:E14" si="1">E7+C8-D8</f>
        <v>440000</v>
      </c>
    </row>
    <row r="9">
      <c r="A9" s="19">
        <v>46001.0</v>
      </c>
      <c r="B9" s="190" t="s">
        <v>474</v>
      </c>
      <c r="C9" s="18"/>
      <c r="D9" s="23">
        <v>30000.0</v>
      </c>
      <c r="E9" s="16">
        <f t="shared" si="1"/>
        <v>410000</v>
      </c>
    </row>
    <row r="10">
      <c r="A10" s="19">
        <v>46001.0</v>
      </c>
      <c r="B10" s="190" t="s">
        <v>475</v>
      </c>
      <c r="C10" s="18"/>
      <c r="D10" s="23">
        <v>42519.0</v>
      </c>
      <c r="E10" s="16">
        <f t="shared" si="1"/>
        <v>367481</v>
      </c>
    </row>
    <row r="11">
      <c r="A11" s="19">
        <v>46001.0</v>
      </c>
      <c r="B11" s="190" t="s">
        <v>476</v>
      </c>
      <c r="C11" s="18"/>
      <c r="D11" s="23">
        <v>9300.0</v>
      </c>
      <c r="E11" s="16">
        <f t="shared" si="1"/>
        <v>358181</v>
      </c>
      <c r="H11" s="191">
        <f>1000000-E15</f>
        <v>1013858</v>
      </c>
    </row>
    <row r="12">
      <c r="A12" s="19">
        <v>46001.0</v>
      </c>
      <c r="B12" s="190" t="s">
        <v>477</v>
      </c>
      <c r="C12" s="18"/>
      <c r="D12" s="23">
        <v>85039.0</v>
      </c>
      <c r="E12" s="16">
        <f t="shared" si="1"/>
        <v>273142</v>
      </c>
    </row>
    <row r="13">
      <c r="A13" s="19">
        <v>46001.0</v>
      </c>
      <c r="B13" s="190" t="s">
        <v>478</v>
      </c>
      <c r="C13" s="18"/>
      <c r="D13" s="23">
        <v>166000.0</v>
      </c>
      <c r="E13" s="16">
        <f t="shared" si="1"/>
        <v>107142</v>
      </c>
    </row>
    <row r="14">
      <c r="A14" s="19">
        <v>46001.0</v>
      </c>
      <c r="B14" s="190" t="s">
        <v>479</v>
      </c>
      <c r="C14" s="18"/>
      <c r="D14" s="23">
        <v>121000.0</v>
      </c>
      <c r="E14" s="187">
        <f t="shared" si="1"/>
        <v>-13858</v>
      </c>
    </row>
    <row r="15">
      <c r="A15" s="44"/>
      <c r="B15" s="18" t="s">
        <v>67</v>
      </c>
      <c r="C15" s="188">
        <f>SUM(C7:C14)</f>
        <v>500000</v>
      </c>
      <c r="D15" s="188">
        <f>SUM(D8:D14)</f>
        <v>513858</v>
      </c>
      <c r="E15" s="187">
        <f>C15-D15</f>
        <v>-13858</v>
      </c>
      <c r="G15" s="32" t="str">
        <f t="shared" ref="G15:G22" si="2">PROPER(B15)</f>
        <v>Totales:</v>
      </c>
    </row>
    <row r="16">
      <c r="A16" s="192"/>
      <c r="B16" s="192"/>
      <c r="C16" s="192"/>
      <c r="D16" s="192"/>
      <c r="E16" s="192"/>
      <c r="G16" s="32" t="str">
        <f t="shared" si="2"/>
        <v/>
      </c>
    </row>
    <row r="17">
      <c r="A17" s="192"/>
      <c r="B17" s="192"/>
      <c r="C17" s="192"/>
      <c r="D17" s="192"/>
      <c r="E17" s="192"/>
      <c r="G17" s="32" t="str">
        <f t="shared" si="2"/>
        <v/>
      </c>
    </row>
    <row r="18">
      <c r="A18" s="192"/>
      <c r="B18" s="192"/>
      <c r="C18" s="192"/>
      <c r="D18" s="192"/>
      <c r="E18" s="192"/>
      <c r="G18" s="32" t="str">
        <f t="shared" si="2"/>
        <v/>
      </c>
    </row>
    <row r="19">
      <c r="A19" s="1" t="s">
        <v>0</v>
      </c>
      <c r="B19" s="2"/>
      <c r="C19" s="2"/>
      <c r="D19" s="2"/>
      <c r="E19" s="3"/>
      <c r="G19" s="32" t="str">
        <f t="shared" si="2"/>
        <v/>
      </c>
    </row>
    <row r="20">
      <c r="A20" s="5" t="s">
        <v>1</v>
      </c>
      <c r="B20" s="2"/>
      <c r="C20" s="2"/>
      <c r="D20" s="2"/>
      <c r="E20" s="3"/>
      <c r="G20" s="32" t="str">
        <f t="shared" si="2"/>
        <v/>
      </c>
    </row>
    <row r="21">
      <c r="A21" s="1" t="s">
        <v>480</v>
      </c>
      <c r="B21" s="2"/>
      <c r="C21" s="3"/>
      <c r="D21" s="6" t="s">
        <v>3</v>
      </c>
      <c r="E21" s="3"/>
      <c r="G21" s="32" t="str">
        <f t="shared" si="2"/>
        <v/>
      </c>
    </row>
    <row r="22">
      <c r="A22" s="18"/>
      <c r="B22" s="18"/>
      <c r="C22" s="18"/>
      <c r="D22" s="18"/>
      <c r="E22" s="18"/>
      <c r="G22" s="32" t="str">
        <f t="shared" si="2"/>
        <v/>
      </c>
    </row>
    <row r="23">
      <c r="A23" s="8" t="s">
        <v>4</v>
      </c>
      <c r="B23" s="8" t="s">
        <v>5</v>
      </c>
      <c r="C23" s="8" t="s">
        <v>7</v>
      </c>
      <c r="D23" s="8" t="s">
        <v>8</v>
      </c>
      <c r="E23" s="8" t="s">
        <v>9</v>
      </c>
    </row>
    <row r="24">
      <c r="A24" s="189"/>
      <c r="B24" s="189"/>
      <c r="C24" s="189"/>
      <c r="D24" s="189"/>
      <c r="E24" s="11" t="s">
        <v>10</v>
      </c>
    </row>
    <row r="25">
      <c r="A25" s="44"/>
      <c r="B25" s="18" t="s">
        <v>12</v>
      </c>
      <c r="C25" s="14">
        <v>1300000.0</v>
      </c>
      <c r="D25" s="33"/>
      <c r="E25" s="16">
        <f>C25</f>
        <v>1300000</v>
      </c>
    </row>
    <row r="26">
      <c r="A26" s="27">
        <v>45993.0</v>
      </c>
      <c r="B26" s="193" t="s">
        <v>481</v>
      </c>
      <c r="C26" s="18"/>
      <c r="D26" s="34">
        <v>24700.0</v>
      </c>
      <c r="E26" s="16">
        <f t="shared" ref="E26:E68" si="3">E25+C26-D26</f>
        <v>1275300</v>
      </c>
    </row>
    <row r="27">
      <c r="A27" s="27">
        <v>45993.0</v>
      </c>
      <c r="B27" s="194" t="s">
        <v>482</v>
      </c>
      <c r="C27" s="18"/>
      <c r="D27" s="34">
        <v>19500.0</v>
      </c>
      <c r="E27" s="16">
        <f t="shared" si="3"/>
        <v>1255800</v>
      </c>
    </row>
    <row r="28">
      <c r="A28" s="27">
        <v>45993.0</v>
      </c>
      <c r="B28" s="193" t="s">
        <v>483</v>
      </c>
      <c r="C28" s="18"/>
      <c r="D28" s="34">
        <v>9000.0</v>
      </c>
      <c r="E28" s="16">
        <f t="shared" si="3"/>
        <v>1246800</v>
      </c>
    </row>
    <row r="29">
      <c r="A29" s="27">
        <v>45993.0</v>
      </c>
      <c r="B29" s="193" t="s">
        <v>484</v>
      </c>
      <c r="C29" s="18"/>
      <c r="D29" s="34">
        <v>67000.0</v>
      </c>
      <c r="E29" s="16">
        <f t="shared" si="3"/>
        <v>1179800</v>
      </c>
    </row>
    <row r="30">
      <c r="A30" s="27">
        <v>45994.0</v>
      </c>
      <c r="B30" s="193" t="s">
        <v>485</v>
      </c>
      <c r="C30" s="18"/>
      <c r="D30" s="23">
        <v>12000.0</v>
      </c>
      <c r="E30" s="16">
        <f t="shared" si="3"/>
        <v>1167800</v>
      </c>
    </row>
    <row r="31">
      <c r="A31" s="27">
        <v>45994.0</v>
      </c>
      <c r="B31" s="193" t="s">
        <v>486</v>
      </c>
      <c r="C31" s="18"/>
      <c r="D31" s="34">
        <v>14000.0</v>
      </c>
      <c r="E31" s="16">
        <f t="shared" si="3"/>
        <v>1153800</v>
      </c>
    </row>
    <row r="32">
      <c r="A32" s="27">
        <v>45994.0</v>
      </c>
      <c r="B32" s="193" t="s">
        <v>487</v>
      </c>
      <c r="C32" s="18"/>
      <c r="D32" s="34">
        <v>12000.0</v>
      </c>
      <c r="E32" s="16">
        <f t="shared" si="3"/>
        <v>1141800</v>
      </c>
    </row>
    <row r="33">
      <c r="A33" s="27">
        <v>45994.0</v>
      </c>
      <c r="B33" s="193" t="s">
        <v>488</v>
      </c>
      <c r="C33" s="18"/>
      <c r="D33" s="34">
        <v>75000.0</v>
      </c>
      <c r="E33" s="16">
        <f t="shared" si="3"/>
        <v>1066800</v>
      </c>
    </row>
    <row r="34">
      <c r="A34" s="27">
        <v>45994.0</v>
      </c>
      <c r="B34" s="194" t="s">
        <v>489</v>
      </c>
      <c r="C34" s="18"/>
      <c r="D34" s="34">
        <v>21000.0</v>
      </c>
      <c r="E34" s="16">
        <f t="shared" si="3"/>
        <v>1045800</v>
      </c>
    </row>
    <row r="35">
      <c r="A35" s="27">
        <v>45994.0</v>
      </c>
      <c r="B35" s="193" t="s">
        <v>490</v>
      </c>
      <c r="C35" s="18"/>
      <c r="D35" s="23">
        <v>65000.0</v>
      </c>
      <c r="E35" s="16">
        <f t="shared" si="3"/>
        <v>980800</v>
      </c>
    </row>
    <row r="36">
      <c r="A36" s="27">
        <v>45994.0</v>
      </c>
      <c r="B36" s="194" t="s">
        <v>491</v>
      </c>
      <c r="C36" s="18"/>
      <c r="D36" s="34">
        <v>8600.0</v>
      </c>
      <c r="E36" s="16">
        <f t="shared" si="3"/>
        <v>972200</v>
      </c>
    </row>
    <row r="37">
      <c r="A37" s="27">
        <v>45994.0</v>
      </c>
      <c r="B37" s="193" t="s">
        <v>492</v>
      </c>
      <c r="C37" s="18"/>
      <c r="D37" s="34">
        <v>60000.0</v>
      </c>
      <c r="E37" s="16">
        <f t="shared" si="3"/>
        <v>912200</v>
      </c>
    </row>
    <row r="38">
      <c r="A38" s="27">
        <v>45994.0</v>
      </c>
      <c r="B38" s="193" t="s">
        <v>493</v>
      </c>
      <c r="C38" s="18"/>
      <c r="D38" s="34">
        <v>7000.0</v>
      </c>
      <c r="E38" s="16">
        <f t="shared" si="3"/>
        <v>905200</v>
      </c>
    </row>
    <row r="39">
      <c r="A39" s="27">
        <v>45995.0</v>
      </c>
      <c r="B39" s="193" t="s">
        <v>494</v>
      </c>
      <c r="C39" s="18"/>
      <c r="D39" s="34">
        <v>10000.0</v>
      </c>
      <c r="E39" s="16">
        <f t="shared" si="3"/>
        <v>895200</v>
      </c>
    </row>
    <row r="40">
      <c r="A40" s="27">
        <v>45995.0</v>
      </c>
      <c r="B40" s="193" t="s">
        <v>495</v>
      </c>
      <c r="C40" s="18"/>
      <c r="D40" s="23">
        <v>60000.0</v>
      </c>
      <c r="E40" s="16">
        <f t="shared" si="3"/>
        <v>835200</v>
      </c>
    </row>
    <row r="41">
      <c r="A41" s="27">
        <v>45995.0</v>
      </c>
      <c r="B41" s="193" t="s">
        <v>496</v>
      </c>
      <c r="C41" s="18"/>
      <c r="D41" s="23">
        <v>10000.0</v>
      </c>
      <c r="E41" s="16">
        <f t="shared" si="3"/>
        <v>825200</v>
      </c>
    </row>
    <row r="42">
      <c r="A42" s="27">
        <v>45995.0</v>
      </c>
      <c r="B42" s="193" t="s">
        <v>497</v>
      </c>
      <c r="C42" s="18"/>
      <c r="D42" s="34">
        <v>65000.0</v>
      </c>
      <c r="E42" s="16">
        <f t="shared" si="3"/>
        <v>760200</v>
      </c>
    </row>
    <row r="43">
      <c r="A43" s="27">
        <v>45996.0</v>
      </c>
      <c r="B43" s="193" t="s">
        <v>485</v>
      </c>
      <c r="C43" s="18"/>
      <c r="D43" s="34">
        <v>12000.0</v>
      </c>
      <c r="E43" s="16">
        <f t="shared" si="3"/>
        <v>748200</v>
      </c>
    </row>
    <row r="44">
      <c r="A44" s="27">
        <v>45996.0</v>
      </c>
      <c r="B44" s="193" t="s">
        <v>498</v>
      </c>
      <c r="C44" s="18"/>
      <c r="D44" s="34">
        <v>75000.0</v>
      </c>
      <c r="E44" s="16">
        <f t="shared" si="3"/>
        <v>673200</v>
      </c>
    </row>
    <row r="45">
      <c r="A45" s="27">
        <v>45996.0</v>
      </c>
      <c r="B45" s="193" t="s">
        <v>499</v>
      </c>
      <c r="C45" s="18"/>
      <c r="D45" s="34">
        <v>28000.0</v>
      </c>
      <c r="E45" s="16">
        <f t="shared" si="3"/>
        <v>645200</v>
      </c>
    </row>
    <row r="46">
      <c r="A46" s="27">
        <v>45996.0</v>
      </c>
      <c r="B46" s="193" t="s">
        <v>500</v>
      </c>
      <c r="C46" s="18"/>
      <c r="D46" s="34">
        <v>12000.0</v>
      </c>
      <c r="E46" s="16">
        <f t="shared" si="3"/>
        <v>633200</v>
      </c>
    </row>
    <row r="47">
      <c r="A47" s="27">
        <v>45996.0</v>
      </c>
      <c r="B47" s="193" t="s">
        <v>497</v>
      </c>
      <c r="C47" s="18"/>
      <c r="D47" s="34">
        <v>65000.0</v>
      </c>
      <c r="E47" s="16">
        <f t="shared" si="3"/>
        <v>568200</v>
      </c>
    </row>
    <row r="48">
      <c r="A48" s="27">
        <v>45996.0</v>
      </c>
      <c r="B48" s="193" t="s">
        <v>501</v>
      </c>
      <c r="C48" s="18"/>
      <c r="D48" s="34">
        <v>9000.0</v>
      </c>
      <c r="E48" s="16">
        <f t="shared" si="3"/>
        <v>559200</v>
      </c>
    </row>
    <row r="49">
      <c r="A49" s="27">
        <v>45997.0</v>
      </c>
      <c r="B49" s="193" t="s">
        <v>485</v>
      </c>
      <c r="C49" s="18"/>
      <c r="D49" s="34">
        <v>12000.0</v>
      </c>
      <c r="E49" s="16">
        <f t="shared" si="3"/>
        <v>547200</v>
      </c>
    </row>
    <row r="50">
      <c r="A50" s="27">
        <v>45997.0</v>
      </c>
      <c r="B50" s="193" t="s">
        <v>502</v>
      </c>
      <c r="C50" s="18"/>
      <c r="D50" s="34">
        <v>90000.0</v>
      </c>
      <c r="E50" s="16">
        <f t="shared" si="3"/>
        <v>457200</v>
      </c>
    </row>
    <row r="51">
      <c r="A51" s="27">
        <v>45997.0</v>
      </c>
      <c r="B51" s="193" t="s">
        <v>499</v>
      </c>
      <c r="C51" s="18"/>
      <c r="D51" s="34">
        <v>28000.0</v>
      </c>
      <c r="E51" s="16">
        <f t="shared" si="3"/>
        <v>429200</v>
      </c>
    </row>
    <row r="52">
      <c r="A52" s="27">
        <v>45997.0</v>
      </c>
      <c r="B52" s="193" t="s">
        <v>503</v>
      </c>
      <c r="C52" s="18"/>
      <c r="D52" s="34">
        <v>16000.0</v>
      </c>
      <c r="E52" s="16">
        <f t="shared" si="3"/>
        <v>413200</v>
      </c>
    </row>
    <row r="53">
      <c r="A53" s="27">
        <v>45997.0</v>
      </c>
      <c r="B53" s="193" t="s">
        <v>504</v>
      </c>
      <c r="C53" s="18"/>
      <c r="D53" s="34">
        <v>90000.0</v>
      </c>
      <c r="E53" s="16">
        <f t="shared" si="3"/>
        <v>323200</v>
      </c>
    </row>
    <row r="54">
      <c r="A54" s="27">
        <v>45997.0</v>
      </c>
      <c r="B54" s="193" t="s">
        <v>505</v>
      </c>
      <c r="C54" s="18"/>
      <c r="D54" s="34">
        <v>7000.0</v>
      </c>
      <c r="E54" s="16">
        <f t="shared" si="3"/>
        <v>316200</v>
      </c>
    </row>
    <row r="55">
      <c r="A55" s="27">
        <v>45998.0</v>
      </c>
      <c r="B55" s="193" t="s">
        <v>506</v>
      </c>
      <c r="C55" s="18"/>
      <c r="D55" s="23">
        <v>15000.0</v>
      </c>
      <c r="E55" s="16">
        <f t="shared" si="3"/>
        <v>301200</v>
      </c>
    </row>
    <row r="56">
      <c r="A56" s="27">
        <v>45998.0</v>
      </c>
      <c r="B56" s="193" t="s">
        <v>507</v>
      </c>
      <c r="C56" s="18"/>
      <c r="D56" s="34">
        <v>97000.0</v>
      </c>
      <c r="E56" s="16">
        <f t="shared" si="3"/>
        <v>204200</v>
      </c>
    </row>
    <row r="57">
      <c r="A57" s="19">
        <v>46001.0</v>
      </c>
      <c r="B57" s="193" t="s">
        <v>508</v>
      </c>
      <c r="C57" s="18"/>
      <c r="D57" s="23">
        <v>5295.0</v>
      </c>
      <c r="E57" s="16">
        <f t="shared" si="3"/>
        <v>198905</v>
      </c>
    </row>
    <row r="58">
      <c r="A58" s="19">
        <v>46001.0</v>
      </c>
      <c r="B58" s="193" t="s">
        <v>509</v>
      </c>
      <c r="C58" s="18"/>
      <c r="D58" s="34">
        <v>283000.0</v>
      </c>
      <c r="E58" s="16">
        <f t="shared" si="3"/>
        <v>-84095</v>
      </c>
    </row>
    <row r="59">
      <c r="A59" s="19">
        <v>46001.0</v>
      </c>
      <c r="B59" s="193" t="s">
        <v>510</v>
      </c>
      <c r="C59" s="18"/>
      <c r="D59" s="23">
        <v>371000.0</v>
      </c>
      <c r="E59" s="16">
        <f t="shared" si="3"/>
        <v>-455095</v>
      </c>
    </row>
    <row r="60">
      <c r="A60" s="19">
        <v>46001.0</v>
      </c>
      <c r="B60" s="193" t="s">
        <v>511</v>
      </c>
      <c r="C60" s="18"/>
      <c r="D60" s="34">
        <v>105000.0</v>
      </c>
      <c r="E60" s="16">
        <f t="shared" si="3"/>
        <v>-560095</v>
      </c>
    </row>
    <row r="61">
      <c r="A61" s="19">
        <v>46002.0</v>
      </c>
      <c r="B61" s="193" t="s">
        <v>512</v>
      </c>
      <c r="C61" s="18"/>
      <c r="D61" s="34">
        <v>69000.0</v>
      </c>
      <c r="E61" s="16">
        <f t="shared" si="3"/>
        <v>-629095</v>
      </c>
    </row>
    <row r="62">
      <c r="A62" s="19">
        <v>46003.0</v>
      </c>
      <c r="B62" s="193" t="s">
        <v>513</v>
      </c>
      <c r="C62" s="18"/>
      <c r="D62" s="34">
        <v>56000.0</v>
      </c>
      <c r="E62" s="16">
        <f t="shared" si="3"/>
        <v>-685095</v>
      </c>
    </row>
    <row r="63">
      <c r="A63" s="19">
        <v>46003.0</v>
      </c>
      <c r="B63" s="193" t="s">
        <v>514</v>
      </c>
      <c r="C63" s="18"/>
      <c r="D63" s="23">
        <v>128000.0</v>
      </c>
      <c r="E63" s="16">
        <f t="shared" si="3"/>
        <v>-813095</v>
      </c>
    </row>
    <row r="64">
      <c r="A64" s="19">
        <v>46003.0</v>
      </c>
      <c r="B64" s="193" t="s">
        <v>508</v>
      </c>
      <c r="C64" s="18"/>
      <c r="D64" s="23">
        <v>5520.0</v>
      </c>
      <c r="E64" s="16">
        <f t="shared" si="3"/>
        <v>-818615</v>
      </c>
    </row>
    <row r="65">
      <c r="A65" s="27">
        <v>46003.0</v>
      </c>
      <c r="B65" s="193" t="s">
        <v>515</v>
      </c>
      <c r="C65" s="18"/>
      <c r="D65" s="23">
        <v>5670.0</v>
      </c>
      <c r="E65" s="16">
        <f t="shared" si="3"/>
        <v>-824285</v>
      </c>
    </row>
    <row r="66">
      <c r="A66" s="19">
        <v>46004.0</v>
      </c>
      <c r="B66" s="193" t="s">
        <v>516</v>
      </c>
      <c r="C66" s="18"/>
      <c r="D66" s="34">
        <v>24500.0</v>
      </c>
      <c r="E66" s="16">
        <f t="shared" si="3"/>
        <v>-848785</v>
      </c>
    </row>
    <row r="67">
      <c r="A67" s="27">
        <v>46007.0</v>
      </c>
      <c r="B67" s="193" t="s">
        <v>517</v>
      </c>
      <c r="C67" s="18"/>
      <c r="D67" s="23">
        <v>17500.0</v>
      </c>
      <c r="E67" s="16">
        <f t="shared" si="3"/>
        <v>-866285</v>
      </c>
    </row>
    <row r="68">
      <c r="A68" s="27">
        <v>46008.0</v>
      </c>
      <c r="B68" s="193" t="s">
        <v>518</v>
      </c>
      <c r="C68" s="18"/>
      <c r="D68" s="23">
        <v>29300.0</v>
      </c>
      <c r="E68" s="16">
        <f t="shared" si="3"/>
        <v>-895585</v>
      </c>
    </row>
    <row r="69">
      <c r="A69" s="44"/>
      <c r="B69" s="18" t="s">
        <v>67</v>
      </c>
      <c r="C69" s="33">
        <f>SUM(C25:C64)</f>
        <v>1300000</v>
      </c>
      <c r="D69" s="34">
        <f>SUM(D26:D68)</f>
        <v>2195585</v>
      </c>
      <c r="E69" s="179">
        <f>C69-D69</f>
        <v>-895585</v>
      </c>
      <c r="G69" s="126" t="s">
        <v>519</v>
      </c>
      <c r="H69" s="126" t="s">
        <v>520</v>
      </c>
    </row>
    <row r="70">
      <c r="A70" s="192"/>
      <c r="B70" s="192"/>
      <c r="C70" s="192"/>
      <c r="D70" s="192"/>
      <c r="E70" s="192"/>
      <c r="G70" s="126">
        <v>900.0</v>
      </c>
      <c r="H70" s="126" t="s">
        <v>521</v>
      </c>
      <c r="I70" s="126" t="s">
        <v>522</v>
      </c>
      <c r="J70" s="126" t="s">
        <v>523</v>
      </c>
    </row>
    <row r="71">
      <c r="A71" s="192"/>
      <c r="B71" s="192"/>
      <c r="C71" s="192"/>
      <c r="D71" s="192"/>
      <c r="E71" s="192"/>
      <c r="G71" s="32" t="str">
        <f t="shared" ref="G71:G95" si="4">PROPER(B71)</f>
        <v/>
      </c>
    </row>
    <row r="72">
      <c r="A72" s="1" t="s">
        <v>0</v>
      </c>
      <c r="B72" s="2"/>
      <c r="C72" s="2"/>
      <c r="D72" s="2"/>
      <c r="E72" s="3"/>
      <c r="G72" s="32" t="str">
        <f t="shared" si="4"/>
        <v/>
      </c>
    </row>
    <row r="73">
      <c r="A73" s="5" t="s">
        <v>1</v>
      </c>
      <c r="B73" s="2"/>
      <c r="C73" s="2"/>
      <c r="D73" s="2"/>
      <c r="E73" s="3"/>
      <c r="G73" s="32" t="str">
        <f t="shared" si="4"/>
        <v/>
      </c>
    </row>
    <row r="74">
      <c r="A74" s="110" t="s">
        <v>524</v>
      </c>
      <c r="B74" s="2"/>
      <c r="C74" s="3"/>
      <c r="D74" s="6" t="s">
        <v>3</v>
      </c>
      <c r="E74" s="3"/>
      <c r="G74" s="32" t="str">
        <f t="shared" si="4"/>
        <v/>
      </c>
    </row>
    <row r="75">
      <c r="A75" s="18"/>
      <c r="B75" s="18"/>
      <c r="C75" s="18"/>
      <c r="D75" s="18"/>
      <c r="E75" s="18"/>
      <c r="G75" s="32" t="str">
        <f t="shared" si="4"/>
        <v/>
      </c>
    </row>
    <row r="76">
      <c r="A76" s="8" t="s">
        <v>4</v>
      </c>
      <c r="B76" s="8" t="s">
        <v>5</v>
      </c>
      <c r="C76" s="8" t="s">
        <v>7</v>
      </c>
      <c r="D76" s="8" t="s">
        <v>8</v>
      </c>
      <c r="E76" s="8" t="s">
        <v>9</v>
      </c>
      <c r="G76" s="32" t="str">
        <f t="shared" si="4"/>
        <v>Descripción</v>
      </c>
    </row>
    <row r="77">
      <c r="A77" s="189"/>
      <c r="B77" s="189"/>
      <c r="C77" s="189"/>
      <c r="D77" s="189"/>
      <c r="E77" s="11" t="s">
        <v>10</v>
      </c>
      <c r="G77" s="32" t="str">
        <f t="shared" si="4"/>
        <v/>
      </c>
    </row>
    <row r="78">
      <c r="A78" s="44"/>
      <c r="B78" s="18" t="s">
        <v>12</v>
      </c>
      <c r="C78" s="14">
        <v>0.0</v>
      </c>
      <c r="D78" s="33"/>
      <c r="E78" s="16">
        <f>C78</f>
        <v>0</v>
      </c>
      <c r="G78" s="32" t="str">
        <f t="shared" si="4"/>
        <v>Apertura De Caja</v>
      </c>
    </row>
    <row r="79">
      <c r="A79" s="195">
        <v>45999.0</v>
      </c>
      <c r="B79" s="196" t="s">
        <v>525</v>
      </c>
      <c r="C79" s="13"/>
      <c r="D79" s="23">
        <v>67610.0</v>
      </c>
      <c r="E79" s="16">
        <f>E78+C79-D79</f>
        <v>-67610</v>
      </c>
      <c r="G79" s="32" t="str">
        <f t="shared" si="4"/>
        <v>Uber Facundo Y Macarena Bs As A La Plata</v>
      </c>
    </row>
    <row r="80">
      <c r="A80" s="27">
        <v>46000.0</v>
      </c>
      <c r="B80" s="18" t="s">
        <v>526</v>
      </c>
      <c r="C80" s="13"/>
      <c r="D80" s="23">
        <v>6142.0</v>
      </c>
      <c r="E80" s="16"/>
      <c r="G80" s="32" t="str">
        <f t="shared" si="4"/>
        <v>Uber De Estadio - Grand Brizo</v>
      </c>
    </row>
    <row r="81">
      <c r="A81" s="27">
        <v>46001.0</v>
      </c>
      <c r="B81" s="18" t="s">
        <v>527</v>
      </c>
      <c r="C81" s="13"/>
      <c r="D81" s="23">
        <v>5547.0</v>
      </c>
      <c r="E81" s="16"/>
      <c r="G81" s="32" t="str">
        <f t="shared" si="4"/>
        <v>Uber Grand Brizo - Estadio</v>
      </c>
    </row>
    <row r="82">
      <c r="A82" s="27">
        <v>46001.0</v>
      </c>
      <c r="B82" s="18" t="s">
        <v>526</v>
      </c>
      <c r="C82" s="13"/>
      <c r="D82" s="23">
        <v>6300.0</v>
      </c>
      <c r="E82" s="16"/>
      <c r="G82" s="32" t="str">
        <f t="shared" si="4"/>
        <v>Uber De Estadio - Grand Brizo</v>
      </c>
    </row>
    <row r="83">
      <c r="A83" s="19">
        <v>46002.0</v>
      </c>
      <c r="B83" s="18" t="s">
        <v>527</v>
      </c>
      <c r="C83" s="13"/>
      <c r="D83" s="23">
        <v>5651.0</v>
      </c>
      <c r="E83" s="16"/>
      <c r="G83" s="32" t="str">
        <f t="shared" si="4"/>
        <v>Uber Grand Brizo - Estadio</v>
      </c>
    </row>
    <row r="84">
      <c r="A84" s="19">
        <v>46002.0</v>
      </c>
      <c r="B84" s="18" t="s">
        <v>526</v>
      </c>
      <c r="C84" s="18"/>
      <c r="D84" s="23">
        <v>6169.0</v>
      </c>
      <c r="E84" s="16">
        <f>E79+C84-D84</f>
        <v>-73779</v>
      </c>
      <c r="G84" s="32" t="str">
        <f t="shared" si="4"/>
        <v>Uber De Estadio - Grand Brizo</v>
      </c>
    </row>
    <row r="85">
      <c r="A85" s="19">
        <v>46003.0</v>
      </c>
      <c r="B85" s="18" t="s">
        <v>527</v>
      </c>
      <c r="C85" s="18"/>
      <c r="D85" s="23">
        <v>5561.0</v>
      </c>
      <c r="E85" s="16"/>
      <c r="G85" s="32" t="str">
        <f t="shared" si="4"/>
        <v>Uber Grand Brizo - Estadio</v>
      </c>
    </row>
    <row r="86">
      <c r="A86" s="31">
        <v>46003.0</v>
      </c>
      <c r="B86" s="18" t="s">
        <v>526</v>
      </c>
      <c r="C86" s="27"/>
      <c r="D86" s="23">
        <v>6642.0</v>
      </c>
      <c r="E86" s="16">
        <f>E84+C86-D86</f>
        <v>-80421</v>
      </c>
      <c r="G86" s="32" t="str">
        <f t="shared" si="4"/>
        <v>Uber De Estadio - Grand Brizo</v>
      </c>
    </row>
    <row r="87">
      <c r="A87" s="19">
        <v>46004.0</v>
      </c>
      <c r="B87" s="18" t="s">
        <v>527</v>
      </c>
      <c r="C87" s="18"/>
      <c r="D87" s="23">
        <v>5786.0</v>
      </c>
      <c r="E87" s="16">
        <f t="shared" ref="E87:E89" si="5">E86+C87-D87</f>
        <v>-86207</v>
      </c>
      <c r="G87" s="32" t="str">
        <f t="shared" si="4"/>
        <v>Uber Grand Brizo - Estadio</v>
      </c>
    </row>
    <row r="88">
      <c r="A88" s="19">
        <v>46004.0</v>
      </c>
      <c r="B88" s="18" t="s">
        <v>526</v>
      </c>
      <c r="C88" s="18"/>
      <c r="D88" s="23">
        <v>8131.0</v>
      </c>
      <c r="E88" s="16">
        <f t="shared" si="5"/>
        <v>-94338</v>
      </c>
      <c r="G88" s="32" t="str">
        <f t="shared" si="4"/>
        <v>Uber De Estadio - Grand Brizo</v>
      </c>
    </row>
    <row r="89">
      <c r="A89" s="19">
        <v>46005.0</v>
      </c>
      <c r="B89" s="18" t="s">
        <v>526</v>
      </c>
      <c r="C89" s="18"/>
      <c r="D89" s="23">
        <v>10749.0</v>
      </c>
      <c r="E89" s="16">
        <f t="shared" si="5"/>
        <v>-105087</v>
      </c>
      <c r="G89" s="32" t="str">
        <f t="shared" si="4"/>
        <v>Uber De Estadio - Grand Brizo</v>
      </c>
    </row>
    <row r="90">
      <c r="A90" s="44"/>
      <c r="B90" s="18" t="s">
        <v>67</v>
      </c>
      <c r="C90" s="33">
        <f>SUM(C78:C89)</f>
        <v>0</v>
      </c>
      <c r="D90" s="34">
        <f>SUM(D79:D89)</f>
        <v>134288</v>
      </c>
      <c r="E90" s="179">
        <f>C90-D90</f>
        <v>-134288</v>
      </c>
      <c r="G90" s="32" t="str">
        <f t="shared" si="4"/>
        <v>Totales:</v>
      </c>
    </row>
    <row r="91">
      <c r="A91" s="112"/>
      <c r="B91" s="112"/>
      <c r="C91" s="112"/>
      <c r="D91" s="112"/>
      <c r="E91" s="112"/>
      <c r="G91" s="32" t="str">
        <f t="shared" si="4"/>
        <v/>
      </c>
    </row>
    <row r="92">
      <c r="A92" s="112"/>
      <c r="B92" s="112"/>
      <c r="C92" s="112"/>
      <c r="D92" s="112"/>
      <c r="E92" s="112"/>
      <c r="G92" s="32" t="str">
        <f t="shared" si="4"/>
        <v/>
      </c>
    </row>
    <row r="93">
      <c r="A93" s="197" t="s">
        <v>1</v>
      </c>
      <c r="B93" s="198"/>
      <c r="C93" s="198"/>
      <c r="D93" s="198"/>
      <c r="E93" s="199"/>
      <c r="G93" s="32" t="str">
        <f t="shared" si="4"/>
        <v/>
      </c>
    </row>
    <row r="94">
      <c r="A94" s="1" t="s">
        <v>528</v>
      </c>
      <c r="B94" s="2"/>
      <c r="C94" s="3"/>
      <c r="D94" s="6" t="s">
        <v>3</v>
      </c>
      <c r="E94" s="3"/>
      <c r="G94" s="32" t="str">
        <f t="shared" si="4"/>
        <v/>
      </c>
    </row>
    <row r="95">
      <c r="A95" s="18"/>
      <c r="B95" s="18"/>
      <c r="C95" s="18"/>
      <c r="D95" s="18"/>
      <c r="E95" s="18"/>
      <c r="G95" s="32" t="str">
        <f t="shared" si="4"/>
        <v/>
      </c>
    </row>
    <row r="96">
      <c r="A96" s="8" t="s">
        <v>4</v>
      </c>
      <c r="B96" s="8" t="s">
        <v>5</v>
      </c>
      <c r="C96" s="8" t="s">
        <v>7</v>
      </c>
      <c r="D96" s="8" t="s">
        <v>8</v>
      </c>
      <c r="E96" s="8" t="s">
        <v>9</v>
      </c>
    </row>
    <row r="97">
      <c r="A97" s="189"/>
      <c r="B97" s="189"/>
      <c r="C97" s="189"/>
      <c r="D97" s="189"/>
      <c r="E97" s="11" t="s">
        <v>10</v>
      </c>
    </row>
    <row r="98">
      <c r="A98" s="44"/>
      <c r="B98" s="18" t="s">
        <v>12</v>
      </c>
      <c r="C98" s="14">
        <v>0.0</v>
      </c>
      <c r="D98" s="33"/>
      <c r="E98" s="16">
        <f>C98</f>
        <v>0</v>
      </c>
    </row>
    <row r="99">
      <c r="A99" s="200"/>
      <c r="B99" s="18" t="s">
        <v>529</v>
      </c>
      <c r="C99" s="18"/>
      <c r="D99" s="23">
        <v>1500000.0</v>
      </c>
      <c r="E99" s="16">
        <f t="shared" ref="E99:E107" si="6">E98+C99-D99</f>
        <v>-1500000</v>
      </c>
      <c r="G99" s="126">
        <v>1.0</v>
      </c>
    </row>
    <row r="100">
      <c r="A100" s="44"/>
      <c r="B100" s="18" t="s">
        <v>529</v>
      </c>
      <c r="C100" s="18"/>
      <c r="D100" s="23">
        <v>360000.0</v>
      </c>
      <c r="E100" s="16">
        <f t="shared" si="6"/>
        <v>-1860000</v>
      </c>
      <c r="G100" s="126">
        <v>1.0</v>
      </c>
    </row>
    <row r="101">
      <c r="A101" s="61"/>
      <c r="B101" s="18" t="s">
        <v>530</v>
      </c>
      <c r="C101" s="18"/>
      <c r="D101" s="23">
        <v>1000000.0</v>
      </c>
      <c r="E101" s="16">
        <f t="shared" si="6"/>
        <v>-2860000</v>
      </c>
      <c r="H101" s="126">
        <v>2.0</v>
      </c>
    </row>
    <row r="102">
      <c r="A102" s="44"/>
      <c r="B102" s="18" t="s">
        <v>531</v>
      </c>
      <c r="C102" s="18"/>
      <c r="D102" s="23">
        <v>161000.0</v>
      </c>
      <c r="E102" s="16">
        <f t="shared" si="6"/>
        <v>-3021000</v>
      </c>
      <c r="H102" s="126">
        <v>2.0</v>
      </c>
    </row>
    <row r="103">
      <c r="A103" s="44"/>
      <c r="B103" s="18" t="s">
        <v>532</v>
      </c>
      <c r="C103" s="18"/>
      <c r="D103" s="23">
        <v>144000.0</v>
      </c>
      <c r="E103" s="16">
        <f t="shared" si="6"/>
        <v>-3165000</v>
      </c>
      <c r="H103" s="126">
        <v>2.0</v>
      </c>
    </row>
    <row r="104">
      <c r="A104" s="44"/>
      <c r="B104" s="18" t="s">
        <v>533</v>
      </c>
      <c r="C104" s="18"/>
      <c r="D104" s="23">
        <v>100000.0</v>
      </c>
      <c r="E104" s="16">
        <f t="shared" si="6"/>
        <v>-3265000</v>
      </c>
      <c r="I104" s="126">
        <v>3.0</v>
      </c>
    </row>
    <row r="105">
      <c r="A105" s="44"/>
      <c r="B105" s="18" t="s">
        <v>534</v>
      </c>
      <c r="C105" s="18"/>
      <c r="D105" s="23">
        <v>500000.0</v>
      </c>
      <c r="E105" s="16">
        <f t="shared" si="6"/>
        <v>-3765000</v>
      </c>
      <c r="H105" s="126">
        <v>2.0</v>
      </c>
    </row>
    <row r="106">
      <c r="A106" s="201"/>
      <c r="B106" s="202" t="s">
        <v>535</v>
      </c>
      <c r="C106" s="202"/>
      <c r="D106" s="23">
        <v>500000.0</v>
      </c>
      <c r="E106" s="16">
        <f t="shared" si="6"/>
        <v>-4265000</v>
      </c>
    </row>
    <row r="107">
      <c r="A107" s="44"/>
      <c r="B107" s="18" t="s">
        <v>536</v>
      </c>
      <c r="C107" s="18"/>
      <c r="D107" s="23">
        <v>524000.0</v>
      </c>
      <c r="E107" s="16">
        <f t="shared" si="6"/>
        <v>-4789000</v>
      </c>
      <c r="G107" s="126" t="s">
        <v>537</v>
      </c>
    </row>
    <row r="108">
      <c r="A108" s="44"/>
      <c r="B108" s="18" t="s">
        <v>67</v>
      </c>
      <c r="C108" s="33">
        <f>SUM(C98:C107)</f>
        <v>0</v>
      </c>
      <c r="D108" s="34">
        <f>SUM(D99:D107)</f>
        <v>4789000</v>
      </c>
      <c r="E108" s="179">
        <f>C108-D108</f>
        <v>-4789000</v>
      </c>
    </row>
    <row r="109">
      <c r="A109" s="192"/>
      <c r="B109" s="192"/>
      <c r="C109" s="192"/>
      <c r="D109" s="192"/>
      <c r="E109" s="192"/>
    </row>
    <row r="110">
      <c r="A110" s="192"/>
      <c r="B110" s="192"/>
      <c r="C110" s="192"/>
      <c r="D110" s="192"/>
      <c r="E110" s="192"/>
    </row>
    <row r="111">
      <c r="A111" s="192"/>
      <c r="B111" s="192"/>
      <c r="C111" s="192"/>
      <c r="D111" s="192"/>
      <c r="E111" s="192"/>
    </row>
    <row r="112">
      <c r="A112" s="192"/>
      <c r="B112" s="192"/>
      <c r="C112" s="192"/>
      <c r="D112" s="192"/>
      <c r="E112" s="192"/>
    </row>
    <row r="113">
      <c r="A113" s="1" t="s">
        <v>0</v>
      </c>
      <c r="B113" s="2"/>
      <c r="C113" s="2"/>
      <c r="D113" s="2"/>
      <c r="E113" s="3"/>
    </row>
    <row r="114">
      <c r="A114" s="5" t="s">
        <v>1</v>
      </c>
      <c r="B114" s="2"/>
      <c r="C114" s="2"/>
      <c r="D114" s="2"/>
      <c r="E114" s="3"/>
    </row>
    <row r="115">
      <c r="A115" s="1" t="s">
        <v>77</v>
      </c>
      <c r="B115" s="2"/>
      <c r="C115" s="3"/>
      <c r="D115" s="6" t="s">
        <v>3</v>
      </c>
      <c r="E115" s="3"/>
    </row>
    <row r="116">
      <c r="A116" s="18"/>
      <c r="B116" s="18"/>
      <c r="C116" s="18"/>
      <c r="D116" s="18"/>
      <c r="E116" s="18"/>
    </row>
    <row r="117">
      <c r="A117" s="8" t="s">
        <v>4</v>
      </c>
      <c r="B117" s="8" t="s">
        <v>5</v>
      </c>
      <c r="C117" s="8" t="s">
        <v>7</v>
      </c>
      <c r="D117" s="8" t="s">
        <v>8</v>
      </c>
      <c r="E117" s="8" t="s">
        <v>9</v>
      </c>
    </row>
    <row r="118">
      <c r="A118" s="189"/>
      <c r="B118" s="189"/>
      <c r="C118" s="189"/>
      <c r="D118" s="189"/>
      <c r="E118" s="11" t="s">
        <v>10</v>
      </c>
    </row>
    <row r="119">
      <c r="A119" s="44"/>
      <c r="B119" s="18" t="s">
        <v>12</v>
      </c>
      <c r="C119" s="14">
        <v>0.0</v>
      </c>
      <c r="D119" s="33"/>
      <c r="E119" s="16">
        <f>C119</f>
        <v>0</v>
      </c>
    </row>
    <row r="120">
      <c r="A120" s="27">
        <v>45997.0</v>
      </c>
      <c r="B120" s="190" t="s">
        <v>538</v>
      </c>
      <c r="C120" s="18"/>
      <c r="D120" s="23">
        <v>12700.0</v>
      </c>
      <c r="E120" s="16">
        <f t="shared" ref="E120:E127" si="7">E119+C120-D120</f>
        <v>-12700</v>
      </c>
      <c r="F120" s="126" t="s">
        <v>539</v>
      </c>
    </row>
    <row r="121">
      <c r="A121" s="27">
        <v>45997.0</v>
      </c>
      <c r="B121" s="190" t="s">
        <v>540</v>
      </c>
      <c r="C121" s="18"/>
      <c r="D121" s="23">
        <v>3643.0</v>
      </c>
      <c r="E121" s="16">
        <f t="shared" si="7"/>
        <v>-16343</v>
      </c>
    </row>
    <row r="122">
      <c r="A122" s="27">
        <v>45997.0</v>
      </c>
      <c r="B122" s="190" t="s">
        <v>541</v>
      </c>
      <c r="C122" s="18"/>
      <c r="D122" s="23">
        <v>5400.0</v>
      </c>
      <c r="E122" s="16">
        <f t="shared" si="7"/>
        <v>-21743</v>
      </c>
    </row>
    <row r="123">
      <c r="A123" s="19">
        <v>45998.0</v>
      </c>
      <c r="B123" s="190" t="s">
        <v>542</v>
      </c>
      <c r="C123" s="18"/>
      <c r="D123" s="23">
        <v>241000.0</v>
      </c>
      <c r="E123" s="16">
        <f t="shared" si="7"/>
        <v>-262743</v>
      </c>
    </row>
    <row r="124">
      <c r="A124" s="19">
        <v>45998.0</v>
      </c>
      <c r="B124" s="190" t="s">
        <v>543</v>
      </c>
      <c r="C124" s="18"/>
      <c r="D124" s="23">
        <v>68572.0</v>
      </c>
      <c r="E124" s="16">
        <f t="shared" si="7"/>
        <v>-331315</v>
      </c>
    </row>
    <row r="125">
      <c r="A125" s="27">
        <v>45998.0</v>
      </c>
      <c r="B125" s="190" t="s">
        <v>544</v>
      </c>
      <c r="C125" s="18"/>
      <c r="D125" s="23">
        <v>3914.0</v>
      </c>
      <c r="E125" s="16">
        <f t="shared" si="7"/>
        <v>-335229</v>
      </c>
    </row>
    <row r="126">
      <c r="A126" s="27">
        <v>45999.0</v>
      </c>
      <c r="B126" s="190" t="s">
        <v>545</v>
      </c>
      <c r="C126" s="18"/>
      <c r="D126" s="23">
        <v>4327.0</v>
      </c>
      <c r="E126" s="16">
        <f t="shared" si="7"/>
        <v>-339556</v>
      </c>
    </row>
    <row r="127">
      <c r="A127" s="27">
        <v>45999.0</v>
      </c>
      <c r="B127" s="190" t="s">
        <v>546</v>
      </c>
      <c r="C127" s="18"/>
      <c r="D127" s="23">
        <v>8384.0</v>
      </c>
      <c r="E127" s="16">
        <f t="shared" si="7"/>
        <v>-347940</v>
      </c>
    </row>
    <row r="128">
      <c r="A128" s="31">
        <v>46006.0</v>
      </c>
      <c r="B128" s="190" t="s">
        <v>461</v>
      </c>
      <c r="C128" s="18"/>
      <c r="D128" s="23">
        <v>85705.0</v>
      </c>
      <c r="E128" s="16">
        <f t="shared" ref="E128:E129" si="8">E139+C128-D128</f>
        <v>-1074686.87</v>
      </c>
    </row>
    <row r="129">
      <c r="A129" s="19">
        <v>46008.0</v>
      </c>
      <c r="B129" s="190" t="s">
        <v>547</v>
      </c>
      <c r="C129" s="33"/>
      <c r="D129" s="23">
        <v>325000.0</v>
      </c>
      <c r="E129" s="16">
        <f t="shared" si="8"/>
        <v>-1712920.23</v>
      </c>
    </row>
    <row r="130">
      <c r="A130" s="19">
        <v>46000.0</v>
      </c>
      <c r="B130" s="190" t="s">
        <v>452</v>
      </c>
      <c r="C130" s="18"/>
      <c r="D130" s="23">
        <v>270475.0</v>
      </c>
      <c r="E130" s="16">
        <f>E127+C130-D130</f>
        <v>-618415</v>
      </c>
      <c r="F130" s="126" t="s">
        <v>548</v>
      </c>
    </row>
    <row r="131">
      <c r="A131" s="19">
        <v>46000.0</v>
      </c>
      <c r="B131" s="190" t="s">
        <v>453</v>
      </c>
      <c r="C131" s="18"/>
      <c r="D131" s="23">
        <v>64500.0</v>
      </c>
      <c r="E131" s="16">
        <f>E130+C131-D131</f>
        <v>-682915</v>
      </c>
    </row>
    <row r="132">
      <c r="A132" s="19">
        <v>46001.0</v>
      </c>
      <c r="B132" s="190" t="s">
        <v>549</v>
      </c>
      <c r="C132" s="18"/>
      <c r="D132" s="23">
        <v>153981.34</v>
      </c>
      <c r="E132" s="16">
        <f>E129+C132-D132</f>
        <v>-1866901.57</v>
      </c>
    </row>
    <row r="133">
      <c r="A133" s="19">
        <v>46001.0</v>
      </c>
      <c r="B133" s="190" t="s">
        <v>454</v>
      </c>
      <c r="C133" s="18"/>
      <c r="D133" s="23">
        <f>38400+8000</f>
        <v>46400</v>
      </c>
      <c r="E133" s="16">
        <f>E131+C133-D133</f>
        <v>-729315</v>
      </c>
    </row>
    <row r="134">
      <c r="A134" s="19">
        <v>46001.0</v>
      </c>
      <c r="B134" s="190" t="s">
        <v>550</v>
      </c>
      <c r="C134" s="18"/>
      <c r="D134" s="23">
        <v>16870.0</v>
      </c>
      <c r="E134" s="16">
        <f t="shared" ref="E134:E139" si="9">E133+C134-D134</f>
        <v>-746185</v>
      </c>
    </row>
    <row r="135">
      <c r="A135" s="19">
        <v>46001.0</v>
      </c>
      <c r="B135" s="190" t="s">
        <v>551</v>
      </c>
      <c r="C135" s="33"/>
      <c r="D135" s="23">
        <v>9300.0</v>
      </c>
      <c r="E135" s="16">
        <f t="shared" si="9"/>
        <v>-755485</v>
      </c>
    </row>
    <row r="136">
      <c r="A136" s="19">
        <v>46002.0</v>
      </c>
      <c r="B136" s="190" t="s">
        <v>552</v>
      </c>
      <c r="C136" s="18"/>
      <c r="D136" s="23">
        <v>140652.87</v>
      </c>
      <c r="E136" s="16">
        <f t="shared" si="9"/>
        <v>-896137.87</v>
      </c>
    </row>
    <row r="137">
      <c r="A137" s="19">
        <v>46004.0</v>
      </c>
      <c r="B137" s="190" t="s">
        <v>553</v>
      </c>
      <c r="C137" s="18"/>
      <c r="D137" s="23">
        <v>27344.0</v>
      </c>
      <c r="E137" s="16">
        <f t="shared" si="9"/>
        <v>-923481.87</v>
      </c>
    </row>
    <row r="138">
      <c r="A138" s="19">
        <v>46004.0</v>
      </c>
      <c r="B138" s="190" t="s">
        <v>554</v>
      </c>
      <c r="C138" s="33"/>
      <c r="D138" s="23">
        <v>5300.0</v>
      </c>
      <c r="E138" s="16">
        <f t="shared" si="9"/>
        <v>-928781.87</v>
      </c>
    </row>
    <row r="139">
      <c r="A139" s="27">
        <v>46006.0</v>
      </c>
      <c r="B139" s="190" t="s">
        <v>555</v>
      </c>
      <c r="C139" s="18"/>
      <c r="D139" s="23">
        <v>60200.0</v>
      </c>
      <c r="E139" s="16">
        <f t="shared" si="9"/>
        <v>-988981.87</v>
      </c>
    </row>
    <row r="140">
      <c r="A140" s="19">
        <v>46006.0</v>
      </c>
      <c r="B140" s="190" t="s">
        <v>556</v>
      </c>
      <c r="C140" s="18"/>
      <c r="D140" s="23">
        <f>104411.12*3</f>
        <v>313233.36</v>
      </c>
      <c r="E140" s="16">
        <f>E128+C140-D140</f>
        <v>-1387920.23</v>
      </c>
    </row>
    <row r="141">
      <c r="A141" s="44"/>
      <c r="B141" s="18"/>
      <c r="C141" s="33"/>
      <c r="D141" s="34"/>
      <c r="E141" s="16">
        <f>E132+C141-D141</f>
        <v>-1866901.57</v>
      </c>
    </row>
    <row r="142">
      <c r="A142" s="44"/>
      <c r="B142" s="18" t="s">
        <v>67</v>
      </c>
      <c r="C142" s="33">
        <f>SUM(C119:C130)</f>
        <v>0</v>
      </c>
      <c r="D142" s="34">
        <f>SUM(D120:D140)</f>
        <v>1866901.57</v>
      </c>
      <c r="E142" s="179">
        <f>C142-D142</f>
        <v>-1866901.57</v>
      </c>
    </row>
    <row r="143">
      <c r="A143" s="192"/>
      <c r="B143" s="192"/>
      <c r="C143" s="192"/>
      <c r="D143" s="192"/>
      <c r="E143" s="192"/>
    </row>
    <row r="144">
      <c r="A144" s="192"/>
      <c r="B144" s="192"/>
      <c r="C144" s="192"/>
      <c r="D144" s="192"/>
      <c r="E144" s="192"/>
    </row>
    <row r="145">
      <c r="A145" s="192"/>
      <c r="B145" s="192"/>
      <c r="C145" s="192"/>
      <c r="D145" s="192"/>
      <c r="E145" s="192"/>
    </row>
    <row r="146">
      <c r="A146" s="1" t="s">
        <v>0</v>
      </c>
      <c r="B146" s="2"/>
      <c r="C146" s="2"/>
      <c r="D146" s="2"/>
      <c r="E146" s="3"/>
    </row>
    <row r="147">
      <c r="A147" s="5" t="s">
        <v>1</v>
      </c>
      <c r="B147" s="2"/>
      <c r="C147" s="2"/>
      <c r="D147" s="2"/>
      <c r="E147" s="3"/>
    </row>
    <row r="148">
      <c r="A148" s="1" t="s">
        <v>2</v>
      </c>
      <c r="B148" s="2"/>
      <c r="C148" s="3"/>
      <c r="D148" s="6" t="s">
        <v>3</v>
      </c>
      <c r="E148" s="3"/>
    </row>
    <row r="149">
      <c r="A149" s="18"/>
      <c r="B149" s="18"/>
      <c r="C149" s="18"/>
      <c r="D149" s="18"/>
      <c r="E149" s="18"/>
    </row>
    <row r="150">
      <c r="A150" s="8" t="s">
        <v>4</v>
      </c>
      <c r="B150" s="8" t="s">
        <v>5</v>
      </c>
      <c r="C150" s="8" t="s">
        <v>7</v>
      </c>
      <c r="D150" s="8" t="s">
        <v>8</v>
      </c>
      <c r="E150" s="8" t="s">
        <v>9</v>
      </c>
    </row>
    <row r="151">
      <c r="A151" s="189"/>
      <c r="B151" s="189"/>
      <c r="C151" s="189"/>
      <c r="D151" s="189"/>
      <c r="E151" s="11" t="s">
        <v>10</v>
      </c>
    </row>
    <row r="152">
      <c r="A152" s="44"/>
      <c r="B152" s="18" t="s">
        <v>557</v>
      </c>
      <c r="C152" s="14">
        <v>273450.0</v>
      </c>
      <c r="D152" s="33"/>
      <c r="E152" s="16"/>
    </row>
    <row r="153">
      <c r="A153" s="44"/>
      <c r="B153" s="18" t="s">
        <v>558</v>
      </c>
      <c r="C153" s="14">
        <v>800000.0</v>
      </c>
      <c r="D153" s="33"/>
      <c r="E153" s="16">
        <f>C152+C153</f>
        <v>1073450</v>
      </c>
    </row>
    <row r="154">
      <c r="A154" s="19">
        <v>45988.0</v>
      </c>
      <c r="B154" s="18" t="s">
        <v>559</v>
      </c>
      <c r="C154" s="33"/>
      <c r="D154" s="23">
        <v>120000.0</v>
      </c>
      <c r="E154" s="16">
        <f>E205+C154-D154</f>
        <v>-2980604</v>
      </c>
    </row>
    <row r="155">
      <c r="A155" s="19">
        <v>45993.0</v>
      </c>
      <c r="B155" s="18" t="s">
        <v>560</v>
      </c>
      <c r="C155" s="18"/>
      <c r="D155" s="23">
        <v>27000.0</v>
      </c>
      <c r="E155" s="16">
        <f>E153+C155-D155</f>
        <v>1046450</v>
      </c>
    </row>
    <row r="156">
      <c r="A156" s="19">
        <v>45993.0</v>
      </c>
      <c r="B156" s="18" t="s">
        <v>561</v>
      </c>
      <c r="C156" s="18"/>
      <c r="D156" s="23">
        <v>98400.0</v>
      </c>
      <c r="E156" s="16">
        <f t="shared" ref="E156:E205" si="10">E155+C156-D156</f>
        <v>948050</v>
      </c>
    </row>
    <row r="157">
      <c r="A157" s="19">
        <v>45994.0</v>
      </c>
      <c r="B157" s="18" t="s">
        <v>562</v>
      </c>
      <c r="C157" s="18"/>
      <c r="D157" s="23">
        <v>280960.0</v>
      </c>
      <c r="E157" s="16">
        <f t="shared" si="10"/>
        <v>667090</v>
      </c>
    </row>
    <row r="158">
      <c r="A158" s="27">
        <v>45995.0</v>
      </c>
      <c r="B158" s="18" t="s">
        <v>20</v>
      </c>
      <c r="C158" s="18"/>
      <c r="D158" s="23">
        <v>180000.0</v>
      </c>
      <c r="E158" s="16">
        <f t="shared" si="10"/>
        <v>487090</v>
      </c>
    </row>
    <row r="159">
      <c r="A159" s="19">
        <v>45996.0</v>
      </c>
      <c r="B159" s="18" t="s">
        <v>563</v>
      </c>
      <c r="C159" s="18"/>
      <c r="D159" s="23">
        <v>100000.0</v>
      </c>
      <c r="E159" s="16">
        <f t="shared" si="10"/>
        <v>387090</v>
      </c>
    </row>
    <row r="160">
      <c r="A160" s="19">
        <v>45996.0</v>
      </c>
      <c r="B160" s="18" t="s">
        <v>564</v>
      </c>
      <c r="C160" s="18"/>
      <c r="D160" s="23">
        <v>32800.0</v>
      </c>
      <c r="E160" s="16">
        <f t="shared" si="10"/>
        <v>354290</v>
      </c>
    </row>
    <row r="161">
      <c r="A161" s="19">
        <v>45997.0</v>
      </c>
      <c r="B161" s="18" t="s">
        <v>565</v>
      </c>
      <c r="C161" s="18"/>
      <c r="D161" s="23">
        <v>12400.0</v>
      </c>
      <c r="E161" s="16">
        <f t="shared" si="10"/>
        <v>341890</v>
      </c>
    </row>
    <row r="162">
      <c r="A162" s="19">
        <v>45997.0</v>
      </c>
      <c r="B162" s="18" t="s">
        <v>566</v>
      </c>
      <c r="C162" s="18"/>
      <c r="D162" s="23">
        <v>19000.0</v>
      </c>
      <c r="E162" s="16">
        <f t="shared" si="10"/>
        <v>322890</v>
      </c>
    </row>
    <row r="163">
      <c r="A163" s="19">
        <v>45997.0</v>
      </c>
      <c r="B163" s="18" t="s">
        <v>567</v>
      </c>
      <c r="C163" s="18"/>
      <c r="D163" s="23">
        <v>5974.0</v>
      </c>
      <c r="E163" s="16">
        <f t="shared" si="10"/>
        <v>316916</v>
      </c>
    </row>
    <row r="164">
      <c r="A164" s="28">
        <v>45997.0</v>
      </c>
      <c r="B164" s="190" t="s">
        <v>568</v>
      </c>
      <c r="C164" s="18"/>
      <c r="D164" s="23">
        <v>360000.0</v>
      </c>
      <c r="E164" s="16">
        <f t="shared" si="10"/>
        <v>-43084</v>
      </c>
    </row>
    <row r="165">
      <c r="A165" s="19">
        <v>45998.0</v>
      </c>
      <c r="B165" s="18" t="s">
        <v>31</v>
      </c>
      <c r="C165" s="18"/>
      <c r="D165" s="23">
        <v>9000.0</v>
      </c>
      <c r="E165" s="16">
        <f t="shared" si="10"/>
        <v>-52084</v>
      </c>
    </row>
    <row r="166">
      <c r="A166" s="19">
        <v>45999.0</v>
      </c>
      <c r="B166" s="18" t="s">
        <v>569</v>
      </c>
      <c r="C166" s="18"/>
      <c r="D166" s="23">
        <v>50000.0</v>
      </c>
      <c r="E166" s="16">
        <f t="shared" si="10"/>
        <v>-102084</v>
      </c>
    </row>
    <row r="167">
      <c r="A167" s="19">
        <v>46000.0</v>
      </c>
      <c r="B167" s="18" t="s">
        <v>570</v>
      </c>
      <c r="C167" s="18"/>
      <c r="D167" s="23">
        <v>30000.0</v>
      </c>
      <c r="E167" s="16">
        <f t="shared" si="10"/>
        <v>-132084</v>
      </c>
    </row>
    <row r="168">
      <c r="A168" s="19">
        <v>46000.0</v>
      </c>
      <c r="B168" s="18" t="s">
        <v>571</v>
      </c>
      <c r="C168" s="18"/>
      <c r="D168" s="23">
        <v>22000.0</v>
      </c>
      <c r="E168" s="16">
        <f t="shared" si="10"/>
        <v>-154084</v>
      </c>
    </row>
    <row r="169">
      <c r="A169" s="19">
        <v>46000.0</v>
      </c>
      <c r="B169" s="18" t="s">
        <v>572</v>
      </c>
      <c r="C169" s="18"/>
      <c r="D169" s="23">
        <v>60000.0</v>
      </c>
      <c r="E169" s="16">
        <f t="shared" si="10"/>
        <v>-214084</v>
      </c>
    </row>
    <row r="170">
      <c r="A170" s="19">
        <v>46000.0</v>
      </c>
      <c r="B170" s="18" t="s">
        <v>573</v>
      </c>
      <c r="C170" s="18"/>
      <c r="D170" s="23">
        <v>55000.0</v>
      </c>
      <c r="E170" s="16">
        <f t="shared" si="10"/>
        <v>-269084</v>
      </c>
    </row>
    <row r="171">
      <c r="A171" s="19">
        <v>46000.0</v>
      </c>
      <c r="B171" s="18" t="s">
        <v>45</v>
      </c>
      <c r="C171" s="18"/>
      <c r="D171" s="23">
        <v>21600.0</v>
      </c>
      <c r="E171" s="16">
        <f t="shared" si="10"/>
        <v>-290684</v>
      </c>
    </row>
    <row r="172">
      <c r="A172" s="19">
        <v>46001.0</v>
      </c>
      <c r="B172" s="18" t="s">
        <v>574</v>
      </c>
      <c r="C172" s="18"/>
      <c r="D172" s="23">
        <v>18000.0</v>
      </c>
      <c r="E172" s="16">
        <f t="shared" si="10"/>
        <v>-308684</v>
      </c>
    </row>
    <row r="173">
      <c r="A173" s="31">
        <v>46002.0</v>
      </c>
      <c r="B173" s="18" t="s">
        <v>575</v>
      </c>
      <c r="C173" s="18"/>
      <c r="D173" s="23">
        <v>40000.0</v>
      </c>
      <c r="E173" s="16">
        <f t="shared" si="10"/>
        <v>-348684</v>
      </c>
    </row>
    <row r="174">
      <c r="A174" s="19">
        <v>46003.0</v>
      </c>
      <c r="B174" s="18" t="s">
        <v>576</v>
      </c>
      <c r="C174" s="18"/>
      <c r="D174" s="23">
        <v>45000.0</v>
      </c>
      <c r="E174" s="16">
        <f t="shared" si="10"/>
        <v>-393684</v>
      </c>
    </row>
    <row r="175">
      <c r="A175" s="19">
        <v>46003.0</v>
      </c>
      <c r="B175" s="18" t="s">
        <v>577</v>
      </c>
      <c r="C175" s="18"/>
      <c r="D175" s="23">
        <v>45000.0</v>
      </c>
      <c r="E175" s="16">
        <f t="shared" si="10"/>
        <v>-438684</v>
      </c>
    </row>
    <row r="176">
      <c r="A176" s="19">
        <v>46003.0</v>
      </c>
      <c r="B176" s="18" t="s">
        <v>578</v>
      </c>
      <c r="C176" s="18"/>
      <c r="D176" s="23">
        <v>280000.0</v>
      </c>
      <c r="E176" s="16">
        <f t="shared" si="10"/>
        <v>-718684</v>
      </c>
    </row>
    <row r="177">
      <c r="A177" s="19">
        <v>46004.0</v>
      </c>
      <c r="B177" s="18" t="s">
        <v>143</v>
      </c>
      <c r="C177" s="18"/>
      <c r="D177" s="23">
        <v>32800.0</v>
      </c>
      <c r="E177" s="16">
        <f t="shared" si="10"/>
        <v>-751484</v>
      </c>
    </row>
    <row r="178">
      <c r="A178" s="19">
        <v>46006.0</v>
      </c>
      <c r="B178" s="18" t="s">
        <v>53</v>
      </c>
      <c r="C178" s="18"/>
      <c r="D178" s="23">
        <v>15000.0</v>
      </c>
      <c r="E178" s="16">
        <f t="shared" si="10"/>
        <v>-766484</v>
      </c>
    </row>
    <row r="179">
      <c r="A179" s="19">
        <v>46006.0</v>
      </c>
      <c r="B179" s="18" t="s">
        <v>579</v>
      </c>
      <c r="C179" s="18"/>
      <c r="D179" s="23">
        <v>46800.0</v>
      </c>
      <c r="E179" s="16">
        <f t="shared" si="10"/>
        <v>-813284</v>
      </c>
    </row>
    <row r="180">
      <c r="A180" s="27">
        <v>46006.0</v>
      </c>
      <c r="B180" s="18" t="s">
        <v>580</v>
      </c>
      <c r="C180" s="18"/>
      <c r="D180" s="23">
        <v>20000.0</v>
      </c>
      <c r="E180" s="16">
        <f t="shared" si="10"/>
        <v>-833284</v>
      </c>
    </row>
    <row r="181">
      <c r="A181" s="27">
        <v>46006.0</v>
      </c>
      <c r="B181" s="18" t="s">
        <v>560</v>
      </c>
      <c r="C181" s="18"/>
      <c r="D181" s="23">
        <v>15600.0</v>
      </c>
      <c r="E181" s="16">
        <f t="shared" si="10"/>
        <v>-848884</v>
      </c>
    </row>
    <row r="182">
      <c r="A182" s="27">
        <v>46006.0</v>
      </c>
      <c r="B182" s="18" t="s">
        <v>581</v>
      </c>
      <c r="C182" s="18"/>
      <c r="D182" s="23">
        <v>17600.0</v>
      </c>
      <c r="E182" s="16">
        <f t="shared" si="10"/>
        <v>-866484</v>
      </c>
    </row>
    <row r="183">
      <c r="A183" s="27">
        <v>46006.0</v>
      </c>
      <c r="B183" s="18" t="s">
        <v>582</v>
      </c>
      <c r="C183" s="18"/>
      <c r="D183" s="23">
        <v>52000.0</v>
      </c>
      <c r="E183" s="16">
        <f t="shared" si="10"/>
        <v>-918484</v>
      </c>
    </row>
    <row r="184">
      <c r="A184" s="27">
        <v>46006.0</v>
      </c>
      <c r="B184" s="18" t="s">
        <v>583</v>
      </c>
      <c r="C184" s="18"/>
      <c r="D184" s="23">
        <v>40000.0</v>
      </c>
      <c r="E184" s="16">
        <f t="shared" si="10"/>
        <v>-958484</v>
      </c>
    </row>
    <row r="185">
      <c r="A185" s="27">
        <v>46006.0</v>
      </c>
      <c r="B185" s="18" t="s">
        <v>584</v>
      </c>
      <c r="C185" s="18"/>
      <c r="D185" s="23">
        <v>2600.0</v>
      </c>
      <c r="E185" s="16">
        <f t="shared" si="10"/>
        <v>-961084</v>
      </c>
    </row>
    <row r="186">
      <c r="A186" s="19">
        <v>46006.0</v>
      </c>
      <c r="B186" s="18" t="s">
        <v>585</v>
      </c>
      <c r="C186" s="18"/>
      <c r="D186" s="23">
        <v>14000.0</v>
      </c>
      <c r="E186" s="16">
        <f t="shared" si="10"/>
        <v>-975084</v>
      </c>
    </row>
    <row r="187">
      <c r="A187" s="19">
        <v>46006.0</v>
      </c>
      <c r="B187" s="18" t="s">
        <v>586</v>
      </c>
      <c r="C187" s="18"/>
      <c r="D187" s="23">
        <v>12000.0</v>
      </c>
      <c r="E187" s="16">
        <f t="shared" si="10"/>
        <v>-987084</v>
      </c>
    </row>
    <row r="188">
      <c r="A188" s="19">
        <v>46006.0</v>
      </c>
      <c r="B188" s="18" t="s">
        <v>587</v>
      </c>
      <c r="C188" s="18"/>
      <c r="D188" s="23">
        <v>25300.0</v>
      </c>
      <c r="E188" s="16">
        <f t="shared" si="10"/>
        <v>-1012384</v>
      </c>
    </row>
    <row r="189">
      <c r="A189" s="19">
        <v>46007.0</v>
      </c>
      <c r="B189" s="18" t="s">
        <v>588</v>
      </c>
      <c r="C189" s="18"/>
      <c r="D189" s="23">
        <v>45000.0</v>
      </c>
      <c r="E189" s="16">
        <f t="shared" si="10"/>
        <v>-1057384</v>
      </c>
    </row>
    <row r="190">
      <c r="A190" s="19">
        <v>46007.0</v>
      </c>
      <c r="B190" s="18" t="s">
        <v>64</v>
      </c>
      <c r="C190" s="18"/>
      <c r="D190" s="23">
        <v>20000.0</v>
      </c>
      <c r="E190" s="16">
        <f t="shared" si="10"/>
        <v>-1077384</v>
      </c>
    </row>
    <row r="191">
      <c r="A191" s="19">
        <v>46007.0</v>
      </c>
      <c r="B191" s="18" t="s">
        <v>589</v>
      </c>
      <c r="C191" s="18"/>
      <c r="D191" s="23">
        <v>15000.0</v>
      </c>
      <c r="E191" s="16">
        <f t="shared" si="10"/>
        <v>-1092384</v>
      </c>
    </row>
    <row r="192">
      <c r="A192" s="19">
        <v>46008.0</v>
      </c>
      <c r="B192" s="18" t="s">
        <v>66</v>
      </c>
      <c r="C192" s="18"/>
      <c r="D192" s="23">
        <v>20000.0</v>
      </c>
      <c r="E192" s="16">
        <f t="shared" si="10"/>
        <v>-1112384</v>
      </c>
    </row>
    <row r="193">
      <c r="A193" s="44"/>
      <c r="B193" s="18" t="s">
        <v>590</v>
      </c>
      <c r="C193" s="18"/>
      <c r="D193" s="23">
        <v>455000.0</v>
      </c>
      <c r="E193" s="16">
        <f t="shared" si="10"/>
        <v>-1567384</v>
      </c>
    </row>
    <row r="194">
      <c r="A194" s="44"/>
      <c r="B194" s="18" t="s">
        <v>591</v>
      </c>
      <c r="C194" s="18"/>
      <c r="D194" s="23">
        <v>520000.0</v>
      </c>
      <c r="E194" s="16">
        <f t="shared" si="10"/>
        <v>-2087384</v>
      </c>
    </row>
    <row r="195">
      <c r="A195" s="44"/>
      <c r="B195" s="18" t="s">
        <v>592</v>
      </c>
      <c r="C195" s="18"/>
      <c r="D195" s="23">
        <v>300000.0</v>
      </c>
      <c r="E195" s="16">
        <f t="shared" si="10"/>
        <v>-2387384</v>
      </c>
    </row>
    <row r="196">
      <c r="A196" s="44"/>
      <c r="B196" s="18" t="s">
        <v>593</v>
      </c>
      <c r="C196" s="18"/>
      <c r="D196" s="23">
        <v>60000.0</v>
      </c>
      <c r="E196" s="16">
        <f t="shared" si="10"/>
        <v>-2447384</v>
      </c>
    </row>
    <row r="197">
      <c r="A197" s="44"/>
      <c r="B197" s="18" t="s">
        <v>594</v>
      </c>
      <c r="C197" s="18"/>
      <c r="D197" s="23">
        <v>30000.0</v>
      </c>
      <c r="E197" s="16">
        <f t="shared" si="10"/>
        <v>-2477384</v>
      </c>
    </row>
    <row r="198">
      <c r="A198" s="44"/>
      <c r="B198" s="18" t="s">
        <v>595</v>
      </c>
      <c r="C198" s="18"/>
      <c r="D198" s="23">
        <v>100000.0</v>
      </c>
      <c r="E198" s="16">
        <f t="shared" si="10"/>
        <v>-2577384</v>
      </c>
    </row>
    <row r="199">
      <c r="A199" s="44"/>
      <c r="B199" s="18" t="s">
        <v>596</v>
      </c>
      <c r="C199" s="18"/>
      <c r="D199" s="23">
        <v>55000.0</v>
      </c>
      <c r="E199" s="16">
        <f t="shared" si="10"/>
        <v>-2632384</v>
      </c>
    </row>
    <row r="200">
      <c r="A200" s="44"/>
      <c r="B200" s="18" t="s">
        <v>597</v>
      </c>
      <c r="C200" s="18"/>
      <c r="D200" s="23">
        <v>84320.0</v>
      </c>
      <c r="E200" s="16">
        <f t="shared" si="10"/>
        <v>-2716704</v>
      </c>
    </row>
    <row r="201">
      <c r="A201" s="44"/>
      <c r="B201" s="18" t="s">
        <v>598</v>
      </c>
      <c r="C201" s="18"/>
      <c r="D201" s="23">
        <v>45000.0</v>
      </c>
      <c r="E201" s="16">
        <f t="shared" si="10"/>
        <v>-2761704</v>
      </c>
    </row>
    <row r="202">
      <c r="A202" s="44"/>
      <c r="B202" s="18" t="s">
        <v>599</v>
      </c>
      <c r="C202" s="18"/>
      <c r="D202" s="23">
        <v>41000.0</v>
      </c>
      <c r="E202" s="16">
        <f t="shared" si="10"/>
        <v>-2802704</v>
      </c>
    </row>
    <row r="203">
      <c r="A203" s="44"/>
      <c r="B203" s="18" t="s">
        <v>600</v>
      </c>
      <c r="C203" s="18"/>
      <c r="D203" s="23">
        <v>21000.0</v>
      </c>
      <c r="E203" s="16">
        <f t="shared" si="10"/>
        <v>-2823704</v>
      </c>
    </row>
    <row r="204">
      <c r="A204" s="44"/>
      <c r="B204" s="18" t="s">
        <v>601</v>
      </c>
      <c r="C204" s="18"/>
      <c r="D204" s="23">
        <v>21000.0</v>
      </c>
      <c r="E204" s="16">
        <f t="shared" si="10"/>
        <v>-2844704</v>
      </c>
    </row>
    <row r="205">
      <c r="A205" s="44"/>
      <c r="B205" s="18" t="s">
        <v>602</v>
      </c>
      <c r="C205" s="18"/>
      <c r="D205" s="23">
        <v>15900.0</v>
      </c>
      <c r="E205" s="16">
        <f t="shared" si="10"/>
        <v>-2860604</v>
      </c>
    </row>
    <row r="206">
      <c r="A206" s="44"/>
      <c r="B206" s="18" t="s">
        <v>67</v>
      </c>
      <c r="C206" s="33">
        <f>SUM(C152:C193)</f>
        <v>1073450</v>
      </c>
      <c r="D206" s="34">
        <f>SUM(D155:D205)</f>
        <v>3934054</v>
      </c>
      <c r="E206" s="179">
        <f>C206-D206</f>
        <v>-2860604</v>
      </c>
    </row>
    <row r="209">
      <c r="A209" s="203" t="s">
        <v>603</v>
      </c>
      <c r="B209" s="204"/>
      <c r="C209" s="204"/>
    </row>
    <row r="210">
      <c r="A210" s="204"/>
      <c r="B210" s="203" t="s">
        <v>604</v>
      </c>
      <c r="C210" s="205">
        <f>E206</f>
        <v>-2860604</v>
      </c>
    </row>
    <row r="211">
      <c r="A211" s="204"/>
      <c r="B211" s="203" t="s">
        <v>605</v>
      </c>
      <c r="C211" s="205">
        <f>E108</f>
        <v>-4789000</v>
      </c>
    </row>
    <row r="212">
      <c r="A212" s="204"/>
      <c r="B212" s="203" t="s">
        <v>606</v>
      </c>
      <c r="C212" s="205">
        <f>E142</f>
        <v>-1866901.57</v>
      </c>
    </row>
    <row r="213">
      <c r="A213" s="204"/>
      <c r="B213" s="203" t="s">
        <v>607</v>
      </c>
      <c r="C213" s="205">
        <f>E90</f>
        <v>-134288</v>
      </c>
    </row>
    <row r="214">
      <c r="A214" s="204"/>
      <c r="B214" s="203" t="s">
        <v>608</v>
      </c>
      <c r="C214" s="205">
        <f>E69</f>
        <v>-895585</v>
      </c>
    </row>
    <row r="215">
      <c r="A215" s="204"/>
      <c r="B215" s="203" t="s">
        <v>609</v>
      </c>
      <c r="C215" s="205">
        <f>E15</f>
        <v>-13858</v>
      </c>
    </row>
    <row r="216">
      <c r="A216" s="204"/>
      <c r="B216" s="204"/>
      <c r="C216" s="206">
        <f>SUM(C210:C215)</f>
        <v>-10560236.57</v>
      </c>
    </row>
  </sheetData>
  <mergeCells count="25">
    <mergeCell ref="A1:E1"/>
    <mergeCell ref="A2:E2"/>
    <mergeCell ref="A3:C3"/>
    <mergeCell ref="D3:E3"/>
    <mergeCell ref="A19:E19"/>
    <mergeCell ref="A20:E20"/>
    <mergeCell ref="D21:E21"/>
    <mergeCell ref="A21:C21"/>
    <mergeCell ref="A72:E72"/>
    <mergeCell ref="A73:E73"/>
    <mergeCell ref="A74:C74"/>
    <mergeCell ref="D74:E74"/>
    <mergeCell ref="A93:E93"/>
    <mergeCell ref="D94:E94"/>
    <mergeCell ref="A146:E146"/>
    <mergeCell ref="A147:E147"/>
    <mergeCell ref="A148:C148"/>
    <mergeCell ref="D148:E148"/>
    <mergeCell ref="A94:C94"/>
    <mergeCell ref="A113:E113"/>
    <mergeCell ref="A114:E114"/>
    <mergeCell ref="A115:C115"/>
    <mergeCell ref="D115:E115"/>
    <mergeCell ref="F120:F129"/>
    <mergeCell ref="F130:F141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6" t="s">
        <v>610</v>
      </c>
      <c r="B1" s="142">
        <v>2200000.0</v>
      </c>
    </row>
    <row r="2">
      <c r="A2" s="126" t="s">
        <v>611</v>
      </c>
      <c r="B2" s="142">
        <v>1700000.0</v>
      </c>
    </row>
    <row r="3">
      <c r="A3" s="126" t="s">
        <v>612</v>
      </c>
      <c r="B3" s="142">
        <v>650000.0</v>
      </c>
    </row>
    <row r="4">
      <c r="A4" s="126" t="s">
        <v>613</v>
      </c>
      <c r="B4" s="142">
        <v>1650000.0</v>
      </c>
      <c r="C4" s="126" t="s">
        <v>614</v>
      </c>
    </row>
    <row r="5">
      <c r="A5" s="126" t="s">
        <v>615</v>
      </c>
      <c r="B5" s="142">
        <v>850000.0</v>
      </c>
    </row>
    <row r="6">
      <c r="A6" s="126" t="s">
        <v>616</v>
      </c>
      <c r="B6" s="142">
        <v>723000.0</v>
      </c>
      <c r="C6" s="126" t="s">
        <v>614</v>
      </c>
    </row>
    <row r="7">
      <c r="A7" s="126" t="s">
        <v>617</v>
      </c>
      <c r="B7" s="142">
        <v>600000.0</v>
      </c>
    </row>
    <row r="8">
      <c r="B8" s="207"/>
    </row>
    <row r="9">
      <c r="B9" s="207"/>
    </row>
    <row r="10">
      <c r="B10" s="207"/>
    </row>
    <row r="11">
      <c r="B11" s="207"/>
    </row>
    <row r="12">
      <c r="B12" s="207"/>
    </row>
    <row r="13">
      <c r="B13" s="207"/>
    </row>
    <row r="14">
      <c r="B14" s="207"/>
      <c r="E14" s="126">
        <v>723.0</v>
      </c>
    </row>
    <row r="15">
      <c r="B15" s="207"/>
    </row>
    <row r="16">
      <c r="B16" s="207"/>
    </row>
    <row r="17">
      <c r="B17" s="207"/>
    </row>
    <row r="18">
      <c r="B18" s="207"/>
    </row>
    <row r="19">
      <c r="B19" s="207"/>
    </row>
    <row r="20">
      <c r="B20" s="207"/>
    </row>
    <row r="21">
      <c r="B21" s="207"/>
    </row>
    <row r="22">
      <c r="B22" s="207"/>
    </row>
    <row r="23">
      <c r="B23" s="207"/>
    </row>
    <row r="24">
      <c r="B24" s="207"/>
    </row>
    <row r="25">
      <c r="B25" s="207"/>
    </row>
    <row r="26">
      <c r="B26" s="207"/>
    </row>
    <row r="27">
      <c r="B27" s="207"/>
    </row>
    <row r="28">
      <c r="B28" s="207"/>
    </row>
    <row r="29">
      <c r="B29" s="207"/>
    </row>
    <row r="30">
      <c r="B30" s="207"/>
    </row>
    <row r="31">
      <c r="B31" s="20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3.25"/>
  </cols>
  <sheetData>
    <row r="1">
      <c r="A1" s="1" t="s">
        <v>0</v>
      </c>
      <c r="B1" s="2"/>
      <c r="C1" s="2"/>
      <c r="D1" s="2"/>
      <c r="E1" s="3"/>
    </row>
    <row r="2">
      <c r="A2" s="5" t="s">
        <v>1</v>
      </c>
      <c r="B2" s="2"/>
      <c r="C2" s="2"/>
      <c r="D2" s="2"/>
      <c r="E2" s="3"/>
    </row>
    <row r="3">
      <c r="A3" s="1" t="s">
        <v>480</v>
      </c>
      <c r="B3" s="2"/>
      <c r="C3" s="3"/>
      <c r="D3" s="6" t="s">
        <v>3</v>
      </c>
      <c r="E3" s="3"/>
    </row>
    <row r="4">
      <c r="A4" s="7"/>
      <c r="B4" s="7"/>
      <c r="C4" s="7"/>
      <c r="D4" s="7"/>
      <c r="E4" s="7"/>
    </row>
    <row r="5">
      <c r="A5" s="8" t="s">
        <v>4</v>
      </c>
      <c r="B5" s="8" t="s">
        <v>5</v>
      </c>
      <c r="C5" s="8" t="s">
        <v>7</v>
      </c>
      <c r="D5" s="8" t="s">
        <v>8</v>
      </c>
      <c r="E5" s="8" t="s">
        <v>9</v>
      </c>
    </row>
    <row r="6">
      <c r="A6" s="10"/>
      <c r="B6" s="10"/>
      <c r="C6" s="10"/>
      <c r="D6" s="10"/>
      <c r="E6" s="11" t="s">
        <v>10</v>
      </c>
    </row>
    <row r="7">
      <c r="A7" s="177"/>
      <c r="B7" s="18" t="s">
        <v>12</v>
      </c>
      <c r="C7" s="14">
        <v>1300000.0</v>
      </c>
      <c r="D7" s="181"/>
      <c r="E7" s="16">
        <f>C7</f>
        <v>1300000</v>
      </c>
    </row>
    <row r="8">
      <c r="A8" s="208">
        <v>45993.0</v>
      </c>
      <c r="B8" s="209" t="s">
        <v>481</v>
      </c>
      <c r="C8" s="7"/>
      <c r="D8" s="210">
        <v>24700.0</v>
      </c>
      <c r="E8" s="16">
        <f t="shared" ref="E8:E50" si="1">E7+C8-D8</f>
        <v>1275300</v>
      </c>
    </row>
    <row r="9">
      <c r="A9" s="208">
        <v>45993.0</v>
      </c>
      <c r="B9" s="211" t="s">
        <v>482</v>
      </c>
      <c r="C9" s="7"/>
      <c r="D9" s="210">
        <v>19500.0</v>
      </c>
      <c r="E9" s="16">
        <f t="shared" si="1"/>
        <v>1255800</v>
      </c>
    </row>
    <row r="10">
      <c r="A10" s="208">
        <v>45993.0</v>
      </c>
      <c r="B10" s="209" t="s">
        <v>483</v>
      </c>
      <c r="C10" s="7"/>
      <c r="D10" s="210">
        <v>9000.0</v>
      </c>
      <c r="E10" s="16">
        <f t="shared" si="1"/>
        <v>1246800</v>
      </c>
    </row>
    <row r="11">
      <c r="A11" s="208">
        <v>45993.0</v>
      </c>
      <c r="B11" s="212" t="s">
        <v>618</v>
      </c>
      <c r="C11" s="7"/>
      <c r="D11" s="210">
        <v>67000.0</v>
      </c>
      <c r="E11" s="16">
        <f t="shared" si="1"/>
        <v>1179800</v>
      </c>
    </row>
    <row r="12">
      <c r="A12" s="208">
        <v>45994.0</v>
      </c>
      <c r="B12" s="209" t="s">
        <v>619</v>
      </c>
      <c r="C12" s="7"/>
      <c r="D12" s="185">
        <v>12000.0</v>
      </c>
      <c r="E12" s="16">
        <f t="shared" si="1"/>
        <v>1167800</v>
      </c>
    </row>
    <row r="13">
      <c r="A13" s="208">
        <v>45994.0</v>
      </c>
      <c r="B13" s="212" t="s">
        <v>620</v>
      </c>
      <c r="C13" s="7"/>
      <c r="D13" s="210">
        <v>14000.0</v>
      </c>
      <c r="E13" s="16">
        <f t="shared" si="1"/>
        <v>1153800</v>
      </c>
    </row>
    <row r="14">
      <c r="A14" s="208">
        <v>45994.0</v>
      </c>
      <c r="B14" s="209" t="s">
        <v>621</v>
      </c>
      <c r="C14" s="7"/>
      <c r="D14" s="210">
        <v>12000.0</v>
      </c>
      <c r="E14" s="16">
        <f t="shared" si="1"/>
        <v>1141800</v>
      </c>
    </row>
    <row r="15">
      <c r="A15" s="208">
        <v>45994.0</v>
      </c>
      <c r="B15" s="209" t="s">
        <v>622</v>
      </c>
      <c r="C15" s="7"/>
      <c r="D15" s="210">
        <v>75000.0</v>
      </c>
      <c r="E15" s="16">
        <f t="shared" si="1"/>
        <v>1066800</v>
      </c>
    </row>
    <row r="16">
      <c r="A16" s="208">
        <v>45994.0</v>
      </c>
      <c r="B16" s="213" t="s">
        <v>623</v>
      </c>
      <c r="C16" s="7"/>
      <c r="D16" s="210">
        <v>21000.0</v>
      </c>
      <c r="E16" s="16">
        <f t="shared" si="1"/>
        <v>1045800</v>
      </c>
    </row>
    <row r="17">
      <c r="A17" s="208">
        <v>45994.0</v>
      </c>
      <c r="B17" s="212" t="s">
        <v>490</v>
      </c>
      <c r="C17" s="7"/>
      <c r="D17" s="185">
        <v>65000.0</v>
      </c>
      <c r="E17" s="16">
        <f t="shared" si="1"/>
        <v>980800</v>
      </c>
    </row>
    <row r="18">
      <c r="A18" s="208">
        <v>45994.0</v>
      </c>
      <c r="B18" s="211" t="s">
        <v>624</v>
      </c>
      <c r="C18" s="7"/>
      <c r="D18" s="210">
        <v>8600.0</v>
      </c>
      <c r="E18" s="16">
        <f t="shared" si="1"/>
        <v>972200</v>
      </c>
    </row>
    <row r="19">
      <c r="A19" s="208">
        <v>45994.0</v>
      </c>
      <c r="B19" s="209" t="s">
        <v>625</v>
      </c>
      <c r="C19" s="7"/>
      <c r="D19" s="210">
        <v>60000.0</v>
      </c>
      <c r="E19" s="16">
        <f t="shared" si="1"/>
        <v>912200</v>
      </c>
    </row>
    <row r="20">
      <c r="A20" s="208">
        <v>45994.0</v>
      </c>
      <c r="B20" s="209" t="s">
        <v>493</v>
      </c>
      <c r="C20" s="7"/>
      <c r="D20" s="210">
        <v>7000.0</v>
      </c>
      <c r="E20" s="16">
        <f t="shared" si="1"/>
        <v>905200</v>
      </c>
    </row>
    <row r="21">
      <c r="A21" s="208">
        <v>45995.0</v>
      </c>
      <c r="B21" s="209" t="s">
        <v>626</v>
      </c>
      <c r="C21" s="7"/>
      <c r="D21" s="210">
        <v>10000.0</v>
      </c>
      <c r="E21" s="16">
        <f t="shared" si="1"/>
        <v>895200</v>
      </c>
    </row>
    <row r="22">
      <c r="A22" s="208">
        <v>45995.0</v>
      </c>
      <c r="B22" s="212" t="s">
        <v>627</v>
      </c>
      <c r="C22" s="7"/>
      <c r="D22" s="185">
        <v>60000.0</v>
      </c>
      <c r="E22" s="16">
        <f t="shared" si="1"/>
        <v>835200</v>
      </c>
    </row>
    <row r="23">
      <c r="A23" s="208">
        <v>45995.0</v>
      </c>
      <c r="B23" s="212" t="s">
        <v>496</v>
      </c>
      <c r="C23" s="7"/>
      <c r="D23" s="185">
        <v>10000.0</v>
      </c>
      <c r="E23" s="16">
        <f t="shared" si="1"/>
        <v>825200</v>
      </c>
    </row>
    <row r="24">
      <c r="A24" s="208">
        <v>45995.0</v>
      </c>
      <c r="B24" s="209" t="s">
        <v>628</v>
      </c>
      <c r="C24" s="7"/>
      <c r="D24" s="210">
        <v>65000.0</v>
      </c>
      <c r="E24" s="16">
        <f t="shared" si="1"/>
        <v>760200</v>
      </c>
    </row>
    <row r="25">
      <c r="A25" s="208">
        <v>45996.0</v>
      </c>
      <c r="B25" s="209" t="s">
        <v>619</v>
      </c>
      <c r="C25" s="7"/>
      <c r="D25" s="210">
        <v>12000.0</v>
      </c>
      <c r="E25" s="16">
        <f t="shared" si="1"/>
        <v>748200</v>
      </c>
    </row>
    <row r="26">
      <c r="A26" s="208">
        <v>45996.0</v>
      </c>
      <c r="B26" s="209" t="s">
        <v>629</v>
      </c>
      <c r="C26" s="7"/>
      <c r="D26" s="210">
        <v>75000.0</v>
      </c>
      <c r="E26" s="16">
        <f t="shared" si="1"/>
        <v>673200</v>
      </c>
    </row>
    <row r="27">
      <c r="A27" s="208">
        <v>45996.0</v>
      </c>
      <c r="B27" s="209" t="s">
        <v>499</v>
      </c>
      <c r="C27" s="7"/>
      <c r="D27" s="210">
        <v>28000.0</v>
      </c>
      <c r="E27" s="16">
        <f t="shared" si="1"/>
        <v>645200</v>
      </c>
    </row>
    <row r="28">
      <c r="A28" s="208">
        <v>45996.0</v>
      </c>
      <c r="B28" s="209" t="s">
        <v>630</v>
      </c>
      <c r="C28" s="7"/>
      <c r="D28" s="210">
        <v>12000.0</v>
      </c>
      <c r="E28" s="16">
        <f t="shared" si="1"/>
        <v>633200</v>
      </c>
    </row>
    <row r="29">
      <c r="A29" s="208">
        <v>45996.0</v>
      </c>
      <c r="B29" s="212" t="s">
        <v>628</v>
      </c>
      <c r="C29" s="7"/>
      <c r="D29" s="210">
        <v>65000.0</v>
      </c>
      <c r="E29" s="16">
        <f t="shared" si="1"/>
        <v>568200</v>
      </c>
    </row>
    <row r="30">
      <c r="A30" s="208">
        <v>45996.0</v>
      </c>
      <c r="B30" s="209" t="s">
        <v>501</v>
      </c>
      <c r="C30" s="7"/>
      <c r="D30" s="210">
        <v>9000.0</v>
      </c>
      <c r="E30" s="16">
        <f t="shared" si="1"/>
        <v>559200</v>
      </c>
    </row>
    <row r="31">
      <c r="A31" s="208">
        <v>45997.0</v>
      </c>
      <c r="B31" s="209" t="s">
        <v>619</v>
      </c>
      <c r="C31" s="7"/>
      <c r="D31" s="210">
        <v>12000.0</v>
      </c>
      <c r="E31" s="16">
        <f t="shared" si="1"/>
        <v>547200</v>
      </c>
    </row>
    <row r="32">
      <c r="A32" s="208">
        <v>45997.0</v>
      </c>
      <c r="B32" s="209" t="s">
        <v>631</v>
      </c>
      <c r="C32" s="7"/>
      <c r="D32" s="210">
        <v>90000.0</v>
      </c>
      <c r="E32" s="16">
        <f t="shared" si="1"/>
        <v>457200</v>
      </c>
    </row>
    <row r="33">
      <c r="A33" s="208">
        <v>45997.0</v>
      </c>
      <c r="B33" s="209" t="s">
        <v>499</v>
      </c>
      <c r="C33" s="7"/>
      <c r="D33" s="210">
        <v>28000.0</v>
      </c>
      <c r="E33" s="16">
        <f t="shared" si="1"/>
        <v>429200</v>
      </c>
    </row>
    <row r="34">
      <c r="A34" s="208">
        <v>45997.0</v>
      </c>
      <c r="B34" s="209" t="s">
        <v>632</v>
      </c>
      <c r="C34" s="7"/>
      <c r="D34" s="210">
        <v>16000.0</v>
      </c>
      <c r="E34" s="16">
        <f t="shared" si="1"/>
        <v>413200</v>
      </c>
    </row>
    <row r="35">
      <c r="A35" s="208">
        <v>45997.0</v>
      </c>
      <c r="B35" s="209" t="s">
        <v>633</v>
      </c>
      <c r="C35" s="7"/>
      <c r="D35" s="210">
        <v>90000.0</v>
      </c>
      <c r="E35" s="16">
        <f t="shared" si="1"/>
        <v>323200</v>
      </c>
    </row>
    <row r="36">
      <c r="A36" s="208">
        <v>45997.0</v>
      </c>
      <c r="B36" s="212" t="s">
        <v>634</v>
      </c>
      <c r="C36" s="7"/>
      <c r="D36" s="210">
        <v>7000.0</v>
      </c>
      <c r="E36" s="16">
        <f t="shared" si="1"/>
        <v>316200</v>
      </c>
    </row>
    <row r="37">
      <c r="A37" s="208">
        <v>45998.0</v>
      </c>
      <c r="B37" s="212" t="s">
        <v>635</v>
      </c>
      <c r="C37" s="7"/>
      <c r="D37" s="185">
        <v>15000.0</v>
      </c>
      <c r="E37" s="16">
        <f t="shared" si="1"/>
        <v>301200</v>
      </c>
    </row>
    <row r="38">
      <c r="A38" s="208">
        <v>45998.0</v>
      </c>
      <c r="B38" s="212" t="s">
        <v>507</v>
      </c>
      <c r="C38" s="7"/>
      <c r="D38" s="210">
        <v>97000.0</v>
      </c>
      <c r="E38" s="16">
        <f t="shared" si="1"/>
        <v>204200</v>
      </c>
    </row>
    <row r="39">
      <c r="A39" s="186">
        <v>46001.0</v>
      </c>
      <c r="B39" s="212" t="s">
        <v>636</v>
      </c>
      <c r="C39" s="7"/>
      <c r="D39" s="185">
        <v>5295.0</v>
      </c>
      <c r="E39" s="16">
        <f t="shared" si="1"/>
        <v>198905</v>
      </c>
    </row>
    <row r="40">
      <c r="A40" s="186">
        <v>46001.0</v>
      </c>
      <c r="B40" s="209" t="s">
        <v>637</v>
      </c>
      <c r="C40" s="7"/>
      <c r="D40" s="210">
        <v>283000.0</v>
      </c>
      <c r="E40" s="16">
        <f t="shared" si="1"/>
        <v>-84095</v>
      </c>
    </row>
    <row r="41">
      <c r="A41" s="186">
        <v>46001.0</v>
      </c>
      <c r="B41" s="209" t="s">
        <v>510</v>
      </c>
      <c r="C41" s="7"/>
      <c r="D41" s="185">
        <v>371000.0</v>
      </c>
      <c r="E41" s="16">
        <f t="shared" si="1"/>
        <v>-455095</v>
      </c>
    </row>
    <row r="42">
      <c r="A42" s="186">
        <v>46001.0</v>
      </c>
      <c r="B42" s="212" t="s">
        <v>511</v>
      </c>
      <c r="C42" s="7"/>
      <c r="D42" s="210">
        <v>105000.0</v>
      </c>
      <c r="E42" s="16">
        <f t="shared" si="1"/>
        <v>-560095</v>
      </c>
    </row>
    <row r="43">
      <c r="A43" s="186">
        <v>46002.0</v>
      </c>
      <c r="B43" s="209" t="s">
        <v>638</v>
      </c>
      <c r="C43" s="7"/>
      <c r="D43" s="210">
        <v>69000.0</v>
      </c>
      <c r="E43" s="16">
        <f t="shared" si="1"/>
        <v>-629095</v>
      </c>
    </row>
    <row r="44">
      <c r="A44" s="186">
        <v>46003.0</v>
      </c>
      <c r="B44" s="209" t="s">
        <v>639</v>
      </c>
      <c r="C44" s="7"/>
      <c r="D44" s="210">
        <v>56000.0</v>
      </c>
      <c r="E44" s="16">
        <f t="shared" si="1"/>
        <v>-685095</v>
      </c>
    </row>
    <row r="45">
      <c r="A45" s="186">
        <v>46003.0</v>
      </c>
      <c r="B45" s="209" t="s">
        <v>514</v>
      </c>
      <c r="C45" s="7"/>
      <c r="D45" s="185">
        <v>128000.0</v>
      </c>
      <c r="E45" s="16">
        <f t="shared" si="1"/>
        <v>-813095</v>
      </c>
    </row>
    <row r="46">
      <c r="A46" s="186">
        <v>46003.0</v>
      </c>
      <c r="B46" s="212" t="s">
        <v>636</v>
      </c>
      <c r="C46" s="7"/>
      <c r="D46" s="185">
        <v>5520.0</v>
      </c>
      <c r="E46" s="16">
        <f t="shared" si="1"/>
        <v>-818615</v>
      </c>
    </row>
    <row r="47">
      <c r="A47" s="208">
        <v>46003.0</v>
      </c>
      <c r="B47" s="212" t="s">
        <v>515</v>
      </c>
      <c r="C47" s="7"/>
      <c r="D47" s="185">
        <v>5670.0</v>
      </c>
      <c r="E47" s="16">
        <f t="shared" si="1"/>
        <v>-824285</v>
      </c>
    </row>
    <row r="48">
      <c r="A48" s="186">
        <v>46004.0</v>
      </c>
      <c r="B48" s="209" t="s">
        <v>516</v>
      </c>
      <c r="C48" s="7"/>
      <c r="D48" s="210">
        <v>24500.0</v>
      </c>
      <c r="E48" s="16">
        <f t="shared" si="1"/>
        <v>-848785</v>
      </c>
    </row>
    <row r="49">
      <c r="A49" s="208">
        <v>46007.0</v>
      </c>
      <c r="B49" s="212" t="s">
        <v>640</v>
      </c>
      <c r="C49" s="7"/>
      <c r="D49" s="185">
        <v>17500.0</v>
      </c>
      <c r="E49" s="16">
        <f t="shared" si="1"/>
        <v>-866285</v>
      </c>
    </row>
    <row r="50">
      <c r="A50" s="208">
        <v>46008.0</v>
      </c>
      <c r="B50" s="212" t="s">
        <v>518</v>
      </c>
      <c r="C50" s="7"/>
      <c r="D50" s="185">
        <v>29300.0</v>
      </c>
      <c r="E50" s="16">
        <f t="shared" si="1"/>
        <v>-895585</v>
      </c>
    </row>
    <row r="51">
      <c r="A51" s="177"/>
      <c r="B51" s="18" t="s">
        <v>67</v>
      </c>
      <c r="C51" s="33">
        <f>SUM(C7:C46)</f>
        <v>1300000</v>
      </c>
      <c r="D51" s="34">
        <f>SUM(D8:D50)</f>
        <v>2195585</v>
      </c>
      <c r="E51" s="179">
        <f>C51-D51</f>
        <v>-895585</v>
      </c>
    </row>
  </sheetData>
  <mergeCells count="4">
    <mergeCell ref="A1:E1"/>
    <mergeCell ref="A2:E2"/>
    <mergeCell ref="A3:C3"/>
    <mergeCell ref="D3:E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25"/>
  </cols>
  <sheetData>
    <row r="1">
      <c r="A1" s="1" t="s">
        <v>0</v>
      </c>
      <c r="B1" s="2"/>
      <c r="C1" s="2"/>
      <c r="D1" s="2"/>
      <c r="E1" s="3"/>
    </row>
    <row r="2">
      <c r="A2" s="5" t="s">
        <v>1</v>
      </c>
      <c r="B2" s="2"/>
      <c r="C2" s="2"/>
      <c r="D2" s="2"/>
      <c r="E2" s="3"/>
    </row>
    <row r="3">
      <c r="A3" s="1" t="s">
        <v>528</v>
      </c>
      <c r="B3" s="2"/>
      <c r="C3" s="3"/>
      <c r="D3" s="6" t="s">
        <v>3</v>
      </c>
      <c r="E3" s="3"/>
    </row>
    <row r="4">
      <c r="A4" s="7"/>
      <c r="B4" s="7"/>
      <c r="C4" s="7"/>
      <c r="D4" s="7"/>
      <c r="E4" s="7"/>
    </row>
    <row r="5">
      <c r="A5" s="8" t="s">
        <v>4</v>
      </c>
      <c r="B5" s="8" t="s">
        <v>5</v>
      </c>
      <c r="C5" s="8" t="s">
        <v>7</v>
      </c>
      <c r="D5" s="8" t="s">
        <v>8</v>
      </c>
      <c r="E5" s="8" t="s">
        <v>9</v>
      </c>
    </row>
    <row r="6">
      <c r="A6" s="10"/>
      <c r="B6" s="10"/>
      <c r="C6" s="10"/>
      <c r="D6" s="10"/>
      <c r="E6" s="11" t="s">
        <v>10</v>
      </c>
    </row>
    <row r="7">
      <c r="A7" s="177"/>
      <c r="B7" s="18" t="s">
        <v>12</v>
      </c>
      <c r="C7" s="14">
        <v>0.0</v>
      </c>
      <c r="D7" s="181"/>
      <c r="E7" s="16">
        <f>C7</f>
        <v>0</v>
      </c>
    </row>
    <row r="8">
      <c r="A8" s="200"/>
      <c r="B8" s="214" t="s">
        <v>641</v>
      </c>
      <c r="C8" s="7"/>
      <c r="D8" s="23">
        <v>1500000.0</v>
      </c>
      <c r="E8" s="16">
        <f t="shared" ref="E8:E16" si="1">E7+C8-D8</f>
        <v>-1500000</v>
      </c>
    </row>
    <row r="9">
      <c r="A9" s="44"/>
      <c r="B9" s="214" t="s">
        <v>641</v>
      </c>
      <c r="C9" s="7"/>
      <c r="D9" s="23">
        <v>360000.0</v>
      </c>
      <c r="E9" s="16">
        <f t="shared" si="1"/>
        <v>-1860000</v>
      </c>
    </row>
    <row r="10">
      <c r="A10" s="61"/>
      <c r="B10" s="214" t="s">
        <v>642</v>
      </c>
      <c r="C10" s="7"/>
      <c r="D10" s="23">
        <v>1000000.0</v>
      </c>
      <c r="E10" s="16">
        <f t="shared" si="1"/>
        <v>-2860000</v>
      </c>
    </row>
    <row r="11">
      <c r="A11" s="44"/>
      <c r="B11" s="214" t="s">
        <v>643</v>
      </c>
      <c r="C11" s="7"/>
      <c r="D11" s="23">
        <v>161000.0</v>
      </c>
      <c r="E11" s="16">
        <f t="shared" si="1"/>
        <v>-3021000</v>
      </c>
    </row>
    <row r="12">
      <c r="A12" s="44"/>
      <c r="B12" s="214" t="s">
        <v>532</v>
      </c>
      <c r="C12" s="7"/>
      <c r="D12" s="23">
        <v>144000.0</v>
      </c>
      <c r="E12" s="16">
        <f t="shared" si="1"/>
        <v>-3165000</v>
      </c>
    </row>
    <row r="13">
      <c r="A13" s="44"/>
      <c r="B13" s="214" t="s">
        <v>533</v>
      </c>
      <c r="C13" s="7"/>
      <c r="D13" s="23">
        <v>100000.0</v>
      </c>
      <c r="E13" s="16">
        <f t="shared" si="1"/>
        <v>-3265000</v>
      </c>
    </row>
    <row r="14">
      <c r="A14" s="44"/>
      <c r="B14" s="214" t="s">
        <v>534</v>
      </c>
      <c r="C14" s="7"/>
      <c r="D14" s="23">
        <v>500000.0</v>
      </c>
      <c r="E14" s="16">
        <f t="shared" si="1"/>
        <v>-3765000</v>
      </c>
    </row>
    <row r="15">
      <c r="A15" s="44"/>
      <c r="B15" s="13" t="s">
        <v>644</v>
      </c>
      <c r="C15" s="7"/>
      <c r="D15" s="23">
        <v>500000.0</v>
      </c>
      <c r="E15" s="16">
        <f t="shared" si="1"/>
        <v>-4265000</v>
      </c>
    </row>
    <row r="16">
      <c r="A16" s="44"/>
      <c r="B16" s="214" t="s">
        <v>645</v>
      </c>
      <c r="C16" s="7"/>
      <c r="D16" s="23">
        <v>524000.0</v>
      </c>
      <c r="E16" s="16">
        <f t="shared" si="1"/>
        <v>-4789000</v>
      </c>
    </row>
    <row r="17">
      <c r="A17" s="177"/>
      <c r="B17" s="18" t="s">
        <v>67</v>
      </c>
      <c r="C17" s="33">
        <f>SUM(C7:C16)</f>
        <v>0</v>
      </c>
      <c r="D17" s="34">
        <f>SUM(D8:D16)</f>
        <v>4789000</v>
      </c>
      <c r="E17" s="179">
        <f>C17-D17</f>
        <v>-4789000</v>
      </c>
    </row>
    <row r="18">
      <c r="A18" s="4"/>
      <c r="B18" s="4"/>
      <c r="C18" s="4"/>
      <c r="D18" s="4"/>
      <c r="E18" s="4"/>
    </row>
    <row r="19">
      <c r="A19" s="4"/>
      <c r="B19" s="4"/>
      <c r="C19" s="4"/>
      <c r="D19" s="4"/>
      <c r="E19" s="4"/>
    </row>
  </sheetData>
  <mergeCells count="4">
    <mergeCell ref="A1:E1"/>
    <mergeCell ref="A2:E2"/>
    <mergeCell ref="A3:C3"/>
    <mergeCell ref="D3:E3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</cols>
  <sheetData>
    <row r="1">
      <c r="A1" s="1" t="s">
        <v>0</v>
      </c>
      <c r="B1" s="2"/>
      <c r="C1" s="2"/>
      <c r="D1" s="2"/>
      <c r="E1" s="3"/>
    </row>
    <row r="2">
      <c r="A2" s="5" t="s">
        <v>1</v>
      </c>
      <c r="B2" s="2"/>
      <c r="C2" s="2"/>
      <c r="D2" s="2"/>
      <c r="E2" s="3"/>
    </row>
    <row r="3">
      <c r="A3" s="110" t="s">
        <v>524</v>
      </c>
      <c r="B3" s="2"/>
      <c r="C3" s="3"/>
      <c r="D3" s="6" t="s">
        <v>3</v>
      </c>
      <c r="E3" s="3"/>
    </row>
    <row r="4">
      <c r="A4" s="7"/>
      <c r="B4" s="7"/>
      <c r="C4" s="7"/>
      <c r="D4" s="7"/>
      <c r="E4" s="7"/>
    </row>
    <row r="5">
      <c r="A5" s="8" t="s">
        <v>4</v>
      </c>
      <c r="B5" s="8" t="s">
        <v>5</v>
      </c>
      <c r="C5" s="8" t="s">
        <v>7</v>
      </c>
      <c r="D5" s="8" t="s">
        <v>8</v>
      </c>
      <c r="E5" s="8" t="s">
        <v>9</v>
      </c>
    </row>
    <row r="6">
      <c r="A6" s="10"/>
      <c r="B6" s="10"/>
      <c r="C6" s="10"/>
      <c r="D6" s="10"/>
      <c r="E6" s="11" t="s">
        <v>10</v>
      </c>
    </row>
    <row r="7">
      <c r="A7" s="177"/>
      <c r="B7" s="18" t="s">
        <v>12</v>
      </c>
      <c r="C7" s="14">
        <v>0.0</v>
      </c>
      <c r="D7" s="181"/>
      <c r="E7" s="16">
        <f>C7</f>
        <v>0</v>
      </c>
    </row>
    <row r="8">
      <c r="A8" s="195">
        <v>45999.0</v>
      </c>
      <c r="B8" s="215" t="s">
        <v>646</v>
      </c>
      <c r="C8" s="184"/>
      <c r="D8" s="23">
        <v>67610.0</v>
      </c>
      <c r="E8" s="16">
        <f>E7+C8-D8</f>
        <v>-67610</v>
      </c>
    </row>
    <row r="9">
      <c r="A9" s="27">
        <v>46000.0</v>
      </c>
      <c r="B9" s="216" t="s">
        <v>647</v>
      </c>
      <c r="C9" s="184"/>
      <c r="D9" s="23">
        <v>6142.0</v>
      </c>
      <c r="E9" s="16"/>
    </row>
    <row r="10">
      <c r="A10" s="27">
        <v>46001.0</v>
      </c>
      <c r="B10" s="216" t="s">
        <v>648</v>
      </c>
      <c r="C10" s="184"/>
      <c r="D10" s="23">
        <v>5547.0</v>
      </c>
      <c r="E10" s="16"/>
    </row>
    <row r="11">
      <c r="A11" s="27">
        <v>46001.0</v>
      </c>
      <c r="B11" s="216" t="s">
        <v>647</v>
      </c>
      <c r="C11" s="184"/>
      <c r="D11" s="23">
        <v>6300.0</v>
      </c>
      <c r="E11" s="16"/>
    </row>
    <row r="12">
      <c r="A12" s="19">
        <v>46002.0</v>
      </c>
      <c r="B12" s="216" t="s">
        <v>648</v>
      </c>
      <c r="C12" s="184"/>
      <c r="D12" s="23">
        <v>5651.0</v>
      </c>
      <c r="E12" s="16"/>
    </row>
    <row r="13">
      <c r="A13" s="19">
        <v>46002.0</v>
      </c>
      <c r="B13" s="216" t="s">
        <v>647</v>
      </c>
      <c r="C13" s="7"/>
      <c r="D13" s="23">
        <v>6169.0</v>
      </c>
      <c r="E13" s="16">
        <f>E8+C13-D13</f>
        <v>-73779</v>
      </c>
    </row>
    <row r="14">
      <c r="A14" s="19">
        <v>46003.0</v>
      </c>
      <c r="B14" s="216" t="s">
        <v>648</v>
      </c>
      <c r="C14" s="7"/>
      <c r="D14" s="23">
        <v>5561.0</v>
      </c>
      <c r="E14" s="16"/>
    </row>
    <row r="15">
      <c r="A15" s="31">
        <v>46003.0</v>
      </c>
      <c r="B15" s="216" t="s">
        <v>647</v>
      </c>
      <c r="C15" s="208"/>
      <c r="D15" s="23">
        <v>6642.0</v>
      </c>
      <c r="E15" s="16">
        <f>E13+C15-D15</f>
        <v>-80421</v>
      </c>
    </row>
    <row r="16">
      <c r="A16" s="19">
        <v>46004.0</v>
      </c>
      <c r="B16" s="216" t="s">
        <v>648</v>
      </c>
      <c r="C16" s="7"/>
      <c r="D16" s="23">
        <v>5786.0</v>
      </c>
      <c r="E16" s="16">
        <f t="shared" ref="E16:E18" si="1">E15+C16-D16</f>
        <v>-86207</v>
      </c>
    </row>
    <row r="17">
      <c r="A17" s="19">
        <v>46004.0</v>
      </c>
      <c r="B17" s="216" t="s">
        <v>647</v>
      </c>
      <c r="C17" s="7"/>
      <c r="D17" s="23">
        <v>8131.0</v>
      </c>
      <c r="E17" s="16">
        <f t="shared" si="1"/>
        <v>-94338</v>
      </c>
    </row>
    <row r="18">
      <c r="A18" s="19">
        <v>46005.0</v>
      </c>
      <c r="B18" s="216" t="s">
        <v>647</v>
      </c>
      <c r="C18" s="7"/>
      <c r="D18" s="23">
        <v>10749.0</v>
      </c>
      <c r="E18" s="16">
        <f t="shared" si="1"/>
        <v>-105087</v>
      </c>
    </row>
    <row r="19">
      <c r="A19" s="177"/>
      <c r="B19" s="18" t="s">
        <v>67</v>
      </c>
      <c r="C19" s="33">
        <f>SUM(C7:C18)</f>
        <v>0</v>
      </c>
      <c r="D19" s="34">
        <f>SUM(D8:D18)</f>
        <v>134288</v>
      </c>
      <c r="E19" s="179">
        <f>C19-D19</f>
        <v>-134288</v>
      </c>
    </row>
    <row r="20">
      <c r="A20" s="4"/>
      <c r="B20" s="4"/>
      <c r="C20" s="4"/>
      <c r="D20" s="4"/>
      <c r="E20" s="4"/>
    </row>
  </sheetData>
  <mergeCells count="4">
    <mergeCell ref="A1:E1"/>
    <mergeCell ref="A2:E2"/>
    <mergeCell ref="A3:C3"/>
    <mergeCell ref="D3:E3"/>
  </mergeCells>
  <drawing r:id="rId1"/>
</worksheet>
</file>