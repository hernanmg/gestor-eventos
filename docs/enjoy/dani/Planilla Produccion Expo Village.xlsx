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Rubros " sheetId="1" r:id="rId4"/>
    <sheet state="visible" name="Operativo " sheetId="2" r:id="rId5"/>
    <sheet state="visible" name="Puntos de internet" sheetId="3" r:id="rId6"/>
    <sheet state="visible" name="Esquema de seguridad" sheetId="4" r:id="rId7"/>
    <sheet state="visible" name="Cronograma de Montaje" sheetId="5" r:id="rId8"/>
    <sheet state="visible" name="Compras Letape" sheetId="6" r:id="rId9"/>
    <sheet state="visible" name="Pedido de Estructuras" sheetId="7" r:id="rId10"/>
    <sheet state="visible" name="Branding Enjoy" sheetId="8" r:id="rId11"/>
  </sheets>
  <definedNames>
    <definedName hidden="1" localSheetId="5" name="_xlnm._FilterDatabase">'Compras Letape'!$A$3:$J$30</definedName>
  </definedNames>
  <calcPr/>
  <extLst>
    <ext uri="GoogleSheetsCustomDataVersion2">
      <go:sheetsCustomData xmlns:go="http://customooxmlschemas.google.com/" r:id="rId12" roundtripDataChecksum="F4tB8bB9GUtl9LyLFlNFoXhC9wFPJeObUOvJdz1qe/M="/>
    </ext>
  </extLst>
</workbook>
</file>

<file path=xl/sharedStrings.xml><?xml version="1.0" encoding="utf-8"?>
<sst xmlns="http://schemas.openxmlformats.org/spreadsheetml/2006/main" count="974" uniqueCount="587">
  <si>
    <t>|</t>
  </si>
  <si>
    <t>CONTROL DE RUBROS ENJOY</t>
  </si>
  <si>
    <t>Evento: Expo Village - Letape Argentina</t>
  </si>
  <si>
    <t xml:space="preserve">  </t>
  </si>
  <si>
    <t>N°</t>
  </si>
  <si>
    <t>Rubro</t>
  </si>
  <si>
    <t>Proveedor</t>
  </si>
  <si>
    <t>Ingreso</t>
  </si>
  <si>
    <t>Directorio</t>
  </si>
  <si>
    <t>NO VA</t>
  </si>
  <si>
    <t>-</t>
  </si>
  <si>
    <t>Hoteleria Party A</t>
  </si>
  <si>
    <t>Estructuras</t>
  </si>
  <si>
    <t>DOS57</t>
  </si>
  <si>
    <t>Hoteleria Party B</t>
  </si>
  <si>
    <t>Cerramiento</t>
  </si>
  <si>
    <t>Hoteleria Party C</t>
  </si>
  <si>
    <t>Vallas</t>
  </si>
  <si>
    <t>Zamping</t>
  </si>
  <si>
    <t>Sonido</t>
  </si>
  <si>
    <t>Enjoy + Impulso</t>
  </si>
  <si>
    <t>Ticketera</t>
  </si>
  <si>
    <t>NJUNKO</t>
  </si>
  <si>
    <t>Luces</t>
  </si>
  <si>
    <t>Enjoy + Nahuel</t>
  </si>
  <si>
    <t>Limpieza en evento</t>
  </si>
  <si>
    <t>ROYALTY</t>
  </si>
  <si>
    <t>Pantalla</t>
  </si>
  <si>
    <t>Enjoy + Uf Pro</t>
  </si>
  <si>
    <t>Limpieza pre y post</t>
  </si>
  <si>
    <t>FX</t>
  </si>
  <si>
    <t>SINAI</t>
  </si>
  <si>
    <t>Limpieza baños quimicos</t>
  </si>
  <si>
    <t>CCTV</t>
  </si>
  <si>
    <t>TATO</t>
  </si>
  <si>
    <t>Desagote baños quimicos</t>
  </si>
  <si>
    <t>Baños quimicos</t>
  </si>
  <si>
    <t>Seguro RC</t>
  </si>
  <si>
    <t>VER</t>
  </si>
  <si>
    <t>Contenedor Oficina</t>
  </si>
  <si>
    <t>BASSANI</t>
  </si>
  <si>
    <t>Paneleria</t>
  </si>
  <si>
    <t>VALENTINO</t>
  </si>
  <si>
    <t>Baños VIP</t>
  </si>
  <si>
    <t>Personal de cargas</t>
  </si>
  <si>
    <t>Backline</t>
  </si>
  <si>
    <t>Personal de boleteria</t>
  </si>
  <si>
    <t>Mobiliario</t>
  </si>
  <si>
    <t>UNICO</t>
  </si>
  <si>
    <t>Personal acomodadores</t>
  </si>
  <si>
    <t>MARCOS DIAZ</t>
  </si>
  <si>
    <t>Catering</t>
  </si>
  <si>
    <t>BIASI</t>
  </si>
  <si>
    <t>Personal estacionamiento</t>
  </si>
  <si>
    <t>Carpas</t>
  </si>
  <si>
    <t>TAGLE</t>
  </si>
  <si>
    <t>Policia</t>
  </si>
  <si>
    <t>Puesto de hidratacion</t>
  </si>
  <si>
    <t>Adicionales de policia</t>
  </si>
  <si>
    <t>Seguridad privada</t>
  </si>
  <si>
    <t>M3</t>
  </si>
  <si>
    <t>20-21-22</t>
  </si>
  <si>
    <t>Riggers</t>
  </si>
  <si>
    <t>Sereno</t>
  </si>
  <si>
    <t>Entelado/Aforo</t>
  </si>
  <si>
    <t>Jefe de seguridad</t>
  </si>
  <si>
    <t>Op. Sonido</t>
  </si>
  <si>
    <t>IMPULSO</t>
  </si>
  <si>
    <t>Generador</t>
  </si>
  <si>
    <t>TROVATO</t>
  </si>
  <si>
    <t>Op. Luces</t>
  </si>
  <si>
    <t>NAHUEL</t>
  </si>
  <si>
    <t>Distribucion de energia</t>
  </si>
  <si>
    <t>ENJOY</t>
  </si>
  <si>
    <t>Op. Pantalla</t>
  </si>
  <si>
    <t>JESUS LEDESMA</t>
  </si>
  <si>
    <t>Camiones/Logistica</t>
  </si>
  <si>
    <t>DJ</t>
  </si>
  <si>
    <t>VICKY</t>
  </si>
  <si>
    <t>Transportacion</t>
  </si>
  <si>
    <t>Host de redes</t>
  </si>
  <si>
    <t>Sillas plasticas</t>
  </si>
  <si>
    <t>Choferes</t>
  </si>
  <si>
    <t>Conectividad distribucion</t>
  </si>
  <si>
    <t>IPX</t>
  </si>
  <si>
    <t>Branding/Imprenta</t>
  </si>
  <si>
    <t>GALARA</t>
  </si>
  <si>
    <t>Camaras de seguridad</t>
  </si>
  <si>
    <t>Colocacion de branding</t>
  </si>
  <si>
    <t>FOFI</t>
  </si>
  <si>
    <t>Conectividad Starlink</t>
  </si>
  <si>
    <t>GATO + ENJOY</t>
  </si>
  <si>
    <t>Publicidad Via publica</t>
  </si>
  <si>
    <t>Equipo Audiovisual</t>
  </si>
  <si>
    <t>BUSTAMANTE</t>
  </si>
  <si>
    <t>Activaciones/Juegos</t>
  </si>
  <si>
    <t>Drone</t>
  </si>
  <si>
    <t>Promotoras</t>
  </si>
  <si>
    <t>Viandas</t>
  </si>
  <si>
    <t>HAKA/VICTORIA</t>
  </si>
  <si>
    <t>Tunel / Tubos led</t>
  </si>
  <si>
    <t>Hielo</t>
  </si>
  <si>
    <t>VER DANI</t>
  </si>
  <si>
    <t>Laser</t>
  </si>
  <si>
    <t>Dispenser con bidones</t>
  </si>
  <si>
    <t>Fuegos Artificiales</t>
  </si>
  <si>
    <t>Agua para contrapeso</t>
  </si>
  <si>
    <t>DANI</t>
  </si>
  <si>
    <t>Transmision/Streaming</t>
  </si>
  <si>
    <t>Ambulancias</t>
  </si>
  <si>
    <t>VECKY</t>
  </si>
  <si>
    <t>Rescatistas</t>
  </si>
  <si>
    <t>Barras</t>
  </si>
  <si>
    <t>HARLEY</t>
  </si>
  <si>
    <t>Domo</t>
  </si>
  <si>
    <t>Tablones con bancos</t>
  </si>
  <si>
    <t>Chinitos/Calefactores</t>
  </si>
  <si>
    <t>Inflables</t>
  </si>
  <si>
    <t>Climatizacion de carpas</t>
  </si>
  <si>
    <t>Beduinas</t>
  </si>
  <si>
    <t xml:space="preserve">A DEFINIR </t>
  </si>
  <si>
    <t>Mapping</t>
  </si>
  <si>
    <t>Colectivo</t>
  </si>
  <si>
    <t>Amidas</t>
  </si>
  <si>
    <t>Puesto Sanitario</t>
  </si>
  <si>
    <t>Camion de caudales</t>
  </si>
  <si>
    <t>Ambientacion</t>
  </si>
  <si>
    <t xml:space="preserve">VER </t>
  </si>
  <si>
    <t>Handieman</t>
  </si>
  <si>
    <t>ESPACIOS EXPO VILLAGE</t>
  </si>
  <si>
    <t>Letape Argentina - Expo Village</t>
  </si>
  <si>
    <t>ESPACIOS</t>
  </si>
  <si>
    <t>ACTIVIDAD/FUNCION</t>
  </si>
  <si>
    <t>LLEVA</t>
  </si>
  <si>
    <t>ESTADO</t>
  </si>
  <si>
    <t>RESPONSABLE</t>
  </si>
  <si>
    <t>OBSERVACIONES</t>
  </si>
  <si>
    <t>BV LETAPE</t>
  </si>
  <si>
    <t>Largada - Llegada</t>
  </si>
  <si>
    <t>Carpa tecnica</t>
  </si>
  <si>
    <t>Confirmado</t>
  </si>
  <si>
    <t>Carpa 5x5 Tagle</t>
  </si>
  <si>
    <t>Generadores</t>
  </si>
  <si>
    <t>1 trovato 40KVA + 6 enjoy 220</t>
  </si>
  <si>
    <t>12 cajas de 15´ con consola y microfonos (contratar</t>
  </si>
  <si>
    <t>Vallas con cubrevallas</t>
  </si>
  <si>
    <t>Porticos con mesh</t>
  </si>
  <si>
    <t xml:space="preserve">Ver medidas finales </t>
  </si>
  <si>
    <t>Porticos inflables</t>
  </si>
  <si>
    <t>Elementos de MKT</t>
  </si>
  <si>
    <t>Internet</t>
  </si>
  <si>
    <t xml:space="preserve">PARQUE CERRADO </t>
  </si>
  <si>
    <t>Estacionamiento sponsor / Produccion / Kit full</t>
  </si>
  <si>
    <t>Acomodadores</t>
  </si>
  <si>
    <t>Contratar Chequear con Marcos</t>
  </si>
  <si>
    <t>Oblea estacionamiento</t>
  </si>
  <si>
    <t>Señaletica</t>
  </si>
  <si>
    <t>Chupetines</t>
  </si>
  <si>
    <t>Seguridad</t>
  </si>
  <si>
    <t>Corrales</t>
  </si>
  <si>
    <t>Con señaletica</t>
  </si>
  <si>
    <t>Arco inflable</t>
  </si>
  <si>
    <t>Acceso a Playon 1</t>
  </si>
  <si>
    <t>Banderas</t>
  </si>
  <si>
    <t>En torres dd iluminacion</t>
  </si>
  <si>
    <t>Portico Fijo</t>
  </si>
  <si>
    <t>Ver si lleva Branding</t>
  </si>
  <si>
    <t>PLAYON 1</t>
  </si>
  <si>
    <t>Premiacion</t>
  </si>
  <si>
    <t>Escenario</t>
  </si>
  <si>
    <t>10.28m x 7.71m a 1.20m con torres de sonido a 8m de 1.09m con Back para pantalla + 10 lonas para caja negra + Escalera + Rampa</t>
  </si>
  <si>
    <t>6 x lado luma + graves + Dj + microfoneria premiacion (Ver banda) + 4 mic inalambricos</t>
  </si>
  <si>
    <t>Pantalla Escenario</t>
  </si>
  <si>
    <t>8x4 de back</t>
  </si>
  <si>
    <t>Luces escenario</t>
  </si>
  <si>
    <t>Marco truss con nebulas</t>
  </si>
  <si>
    <t>110KVA</t>
  </si>
  <si>
    <t>Carpa Backstage</t>
  </si>
  <si>
    <t xml:space="preserve">1 gacebo blancos de enjoy 6X3 </t>
  </si>
  <si>
    <t>Oficina produccion</t>
  </si>
  <si>
    <t>Bunquer VI.DA</t>
  </si>
  <si>
    <t>Andaribeles</t>
  </si>
  <si>
    <t>Branding</t>
  </si>
  <si>
    <t>Tijeras + mesh portico + banderas + cubrevallas + Listado Vickt</t>
  </si>
  <si>
    <t>seguridad</t>
  </si>
  <si>
    <t>spot fotos/activacion</t>
  </si>
  <si>
    <t>Ver Vicky</t>
  </si>
  <si>
    <t>Stan de informes/consultas</t>
  </si>
  <si>
    <t>Gacebo Letape + Chupetin + Mesas y sillas</t>
  </si>
  <si>
    <t>Voluntarios/Staff</t>
  </si>
  <si>
    <t>MArcos Diaz</t>
  </si>
  <si>
    <t>Podio (Escenario)</t>
  </si>
  <si>
    <t>Ver con Lu Galara (Chequear el de TC)</t>
  </si>
  <si>
    <t>10 Baños quimicos</t>
  </si>
  <si>
    <t xml:space="preserve">1 Gacebo blanco Enjoy 6x3 </t>
  </si>
  <si>
    <t>Portico de expo</t>
  </si>
  <si>
    <t>Branding Portico</t>
  </si>
  <si>
    <t>Ver material y cantidades de caras</t>
  </si>
  <si>
    <t>Stands / Expositores</t>
  </si>
  <si>
    <t>Ver con Agus y Aldi</t>
  </si>
  <si>
    <t>Elementos MKT / Sponsors</t>
  </si>
  <si>
    <t>Ver que mandan</t>
  </si>
  <si>
    <t>Demorado pantalla</t>
  </si>
  <si>
    <t>A CONFIRMAR</t>
  </si>
  <si>
    <t>Guardarropas</t>
  </si>
  <si>
    <t>Carpa de 10x5 - Cenefa con impresion</t>
  </si>
  <si>
    <t>Stand UCRA</t>
  </si>
  <si>
    <t>Gacebo + Ver con Fabi</t>
  </si>
  <si>
    <t>torre señaletica</t>
  </si>
  <si>
    <t>Tripticos + Chupetines</t>
  </si>
  <si>
    <t>CAMINO CCC</t>
  </si>
  <si>
    <t>Presencia de marca</t>
  </si>
  <si>
    <t>Posteros + Banderas</t>
  </si>
  <si>
    <t>Letape + Enjoy</t>
  </si>
  <si>
    <t>ESPACIO GASTRONOMICO</t>
  </si>
  <si>
    <t>Patio Gastronomico</t>
  </si>
  <si>
    <t>Foodtruck</t>
  </si>
  <si>
    <t>Barra de bebida</t>
  </si>
  <si>
    <t>5 modulos de Harley</t>
  </si>
  <si>
    <t>Beduina</t>
  </si>
  <si>
    <t>Ver medida (Idem Pit Party)</t>
  </si>
  <si>
    <t>Harley 40 mesas y 80 bancos</t>
  </si>
  <si>
    <t>Tachos de basura</t>
  </si>
  <si>
    <t>Pedir a Dos57</t>
  </si>
  <si>
    <t>Energia</t>
  </si>
  <si>
    <t>Generador de 60KVA</t>
  </si>
  <si>
    <t>ZONA CERO</t>
  </si>
  <si>
    <t>Zona Cero/Zona Cero VIP</t>
  </si>
  <si>
    <t>Idem TC</t>
  </si>
  <si>
    <t>Gastronomia</t>
  </si>
  <si>
    <t>Biasi + Mobiliario</t>
  </si>
  <si>
    <t>Caterin Biasi</t>
  </si>
  <si>
    <t>Bebida</t>
  </si>
  <si>
    <t>Canje</t>
  </si>
  <si>
    <t>Gastronomia foodtrucks</t>
  </si>
  <si>
    <t>Unico</t>
  </si>
  <si>
    <t>60KVA</t>
  </si>
  <si>
    <t>5x3</t>
  </si>
  <si>
    <t>Perimetro</t>
  </si>
  <si>
    <t>Valla revestida</t>
  </si>
  <si>
    <t>Activacion de marcas</t>
  </si>
  <si>
    <t>Vicky</t>
  </si>
  <si>
    <t>Baño VIP</t>
  </si>
  <si>
    <t>Doble (L)</t>
  </si>
  <si>
    <t>Portico Layher</t>
  </si>
  <si>
    <t>2.57m x 2.57m a 4m con celosia (Chequear lonas Zona Cero)</t>
  </si>
  <si>
    <t>Starlink</t>
  </si>
  <si>
    <t>Cabina Nahuel + Dj(Vicky)</t>
  </si>
  <si>
    <t>4 EV</t>
  </si>
  <si>
    <t>EXPLANADA INGRESO</t>
  </si>
  <si>
    <t>Ingreso CCC</t>
  </si>
  <si>
    <t>Mesh/lona torres - Streaming</t>
  </si>
  <si>
    <t>Streaming</t>
  </si>
  <si>
    <t>Casilla vidriada doble Basani (Pedir) + Internet + Energia + Tato + Walter + PErsonal + Mobiliario + Back + Luces tv + Ver fondo + Ver mesa de transmision + Microfoneria</t>
  </si>
  <si>
    <t>Torres de ingreso</t>
  </si>
  <si>
    <t>3 torres de 1.57m x 1.57m a 6m de altura con contrapeso</t>
  </si>
  <si>
    <t>Merch oficial</t>
  </si>
  <si>
    <t>Carpa 6x4 - Bastidores - Mobiliario - Escritorios Talleres - Energia - Internet - luz interna decorativa - 2 Probadores</t>
  </si>
  <si>
    <t>Sector de fotos</t>
  </si>
  <si>
    <t>Ver con Vicky</t>
  </si>
  <si>
    <t>LOBBY CENTRAL</t>
  </si>
  <si>
    <t>Informes</t>
  </si>
  <si>
    <t>Computadoras</t>
  </si>
  <si>
    <t>Zapatillas</t>
  </si>
  <si>
    <t>Banquetas</t>
  </si>
  <si>
    <t>Articulos de librería</t>
  </si>
  <si>
    <t>WiFi</t>
  </si>
  <si>
    <t>Decoracion con telas</t>
  </si>
  <si>
    <t>Unifilas</t>
  </si>
  <si>
    <t>Carteleria deribadora - Carteleria acreditaciones</t>
  </si>
  <si>
    <t>LOBBY ALA DERECHA</t>
  </si>
  <si>
    <t>Baños</t>
  </si>
  <si>
    <t>Limpieza</t>
  </si>
  <si>
    <t>LOBBY ALA IZQUIERDA</t>
  </si>
  <si>
    <t>Banos</t>
  </si>
  <si>
    <t>1ER PISO ALA DERECHA</t>
  </si>
  <si>
    <t>Deposito / Produccion / Deposito / Sala de crissi / Audiovisual-prensa / Sub audiovisual / Privado / Tecnica privado(Tableros) / Baños</t>
  </si>
  <si>
    <t>1er PISO ALA IZQUIERDA</t>
  </si>
  <si>
    <t>Deposito / Baños / Produccion / Deposito / Marcas / Auditorio / Coffe pasillo</t>
  </si>
  <si>
    <t>SALON 1 y SALON 2</t>
  </si>
  <si>
    <t>Expositores</t>
  </si>
  <si>
    <t>Según plano adjunto</t>
  </si>
  <si>
    <t>Ploteo Cenefa</t>
  </si>
  <si>
    <t>De paneleria</t>
  </si>
  <si>
    <t>Cubrevallas</t>
  </si>
  <si>
    <t>Armado Stands</t>
  </si>
  <si>
    <t>Contratado a Enjoy/Por sus propios medios</t>
  </si>
  <si>
    <t>Stand Agencia CBA Deportes</t>
  </si>
  <si>
    <t>Idem BsAs Cosquin</t>
  </si>
  <si>
    <t>Ver propuesta</t>
  </si>
  <si>
    <t>Musica ambiente</t>
  </si>
  <si>
    <t>SALON 3</t>
  </si>
  <si>
    <t>ENTREGA DE KITS / INFORMES</t>
  </si>
  <si>
    <t>consultas</t>
  </si>
  <si>
    <t>Cambio Jersey</t>
  </si>
  <si>
    <t>Isla entrega de kits</t>
  </si>
  <si>
    <t>15 x 15 de paneleria + Perchero para bolsas + Carteleria + Brandind + Zapatillas</t>
  </si>
  <si>
    <t xml:space="preserve">Personal </t>
  </si>
  <si>
    <t>Kits</t>
  </si>
  <si>
    <t>Celulares</t>
  </si>
  <si>
    <t>Cluster aereo de luces</t>
  </si>
  <si>
    <t>15x9 con luces de enjoy</t>
  </si>
  <si>
    <t>SALON 4</t>
  </si>
  <si>
    <t>Bar + Museo</t>
  </si>
  <si>
    <t>Grafica</t>
  </si>
  <si>
    <t>Museo</t>
  </si>
  <si>
    <t>Paneleria + Ploteo (23m lineales x 2m de alto)</t>
  </si>
  <si>
    <t>mobiliario</t>
  </si>
  <si>
    <t>barra bar</t>
  </si>
  <si>
    <t>Vidrieras museo</t>
  </si>
  <si>
    <t>Impresión</t>
  </si>
  <si>
    <t>Staff</t>
  </si>
  <si>
    <t>Cubo altimetria</t>
  </si>
  <si>
    <t>Cubo de cluster 3x3 con lona</t>
  </si>
  <si>
    <t>Guia museo Letape</t>
  </si>
  <si>
    <t>ESTACIONAMIENTO INTERNO</t>
  </si>
  <si>
    <t>Uso produccion</t>
  </si>
  <si>
    <t>Guardia</t>
  </si>
  <si>
    <t>Obleas produccion</t>
  </si>
  <si>
    <t>PORTON 1</t>
  </si>
  <si>
    <t>Salida de emergencia ambulancia</t>
  </si>
  <si>
    <t>PORTON 2</t>
  </si>
  <si>
    <t>Cerrado</t>
  </si>
  <si>
    <t>PORTON 3</t>
  </si>
  <si>
    <t>PORTON 4</t>
  </si>
  <si>
    <t>Ingreso ciclistas</t>
  </si>
  <si>
    <t>Portico</t>
  </si>
  <si>
    <t>Andaribel vallas</t>
  </si>
  <si>
    <t xml:space="preserve">CAMARINES </t>
  </si>
  <si>
    <t xml:space="preserve">Produccion </t>
  </si>
  <si>
    <t>PUNTOS DE INTERNET CCC</t>
  </si>
  <si>
    <t>Zona</t>
  </si>
  <si>
    <t>Uso</t>
  </si>
  <si>
    <t>Tipo de conexion</t>
  </si>
  <si>
    <t>Observaciones</t>
  </si>
  <si>
    <t>Largada</t>
  </si>
  <si>
    <t>Cronometro - Datos en tiempo real</t>
  </si>
  <si>
    <t>Exclusiva Cronometro</t>
  </si>
  <si>
    <t>Llegada</t>
  </si>
  <si>
    <t>Patio gastronomico (Foddtruck)</t>
  </si>
  <si>
    <t>Puntos de cobro (9 puntos de cobro)</t>
  </si>
  <si>
    <t>Zona de cobertura wifi</t>
  </si>
  <si>
    <t>Stands CCC</t>
  </si>
  <si>
    <t>Puntos de cobro (25 puntos de cobro)</t>
  </si>
  <si>
    <t>Entrega de kits</t>
  </si>
  <si>
    <t>Ingreso a base de datos en linea</t>
  </si>
  <si>
    <t>Prensa</t>
  </si>
  <si>
    <t>Redes sociales - Subida de datos</t>
  </si>
  <si>
    <t>Punto de cobro</t>
  </si>
  <si>
    <t>Punto wifi</t>
  </si>
  <si>
    <t>Merch</t>
  </si>
  <si>
    <t>Transmision</t>
  </si>
  <si>
    <t>Dedicada - Ethernet</t>
  </si>
  <si>
    <t>Produccion</t>
  </si>
  <si>
    <t>Acceso a datos en linea - Subida de datos</t>
  </si>
  <si>
    <t>Punto wifi - Ethernet</t>
  </si>
  <si>
    <t>ESQUEMA DE SEGURIDAD</t>
  </si>
  <si>
    <t>EXPO VILLAGE</t>
  </si>
  <si>
    <t>Fecha</t>
  </si>
  <si>
    <t>Tipo de seguridad</t>
  </si>
  <si>
    <t>Cantidad</t>
  </si>
  <si>
    <t>Ubicacion</t>
  </si>
  <si>
    <t>Salida</t>
  </si>
  <si>
    <t>Total hs x seguridad</t>
  </si>
  <si>
    <t xml:space="preserve">Total de hs </t>
  </si>
  <si>
    <t>Seguridad diurna</t>
  </si>
  <si>
    <t>CCC</t>
  </si>
  <si>
    <t>Seguridad nocturna</t>
  </si>
  <si>
    <t>CCC + Fodtruck</t>
  </si>
  <si>
    <t>CCC - KIT + Fodtruck</t>
  </si>
  <si>
    <t>Stands + Estacionamiento + Foodtruck + Hall</t>
  </si>
  <si>
    <t>CCC + Foodtruck + KIT</t>
  </si>
  <si>
    <t>CCC + Foodtruck + KIT + Escenario</t>
  </si>
  <si>
    <t>Seguridad corte Bv. Letape</t>
  </si>
  <si>
    <t>Corte 1 + Corte 2</t>
  </si>
  <si>
    <t>Seguridad P. Hidratacion</t>
  </si>
  <si>
    <t>Puestos de hidratacion en ruta</t>
  </si>
  <si>
    <t>Seguridad porticos</t>
  </si>
  <si>
    <t>Portico largada + Portico llegada</t>
  </si>
  <si>
    <t>Seguridad diurna (operativo Evento)</t>
  </si>
  <si>
    <t>1 Ingreso trasero ccc - 2 Zona Stands - 1 Zona foodtruck - 1 Zona cero - 1 Zona escenario - 1 Guardaropa -  1 Entrega de kits - 2 Ingreso Estacionamiento + 5 Playa Sur Kempes + 1 Playa Helipuerto</t>
  </si>
  <si>
    <t>Adicionales Seguridad</t>
  </si>
  <si>
    <t>TOTAL DE GUARDIAS:</t>
  </si>
  <si>
    <t>TOTAL DE HORAS:</t>
  </si>
  <si>
    <t>RUTA LETAPE</t>
  </si>
  <si>
    <t>Puesto fijo de carrera (Punto de encuentro en CCC)</t>
  </si>
  <si>
    <t>Curva Canes</t>
  </si>
  <si>
    <t>Lanzamiento oficial Corto</t>
  </si>
  <si>
    <t>Lanzamiento oficial Largo</t>
  </si>
  <si>
    <t>Meta montaña largo</t>
  </si>
  <si>
    <t>Sprint velocidad largo</t>
  </si>
  <si>
    <t>Sprint velocidad corto</t>
  </si>
  <si>
    <t>Cronometro corto corralon calera</t>
  </si>
  <si>
    <t>CRONOGRAMA DE MONTAJE - EVENTO - DESARME</t>
  </si>
  <si>
    <t>Hora</t>
  </si>
  <si>
    <t>Actividad</t>
  </si>
  <si>
    <t>Responsable</t>
  </si>
  <si>
    <t>Lunes</t>
  </si>
  <si>
    <t>Montaje Paneleria</t>
  </si>
  <si>
    <t>Valentino Beltrame</t>
  </si>
  <si>
    <t>Dani + Agus</t>
  </si>
  <si>
    <t>Distribucion electrica</t>
  </si>
  <si>
    <t>Enjoy</t>
  </si>
  <si>
    <t>Cristian</t>
  </si>
  <si>
    <t>Ingreso trailer Enjoy</t>
  </si>
  <si>
    <t>Martes</t>
  </si>
  <si>
    <t>Montaje Luces paneleria</t>
  </si>
  <si>
    <t>Montaje de carpas</t>
  </si>
  <si>
    <t>Tagle</t>
  </si>
  <si>
    <t xml:space="preserve">Dani  </t>
  </si>
  <si>
    <t>Ploteo de paneleria</t>
  </si>
  <si>
    <t>Yael</t>
  </si>
  <si>
    <t>Agus/Aldi</t>
  </si>
  <si>
    <t>Miercoles</t>
  </si>
  <si>
    <t>Ingreso seguridad diurna</t>
  </si>
  <si>
    <t>Dani</t>
  </si>
  <si>
    <t>Montaje de Stands</t>
  </si>
  <si>
    <t>Stands</t>
  </si>
  <si>
    <t>Ubicacion Foodtrucks</t>
  </si>
  <si>
    <t>Armado patio Gastronomico</t>
  </si>
  <si>
    <t>Nahuel</t>
  </si>
  <si>
    <t>Montaje Estructuas</t>
  </si>
  <si>
    <t>Dos57</t>
  </si>
  <si>
    <t>Montaje pantallas Enjoy</t>
  </si>
  <si>
    <t>Abastecimiento energia Foodtruck</t>
  </si>
  <si>
    <t>Ingeso seguridad nocturna</t>
  </si>
  <si>
    <t>Relevo a personal diurno</t>
  </si>
  <si>
    <t>Jueves</t>
  </si>
  <si>
    <t>Relevo a personal nocturno</t>
  </si>
  <si>
    <t>Montaje Branding</t>
  </si>
  <si>
    <t>Montaje Estructuras</t>
  </si>
  <si>
    <t xml:space="preserve">Montaje Beduina </t>
  </si>
  <si>
    <t>Ingreso Mobiliario</t>
  </si>
  <si>
    <t>Ultimo dia</t>
  </si>
  <si>
    <t>Ingreso personal de Limpieza</t>
  </si>
  <si>
    <t>Repaso pre evento</t>
  </si>
  <si>
    <t>Ingreso seguridad nocturna</t>
  </si>
  <si>
    <t>Viernes</t>
  </si>
  <si>
    <t>Montaje sonido Exterior</t>
  </si>
  <si>
    <t>Zona foodtruck</t>
  </si>
  <si>
    <t>Ingreso mercaderia Stands</t>
  </si>
  <si>
    <t>Hasta las 09:00</t>
  </si>
  <si>
    <t>Ingreso mercaderia Foodtruck</t>
  </si>
  <si>
    <t>Ingreso seguridad Evento</t>
  </si>
  <si>
    <t>Ingrreso generador Foodtruck</t>
  </si>
  <si>
    <t>Trovato</t>
  </si>
  <si>
    <t>Apertura de puertas</t>
  </si>
  <si>
    <t>Fin de jornada</t>
  </si>
  <si>
    <t>Desarme Sonido exterior</t>
  </si>
  <si>
    <t>Sabado</t>
  </si>
  <si>
    <t>Ingreso seguridad Diurna</t>
  </si>
  <si>
    <t>Ingreso generador Escenario</t>
  </si>
  <si>
    <t>Armado porticos en Bv Letape</t>
  </si>
  <si>
    <t>Mario</t>
  </si>
  <si>
    <t>Cortes de calle en Bv. Letape</t>
  </si>
  <si>
    <t>08:00hs</t>
  </si>
  <si>
    <t>Ingreso guardias en cortes de Bv Letape</t>
  </si>
  <si>
    <t>Personal diurno</t>
  </si>
  <si>
    <t>Ingreso personal de sonido</t>
  </si>
  <si>
    <t>Impulso</t>
  </si>
  <si>
    <t>Descargan y sacan vehiculos antes de las 09:00hs</t>
  </si>
  <si>
    <t>Ingreso personal de pantalla</t>
  </si>
  <si>
    <t>Uf Pro</t>
  </si>
  <si>
    <t>Prueba general tecnica</t>
  </si>
  <si>
    <t>Impulso / Uf Pro</t>
  </si>
  <si>
    <t>Post prueba deben dejar todo tapado</t>
  </si>
  <si>
    <t>Guardar/Tapar equipo de tecnica exterior</t>
  </si>
  <si>
    <t>Domingo</t>
  </si>
  <si>
    <t>Ingreso personal de trabajo</t>
  </si>
  <si>
    <t>Evento</t>
  </si>
  <si>
    <t>Dani - Vicky</t>
  </si>
  <si>
    <t>Ingreso Tecnica</t>
  </si>
  <si>
    <t>Proveedores</t>
  </si>
  <si>
    <t>Podio activo desde las 05:00</t>
  </si>
  <si>
    <t>Ingreso Seguridad Evento</t>
  </si>
  <si>
    <t>Operativo Evento</t>
  </si>
  <si>
    <t>Apertura parque cerrado</t>
  </si>
  <si>
    <t>Apertura de puertas a Stands</t>
  </si>
  <si>
    <t>Ingreso personal de trabajo foodtruck</t>
  </si>
  <si>
    <t>Foodtruck en funcionamiento</t>
  </si>
  <si>
    <t>Fin de Evento</t>
  </si>
  <si>
    <t>Desarme Evento</t>
  </si>
  <si>
    <t>Desarme Stands</t>
  </si>
  <si>
    <t>DEBEN DEJAR TODO LIMPIO</t>
  </si>
  <si>
    <t>Retiro Foodtruck</t>
  </si>
  <si>
    <t>Retiro de Generadores</t>
  </si>
  <si>
    <t>Desarme Paneleria</t>
  </si>
  <si>
    <t>Desarme estructuras</t>
  </si>
  <si>
    <t>Retiro de vallas</t>
  </si>
  <si>
    <t>Limpieza final de predio</t>
  </si>
  <si>
    <t>Pedido</t>
  </si>
  <si>
    <t>Valor</t>
  </si>
  <si>
    <t>Forma de pago</t>
  </si>
  <si>
    <t>Solicita</t>
  </si>
  <si>
    <t>Autoriza</t>
  </si>
  <si>
    <t>Precintos para kit x 100</t>
  </si>
  <si>
    <t>Embalacor</t>
  </si>
  <si>
    <t>Cuenta Corriente</t>
  </si>
  <si>
    <t>Marcos diaz</t>
  </si>
  <si>
    <t>Mati Lorenzati</t>
  </si>
  <si>
    <t>Bolsitas para kit x 200</t>
  </si>
  <si>
    <t>Abrochadoras</t>
  </si>
  <si>
    <t>Mercado Libre</t>
  </si>
  <si>
    <t>Tarjeta Corpo Dani</t>
  </si>
  <si>
    <t>Vicky Almada</t>
  </si>
  <si>
    <t>Cajas de alfileres de gancho</t>
  </si>
  <si>
    <t>Chalecos reflectivos descartables</t>
  </si>
  <si>
    <t>Mili Huk</t>
  </si>
  <si>
    <t>Tunel de Helipuerto</t>
  </si>
  <si>
    <t>PENDIENTE</t>
  </si>
  <si>
    <t>Jazmin Valdimia</t>
  </si>
  <si>
    <t>Vecky Salerno</t>
  </si>
  <si>
    <t>CANCELADA</t>
  </si>
  <si>
    <t>Rollos de papel globo</t>
  </si>
  <si>
    <t>Sobrante con devolucion</t>
  </si>
  <si>
    <t>Banderas argentina para auto</t>
  </si>
  <si>
    <t>PEDIDO DE MATERIAL</t>
  </si>
  <si>
    <t>ESTRUCTURAS</t>
  </si>
  <si>
    <t>Fecha de evento: 20-21-22 de marzo</t>
  </si>
  <si>
    <t>Ubicación: Centro de Convenciones Córdoba</t>
  </si>
  <si>
    <t>Fecha de entrega: 19/03</t>
  </si>
  <si>
    <t>Fecha de desarme: 23/03</t>
  </si>
  <si>
    <t>Empresa: Grupo Dos57</t>
  </si>
  <si>
    <t>Ejecutivo de cuenta: Pollo Bibiloni // Telefono: +54 9 3512 95-6442 // Cargo: Director</t>
  </si>
  <si>
    <t>PEDIDO</t>
  </si>
  <si>
    <t>Material</t>
  </si>
  <si>
    <t>Escenario de 10.28m x 7.71m de piso a 1.20m de altura</t>
  </si>
  <si>
    <t>El escenario se debe entregar pintado y aforado y debe poseer 1 escalera de acceso</t>
  </si>
  <si>
    <t>Areas de trabajo de 2.57m x 5.14m</t>
  </si>
  <si>
    <t>Contemplar 2 carpas tecnicas</t>
  </si>
  <si>
    <t>Torres de sonido de 2.57m x 2.57m a 8 m</t>
  </si>
  <si>
    <t>En laterales de escenario con IPN</t>
  </si>
  <si>
    <t>U Cocida y enlonado interior</t>
  </si>
  <si>
    <t xml:space="preserve">Backwall de 10.28m a </t>
  </si>
  <si>
    <t>Con IPN para pantalla 8x4</t>
  </si>
  <si>
    <t>Torres Zona cero 2.57m x 2.57m a 4</t>
  </si>
  <si>
    <t xml:space="preserve">Seun planos  </t>
  </si>
  <si>
    <t>Torres de 1.09m x 1.09m a 6m de altura</t>
  </si>
  <si>
    <t>Segun planos con contrapesos</t>
  </si>
  <si>
    <t>Tarimas de camaras de 2.57m x 2.57m a 1m de altura con barandas</t>
  </si>
  <si>
    <t>Barras layher de 15.42m de largo con cenefa</t>
  </si>
  <si>
    <t>Segun planos</t>
  </si>
  <si>
    <t>VALLAS A CONFIRMAR CANTIDAD</t>
  </si>
  <si>
    <t>Tipo</t>
  </si>
  <si>
    <t>Marca</t>
  </si>
  <si>
    <t>CUBRE VALLAS</t>
  </si>
  <si>
    <t>LARGADA LLEGADA EXPO</t>
  </si>
  <si>
    <t xml:space="preserve">LETAPE </t>
  </si>
  <si>
    <t>LARGADA LLEGADA EXPO MERCH IINGRESO CICLISTAS</t>
  </si>
  <si>
    <t>BANDERAS</t>
  </si>
  <si>
    <t>BANCOR</t>
  </si>
  <si>
    <t xml:space="preserve">LARGADA Y LLEGADA </t>
  </si>
  <si>
    <t xml:space="preserve">CUBRE VALLAS </t>
  </si>
  <si>
    <t>VITAL</t>
  </si>
  <si>
    <t>CUBREVALLAS</t>
  </si>
  <si>
    <t>TALCAHUANO</t>
  </si>
  <si>
    <t>ACROSS</t>
  </si>
  <si>
    <t>PATOPAMPA</t>
  </si>
  <si>
    <t>LENS</t>
  </si>
  <si>
    <t>BOLAS INFLADAS</t>
  </si>
  <si>
    <t>SECTOR FOODTRUCK</t>
  </si>
  <si>
    <t xml:space="preserve">CARPA INFLABLE CBA </t>
  </si>
  <si>
    <t>AGENCIA CBA DEPORTES</t>
  </si>
  <si>
    <t>INGRESO CCC</t>
  </si>
  <si>
    <t>VER TENSION</t>
  </si>
  <si>
    <t xml:space="preserve">ARGO INFLABLE </t>
  </si>
  <si>
    <t>INGRESO CAMINO CCC</t>
  </si>
  <si>
    <t>ARCO INFLABLE</t>
  </si>
  <si>
    <t>EN INGRESOS PEATONALES</t>
  </si>
  <si>
    <t>INFLABLE BOTELLA</t>
  </si>
  <si>
    <t>ROARK</t>
  </si>
  <si>
    <t>VER UBICACION</t>
  </si>
  <si>
    <t xml:space="preserve">BANDERAS </t>
  </si>
  <si>
    <t>GACEBO 3X3</t>
  </si>
  <si>
    <t>FOODTRUCK</t>
  </si>
  <si>
    <t>BASTIDORES 2X0.80</t>
  </si>
  <si>
    <t>TIJERAS</t>
  </si>
  <si>
    <t>BACK 3X2</t>
  </si>
  <si>
    <t>INGRESO HALL</t>
  </si>
  <si>
    <t>CON PATAS</t>
  </si>
  <si>
    <t>ESCRITORIOS PALCOS</t>
  </si>
  <si>
    <t>1 PUESTO MERCH - 1 VER</t>
  </si>
  <si>
    <t>ESCRITORIOS OZEMPIC</t>
  </si>
  <si>
    <t>MERCH</t>
  </si>
  <si>
    <t>LONAS ZONA CERO</t>
  </si>
  <si>
    <t>LONAS TORRES DE INGRESO</t>
  </si>
  <si>
    <t>LETAPE EXPO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</si>
</sst>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&quot;$&quot;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i/>
      <sz val="14.0"/>
      <color theme="1"/>
      <name val="Calibri"/>
    </font>
    <font>
      <b/>
      <sz val="12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22.0"/>
      <color theme="1"/>
      <name val="Calibri"/>
    </font>
    <font>
      <i/>
      <sz val="22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/>
    <font>
      <b/>
      <color theme="1"/>
      <name val="Calibri"/>
    </font>
    <font>
      <b/>
      <sz val="19.0"/>
      <color theme="1"/>
      <name val="Calibri"/>
      <scheme val="minor"/>
    </font>
    <font>
      <b/>
      <sz val="13.0"/>
      <color theme="1"/>
      <name val="Calibri"/>
      <scheme val="minor"/>
    </font>
    <font>
      <b/>
      <sz val="16.0"/>
      <color theme="1"/>
      <name val="Calibri"/>
      <scheme val="minor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rgb="FF000000"/>
      <name val="Calibri"/>
    </font>
    <font>
      <b/>
      <i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7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9" fillId="0" fontId="7" numFmtId="0" xfId="0" applyBorder="1" applyFont="1"/>
    <xf borderId="9" fillId="0" fontId="6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2" fontId="1" numFmtId="0" xfId="0" applyAlignment="1" applyBorder="1" applyFill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1" fillId="3" fontId="1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4" fontId="8" numFmtId="0" xfId="0" applyAlignment="1" applyFill="1" applyFont="1">
      <alignment horizontal="center"/>
    </xf>
    <xf borderId="0" fillId="3" fontId="9" numFmtId="0" xfId="0" applyAlignment="1" applyFont="1">
      <alignment horizontal="center"/>
    </xf>
    <xf borderId="17" fillId="0" fontId="10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readingOrder="0"/>
    </xf>
    <xf borderId="17" fillId="0" fontId="1" numFmtId="0" xfId="0" applyBorder="1" applyFont="1"/>
    <xf borderId="19" fillId="0" fontId="12" numFmtId="0" xfId="0" applyBorder="1" applyFont="1"/>
    <xf borderId="17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vertical="center"/>
    </xf>
    <xf borderId="17" fillId="0" fontId="1" numFmtId="0" xfId="0" applyAlignment="1" applyBorder="1" applyFont="1">
      <alignment readingOrder="0" shrinkToFit="0" wrapText="1"/>
    </xf>
    <xf borderId="20" fillId="0" fontId="12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readingOrder="0" shrinkToFit="0" vertical="center" wrapText="1"/>
    </xf>
    <xf borderId="17" fillId="0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left" readingOrder="0" shrinkToFit="0" vertical="center" wrapText="1"/>
    </xf>
    <xf borderId="17" fillId="0" fontId="11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9" fillId="0" fontId="1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left" readingOrder="0" vertical="center"/>
    </xf>
    <xf borderId="17" fillId="0" fontId="1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readingOrder="0" vertical="center"/>
    </xf>
    <xf borderId="17" fillId="0" fontId="7" numFmtId="0" xfId="0" applyBorder="1" applyFont="1"/>
    <xf borderId="18" fillId="0" fontId="1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/>
    </xf>
    <xf borderId="17" fillId="0" fontId="5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21" fillId="0" fontId="14" numFmtId="0" xfId="0" applyAlignment="1" applyBorder="1" applyFont="1">
      <alignment horizontal="center" readingOrder="0"/>
    </xf>
    <xf borderId="22" fillId="0" fontId="12" numFmtId="0" xfId="0" applyBorder="1" applyFont="1"/>
    <xf borderId="23" fillId="0" fontId="12" numFmtId="0" xfId="0" applyBorder="1" applyFont="1"/>
    <xf borderId="24" fillId="0" fontId="15" numFmtId="0" xfId="0" applyAlignment="1" applyBorder="1" applyFont="1">
      <alignment horizontal="center" readingOrder="0" vertical="center"/>
    </xf>
    <xf borderId="25" fillId="0" fontId="15" numFmtId="0" xfId="0" applyAlignment="1" applyBorder="1" applyFont="1">
      <alignment horizontal="center" readingOrder="0"/>
    </xf>
    <xf borderId="26" fillId="0" fontId="15" numFmtId="0" xfId="0" applyAlignment="1" applyBorder="1" applyFont="1">
      <alignment horizontal="center" readingOrder="0"/>
    </xf>
    <xf borderId="27" fillId="0" fontId="15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 readingOrder="0" vertical="center"/>
    </xf>
    <xf borderId="29" fillId="0" fontId="7" numFmtId="0" xfId="0" applyAlignment="1" applyBorder="1" applyFont="1">
      <alignment readingOrder="0"/>
    </xf>
    <xf borderId="20" fillId="0" fontId="7" numFmtId="0" xfId="0" applyAlignment="1" applyBorder="1" applyFont="1">
      <alignment readingOrder="0"/>
    </xf>
    <xf borderId="30" fillId="0" fontId="7" numFmtId="0" xfId="0" applyBorder="1" applyFont="1"/>
    <xf borderId="9" fillId="0" fontId="5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/>
    </xf>
    <xf borderId="17" fillId="0" fontId="7" numFmtId="0" xfId="0" applyAlignment="1" applyBorder="1" applyFont="1">
      <alignment readingOrder="0"/>
    </xf>
    <xf borderId="31" fillId="0" fontId="7" numFmtId="0" xfId="0" applyBorder="1" applyFont="1"/>
    <xf borderId="13" fillId="0" fontId="5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readingOrder="0"/>
    </xf>
    <xf borderId="32" fillId="0" fontId="7" numFmtId="0" xfId="0" applyAlignment="1" applyBorder="1" applyFont="1">
      <alignment readingOrder="0"/>
    </xf>
    <xf borderId="33" fillId="0" fontId="7" numFmtId="0" xfId="0" applyBorder="1" applyFont="1"/>
    <xf borderId="21" fillId="3" fontId="16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34" fillId="0" fontId="7" numFmtId="0" xfId="0" applyAlignment="1" applyBorder="1" applyFont="1">
      <alignment horizontal="center" readingOrder="0" shrinkToFit="0" vertical="center" wrapText="1"/>
    </xf>
    <xf borderId="34" fillId="0" fontId="7" numFmtId="20" xfId="0" applyAlignment="1" applyBorder="1" applyFont="1" applyNumberFormat="1">
      <alignment horizontal="center" readingOrder="0" shrinkToFit="0" vertical="center" wrapText="1"/>
    </xf>
    <xf borderId="35" fillId="0" fontId="7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36" fillId="0" fontId="12" numFmtId="0" xfId="0" applyBorder="1" applyFont="1"/>
    <xf borderId="18" fillId="0" fontId="7" numFmtId="0" xfId="0" applyAlignment="1" applyBorder="1" applyFont="1">
      <alignment horizontal="center" readingOrder="0" shrinkToFit="0" vertical="center" wrapText="1"/>
    </xf>
    <xf borderId="18" fillId="0" fontId="7" numFmtId="20" xfId="0" applyAlignment="1" applyBorder="1" applyFont="1" applyNumberFormat="1">
      <alignment horizontal="center" readingOrder="0" shrinkToFit="0" vertical="center" wrapText="1"/>
    </xf>
    <xf borderId="37" fillId="0" fontId="7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2" fillId="5" fontId="7" numFmtId="164" xfId="0" applyAlignment="1" applyBorder="1" applyFont="1" applyNumberFormat="1">
      <alignment horizontal="center" readingOrder="0" shrinkToFit="0" vertical="center" wrapText="1"/>
    </xf>
    <xf borderId="34" fillId="5" fontId="7" numFmtId="0" xfId="0" applyAlignment="1" applyBorder="1" applyFont="1">
      <alignment horizontal="center" readingOrder="0" shrinkToFit="0" vertical="center" wrapText="1"/>
    </xf>
    <xf borderId="34" fillId="5" fontId="7" numFmtId="20" xfId="0" applyAlignment="1" applyBorder="1" applyFont="1" applyNumberFormat="1">
      <alignment horizontal="center" readingOrder="0" shrinkToFit="0" vertical="center" wrapText="1"/>
    </xf>
    <xf borderId="35" fillId="5" fontId="7" numFmtId="0" xfId="0" applyAlignment="1" applyBorder="1" applyFont="1">
      <alignment horizontal="center" readingOrder="0" shrinkToFit="0" vertical="center" wrapText="1"/>
    </xf>
    <xf borderId="13" fillId="5" fontId="5" numFmtId="0" xfId="0" applyAlignment="1" applyBorder="1" applyFont="1">
      <alignment horizontal="center" readingOrder="0" shrinkToFit="0" vertical="center" wrapText="1"/>
    </xf>
    <xf borderId="32" fillId="5" fontId="7" numFmtId="0" xfId="0" applyAlignment="1" applyBorder="1" applyFont="1">
      <alignment horizontal="center" readingOrder="0" shrinkToFit="0" vertical="center" wrapText="1"/>
    </xf>
    <xf borderId="32" fillId="5" fontId="7" numFmtId="20" xfId="0" applyAlignment="1" applyBorder="1" applyFont="1" applyNumberFormat="1">
      <alignment horizontal="center" readingOrder="0" shrinkToFit="0" vertical="center" wrapText="1"/>
    </xf>
    <xf borderId="33" fillId="5" fontId="7" numFmtId="0" xfId="0" applyAlignment="1" applyBorder="1" applyFont="1">
      <alignment horizontal="center" readingOrder="0" shrinkToFit="0" vertical="center" wrapText="1"/>
    </xf>
    <xf borderId="38" fillId="0" fontId="7" numFmtId="164" xfId="0" applyAlignment="1" applyBorder="1" applyFont="1" applyNumberFormat="1">
      <alignment horizontal="center" readingOrder="0" shrinkToFit="0" vertical="center" wrapText="1"/>
    </xf>
    <xf borderId="20" fillId="0" fontId="7" numFmtId="0" xfId="0" applyAlignment="1" applyBorder="1" applyFont="1">
      <alignment horizontal="center" readingOrder="0" shrinkToFit="0" vertical="center" wrapText="1"/>
    </xf>
    <xf borderId="20" fillId="0" fontId="7" numFmtId="20" xfId="0" applyAlignment="1" applyBorder="1" applyFont="1" applyNumberFormat="1">
      <alignment horizontal="center" readingOrder="0" shrinkToFit="0" vertical="center" wrapText="1"/>
    </xf>
    <xf borderId="30" fillId="0" fontId="7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readingOrder="0" shrinkToFit="0" vertical="center" wrapText="1"/>
    </xf>
    <xf borderId="38" fillId="0" fontId="12" numFmtId="0" xfId="0" applyBorder="1" applyFont="1"/>
    <xf borderId="17" fillId="5" fontId="7" numFmtId="0" xfId="0" applyAlignment="1" applyBorder="1" applyFont="1">
      <alignment horizontal="center" readingOrder="0" shrinkToFit="0" vertical="center" wrapText="1"/>
    </xf>
    <xf borderId="17" fillId="5" fontId="7" numFmtId="20" xfId="0" applyAlignment="1" applyBorder="1" applyFont="1" applyNumberFormat="1">
      <alignment horizontal="center" readingOrder="0" shrinkToFit="0" vertical="center" wrapText="1"/>
    </xf>
    <xf borderId="31" fillId="5" fontId="7" numFmtId="0" xfId="0" applyAlignment="1" applyBorder="1" applyFont="1">
      <alignment horizontal="center" readingOrder="0" shrinkToFit="0" vertical="center" wrapText="1"/>
    </xf>
    <xf borderId="18" fillId="5" fontId="7" numFmtId="0" xfId="0" applyAlignment="1" applyBorder="1" applyFont="1">
      <alignment horizontal="center" readingOrder="0" shrinkToFit="0" vertical="center" wrapText="1"/>
    </xf>
    <xf borderId="18" fillId="5" fontId="7" numFmtId="20" xfId="0" applyAlignment="1" applyBorder="1" applyFont="1" applyNumberFormat="1">
      <alignment horizontal="center" readingOrder="0" shrinkToFit="0" vertical="center" wrapText="1"/>
    </xf>
    <xf borderId="37" fillId="5" fontId="7" numFmtId="0" xfId="0" applyAlignment="1" applyBorder="1" applyFont="1">
      <alignment horizontal="center" readingOrder="0" shrinkToFit="0" vertical="center" wrapText="1"/>
    </xf>
    <xf borderId="39" fillId="5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17" fillId="0" fontId="7" numFmtId="20" xfId="0" applyAlignment="1" applyBorder="1" applyFont="1" applyNumberFormat="1">
      <alignment horizontal="center" readingOrder="0" shrinkToFit="0" vertical="center" wrapText="1"/>
    </xf>
    <xf borderId="31" fillId="0" fontId="7" numFmtId="0" xfId="0" applyAlignment="1" applyBorder="1" applyFont="1">
      <alignment horizontal="center" readingOrder="0" shrinkToFit="0" vertical="center" wrapText="1"/>
    </xf>
    <xf borderId="32" fillId="0" fontId="7" numFmtId="0" xfId="0" applyAlignment="1" applyBorder="1" applyFont="1">
      <alignment horizontal="center" readingOrder="0" shrinkToFit="0" vertical="center" wrapText="1"/>
    </xf>
    <xf borderId="32" fillId="0" fontId="7" numFmtId="20" xfId="0" applyAlignment="1" applyBorder="1" applyFont="1" applyNumberFormat="1">
      <alignment horizontal="center" readingOrder="0" shrinkToFit="0" vertical="center" wrapText="1"/>
    </xf>
    <xf borderId="33" fillId="0" fontId="7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right" readingOrder="0" shrinkToFit="0" vertical="center" wrapText="1"/>
    </xf>
    <xf borderId="25" fillId="0" fontId="12" numFmtId="0" xfId="0" applyBorder="1" applyFont="1"/>
    <xf borderId="24" fillId="2" fontId="15" numFmtId="0" xfId="0" applyAlignment="1" applyBorder="1" applyFont="1">
      <alignment horizontal="center" readingOrder="0" shrinkToFit="0" vertical="center" wrapText="1"/>
    </xf>
    <xf borderId="22" fillId="2" fontId="5" numFmtId="0" xfId="0" applyAlignment="1" applyBorder="1" applyFont="1">
      <alignment horizontal="right" readingOrder="0" shrinkToFit="0" vertical="center" wrapText="1"/>
    </xf>
    <xf borderId="27" fillId="2" fontId="15" numFmtId="0" xfId="0" applyAlignment="1" applyBorder="1" applyFont="1">
      <alignment horizontal="center" readingOrder="0" shrinkToFit="0" vertical="center" wrapText="1"/>
    </xf>
    <xf borderId="40" fillId="3" fontId="16" numFmtId="0" xfId="0" applyAlignment="1" applyBorder="1" applyFont="1">
      <alignment horizontal="center" readingOrder="0"/>
    </xf>
    <xf borderId="41" fillId="0" fontId="12" numFmtId="0" xfId="0" applyBorder="1" applyFont="1"/>
    <xf borderId="4" fillId="0" fontId="12" numFmtId="0" xfId="0" applyBorder="1" applyFont="1"/>
    <xf borderId="4" fillId="0" fontId="7" numFmtId="164" xfId="0" applyAlignment="1" applyBorder="1" applyFont="1" applyNumberFormat="1">
      <alignment horizontal="center" readingOrder="0" shrinkToFit="0" vertical="center" wrapText="1"/>
    </xf>
    <xf borderId="40" fillId="0" fontId="7" numFmtId="0" xfId="0" applyAlignment="1" applyBorder="1" applyFont="1">
      <alignment horizontal="center" readingOrder="0" shrinkToFit="0" vertical="center" wrapText="1"/>
    </xf>
    <xf borderId="42" fillId="0" fontId="7" numFmtId="0" xfId="0" applyAlignment="1" applyBorder="1" applyFont="1">
      <alignment horizontal="center" readingOrder="0" shrinkToFit="0" vertical="center" wrapText="1"/>
    </xf>
    <xf borderId="43" fillId="0" fontId="7" numFmtId="20" xfId="0" applyAlignment="1" applyBorder="1" applyFont="1" applyNumberFormat="1">
      <alignment horizontal="center" readingOrder="0" shrinkToFit="0" vertical="center" wrapText="1"/>
    </xf>
    <xf borderId="43" fillId="0" fontId="7" numFmtId="0" xfId="0" applyAlignment="1" applyBorder="1" applyFont="1">
      <alignment horizontal="center" readingOrder="0" shrinkToFit="0" vertical="center" wrapText="1"/>
    </xf>
    <xf borderId="44" fillId="0" fontId="7" numFmtId="0" xfId="0" applyAlignment="1" applyBorder="1" applyFont="1">
      <alignment horizontal="center" readingOrder="0" shrinkToFit="0" vertical="center" wrapText="1"/>
    </xf>
    <xf borderId="45" fillId="0" fontId="12" numFmtId="0" xfId="0" applyBorder="1" applyFont="1"/>
    <xf borderId="46" fillId="0" fontId="12" numFmtId="0" xfId="0" applyBorder="1" applyFont="1"/>
    <xf borderId="47" fillId="0" fontId="7" numFmtId="0" xfId="0" applyAlignment="1" applyBorder="1" applyFont="1">
      <alignment horizontal="center" readingOrder="0" shrinkToFit="0" vertical="center" wrapText="1"/>
    </xf>
    <xf borderId="48" fillId="0" fontId="12" numFmtId="0" xfId="0" applyBorder="1" applyFont="1"/>
    <xf borderId="49" fillId="0" fontId="12" numFmtId="0" xfId="0" applyBorder="1" applyFont="1"/>
    <xf borderId="50" fillId="0" fontId="12" numFmtId="0" xfId="0" applyBorder="1" applyFont="1"/>
    <xf borderId="51" fillId="0" fontId="7" numFmtId="0" xfId="0" applyAlignment="1" applyBorder="1" applyFont="1">
      <alignment horizontal="center" readingOrder="0" shrinkToFit="0" vertical="center" wrapText="1"/>
    </xf>
    <xf borderId="52" fillId="0" fontId="12" numFmtId="0" xfId="0" applyBorder="1" applyFont="1"/>
    <xf borderId="53" fillId="0" fontId="12" numFmtId="0" xfId="0" applyBorder="1" applyFont="1"/>
    <xf borderId="21" fillId="2" fontId="15" numFmtId="0" xfId="0" applyAlignment="1" applyBorder="1" applyFont="1">
      <alignment horizontal="right" readingOrder="0" shrinkToFit="0" vertical="center" wrapText="1"/>
    </xf>
    <xf borderId="22" fillId="2" fontId="15" numFmtId="0" xfId="0" applyAlignment="1" applyBorder="1" applyFont="1">
      <alignment horizontal="right" readingOrder="0" shrinkToFit="0" vertical="center" wrapText="1"/>
    </xf>
    <xf borderId="0" fillId="0" fontId="17" numFmtId="0" xfId="0" applyAlignment="1" applyFont="1">
      <alignment horizontal="center" readingOrder="0" vertical="center"/>
    </xf>
    <xf borderId="40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41" fillId="0" fontId="15" numFmtId="0" xfId="0" applyAlignment="1" applyBorder="1" applyFont="1">
      <alignment horizontal="center" readingOrder="0"/>
    </xf>
    <xf borderId="54" fillId="0" fontId="7" numFmtId="164" xfId="0" applyAlignment="1" applyBorder="1" applyFont="1" applyNumberFormat="1">
      <alignment horizontal="center" readingOrder="0" shrinkToFit="0" vertical="center" wrapText="1"/>
    </xf>
    <xf borderId="6" fillId="0" fontId="7" numFmtId="20" xfId="0" applyAlignment="1" applyBorder="1" applyFont="1" applyNumberFormat="1">
      <alignment horizontal="center" readingOrder="0" shrinkToFit="0" vertical="center" wrapText="1"/>
    </xf>
    <xf borderId="35" fillId="0" fontId="7" numFmtId="0" xfId="0" applyAlignment="1" applyBorder="1" applyFont="1">
      <alignment horizontal="center" shrinkToFit="0" vertical="center" wrapText="1"/>
    </xf>
    <xf borderId="55" fillId="0" fontId="12" numFmtId="0" xfId="0" applyBorder="1" applyFont="1"/>
    <xf borderId="10" fillId="0" fontId="7" numFmtId="20" xfId="0" applyAlignment="1" applyBorder="1" applyFont="1" applyNumberFormat="1">
      <alignment horizontal="center" readingOrder="0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56" fillId="0" fontId="12" numFmtId="0" xfId="0" applyBorder="1" applyFont="1"/>
    <xf borderId="57" fillId="0" fontId="7" numFmtId="20" xfId="0" applyAlignment="1" applyBorder="1" applyFont="1" applyNumberFormat="1">
      <alignment horizontal="center" readingOrder="0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2" fillId="0" fontId="7" numFmtId="20" xfId="0" applyAlignment="1" applyBorder="1" applyFont="1" applyNumberFormat="1">
      <alignment horizontal="center" readingOrder="0" shrinkToFit="0" vertical="center" wrapText="1"/>
    </xf>
    <xf borderId="58" fillId="0" fontId="12" numFmtId="0" xfId="0" applyBorder="1" applyFont="1"/>
    <xf borderId="47" fillId="0" fontId="7" numFmtId="20" xfId="0" applyAlignment="1" applyBorder="1" applyFont="1" applyNumberFormat="1">
      <alignment horizontal="center" readingOrder="0" shrinkToFit="0" vertical="center" wrapText="1"/>
    </xf>
    <xf borderId="59" fillId="0" fontId="12" numFmtId="0" xfId="0" applyBorder="1" applyFont="1"/>
    <xf borderId="60" fillId="0" fontId="7" numFmtId="20" xfId="0" applyAlignment="1" applyBorder="1" applyFont="1" applyNumberFormat="1">
      <alignment horizontal="center" readingOrder="0" shrinkToFit="0" vertical="center" wrapText="1"/>
    </xf>
    <xf borderId="55" fillId="0" fontId="7" numFmtId="164" xfId="0" applyAlignment="1" applyBorder="1" applyFont="1" applyNumberFormat="1">
      <alignment horizontal="center" readingOrder="0" shrinkToFit="0" vertical="center" wrapText="1"/>
    </xf>
    <xf borderId="58" fillId="0" fontId="7" numFmtId="0" xfId="0" applyAlignment="1" applyBorder="1" applyFont="1">
      <alignment horizontal="center" readingOrder="0" shrinkToFit="0" vertical="center" wrapText="1"/>
    </xf>
    <xf borderId="34" fillId="0" fontId="7" numFmtId="0" xfId="0" applyAlignment="1" applyBorder="1" applyFont="1">
      <alignment horizontal="center" readingOrder="0" vertical="center"/>
    </xf>
    <xf borderId="35" fillId="0" fontId="7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7" fillId="0" fontId="7" numFmtId="0" xfId="0" applyAlignment="1" applyBorder="1" applyFont="1">
      <alignment horizontal="center" readingOrder="0" vertical="center"/>
    </xf>
    <xf borderId="30" fillId="0" fontId="12" numFmtId="0" xfId="0" applyBorder="1" applyFont="1"/>
    <xf borderId="31" fillId="0" fontId="7" numFmtId="0" xfId="0" applyAlignment="1" applyBorder="1" applyFont="1">
      <alignment horizontal="center" vertical="center"/>
    </xf>
    <xf borderId="51" fillId="0" fontId="7" numFmtId="20" xfId="0" applyAlignment="1" applyBorder="1" applyFont="1" applyNumberFormat="1">
      <alignment horizontal="center" readingOrder="0" shrinkToFit="0" vertical="center" wrapText="1"/>
    </xf>
    <xf borderId="32" fillId="0" fontId="7" numFmtId="0" xfId="0" applyAlignment="1" applyBorder="1" applyFont="1">
      <alignment horizontal="center" readingOrder="0" vertical="center"/>
    </xf>
    <xf borderId="33" fillId="0" fontId="7" numFmtId="0" xfId="0" applyAlignment="1" applyBorder="1" applyFont="1">
      <alignment horizontal="center" vertical="center"/>
    </xf>
    <xf borderId="48" fillId="0" fontId="7" numFmtId="0" xfId="0" applyAlignment="1" applyBorder="1" applyFont="1">
      <alignment horizontal="center" readingOrder="0" shrinkToFit="0" vertical="center" wrapText="1"/>
    </xf>
    <xf borderId="29" fillId="0" fontId="7" numFmtId="20" xfId="0" applyAlignment="1" applyBorder="1" applyFont="1" applyNumberFormat="1">
      <alignment horizontal="center" readingOrder="0" shrinkToFit="0" vertical="center" wrapText="1"/>
    </xf>
    <xf borderId="20" fillId="0" fontId="7" numFmtId="0" xfId="0" applyAlignment="1" applyBorder="1" applyFont="1">
      <alignment horizontal="center" readingOrder="0" vertical="center"/>
    </xf>
    <xf borderId="48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readingOrder="0" vertical="center"/>
    </xf>
    <xf borderId="37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14" fillId="0" fontId="7" numFmtId="20" xfId="0" applyAlignment="1" applyBorder="1" applyFont="1" applyNumberFormat="1">
      <alignment horizontal="center" readingOrder="0" shrinkToFit="0" vertical="center" wrapText="1"/>
    </xf>
    <xf borderId="32" fillId="0" fontId="7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21" fillId="0" fontId="18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 readingOrder="0" shrinkToFit="0" vertical="center" wrapText="1"/>
    </xf>
    <xf borderId="22" fillId="0" fontId="18" numFmtId="0" xfId="0" applyAlignment="1" applyBorder="1" applyFont="1">
      <alignment horizontal="center" readingOrder="0" shrinkToFit="0" vertical="center" wrapText="1"/>
    </xf>
    <xf borderId="29" fillId="0" fontId="7" numFmtId="164" xfId="0" applyAlignment="1" applyBorder="1" applyFont="1" applyNumberFormat="1">
      <alignment horizontal="center" readingOrder="0" shrinkToFit="0" vertical="center" wrapText="1"/>
    </xf>
    <xf borderId="20" fillId="0" fontId="7" numFmtId="165" xfId="0" applyAlignment="1" applyBorder="1" applyFont="1" applyNumberFormat="1">
      <alignment horizontal="center" readingOrder="0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readingOrder="0" shrinkToFit="0" vertical="center" wrapText="1"/>
    </xf>
    <xf borderId="10" fillId="0" fontId="7" numFmtId="164" xfId="0" applyAlignment="1" applyBorder="1" applyFont="1" applyNumberFormat="1">
      <alignment horizontal="center" readingOrder="0" shrinkToFit="0" vertical="center" wrapText="1"/>
    </xf>
    <xf borderId="17" fillId="0" fontId="7" numFmtId="165" xfId="0" applyAlignment="1" applyBorder="1" applyFont="1" applyNumberFormat="1">
      <alignment horizontal="center" readingOrder="0" shrinkToFit="0" vertical="center" wrapText="1"/>
    </xf>
    <xf borderId="28" fillId="6" fontId="5" numFmtId="0" xfId="0" applyAlignment="1" applyBorder="1" applyFill="1" applyFont="1">
      <alignment horizontal="center" readingOrder="0" shrinkToFit="0" vertical="center" wrapText="1"/>
    </xf>
    <xf borderId="10" fillId="6" fontId="7" numFmtId="164" xfId="0" applyAlignment="1" applyBorder="1" applyFont="1" applyNumberFormat="1">
      <alignment horizontal="center" readingOrder="0" shrinkToFit="0" vertical="center" wrapText="1"/>
    </xf>
    <xf borderId="17" fillId="6" fontId="7" numFmtId="0" xfId="0" applyAlignment="1" applyBorder="1" applyFont="1">
      <alignment horizontal="center" readingOrder="0" shrinkToFit="0" vertical="center" wrapText="1"/>
    </xf>
    <xf borderId="17" fillId="6" fontId="7" numFmtId="165" xfId="0" applyAlignment="1" applyBorder="1" applyFont="1" applyNumberFormat="1">
      <alignment horizontal="center" readingOrder="0" shrinkToFit="0" vertical="center" wrapText="1"/>
    </xf>
    <xf borderId="31" fillId="6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7" numFmtId="165" xfId="0" applyAlignment="1" applyBorder="1" applyFont="1" applyNumberFormat="1">
      <alignment horizontal="center" shrinkToFit="0" vertical="center" wrapText="1"/>
    </xf>
    <xf borderId="61" fillId="0" fontId="5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32" fillId="0" fontId="7" numFmtId="165" xfId="0" applyAlignment="1" applyBorder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0" fillId="0" fontId="7" numFmtId="165" xfId="0" applyFont="1" applyNumberFormat="1"/>
    <xf borderId="40" fillId="0" fontId="19" numFmtId="0" xfId="0" applyAlignment="1" applyBorder="1" applyFont="1">
      <alignment horizontal="center" readingOrder="0" shrinkToFit="0" vertical="bottom" wrapText="0"/>
    </xf>
    <xf borderId="62" fillId="0" fontId="20" numFmtId="0" xfId="0" applyAlignment="1" applyBorder="1" applyFont="1">
      <alignment horizontal="center" readingOrder="0" shrinkToFit="0" vertical="bottom" wrapText="0"/>
    </xf>
    <xf borderId="63" fillId="0" fontId="12" numFmtId="0" xfId="0" applyBorder="1" applyFont="1"/>
    <xf borderId="64" fillId="0" fontId="12" numFmtId="0" xfId="0" applyBorder="1" applyFont="1"/>
    <xf borderId="62" fillId="0" fontId="21" numFmtId="0" xfId="0" applyAlignment="1" applyBorder="1" applyFont="1">
      <alignment horizontal="left" readingOrder="0" shrinkToFit="0" vertical="bottom" wrapText="0"/>
    </xf>
    <xf borderId="29" fillId="0" fontId="12" numFmtId="0" xfId="0" applyBorder="1" applyFont="1"/>
    <xf borderId="63" fillId="0" fontId="21" numFmtId="0" xfId="0" applyAlignment="1" applyBorder="1" applyFont="1">
      <alignment horizontal="left" readingOrder="0" shrinkToFit="0" vertical="bottom" wrapText="0"/>
    </xf>
    <xf borderId="65" fillId="0" fontId="21" numFmtId="0" xfId="0" applyAlignment="1" applyBorder="1" applyFont="1">
      <alignment horizontal="left" readingOrder="0" shrinkToFit="0" vertical="bottom" wrapText="0"/>
    </xf>
    <xf borderId="66" fillId="0" fontId="12" numFmtId="0" xfId="0" applyBorder="1" applyFont="1"/>
    <xf borderId="10" fillId="0" fontId="12" numFmtId="0" xfId="0" applyBorder="1" applyFont="1"/>
    <xf borderId="11" fillId="0" fontId="21" numFmtId="0" xfId="0" applyAlignment="1" applyBorder="1" applyFont="1">
      <alignment horizontal="left" readingOrder="0" shrinkToFit="0" vertical="bottom" wrapText="0"/>
    </xf>
    <xf borderId="12" fillId="0" fontId="12" numFmtId="0" xfId="0" applyBorder="1" applyFont="1"/>
    <xf borderId="67" fillId="0" fontId="21" numFmtId="0" xfId="0" applyAlignment="1" applyBorder="1" applyFont="1">
      <alignment horizontal="left" readingOrder="0" shrinkToFit="0" vertical="bottom" wrapText="0"/>
    </xf>
    <xf borderId="68" fillId="0" fontId="12" numFmtId="0" xfId="0" applyBorder="1" applyFont="1"/>
    <xf borderId="57" fillId="0" fontId="12" numFmtId="0" xfId="0" applyBorder="1" applyFont="1"/>
    <xf borderId="68" fillId="0" fontId="21" numFmtId="0" xfId="0" applyAlignment="1" applyBorder="1" applyFont="1">
      <alignment horizontal="left" readingOrder="0" shrinkToFit="0" vertical="bottom" wrapText="0"/>
    </xf>
    <xf borderId="69" fillId="0" fontId="12" numFmtId="0" xfId="0" applyBorder="1" applyFont="1"/>
    <xf borderId="70" fillId="0" fontId="21" numFmtId="0" xfId="0" applyAlignment="1" applyBorder="1" applyFont="1">
      <alignment horizontal="center" readingOrder="0" shrinkToFit="0" vertical="bottom" wrapText="0"/>
    </xf>
    <xf borderId="71" fillId="0" fontId="12" numFmtId="0" xfId="0" applyBorder="1" applyFont="1"/>
    <xf borderId="16" fillId="0" fontId="12" numFmtId="0" xfId="0" applyBorder="1" applyFont="1"/>
    <xf borderId="21" fillId="0" fontId="19" numFmtId="0" xfId="0" applyAlignment="1" applyBorder="1" applyFont="1">
      <alignment horizontal="center" readingOrder="0" shrinkToFit="0" vertical="bottom" wrapText="0"/>
    </xf>
    <xf borderId="21" fillId="0" fontId="22" numFmtId="0" xfId="0" applyAlignment="1" applyBorder="1" applyFont="1">
      <alignment horizontal="center" readingOrder="0" shrinkToFit="0" wrapText="0"/>
    </xf>
    <xf borderId="72" fillId="0" fontId="22" numFmtId="0" xfId="0" applyAlignment="1" applyBorder="1" applyFont="1">
      <alignment horizontal="center" readingOrder="0" shrinkToFit="0" wrapText="0"/>
    </xf>
    <xf borderId="22" fillId="0" fontId="22" numFmtId="0" xfId="0" applyAlignment="1" applyBorder="1" applyFont="1">
      <alignment horizontal="center" readingOrder="0" shrinkToFit="0" wrapText="0"/>
    </xf>
    <xf borderId="54" fillId="0" fontId="21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2" fillId="0" fontId="12" numFmtId="0" xfId="0" applyBorder="1" applyFont="1"/>
    <xf borderId="73" fillId="0" fontId="12" numFmtId="0" xfId="0" applyBorder="1" applyFont="1"/>
    <xf borderId="74" fillId="0" fontId="12" numFmtId="0" xfId="0" applyBorder="1" applyFont="1"/>
    <xf borderId="47" fillId="0" fontId="21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60" fillId="0" fontId="7" numFmtId="0" xfId="0" applyAlignment="1" applyBorder="1" applyFont="1">
      <alignment horizontal="center" readingOrder="0" shrinkToFit="0" vertical="center" wrapText="1"/>
    </xf>
    <xf borderId="75" fillId="0" fontId="7" numFmtId="0" xfId="0" applyAlignment="1" applyBorder="1" applyFont="1">
      <alignment horizontal="center" readingOrder="0" shrinkToFit="0" vertical="center" wrapText="1"/>
    </xf>
    <xf borderId="75" fillId="0" fontId="7" numFmtId="0" xfId="0" applyAlignment="1" applyBorder="1" applyFont="1">
      <alignment horizontal="center" shrinkToFit="0" vertical="center" wrapText="1"/>
    </xf>
    <xf borderId="51" fillId="0" fontId="7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4" fillId="0" fontId="12" numFmtId="0" xfId="0" applyBorder="1" applyFont="1"/>
    <xf borderId="15" fillId="0" fontId="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0</xdr:row>
      <xdr:rowOff>85725</xdr:rowOff>
    </xdr:from>
    <xdr:ext cx="3162300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77750" cy="1704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24700" cy="971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25200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81675" cy="790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2.71"/>
    <col customWidth="1" min="3" max="3" width="15.57"/>
    <col customWidth="1" min="4" max="4" width="10.71"/>
    <col customWidth="1" min="5" max="5" width="6.29"/>
    <col customWidth="1" min="6" max="6" width="23.43"/>
    <col customWidth="1" min="7" max="7" width="16.0"/>
    <col customWidth="1" min="8" max="27" width="10.71"/>
  </cols>
  <sheetData>
    <row r="1" ht="71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 t="s">
        <v>3</v>
      </c>
    </row>
    <row r="5" ht="14.25" customHeight="1">
      <c r="A5" s="5" t="s">
        <v>4</v>
      </c>
      <c r="B5" s="6" t="s">
        <v>5</v>
      </c>
      <c r="C5" s="7" t="s">
        <v>6</v>
      </c>
      <c r="D5" s="8" t="s">
        <v>7</v>
      </c>
      <c r="E5" s="9" t="s">
        <v>4</v>
      </c>
      <c r="F5" s="6" t="s">
        <v>5</v>
      </c>
      <c r="G5" s="7" t="s">
        <v>6</v>
      </c>
      <c r="H5" s="10" t="s">
        <v>7</v>
      </c>
    </row>
    <row r="6" ht="14.25" customHeight="1">
      <c r="A6" s="11">
        <v>1.0</v>
      </c>
      <c r="B6" s="12" t="s">
        <v>8</v>
      </c>
      <c r="C6" s="13" t="s">
        <v>9</v>
      </c>
      <c r="D6" s="14" t="s">
        <v>10</v>
      </c>
      <c r="E6" s="15">
        <v>43.0</v>
      </c>
      <c r="F6" s="12" t="s">
        <v>11</v>
      </c>
      <c r="G6" s="13" t="s">
        <v>9</v>
      </c>
      <c r="H6" s="16"/>
    </row>
    <row r="7" ht="14.25" customHeight="1">
      <c r="A7" s="17">
        <v>2.0</v>
      </c>
      <c r="B7" s="18" t="s">
        <v>12</v>
      </c>
      <c r="C7" s="19" t="s">
        <v>13</v>
      </c>
      <c r="D7" s="20">
        <v>46097.0</v>
      </c>
      <c r="E7" s="21">
        <v>44.0</v>
      </c>
      <c r="F7" s="18" t="s">
        <v>14</v>
      </c>
      <c r="G7" s="22" t="s">
        <v>9</v>
      </c>
      <c r="H7" s="16"/>
    </row>
    <row r="8" ht="14.25" customHeight="1">
      <c r="A8" s="17">
        <v>3.0</v>
      </c>
      <c r="B8" s="18" t="s">
        <v>15</v>
      </c>
      <c r="C8" s="19" t="s">
        <v>9</v>
      </c>
      <c r="D8" s="23" t="s">
        <v>10</v>
      </c>
      <c r="E8" s="21">
        <v>45.0</v>
      </c>
      <c r="F8" s="18" t="s">
        <v>16</v>
      </c>
      <c r="G8" s="22" t="s">
        <v>9</v>
      </c>
      <c r="H8" s="16"/>
    </row>
    <row r="9" ht="14.25" customHeight="1">
      <c r="A9" s="17">
        <v>4.0</v>
      </c>
      <c r="B9" s="18" t="s">
        <v>17</v>
      </c>
      <c r="C9" s="19" t="s">
        <v>13</v>
      </c>
      <c r="D9" s="20">
        <v>46100.0</v>
      </c>
      <c r="E9" s="21">
        <v>46.0</v>
      </c>
      <c r="F9" s="18" t="s">
        <v>18</v>
      </c>
      <c r="G9" s="19" t="s">
        <v>13</v>
      </c>
      <c r="H9" s="16"/>
    </row>
    <row r="10" ht="14.25" customHeight="1">
      <c r="A10" s="17">
        <v>5.0</v>
      </c>
      <c r="B10" s="18" t="s">
        <v>19</v>
      </c>
      <c r="C10" s="19" t="s">
        <v>20</v>
      </c>
      <c r="D10" s="20">
        <v>46100.0</v>
      </c>
      <c r="E10" s="21">
        <v>47.0</v>
      </c>
      <c r="F10" s="18" t="s">
        <v>21</v>
      </c>
      <c r="G10" s="22" t="s">
        <v>22</v>
      </c>
      <c r="H10" s="16"/>
    </row>
    <row r="11" ht="14.25" customHeight="1">
      <c r="A11" s="17">
        <v>6.0</v>
      </c>
      <c r="B11" s="18" t="s">
        <v>23</v>
      </c>
      <c r="C11" s="19" t="s">
        <v>24</v>
      </c>
      <c r="D11" s="20">
        <v>46097.0</v>
      </c>
      <c r="E11" s="21">
        <v>48.0</v>
      </c>
      <c r="F11" s="18" t="s">
        <v>25</v>
      </c>
      <c r="G11" s="24" t="s">
        <v>26</v>
      </c>
      <c r="H11" s="16"/>
    </row>
    <row r="12" ht="14.25" customHeight="1">
      <c r="A12" s="17">
        <v>7.0</v>
      </c>
      <c r="B12" s="18" t="s">
        <v>27</v>
      </c>
      <c r="C12" s="19" t="s">
        <v>28</v>
      </c>
      <c r="D12" s="20">
        <v>46100.0</v>
      </c>
      <c r="E12" s="21">
        <v>49.0</v>
      </c>
      <c r="F12" s="18" t="s">
        <v>29</v>
      </c>
      <c r="G12" s="24" t="s">
        <v>26</v>
      </c>
      <c r="H12" s="16"/>
    </row>
    <row r="13" ht="14.25" customHeight="1">
      <c r="A13" s="17">
        <v>8.0</v>
      </c>
      <c r="B13" s="18" t="s">
        <v>30</v>
      </c>
      <c r="C13" s="22" t="s">
        <v>31</v>
      </c>
      <c r="D13" s="23" t="s">
        <v>10</v>
      </c>
      <c r="E13" s="21">
        <v>50.0</v>
      </c>
      <c r="F13" s="18" t="s">
        <v>32</v>
      </c>
      <c r="G13" s="24" t="s">
        <v>26</v>
      </c>
      <c r="H13" s="16"/>
    </row>
    <row r="14" ht="14.25" customHeight="1">
      <c r="A14" s="17">
        <v>9.0</v>
      </c>
      <c r="B14" s="18" t="s">
        <v>33</v>
      </c>
      <c r="C14" s="19" t="s">
        <v>34</v>
      </c>
      <c r="D14" s="20">
        <v>46100.0</v>
      </c>
      <c r="E14" s="21">
        <v>51.0</v>
      </c>
      <c r="F14" s="18" t="s">
        <v>35</v>
      </c>
      <c r="G14" s="19" t="s">
        <v>9</v>
      </c>
      <c r="H14" s="16"/>
    </row>
    <row r="15" ht="14.25" customHeight="1">
      <c r="A15" s="17">
        <v>10.0</v>
      </c>
      <c r="B15" s="18" t="s">
        <v>36</v>
      </c>
      <c r="C15" s="22" t="s">
        <v>9</v>
      </c>
      <c r="D15" s="23" t="s">
        <v>10</v>
      </c>
      <c r="E15" s="21">
        <v>52.0</v>
      </c>
      <c r="F15" s="18" t="s">
        <v>37</v>
      </c>
      <c r="G15" s="24" t="s">
        <v>38</v>
      </c>
      <c r="H15" s="16"/>
    </row>
    <row r="16" ht="14.25" customHeight="1">
      <c r="A16" s="17">
        <v>11.0</v>
      </c>
      <c r="B16" s="18" t="s">
        <v>39</v>
      </c>
      <c r="C16" s="22" t="s">
        <v>40</v>
      </c>
      <c r="D16" s="23" t="s">
        <v>10</v>
      </c>
      <c r="E16" s="21">
        <v>53.0</v>
      </c>
      <c r="F16" s="18" t="s">
        <v>41</v>
      </c>
      <c r="G16" s="19" t="s">
        <v>42</v>
      </c>
      <c r="H16" s="16"/>
    </row>
    <row r="17" ht="14.25" customHeight="1">
      <c r="A17" s="17">
        <v>12.0</v>
      </c>
      <c r="B17" s="18" t="s">
        <v>43</v>
      </c>
      <c r="C17" s="22" t="s">
        <v>9</v>
      </c>
      <c r="D17" s="23" t="s">
        <v>10</v>
      </c>
      <c r="E17" s="21">
        <v>54.0</v>
      </c>
      <c r="F17" s="18" t="s">
        <v>44</v>
      </c>
      <c r="G17" s="22" t="s">
        <v>9</v>
      </c>
      <c r="H17" s="16"/>
    </row>
    <row r="18" ht="14.25" customHeight="1">
      <c r="A18" s="17">
        <v>13.0</v>
      </c>
      <c r="B18" s="18" t="s">
        <v>45</v>
      </c>
      <c r="C18" s="22" t="s">
        <v>9</v>
      </c>
      <c r="D18" s="23" t="s">
        <v>10</v>
      </c>
      <c r="E18" s="21">
        <v>55.0</v>
      </c>
      <c r="F18" s="18" t="s">
        <v>46</v>
      </c>
      <c r="G18" s="22" t="s">
        <v>9</v>
      </c>
      <c r="H18" s="16"/>
    </row>
    <row r="19" ht="14.25" customHeight="1">
      <c r="A19" s="17">
        <v>14.0</v>
      </c>
      <c r="B19" s="18" t="s">
        <v>47</v>
      </c>
      <c r="C19" s="19" t="s">
        <v>48</v>
      </c>
      <c r="D19" s="23" t="s">
        <v>38</v>
      </c>
      <c r="E19" s="21">
        <v>56.0</v>
      </c>
      <c r="F19" s="18" t="s">
        <v>49</v>
      </c>
      <c r="G19" s="19" t="s">
        <v>50</v>
      </c>
      <c r="H19" s="16"/>
    </row>
    <row r="20" ht="14.25" customHeight="1">
      <c r="A20" s="17">
        <v>15.0</v>
      </c>
      <c r="B20" s="18" t="s">
        <v>51</v>
      </c>
      <c r="C20" s="19" t="s">
        <v>52</v>
      </c>
      <c r="D20" s="23" t="s">
        <v>38</v>
      </c>
      <c r="E20" s="21">
        <v>57.0</v>
      </c>
      <c r="F20" s="18" t="s">
        <v>53</v>
      </c>
      <c r="G20" s="19" t="s">
        <v>50</v>
      </c>
      <c r="H20" s="16"/>
    </row>
    <row r="21" ht="14.25" customHeight="1">
      <c r="A21" s="17">
        <v>16.0</v>
      </c>
      <c r="B21" s="18" t="s">
        <v>54</v>
      </c>
      <c r="C21" s="19" t="s">
        <v>55</v>
      </c>
      <c r="D21" s="20">
        <v>46098.0</v>
      </c>
      <c r="E21" s="21">
        <v>58.0</v>
      </c>
      <c r="F21" s="18" t="s">
        <v>56</v>
      </c>
      <c r="G21" s="22" t="s">
        <v>9</v>
      </c>
      <c r="H21" s="16"/>
    </row>
    <row r="22" ht="14.25" customHeight="1">
      <c r="A22" s="17">
        <v>17.0</v>
      </c>
      <c r="B22" s="18" t="s">
        <v>57</v>
      </c>
      <c r="C22" s="19" t="s">
        <v>38</v>
      </c>
      <c r="D22" s="23" t="s">
        <v>38</v>
      </c>
      <c r="E22" s="21">
        <v>59.0</v>
      </c>
      <c r="F22" s="18" t="s">
        <v>58</v>
      </c>
      <c r="G22" s="22" t="s">
        <v>9</v>
      </c>
      <c r="H22" s="16"/>
    </row>
    <row r="23" ht="14.25" customHeight="1">
      <c r="A23" s="17">
        <v>18.0</v>
      </c>
      <c r="B23" s="18" t="s">
        <v>59</v>
      </c>
      <c r="C23" s="19" t="s">
        <v>60</v>
      </c>
      <c r="D23" s="23" t="s">
        <v>61</v>
      </c>
      <c r="E23" s="21">
        <v>60.0</v>
      </c>
      <c r="F23" s="18" t="s">
        <v>62</v>
      </c>
      <c r="G23" s="22" t="s">
        <v>9</v>
      </c>
      <c r="H23" s="16"/>
    </row>
    <row r="24" ht="14.25" customHeight="1">
      <c r="A24" s="17">
        <v>19.0</v>
      </c>
      <c r="B24" s="18" t="s">
        <v>63</v>
      </c>
      <c r="C24" s="22" t="s">
        <v>9</v>
      </c>
      <c r="D24" s="23" t="s">
        <v>38</v>
      </c>
      <c r="E24" s="21">
        <v>61.0</v>
      </c>
      <c r="F24" s="18" t="s">
        <v>64</v>
      </c>
      <c r="G24" s="22" t="s">
        <v>9</v>
      </c>
      <c r="H24" s="16"/>
    </row>
    <row r="25" ht="14.25" customHeight="1">
      <c r="A25" s="17">
        <v>20.0</v>
      </c>
      <c r="B25" s="18" t="s">
        <v>65</v>
      </c>
      <c r="C25" s="22" t="s">
        <v>9</v>
      </c>
      <c r="D25" s="23" t="s">
        <v>10</v>
      </c>
      <c r="E25" s="21">
        <v>62.0</v>
      </c>
      <c r="F25" s="18" t="s">
        <v>66</v>
      </c>
      <c r="G25" s="19" t="s">
        <v>67</v>
      </c>
      <c r="H25" s="16"/>
    </row>
    <row r="26" ht="14.25" customHeight="1">
      <c r="A26" s="17">
        <v>21.0</v>
      </c>
      <c r="B26" s="18" t="s">
        <v>68</v>
      </c>
      <c r="C26" s="19" t="s">
        <v>69</v>
      </c>
      <c r="D26" s="20">
        <v>46100.0</v>
      </c>
      <c r="E26" s="21">
        <v>63.0</v>
      </c>
      <c r="F26" s="18" t="s">
        <v>70</v>
      </c>
      <c r="G26" s="19" t="s">
        <v>71</v>
      </c>
      <c r="H26" s="16"/>
    </row>
    <row r="27" ht="14.25" customHeight="1">
      <c r="A27" s="17">
        <v>22.0</v>
      </c>
      <c r="B27" s="18" t="s">
        <v>72</v>
      </c>
      <c r="C27" s="19" t="s">
        <v>73</v>
      </c>
      <c r="D27" s="20">
        <v>46097.0</v>
      </c>
      <c r="E27" s="21">
        <v>64.0</v>
      </c>
      <c r="F27" s="18" t="s">
        <v>74</v>
      </c>
      <c r="G27" s="19" t="s">
        <v>75</v>
      </c>
      <c r="H27" s="16"/>
    </row>
    <row r="28" ht="14.25" customHeight="1">
      <c r="A28" s="17">
        <v>23.0</v>
      </c>
      <c r="B28" s="18" t="s">
        <v>76</v>
      </c>
      <c r="C28" s="22" t="s">
        <v>9</v>
      </c>
      <c r="D28" s="23" t="s">
        <v>10</v>
      </c>
      <c r="E28" s="21">
        <v>65.0</v>
      </c>
      <c r="F28" s="18" t="s">
        <v>77</v>
      </c>
      <c r="G28" s="19" t="s">
        <v>78</v>
      </c>
      <c r="H28" s="25" t="s">
        <v>10</v>
      </c>
    </row>
    <row r="29" ht="14.25" customHeight="1">
      <c r="A29" s="17">
        <v>24.0</v>
      </c>
      <c r="B29" s="18" t="s">
        <v>79</v>
      </c>
      <c r="C29" s="22" t="s">
        <v>9</v>
      </c>
      <c r="D29" s="23" t="s">
        <v>10</v>
      </c>
      <c r="E29" s="21">
        <v>66.0</v>
      </c>
      <c r="F29" s="18" t="s">
        <v>80</v>
      </c>
      <c r="G29" s="19" t="s">
        <v>78</v>
      </c>
      <c r="H29" s="25" t="s">
        <v>10</v>
      </c>
    </row>
    <row r="30" ht="14.25" customHeight="1">
      <c r="A30" s="17">
        <v>25.0</v>
      </c>
      <c r="B30" s="18" t="s">
        <v>81</v>
      </c>
      <c r="C30" s="22" t="s">
        <v>9</v>
      </c>
      <c r="D30" s="23" t="s">
        <v>10</v>
      </c>
      <c r="E30" s="21">
        <v>67.0</v>
      </c>
      <c r="F30" s="18" t="s">
        <v>82</v>
      </c>
      <c r="G30" s="19" t="s">
        <v>9</v>
      </c>
      <c r="H30" s="25" t="s">
        <v>10</v>
      </c>
    </row>
    <row r="31" ht="14.25" customHeight="1">
      <c r="A31" s="17">
        <v>26.0</v>
      </c>
      <c r="B31" s="18" t="s">
        <v>83</v>
      </c>
      <c r="C31" s="19" t="s">
        <v>84</v>
      </c>
      <c r="D31" s="23" t="s">
        <v>38</v>
      </c>
      <c r="E31" s="21">
        <v>68.0</v>
      </c>
      <c r="F31" s="18" t="s">
        <v>85</v>
      </c>
      <c r="G31" s="19" t="s">
        <v>86</v>
      </c>
      <c r="H31" s="25" t="s">
        <v>10</v>
      </c>
    </row>
    <row r="32" ht="14.25" customHeight="1">
      <c r="A32" s="17">
        <v>27.0</v>
      </c>
      <c r="B32" s="18" t="s">
        <v>87</v>
      </c>
      <c r="C32" s="19" t="s">
        <v>9</v>
      </c>
      <c r="D32" s="23" t="s">
        <v>38</v>
      </c>
      <c r="E32" s="21">
        <v>69.0</v>
      </c>
      <c r="F32" s="26" t="s">
        <v>88</v>
      </c>
      <c r="G32" s="19" t="s">
        <v>89</v>
      </c>
      <c r="H32" s="25" t="s">
        <v>10</v>
      </c>
    </row>
    <row r="33" ht="14.25" customHeight="1">
      <c r="A33" s="17">
        <v>28.0</v>
      </c>
      <c r="B33" s="18" t="s">
        <v>90</v>
      </c>
      <c r="C33" s="19" t="s">
        <v>91</v>
      </c>
      <c r="D33" s="23" t="s">
        <v>38</v>
      </c>
      <c r="E33" s="21">
        <v>70.0</v>
      </c>
      <c r="F33" s="18" t="s">
        <v>92</v>
      </c>
      <c r="G33" s="22" t="s">
        <v>9</v>
      </c>
      <c r="H33" s="25" t="s">
        <v>10</v>
      </c>
    </row>
    <row r="34" ht="14.25" customHeight="1">
      <c r="A34" s="17">
        <v>29.0</v>
      </c>
      <c r="B34" s="18" t="s">
        <v>93</v>
      </c>
      <c r="C34" s="19" t="s">
        <v>94</v>
      </c>
      <c r="D34" s="23" t="s">
        <v>38</v>
      </c>
      <c r="E34" s="21">
        <v>71.0</v>
      </c>
      <c r="F34" s="18" t="s">
        <v>95</v>
      </c>
      <c r="G34" s="22" t="s">
        <v>9</v>
      </c>
      <c r="H34" s="25" t="s">
        <v>10</v>
      </c>
    </row>
    <row r="35" ht="14.25" customHeight="1">
      <c r="A35" s="17">
        <v>30.0</v>
      </c>
      <c r="B35" s="18" t="s">
        <v>96</v>
      </c>
      <c r="C35" s="19" t="s">
        <v>34</v>
      </c>
      <c r="D35" s="23" t="s">
        <v>38</v>
      </c>
      <c r="E35" s="21">
        <v>72.0</v>
      </c>
      <c r="F35" s="18" t="s">
        <v>97</v>
      </c>
      <c r="G35" s="19" t="s">
        <v>50</v>
      </c>
      <c r="H35" s="25" t="s">
        <v>10</v>
      </c>
    </row>
    <row r="36" ht="14.25" customHeight="1">
      <c r="A36" s="17">
        <v>31.0</v>
      </c>
      <c r="B36" s="18" t="s">
        <v>98</v>
      </c>
      <c r="C36" s="19" t="s">
        <v>99</v>
      </c>
      <c r="D36" s="23" t="s">
        <v>10</v>
      </c>
      <c r="E36" s="21">
        <v>73.0</v>
      </c>
      <c r="F36" s="18" t="s">
        <v>100</v>
      </c>
      <c r="G36" s="22" t="s">
        <v>9</v>
      </c>
      <c r="H36" s="25" t="s">
        <v>10</v>
      </c>
    </row>
    <row r="37" ht="14.25" customHeight="1">
      <c r="A37" s="17">
        <v>32.0</v>
      </c>
      <c r="B37" s="18" t="s">
        <v>101</v>
      </c>
      <c r="C37" s="19" t="s">
        <v>102</v>
      </c>
      <c r="D37" s="23" t="s">
        <v>38</v>
      </c>
      <c r="E37" s="21">
        <v>74.0</v>
      </c>
      <c r="F37" s="18" t="s">
        <v>103</v>
      </c>
      <c r="G37" s="22" t="s">
        <v>9</v>
      </c>
      <c r="H37" s="25" t="s">
        <v>10</v>
      </c>
    </row>
    <row r="38" ht="14.25" customHeight="1">
      <c r="A38" s="17">
        <v>33.0</v>
      </c>
      <c r="B38" s="18" t="s">
        <v>104</v>
      </c>
      <c r="C38" s="19" t="s">
        <v>78</v>
      </c>
      <c r="D38" s="23" t="s">
        <v>38</v>
      </c>
      <c r="E38" s="21">
        <v>75.0</v>
      </c>
      <c r="F38" s="18" t="s">
        <v>105</v>
      </c>
      <c r="G38" s="22" t="s">
        <v>9</v>
      </c>
      <c r="H38" s="25" t="s">
        <v>10</v>
      </c>
    </row>
    <row r="39" ht="14.25" customHeight="1">
      <c r="A39" s="17">
        <v>34.0</v>
      </c>
      <c r="B39" s="18" t="s">
        <v>106</v>
      </c>
      <c r="C39" s="19" t="s">
        <v>107</v>
      </c>
      <c r="D39" s="23" t="s">
        <v>38</v>
      </c>
      <c r="E39" s="21">
        <v>76.0</v>
      </c>
      <c r="F39" s="18" t="s">
        <v>108</v>
      </c>
      <c r="G39" s="24" t="s">
        <v>38</v>
      </c>
      <c r="H39" s="25" t="s">
        <v>10</v>
      </c>
    </row>
    <row r="40" ht="14.25" customHeight="1">
      <c r="A40" s="17">
        <v>35.0</v>
      </c>
      <c r="B40" s="18" t="s">
        <v>109</v>
      </c>
      <c r="C40" s="19" t="s">
        <v>110</v>
      </c>
      <c r="D40" s="23" t="s">
        <v>110</v>
      </c>
      <c r="E40" s="21">
        <v>77.0</v>
      </c>
      <c r="F40" s="18" t="s">
        <v>111</v>
      </c>
      <c r="G40" s="24" t="s">
        <v>38</v>
      </c>
      <c r="H40" s="25" t="s">
        <v>10</v>
      </c>
    </row>
    <row r="41" ht="14.25" customHeight="1">
      <c r="A41" s="17">
        <v>36.0</v>
      </c>
      <c r="B41" s="18" t="s">
        <v>112</v>
      </c>
      <c r="C41" s="19" t="s">
        <v>113</v>
      </c>
      <c r="D41" s="20">
        <v>46099.0</v>
      </c>
      <c r="E41" s="21">
        <v>78.0</v>
      </c>
      <c r="F41" s="18" t="s">
        <v>114</v>
      </c>
      <c r="G41" s="22" t="s">
        <v>9</v>
      </c>
      <c r="H41" s="25" t="s">
        <v>10</v>
      </c>
    </row>
    <row r="42" ht="14.25" customHeight="1">
      <c r="A42" s="17">
        <v>37.0</v>
      </c>
      <c r="B42" s="18" t="s">
        <v>115</v>
      </c>
      <c r="C42" s="19" t="s">
        <v>113</v>
      </c>
      <c r="D42" s="20">
        <v>46099.0</v>
      </c>
      <c r="E42" s="21">
        <v>79.0</v>
      </c>
      <c r="F42" s="18" t="s">
        <v>116</v>
      </c>
      <c r="G42" s="22" t="s">
        <v>9</v>
      </c>
      <c r="H42" s="25" t="s">
        <v>10</v>
      </c>
    </row>
    <row r="43" ht="14.25" customHeight="1">
      <c r="A43" s="17">
        <v>38.0</v>
      </c>
      <c r="B43" s="18" t="s">
        <v>117</v>
      </c>
      <c r="C43" s="19" t="s">
        <v>73</v>
      </c>
      <c r="D43" s="20">
        <v>46100.0</v>
      </c>
      <c r="E43" s="21">
        <v>80.0</v>
      </c>
      <c r="F43" s="18" t="s">
        <v>118</v>
      </c>
      <c r="G43" s="22" t="s">
        <v>9</v>
      </c>
      <c r="H43" s="25" t="s">
        <v>10</v>
      </c>
    </row>
    <row r="44" ht="14.25" customHeight="1">
      <c r="A44" s="17">
        <v>39.0</v>
      </c>
      <c r="B44" s="18" t="s">
        <v>119</v>
      </c>
      <c r="C44" s="19" t="s">
        <v>120</v>
      </c>
      <c r="D44" s="20">
        <v>46097.0</v>
      </c>
      <c r="E44" s="21">
        <v>81.0</v>
      </c>
      <c r="F44" s="18" t="s">
        <v>121</v>
      </c>
      <c r="G44" s="22" t="s">
        <v>9</v>
      </c>
      <c r="H44" s="25" t="s">
        <v>10</v>
      </c>
    </row>
    <row r="45" ht="14.25" customHeight="1">
      <c r="A45" s="17">
        <v>40.0</v>
      </c>
      <c r="B45" s="18" t="s">
        <v>122</v>
      </c>
      <c r="C45" s="19" t="s">
        <v>9</v>
      </c>
      <c r="D45" s="23" t="s">
        <v>10</v>
      </c>
      <c r="E45" s="21">
        <v>82.0</v>
      </c>
      <c r="F45" s="18" t="s">
        <v>123</v>
      </c>
      <c r="G45" s="22" t="s">
        <v>9</v>
      </c>
      <c r="H45" s="25" t="s">
        <v>10</v>
      </c>
    </row>
    <row r="46" ht="14.25" customHeight="1">
      <c r="A46" s="17">
        <v>41.0</v>
      </c>
      <c r="B46" s="18" t="s">
        <v>124</v>
      </c>
      <c r="C46" s="19" t="s">
        <v>110</v>
      </c>
      <c r="D46" s="23" t="s">
        <v>110</v>
      </c>
      <c r="E46" s="21">
        <v>83.0</v>
      </c>
      <c r="F46" s="18" t="s">
        <v>125</v>
      </c>
      <c r="G46" s="22" t="s">
        <v>9</v>
      </c>
      <c r="H46" s="25" t="s">
        <v>10</v>
      </c>
    </row>
    <row r="47" ht="14.25" customHeight="1">
      <c r="A47" s="27">
        <v>42.0</v>
      </c>
      <c r="B47" s="28" t="s">
        <v>126</v>
      </c>
      <c r="C47" s="29" t="s">
        <v>127</v>
      </c>
      <c r="D47" s="30" t="s">
        <v>38</v>
      </c>
      <c r="E47" s="31">
        <v>84.0</v>
      </c>
      <c r="F47" s="28" t="s">
        <v>128</v>
      </c>
      <c r="G47" s="32" t="s">
        <v>9</v>
      </c>
      <c r="H47" s="33" t="s">
        <v>10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H3"/>
    <mergeCell ref="A4:H4"/>
  </mergeCells>
  <printOptions/>
  <pageMargins bottom="0.7480314960629921" footer="0.0" header="0.0" left="0.6299212598425197" right="0.2362204724409449" top="0.3543307086614173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14"/>
    <col customWidth="1" min="3" max="3" width="30.29"/>
    <col customWidth="1" min="4" max="4" width="26.14"/>
    <col customWidth="1" min="5" max="5" width="36.71"/>
    <col customWidth="1" min="6" max="6" width="17.71"/>
    <col customWidth="1" min="7" max="7" width="39.0"/>
    <col customWidth="1" min="8" max="26" width="10.71"/>
  </cols>
  <sheetData>
    <row r="1" ht="138.75" customHeight="1">
      <c r="A1" s="34"/>
    </row>
    <row r="2" ht="14.25" customHeight="1">
      <c r="A2" s="35" t="s">
        <v>129</v>
      </c>
    </row>
    <row r="3" ht="24.0" customHeight="1">
      <c r="A3" s="36" t="s">
        <v>130</v>
      </c>
    </row>
    <row r="4" ht="14.25" customHeight="1">
      <c r="A4" s="37" t="s">
        <v>4</v>
      </c>
      <c r="B4" s="37" t="s">
        <v>131</v>
      </c>
      <c r="C4" s="37" t="s">
        <v>132</v>
      </c>
      <c r="D4" s="37" t="s">
        <v>133</v>
      </c>
      <c r="E4" s="37" t="s">
        <v>134</v>
      </c>
      <c r="F4" s="37" t="s">
        <v>135</v>
      </c>
      <c r="G4" s="37" t="s">
        <v>136</v>
      </c>
    </row>
    <row r="5" ht="14.25" customHeight="1">
      <c r="A5" s="38">
        <v>1.0</v>
      </c>
      <c r="B5" s="39" t="s">
        <v>137</v>
      </c>
      <c r="C5" s="40" t="s">
        <v>138</v>
      </c>
      <c r="D5" s="41" t="s">
        <v>139</v>
      </c>
      <c r="E5" s="41" t="s">
        <v>140</v>
      </c>
      <c r="F5" s="42"/>
      <c r="G5" s="41" t="s">
        <v>141</v>
      </c>
    </row>
    <row r="6" ht="14.25" customHeight="1">
      <c r="A6" s="43"/>
      <c r="B6" s="43"/>
      <c r="C6" s="43"/>
      <c r="D6" s="41" t="s">
        <v>142</v>
      </c>
      <c r="E6" s="42"/>
      <c r="F6" s="42"/>
      <c r="G6" s="41" t="s">
        <v>143</v>
      </c>
    </row>
    <row r="7" ht="14.25" customHeight="1">
      <c r="A7" s="43"/>
      <c r="B7" s="43"/>
      <c r="C7" s="43"/>
      <c r="D7" s="44" t="s">
        <v>19</v>
      </c>
      <c r="E7" s="45"/>
      <c r="F7" s="42"/>
      <c r="G7" s="46" t="s">
        <v>144</v>
      </c>
    </row>
    <row r="8" ht="14.25" customHeight="1">
      <c r="A8" s="43"/>
      <c r="B8" s="43"/>
      <c r="C8" s="43"/>
      <c r="D8" s="41" t="s">
        <v>145</v>
      </c>
      <c r="E8" s="42"/>
      <c r="F8" s="42"/>
      <c r="G8" s="42"/>
    </row>
    <row r="9" ht="14.25" customHeight="1">
      <c r="A9" s="43"/>
      <c r="B9" s="43"/>
      <c r="C9" s="43"/>
      <c r="D9" s="41" t="s">
        <v>146</v>
      </c>
      <c r="E9" s="42"/>
      <c r="F9" s="42"/>
      <c r="G9" s="41" t="s">
        <v>147</v>
      </c>
    </row>
    <row r="10" ht="14.25" customHeight="1">
      <c r="A10" s="43"/>
      <c r="B10" s="43"/>
      <c r="C10" s="43"/>
      <c r="D10" s="41" t="s">
        <v>148</v>
      </c>
      <c r="E10" s="42"/>
      <c r="F10" s="42"/>
      <c r="G10" s="42"/>
    </row>
    <row r="11" ht="14.25" customHeight="1">
      <c r="A11" s="43"/>
      <c r="B11" s="43"/>
      <c r="C11" s="43"/>
      <c r="D11" s="41" t="s">
        <v>149</v>
      </c>
      <c r="E11" s="42"/>
      <c r="F11" s="42"/>
      <c r="G11" s="42"/>
    </row>
    <row r="12" ht="14.25" customHeight="1">
      <c r="A12" s="43"/>
      <c r="B12" s="43"/>
      <c r="C12" s="43"/>
      <c r="D12" s="41" t="s">
        <v>150</v>
      </c>
      <c r="E12" s="42"/>
      <c r="F12" s="42"/>
      <c r="G12" s="42"/>
    </row>
    <row r="13" ht="14.25" customHeight="1">
      <c r="A13" s="47"/>
      <c r="B13" s="47"/>
      <c r="C13" s="47"/>
      <c r="D13" s="42"/>
      <c r="E13" s="42"/>
      <c r="F13" s="42"/>
      <c r="G13" s="42"/>
    </row>
    <row r="14" ht="14.25" customHeight="1">
      <c r="A14" s="38">
        <v>2.0</v>
      </c>
      <c r="B14" s="39" t="s">
        <v>151</v>
      </c>
      <c r="C14" s="48" t="s">
        <v>152</v>
      </c>
      <c r="D14" s="42" t="s">
        <v>17</v>
      </c>
      <c r="E14" s="42"/>
      <c r="F14" s="42"/>
      <c r="G14" s="42"/>
    </row>
    <row r="15" ht="14.25" customHeight="1">
      <c r="A15" s="43"/>
      <c r="B15" s="43"/>
      <c r="C15" s="43"/>
      <c r="D15" s="41" t="s">
        <v>153</v>
      </c>
      <c r="E15" s="42"/>
      <c r="F15" s="42"/>
      <c r="G15" s="41" t="s">
        <v>154</v>
      </c>
    </row>
    <row r="16" ht="14.25" customHeight="1">
      <c r="A16" s="43"/>
      <c r="B16" s="43"/>
      <c r="C16" s="43"/>
      <c r="D16" s="41" t="s">
        <v>155</v>
      </c>
      <c r="E16" s="42"/>
      <c r="F16" s="42"/>
      <c r="G16" s="42"/>
    </row>
    <row r="17" ht="14.25" customHeight="1">
      <c r="A17" s="43"/>
      <c r="B17" s="43"/>
      <c r="C17" s="43"/>
      <c r="D17" s="42" t="s">
        <v>156</v>
      </c>
      <c r="E17" s="42"/>
      <c r="F17" s="42"/>
      <c r="G17" s="41" t="s">
        <v>157</v>
      </c>
    </row>
    <row r="18" ht="14.25" customHeight="1">
      <c r="A18" s="43"/>
      <c r="B18" s="43"/>
      <c r="C18" s="43"/>
      <c r="D18" s="42" t="s">
        <v>158</v>
      </c>
      <c r="E18" s="42"/>
      <c r="F18" s="42"/>
      <c r="G18" s="42"/>
    </row>
    <row r="19" ht="14.25" customHeight="1">
      <c r="A19" s="43"/>
      <c r="B19" s="43"/>
      <c r="C19" s="43"/>
      <c r="D19" s="41" t="s">
        <v>159</v>
      </c>
      <c r="E19" s="42"/>
      <c r="F19" s="42"/>
      <c r="G19" s="41" t="s">
        <v>160</v>
      </c>
    </row>
    <row r="20" ht="14.25" customHeight="1">
      <c r="A20" s="43"/>
      <c r="B20" s="43"/>
      <c r="C20" s="43"/>
      <c r="D20" s="41" t="s">
        <v>161</v>
      </c>
      <c r="E20" s="42"/>
      <c r="F20" s="42"/>
      <c r="G20" s="41" t="s">
        <v>162</v>
      </c>
    </row>
    <row r="21" ht="14.25" customHeight="1">
      <c r="A21" s="43"/>
      <c r="B21" s="43"/>
      <c r="C21" s="43"/>
      <c r="D21" s="41" t="s">
        <v>163</v>
      </c>
      <c r="E21" s="42"/>
      <c r="F21" s="42"/>
      <c r="G21" s="41" t="s">
        <v>164</v>
      </c>
    </row>
    <row r="22" ht="14.25" customHeight="1">
      <c r="A22" s="47"/>
      <c r="B22" s="47"/>
      <c r="C22" s="47"/>
      <c r="D22" s="41" t="s">
        <v>165</v>
      </c>
      <c r="E22" s="42"/>
      <c r="F22" s="42"/>
      <c r="G22" s="41" t="s">
        <v>166</v>
      </c>
    </row>
    <row r="23">
      <c r="A23" s="38">
        <v>3.0</v>
      </c>
      <c r="B23" s="49" t="s">
        <v>167</v>
      </c>
      <c r="C23" s="50" t="s">
        <v>168</v>
      </c>
      <c r="D23" s="51" t="s">
        <v>169</v>
      </c>
      <c r="E23" s="51"/>
      <c r="F23" s="51"/>
      <c r="G23" s="52" t="s">
        <v>170</v>
      </c>
    </row>
    <row r="24">
      <c r="A24" s="43"/>
      <c r="B24" s="43"/>
      <c r="C24" s="43"/>
      <c r="D24" s="53" t="s">
        <v>19</v>
      </c>
      <c r="E24" s="53"/>
      <c r="F24" s="53"/>
      <c r="G24" s="46" t="s">
        <v>171</v>
      </c>
    </row>
    <row r="25" ht="14.25" customHeight="1">
      <c r="A25" s="43"/>
      <c r="B25" s="43"/>
      <c r="C25" s="43"/>
      <c r="D25" s="41" t="s">
        <v>172</v>
      </c>
      <c r="E25" s="42"/>
      <c r="F25" s="42"/>
      <c r="G25" s="41" t="s">
        <v>173</v>
      </c>
    </row>
    <row r="26" ht="14.25" customHeight="1">
      <c r="A26" s="43"/>
      <c r="B26" s="43"/>
      <c r="C26" s="43"/>
      <c r="D26" s="41" t="s">
        <v>174</v>
      </c>
      <c r="E26" s="42"/>
      <c r="F26" s="42"/>
      <c r="G26" s="41" t="s">
        <v>175</v>
      </c>
    </row>
    <row r="27" ht="14.25" customHeight="1">
      <c r="A27" s="43"/>
      <c r="B27" s="43"/>
      <c r="C27" s="43"/>
      <c r="D27" s="42" t="s">
        <v>68</v>
      </c>
      <c r="E27" s="41" t="s">
        <v>140</v>
      </c>
      <c r="F27" s="42"/>
      <c r="G27" s="41" t="s">
        <v>176</v>
      </c>
    </row>
    <row r="28" ht="14.25" customHeight="1">
      <c r="A28" s="43"/>
      <c r="B28" s="43"/>
      <c r="C28" s="43"/>
      <c r="D28" s="42" t="s">
        <v>177</v>
      </c>
      <c r="E28" s="42"/>
      <c r="F28" s="42"/>
      <c r="G28" s="41" t="s">
        <v>178</v>
      </c>
    </row>
    <row r="29" ht="14.25" customHeight="1">
      <c r="A29" s="43"/>
      <c r="B29" s="43"/>
      <c r="C29" s="43"/>
      <c r="D29" s="41" t="s">
        <v>179</v>
      </c>
      <c r="E29" s="42"/>
      <c r="F29" s="42"/>
      <c r="G29" s="41" t="s">
        <v>180</v>
      </c>
    </row>
    <row r="30" ht="14.25" customHeight="1">
      <c r="A30" s="43"/>
      <c r="B30" s="43"/>
      <c r="C30" s="43"/>
      <c r="D30" s="42" t="s">
        <v>17</v>
      </c>
      <c r="E30" s="42"/>
      <c r="F30" s="42"/>
      <c r="G30" s="41" t="s">
        <v>181</v>
      </c>
    </row>
    <row r="31" ht="14.25" customHeight="1">
      <c r="A31" s="43"/>
      <c r="B31" s="43"/>
      <c r="C31" s="43"/>
      <c r="D31" s="42" t="s">
        <v>182</v>
      </c>
      <c r="E31" s="42"/>
      <c r="F31" s="42"/>
      <c r="G31" s="46" t="s">
        <v>183</v>
      </c>
    </row>
    <row r="32" ht="14.25" customHeight="1">
      <c r="A32" s="43"/>
      <c r="B32" s="43"/>
      <c r="C32" s="43"/>
      <c r="D32" s="42" t="s">
        <v>184</v>
      </c>
      <c r="E32" s="42"/>
      <c r="F32" s="42"/>
      <c r="G32" s="42"/>
    </row>
    <row r="33" ht="14.25" customHeight="1">
      <c r="A33" s="43"/>
      <c r="B33" s="43"/>
      <c r="C33" s="43"/>
      <c r="D33" s="42" t="s">
        <v>185</v>
      </c>
      <c r="E33" s="42"/>
      <c r="F33" s="42"/>
      <c r="G33" s="41" t="s">
        <v>186</v>
      </c>
    </row>
    <row r="34" ht="14.25" customHeight="1">
      <c r="A34" s="43"/>
      <c r="B34" s="43"/>
      <c r="C34" s="43"/>
      <c r="D34" s="45" t="s">
        <v>187</v>
      </c>
      <c r="E34" s="45"/>
      <c r="F34" s="45"/>
      <c r="G34" s="54" t="s">
        <v>188</v>
      </c>
    </row>
    <row r="35" ht="14.25" customHeight="1">
      <c r="A35" s="43"/>
      <c r="B35" s="43"/>
      <c r="C35" s="43"/>
      <c r="D35" s="42" t="s">
        <v>189</v>
      </c>
      <c r="E35" s="42"/>
      <c r="F35" s="42"/>
      <c r="G35" s="41" t="s">
        <v>190</v>
      </c>
    </row>
    <row r="36" ht="14.25" customHeight="1">
      <c r="A36" s="43"/>
      <c r="B36" s="43"/>
      <c r="C36" s="43"/>
      <c r="D36" s="41" t="s">
        <v>191</v>
      </c>
      <c r="E36" s="42"/>
      <c r="F36" s="42"/>
      <c r="G36" s="41" t="s">
        <v>192</v>
      </c>
    </row>
    <row r="37" ht="14.25" customHeight="1">
      <c r="A37" s="43"/>
      <c r="B37" s="43"/>
      <c r="C37" s="43"/>
      <c r="D37" s="42" t="s">
        <v>36</v>
      </c>
      <c r="E37" s="42"/>
      <c r="F37" s="42"/>
      <c r="G37" s="41" t="s">
        <v>193</v>
      </c>
    </row>
    <row r="38" ht="14.25" customHeight="1">
      <c r="A38" s="43"/>
      <c r="B38" s="43"/>
      <c r="C38" s="43"/>
      <c r="D38" s="55" t="s">
        <v>57</v>
      </c>
      <c r="E38" s="55"/>
      <c r="F38" s="42"/>
      <c r="G38" s="46" t="s">
        <v>194</v>
      </c>
    </row>
    <row r="39" ht="14.25" customHeight="1">
      <c r="A39" s="43"/>
      <c r="B39" s="43"/>
      <c r="C39" s="43"/>
      <c r="D39" s="56" t="s">
        <v>195</v>
      </c>
      <c r="E39" s="55"/>
      <c r="F39" s="42"/>
      <c r="G39" s="46" t="s">
        <v>9</v>
      </c>
    </row>
    <row r="40" ht="14.25" customHeight="1">
      <c r="A40" s="43"/>
      <c r="B40" s="43"/>
      <c r="C40" s="43"/>
      <c r="D40" s="41" t="s">
        <v>196</v>
      </c>
      <c r="E40" s="42"/>
      <c r="F40" s="42"/>
      <c r="G40" s="41" t="s">
        <v>197</v>
      </c>
    </row>
    <row r="41" ht="14.25" customHeight="1">
      <c r="A41" s="43"/>
      <c r="B41" s="43"/>
      <c r="C41" s="43"/>
      <c r="D41" s="41" t="s">
        <v>198</v>
      </c>
      <c r="E41" s="42"/>
      <c r="F41" s="42"/>
      <c r="G41" s="41" t="s">
        <v>199</v>
      </c>
    </row>
    <row r="42" ht="14.25" customHeight="1">
      <c r="A42" s="43"/>
      <c r="B42" s="43"/>
      <c r="C42" s="43"/>
      <c r="D42" s="41" t="s">
        <v>200</v>
      </c>
      <c r="E42" s="42"/>
      <c r="F42" s="42"/>
      <c r="G42" s="41" t="s">
        <v>201</v>
      </c>
    </row>
    <row r="43" ht="14.25" customHeight="1">
      <c r="A43" s="43"/>
      <c r="B43" s="43"/>
      <c r="C43" s="43"/>
      <c r="D43" s="41" t="s">
        <v>202</v>
      </c>
      <c r="E43" s="42"/>
      <c r="F43" s="42"/>
      <c r="G43" s="41" t="s">
        <v>203</v>
      </c>
    </row>
    <row r="44" ht="14.25" customHeight="1">
      <c r="A44" s="43"/>
      <c r="B44" s="43"/>
      <c r="C44" s="43"/>
      <c r="D44" s="41" t="s">
        <v>204</v>
      </c>
      <c r="E44" s="42"/>
      <c r="F44" s="42"/>
      <c r="G44" s="41" t="s">
        <v>205</v>
      </c>
    </row>
    <row r="45" ht="14.25" customHeight="1">
      <c r="A45" s="43"/>
      <c r="B45" s="43"/>
      <c r="C45" s="43"/>
      <c r="D45" s="41" t="s">
        <v>206</v>
      </c>
      <c r="E45" s="42"/>
      <c r="F45" s="42"/>
      <c r="G45" s="41" t="s">
        <v>207</v>
      </c>
    </row>
    <row r="46" ht="14.25" customHeight="1">
      <c r="A46" s="47"/>
      <c r="B46" s="47"/>
      <c r="C46" s="47"/>
      <c r="D46" s="42" t="s">
        <v>208</v>
      </c>
      <c r="E46" s="42"/>
      <c r="F46" s="42"/>
      <c r="G46" s="41" t="s">
        <v>209</v>
      </c>
    </row>
    <row r="47" ht="14.25" customHeight="1">
      <c r="A47" s="57">
        <v>4.0</v>
      </c>
      <c r="B47" s="58" t="s">
        <v>210</v>
      </c>
      <c r="C47" s="59" t="s">
        <v>211</v>
      </c>
      <c r="D47" s="54" t="s">
        <v>212</v>
      </c>
      <c r="E47" s="53"/>
      <c r="F47" s="45"/>
      <c r="G47" s="44" t="s">
        <v>213</v>
      </c>
    </row>
    <row r="48" ht="14.25" customHeight="1">
      <c r="A48" s="38">
        <v>5.0</v>
      </c>
      <c r="B48" s="39" t="s">
        <v>214</v>
      </c>
      <c r="C48" s="50" t="s">
        <v>215</v>
      </c>
      <c r="D48" s="42" t="s">
        <v>216</v>
      </c>
      <c r="E48" s="42"/>
      <c r="F48" s="42"/>
      <c r="G48" s="41" t="s">
        <v>199</v>
      </c>
    </row>
    <row r="49" ht="14.25" customHeight="1">
      <c r="A49" s="43"/>
      <c r="B49" s="43"/>
      <c r="C49" s="43"/>
      <c r="D49" s="41" t="s">
        <v>217</v>
      </c>
      <c r="E49" s="42"/>
      <c r="F49" s="42"/>
      <c r="G49" s="41" t="s">
        <v>218</v>
      </c>
    </row>
    <row r="50" ht="14.25" customHeight="1">
      <c r="A50" s="43"/>
      <c r="B50" s="43"/>
      <c r="C50" s="43"/>
      <c r="D50" s="42" t="s">
        <v>219</v>
      </c>
      <c r="E50" s="42"/>
      <c r="F50" s="42"/>
      <c r="G50" s="41" t="s">
        <v>220</v>
      </c>
    </row>
    <row r="51" ht="14.25" customHeight="1">
      <c r="A51" s="43"/>
      <c r="B51" s="43"/>
      <c r="C51" s="43"/>
      <c r="D51" s="42" t="s">
        <v>47</v>
      </c>
      <c r="E51" s="42"/>
      <c r="F51" s="42"/>
      <c r="G51" s="41" t="s">
        <v>221</v>
      </c>
    </row>
    <row r="52" ht="14.25" customHeight="1">
      <c r="A52" s="43"/>
      <c r="B52" s="43"/>
      <c r="C52" s="43"/>
      <c r="D52" s="41" t="s">
        <v>222</v>
      </c>
      <c r="E52" s="42"/>
      <c r="F52" s="42"/>
      <c r="G52" s="41" t="s">
        <v>223</v>
      </c>
    </row>
    <row r="53" ht="14.25" customHeight="1">
      <c r="A53" s="47"/>
      <c r="B53" s="47"/>
      <c r="C53" s="47"/>
      <c r="D53" s="42" t="s">
        <v>224</v>
      </c>
      <c r="E53" s="42"/>
      <c r="F53" s="42"/>
      <c r="G53" s="41" t="s">
        <v>225</v>
      </c>
    </row>
    <row r="54" ht="14.25" customHeight="1">
      <c r="A54" s="60">
        <v>6.0</v>
      </c>
      <c r="B54" s="39" t="s">
        <v>226</v>
      </c>
      <c r="C54" s="50" t="s">
        <v>227</v>
      </c>
      <c r="D54" s="42" t="s">
        <v>219</v>
      </c>
      <c r="E54" s="42"/>
      <c r="F54" s="42"/>
      <c r="G54" s="41" t="s">
        <v>228</v>
      </c>
    </row>
    <row r="55" ht="14.25" customHeight="1">
      <c r="A55" s="43"/>
      <c r="B55" s="43"/>
      <c r="C55" s="43"/>
      <c r="D55" s="42" t="s">
        <v>229</v>
      </c>
      <c r="E55" s="42"/>
      <c r="F55" s="42"/>
      <c r="G55" s="41" t="s">
        <v>230</v>
      </c>
    </row>
    <row r="56" ht="14.25" customHeight="1">
      <c r="A56" s="43"/>
      <c r="B56" s="43"/>
      <c r="C56" s="43"/>
      <c r="D56" s="41" t="s">
        <v>231</v>
      </c>
      <c r="E56" s="42"/>
      <c r="F56" s="42"/>
      <c r="G56" s="42"/>
    </row>
    <row r="57" ht="14.25" customHeight="1">
      <c r="A57" s="43"/>
      <c r="B57" s="43"/>
      <c r="C57" s="43"/>
      <c r="D57" s="41" t="s">
        <v>232</v>
      </c>
      <c r="E57" s="42"/>
      <c r="F57" s="42"/>
      <c r="G57" s="41" t="s">
        <v>233</v>
      </c>
    </row>
    <row r="58" ht="14.25" customHeight="1">
      <c r="A58" s="43"/>
      <c r="B58" s="43"/>
      <c r="C58" s="43"/>
      <c r="D58" s="41" t="s">
        <v>234</v>
      </c>
      <c r="E58" s="42"/>
      <c r="F58" s="42"/>
      <c r="G58" s="41" t="s">
        <v>233</v>
      </c>
    </row>
    <row r="59" ht="14.25" customHeight="1">
      <c r="A59" s="43"/>
      <c r="B59" s="43"/>
      <c r="C59" s="43"/>
      <c r="D59" s="42" t="s">
        <v>158</v>
      </c>
      <c r="E59" s="42"/>
      <c r="F59" s="42"/>
      <c r="G59" s="42"/>
    </row>
    <row r="60" ht="14.25" customHeight="1">
      <c r="A60" s="43"/>
      <c r="B60" s="43"/>
      <c r="C60" s="43"/>
      <c r="D60" s="42" t="s">
        <v>47</v>
      </c>
      <c r="E60" s="42"/>
      <c r="F60" s="42"/>
      <c r="G60" s="41" t="s">
        <v>235</v>
      </c>
    </row>
    <row r="61" ht="14.25" customHeight="1">
      <c r="A61" s="43"/>
      <c r="B61" s="43"/>
      <c r="C61" s="43"/>
      <c r="D61" s="42" t="s">
        <v>224</v>
      </c>
      <c r="E61" s="42"/>
      <c r="F61" s="42"/>
      <c r="G61" s="41" t="s">
        <v>236</v>
      </c>
    </row>
    <row r="62" ht="14.25" customHeight="1">
      <c r="A62" s="43"/>
      <c r="B62" s="43"/>
      <c r="C62" s="43"/>
      <c r="D62" s="42" t="s">
        <v>27</v>
      </c>
      <c r="E62" s="42"/>
      <c r="F62" s="42"/>
      <c r="G62" s="41" t="s">
        <v>237</v>
      </c>
    </row>
    <row r="63" ht="14.25" customHeight="1">
      <c r="A63" s="43"/>
      <c r="B63" s="43"/>
      <c r="C63" s="43"/>
      <c r="D63" s="41" t="s">
        <v>238</v>
      </c>
      <c r="E63" s="42"/>
      <c r="F63" s="42"/>
      <c r="G63" s="41" t="s">
        <v>239</v>
      </c>
    </row>
    <row r="64" ht="14.25" customHeight="1">
      <c r="A64" s="43"/>
      <c r="B64" s="43"/>
      <c r="C64" s="43"/>
      <c r="D64" s="42" t="s">
        <v>240</v>
      </c>
      <c r="E64" s="42"/>
      <c r="F64" s="42"/>
      <c r="G64" s="41" t="s">
        <v>241</v>
      </c>
    </row>
    <row r="65" ht="14.25" customHeight="1">
      <c r="A65" s="43"/>
      <c r="B65" s="43"/>
      <c r="C65" s="43"/>
      <c r="D65" s="42" t="s">
        <v>242</v>
      </c>
      <c r="E65" s="42"/>
      <c r="F65" s="42"/>
      <c r="G65" s="41" t="s">
        <v>243</v>
      </c>
    </row>
    <row r="66" ht="14.25" customHeight="1">
      <c r="A66" s="43"/>
      <c r="B66" s="43"/>
      <c r="C66" s="43"/>
      <c r="D66" s="44" t="s">
        <v>244</v>
      </c>
      <c r="E66" s="45"/>
      <c r="F66" s="42"/>
      <c r="G66" s="46" t="s">
        <v>245</v>
      </c>
    </row>
    <row r="67" ht="14.25" customHeight="1">
      <c r="A67" s="43"/>
      <c r="B67" s="43"/>
      <c r="C67" s="43"/>
      <c r="D67" s="42" t="s">
        <v>163</v>
      </c>
      <c r="E67" s="42"/>
      <c r="F67" s="42"/>
      <c r="G67" s="41"/>
    </row>
    <row r="68" ht="14.25" customHeight="1">
      <c r="A68" s="43"/>
      <c r="B68" s="43"/>
      <c r="C68" s="43"/>
      <c r="D68" s="42" t="s">
        <v>150</v>
      </c>
      <c r="E68" s="42"/>
      <c r="F68" s="42"/>
      <c r="G68" s="41" t="s">
        <v>246</v>
      </c>
    </row>
    <row r="69" ht="14.25" customHeight="1">
      <c r="A69" s="43"/>
      <c r="B69" s="43"/>
      <c r="C69" s="43"/>
      <c r="D69" s="41" t="s">
        <v>77</v>
      </c>
      <c r="E69" s="42"/>
      <c r="F69" s="42"/>
      <c r="G69" s="41" t="s">
        <v>247</v>
      </c>
    </row>
    <row r="70" ht="14.25" customHeight="1">
      <c r="A70" s="47"/>
      <c r="B70" s="47"/>
      <c r="C70" s="47"/>
      <c r="D70" s="42" t="s">
        <v>19</v>
      </c>
      <c r="E70" s="42"/>
      <c r="F70" s="42"/>
      <c r="G70" s="41" t="s">
        <v>248</v>
      </c>
    </row>
    <row r="71" ht="14.25" customHeight="1">
      <c r="A71" s="38">
        <v>7.0</v>
      </c>
      <c r="B71" s="39" t="s">
        <v>249</v>
      </c>
      <c r="C71" s="50" t="s">
        <v>250</v>
      </c>
      <c r="D71" s="42" t="s">
        <v>182</v>
      </c>
      <c r="E71" s="42"/>
      <c r="F71" s="42"/>
      <c r="G71" s="41" t="s">
        <v>251</v>
      </c>
    </row>
    <row r="72" ht="14.25" customHeight="1">
      <c r="A72" s="43"/>
      <c r="B72" s="43"/>
      <c r="C72" s="43"/>
      <c r="D72" s="54" t="s">
        <v>252</v>
      </c>
      <c r="E72" s="53"/>
      <c r="F72" s="42"/>
      <c r="G72" s="54" t="s">
        <v>253</v>
      </c>
    </row>
    <row r="73" ht="14.25" customHeight="1">
      <c r="A73" s="43"/>
      <c r="B73" s="43"/>
      <c r="C73" s="43"/>
      <c r="D73" s="44" t="s">
        <v>254</v>
      </c>
      <c r="E73" s="45"/>
      <c r="F73" s="42"/>
      <c r="G73" s="54" t="s">
        <v>255</v>
      </c>
    </row>
    <row r="74" ht="14.25" customHeight="1">
      <c r="A74" s="43"/>
      <c r="B74" s="43"/>
      <c r="C74" s="43"/>
      <c r="D74" s="61" t="s">
        <v>256</v>
      </c>
      <c r="E74" s="62"/>
      <c r="F74" s="42"/>
      <c r="G74" s="54" t="s">
        <v>257</v>
      </c>
    </row>
    <row r="75" ht="14.25" customHeight="1">
      <c r="A75" s="47"/>
      <c r="B75" s="47"/>
      <c r="C75" s="47"/>
      <c r="D75" s="42" t="s">
        <v>258</v>
      </c>
      <c r="E75" s="42"/>
      <c r="F75" s="42"/>
      <c r="G75" s="41" t="s">
        <v>259</v>
      </c>
    </row>
    <row r="76" ht="14.25" customHeight="1">
      <c r="A76" s="38">
        <v>8.0</v>
      </c>
      <c r="B76" s="49" t="s">
        <v>260</v>
      </c>
      <c r="C76" s="50" t="s">
        <v>261</v>
      </c>
      <c r="D76" s="42" t="s">
        <v>262</v>
      </c>
      <c r="E76" s="42"/>
      <c r="F76" s="42"/>
      <c r="G76" s="42"/>
    </row>
    <row r="77" ht="14.25" customHeight="1">
      <c r="A77" s="43"/>
      <c r="B77" s="43"/>
      <c r="C77" s="43"/>
      <c r="D77" s="42" t="s">
        <v>263</v>
      </c>
      <c r="E77" s="42"/>
      <c r="F77" s="42"/>
      <c r="G77" s="42"/>
    </row>
    <row r="78" ht="14.25" customHeight="1">
      <c r="A78" s="43"/>
      <c r="B78" s="43"/>
      <c r="C78" s="43"/>
      <c r="D78" s="42" t="s">
        <v>264</v>
      </c>
      <c r="E78" s="42"/>
      <c r="F78" s="42"/>
      <c r="G78" s="42"/>
    </row>
    <row r="79" ht="14.25" customHeight="1">
      <c r="A79" s="43"/>
      <c r="B79" s="43"/>
      <c r="C79" s="43"/>
      <c r="D79" s="42" t="s">
        <v>265</v>
      </c>
      <c r="E79" s="42"/>
      <c r="F79" s="42"/>
      <c r="G79" s="42"/>
    </row>
    <row r="80" ht="14.25" customHeight="1">
      <c r="A80" s="43"/>
      <c r="B80" s="43"/>
      <c r="C80" s="43"/>
      <c r="D80" s="42" t="s">
        <v>266</v>
      </c>
      <c r="E80" s="42"/>
      <c r="F80" s="42"/>
      <c r="G80" s="42"/>
    </row>
    <row r="81" ht="14.25" customHeight="1">
      <c r="A81" s="43"/>
      <c r="B81" s="43"/>
      <c r="C81" s="43"/>
      <c r="D81" s="41" t="s">
        <v>267</v>
      </c>
      <c r="E81" s="42"/>
      <c r="F81" s="42"/>
      <c r="G81" s="41" t="s">
        <v>203</v>
      </c>
    </row>
    <row r="82" ht="14.25" customHeight="1">
      <c r="A82" s="43"/>
      <c r="B82" s="43"/>
      <c r="C82" s="43"/>
      <c r="D82" s="41" t="s">
        <v>268</v>
      </c>
      <c r="E82" s="42"/>
      <c r="F82" s="42"/>
      <c r="G82" s="41" t="s">
        <v>235</v>
      </c>
    </row>
    <row r="83" ht="14.25" customHeight="1">
      <c r="A83" s="47"/>
      <c r="B83" s="47"/>
      <c r="C83" s="47"/>
      <c r="D83" s="62" t="s">
        <v>182</v>
      </c>
      <c r="E83" s="62"/>
      <c r="F83" s="42"/>
      <c r="G83" s="54" t="s">
        <v>269</v>
      </c>
    </row>
    <row r="84" ht="14.25" customHeight="1">
      <c r="A84" s="57">
        <v>9.0</v>
      </c>
      <c r="B84" s="63" t="s">
        <v>270</v>
      </c>
      <c r="C84" s="59" t="s">
        <v>271</v>
      </c>
      <c r="D84" s="42"/>
      <c r="E84" s="42"/>
      <c r="F84" s="42"/>
      <c r="G84" s="41" t="s">
        <v>272</v>
      </c>
    </row>
    <row r="85" ht="14.25" customHeight="1">
      <c r="A85" s="57">
        <v>10.0</v>
      </c>
      <c r="B85" s="63" t="s">
        <v>273</v>
      </c>
      <c r="C85" s="59" t="s">
        <v>274</v>
      </c>
      <c r="D85" s="42"/>
      <c r="E85" s="42"/>
      <c r="F85" s="42"/>
      <c r="G85" s="41" t="s">
        <v>272</v>
      </c>
    </row>
    <row r="86" ht="14.25" customHeight="1">
      <c r="A86" s="57">
        <v>11.0</v>
      </c>
      <c r="B86" s="64" t="s">
        <v>275</v>
      </c>
      <c r="C86" s="56" t="s">
        <v>276</v>
      </c>
      <c r="D86" s="42"/>
      <c r="E86" s="42"/>
      <c r="F86" s="42"/>
      <c r="G86" s="42"/>
    </row>
    <row r="87" ht="14.25" customHeight="1">
      <c r="A87" s="57">
        <v>12.0</v>
      </c>
      <c r="B87" s="65" t="s">
        <v>277</v>
      </c>
      <c r="C87" s="52" t="s">
        <v>278</v>
      </c>
      <c r="D87" s="42"/>
      <c r="E87" s="42"/>
      <c r="F87" s="42"/>
      <c r="G87" s="42"/>
    </row>
    <row r="88" ht="14.25" customHeight="1">
      <c r="A88" s="38">
        <v>13.0</v>
      </c>
      <c r="B88" s="39" t="s">
        <v>279</v>
      </c>
      <c r="C88" s="50" t="s">
        <v>280</v>
      </c>
      <c r="D88" s="42" t="s">
        <v>41</v>
      </c>
      <c r="E88" s="66"/>
      <c r="F88" s="42"/>
      <c r="G88" s="42" t="s">
        <v>281</v>
      </c>
    </row>
    <row r="89" ht="14.25" customHeight="1">
      <c r="A89" s="43"/>
      <c r="B89" s="43"/>
      <c r="C89" s="43"/>
      <c r="D89" s="42" t="s">
        <v>282</v>
      </c>
      <c r="E89" s="42"/>
      <c r="F89" s="42"/>
      <c r="G89" s="42"/>
    </row>
    <row r="90" ht="14.25" customHeight="1">
      <c r="A90" s="43"/>
      <c r="B90" s="43"/>
      <c r="C90" s="43"/>
      <c r="D90" s="42" t="s">
        <v>23</v>
      </c>
      <c r="E90" s="42"/>
      <c r="F90" s="42"/>
      <c r="G90" s="41" t="s">
        <v>283</v>
      </c>
    </row>
    <row r="91" ht="14.25" customHeight="1">
      <c r="A91" s="43"/>
      <c r="B91" s="43"/>
      <c r="C91" s="43"/>
      <c r="D91" s="42" t="s">
        <v>72</v>
      </c>
      <c r="E91" s="42"/>
      <c r="F91" s="42"/>
      <c r="G91" s="42"/>
    </row>
    <row r="92" ht="14.25" customHeight="1">
      <c r="A92" s="43"/>
      <c r="B92" s="43"/>
      <c r="C92" s="43"/>
      <c r="D92" s="42" t="s">
        <v>47</v>
      </c>
      <c r="E92" s="42"/>
      <c r="F92" s="42"/>
      <c r="G92" s="42"/>
    </row>
    <row r="93" ht="14.25" customHeight="1">
      <c r="A93" s="43"/>
      <c r="B93" s="43"/>
      <c r="C93" s="43"/>
      <c r="D93" s="42" t="s">
        <v>17</v>
      </c>
      <c r="E93" s="42"/>
      <c r="F93" s="42"/>
      <c r="G93" s="42"/>
    </row>
    <row r="94" ht="14.25" customHeight="1">
      <c r="A94" s="43"/>
      <c r="B94" s="43"/>
      <c r="C94" s="43"/>
      <c r="D94" s="42" t="s">
        <v>284</v>
      </c>
      <c r="E94" s="42"/>
      <c r="F94" s="42"/>
      <c r="G94" s="42"/>
    </row>
    <row r="95" ht="14.25" customHeight="1">
      <c r="A95" s="43"/>
      <c r="B95" s="43"/>
      <c r="C95" s="43"/>
      <c r="D95" s="42" t="s">
        <v>285</v>
      </c>
      <c r="E95" s="66"/>
      <c r="F95" s="42"/>
      <c r="G95" s="42" t="s">
        <v>286</v>
      </c>
    </row>
    <row r="96" ht="14.25" customHeight="1">
      <c r="A96" s="43"/>
      <c r="B96" s="43"/>
      <c r="C96" s="43"/>
      <c r="D96" s="42" t="s">
        <v>268</v>
      </c>
      <c r="E96" s="42"/>
      <c r="F96" s="42"/>
      <c r="G96" s="42"/>
    </row>
    <row r="97" ht="14.25" customHeight="1">
      <c r="A97" s="43"/>
      <c r="B97" s="43"/>
      <c r="C97" s="43"/>
      <c r="D97" s="41" t="s">
        <v>224</v>
      </c>
      <c r="E97" s="42"/>
      <c r="F97" s="42"/>
      <c r="G97" s="42"/>
    </row>
    <row r="98" ht="14.25" customHeight="1">
      <c r="A98" s="43"/>
      <c r="B98" s="43"/>
      <c r="C98" s="43"/>
      <c r="D98" s="41" t="s">
        <v>287</v>
      </c>
      <c r="E98" s="42"/>
      <c r="F98" s="42"/>
      <c r="G98" s="41" t="s">
        <v>288</v>
      </c>
    </row>
    <row r="99" ht="14.25" customHeight="1">
      <c r="A99" s="43"/>
      <c r="B99" s="43"/>
      <c r="C99" s="43"/>
      <c r="D99" s="41" t="s">
        <v>206</v>
      </c>
      <c r="E99" s="42"/>
      <c r="F99" s="42"/>
      <c r="G99" s="41" t="s">
        <v>289</v>
      </c>
    </row>
    <row r="100" ht="14.25" customHeight="1">
      <c r="A100" s="47"/>
      <c r="B100" s="47"/>
      <c r="C100" s="47"/>
      <c r="D100" s="42" t="s">
        <v>290</v>
      </c>
      <c r="E100" s="42"/>
      <c r="F100" s="42"/>
      <c r="G100" s="42"/>
    </row>
    <row r="101" ht="14.25" customHeight="1">
      <c r="A101" s="38">
        <v>14.0</v>
      </c>
      <c r="B101" s="39" t="s">
        <v>291</v>
      </c>
      <c r="C101" s="67" t="s">
        <v>292</v>
      </c>
      <c r="D101" s="41" t="s">
        <v>261</v>
      </c>
      <c r="E101" s="42"/>
      <c r="F101" s="42"/>
      <c r="G101" s="42"/>
    </row>
    <row r="102" ht="14.25" customHeight="1">
      <c r="A102" s="43"/>
      <c r="B102" s="43"/>
      <c r="C102" s="43"/>
      <c r="D102" s="42" t="s">
        <v>293</v>
      </c>
      <c r="E102" s="42"/>
      <c r="F102" s="42"/>
      <c r="G102" s="42"/>
    </row>
    <row r="103" ht="14.25" customHeight="1">
      <c r="A103" s="43"/>
      <c r="B103" s="43"/>
      <c r="C103" s="43"/>
      <c r="D103" s="41" t="s">
        <v>294</v>
      </c>
      <c r="E103" s="42"/>
      <c r="F103" s="42"/>
      <c r="G103" s="41"/>
    </row>
    <row r="104" ht="14.25" customHeight="1">
      <c r="A104" s="43"/>
      <c r="B104" s="43"/>
      <c r="C104" s="43"/>
      <c r="D104" s="45" t="s">
        <v>295</v>
      </c>
      <c r="E104" s="45"/>
      <c r="F104" s="42"/>
      <c r="G104" s="54" t="s">
        <v>296</v>
      </c>
    </row>
    <row r="105" ht="14.25" customHeight="1">
      <c r="A105" s="43"/>
      <c r="B105" s="43"/>
      <c r="C105" s="43"/>
      <c r="D105" s="41" t="s">
        <v>297</v>
      </c>
      <c r="E105" s="42"/>
      <c r="F105" s="42"/>
      <c r="G105" s="42"/>
    </row>
    <row r="106" ht="14.25" customHeight="1">
      <c r="A106" s="43"/>
      <c r="B106" s="43"/>
      <c r="C106" s="43"/>
      <c r="D106" s="42" t="s">
        <v>298</v>
      </c>
      <c r="E106" s="42"/>
      <c r="F106" s="42"/>
      <c r="G106" s="42"/>
    </row>
    <row r="107" ht="14.25" customHeight="1">
      <c r="A107" s="43"/>
      <c r="B107" s="43"/>
      <c r="C107" s="43"/>
      <c r="D107" s="42" t="s">
        <v>150</v>
      </c>
      <c r="E107" s="42"/>
      <c r="F107" s="42"/>
      <c r="G107" s="42"/>
    </row>
    <row r="108" ht="14.25" customHeight="1">
      <c r="A108" s="43"/>
      <c r="B108" s="43"/>
      <c r="C108" s="43"/>
      <c r="D108" s="42" t="s">
        <v>299</v>
      </c>
      <c r="E108" s="42"/>
      <c r="F108" s="42"/>
      <c r="G108" s="42"/>
    </row>
    <row r="109" ht="14.25" customHeight="1">
      <c r="A109" s="43"/>
      <c r="B109" s="43"/>
      <c r="C109" s="43"/>
      <c r="D109" s="42" t="s">
        <v>262</v>
      </c>
      <c r="E109" s="42"/>
      <c r="F109" s="42"/>
      <c r="G109" s="42"/>
    </row>
    <row r="110" ht="14.25" customHeight="1">
      <c r="A110" s="43"/>
      <c r="B110" s="43"/>
      <c r="C110" s="43"/>
      <c r="D110" s="42" t="s">
        <v>265</v>
      </c>
      <c r="E110" s="42"/>
      <c r="F110" s="42"/>
      <c r="G110" s="42"/>
    </row>
    <row r="111" ht="14.25" customHeight="1">
      <c r="A111" s="47"/>
      <c r="B111" s="47"/>
      <c r="C111" s="47"/>
      <c r="D111" s="41" t="s">
        <v>300</v>
      </c>
      <c r="E111" s="42"/>
      <c r="F111" s="42"/>
      <c r="G111" s="41" t="s">
        <v>301</v>
      </c>
    </row>
    <row r="112" ht="14.25" customHeight="1">
      <c r="A112" s="38">
        <v>15.0</v>
      </c>
      <c r="B112" s="39" t="s">
        <v>302</v>
      </c>
      <c r="C112" s="40" t="s">
        <v>303</v>
      </c>
      <c r="D112" s="42" t="s">
        <v>304</v>
      </c>
      <c r="E112" s="42"/>
      <c r="F112" s="42"/>
      <c r="G112" s="42"/>
    </row>
    <row r="113" ht="14.25" customHeight="1">
      <c r="A113" s="43"/>
      <c r="B113" s="43"/>
      <c r="C113" s="43"/>
      <c r="D113" s="44" t="s">
        <v>305</v>
      </c>
      <c r="E113" s="45"/>
      <c r="F113" s="42"/>
      <c r="G113" s="46" t="s">
        <v>306</v>
      </c>
    </row>
    <row r="114" ht="14.25" customHeight="1">
      <c r="A114" s="43"/>
      <c r="B114" s="43"/>
      <c r="C114" s="43"/>
      <c r="D114" s="42" t="s">
        <v>307</v>
      </c>
      <c r="E114" s="42"/>
      <c r="F114" s="42"/>
      <c r="G114" s="42"/>
    </row>
    <row r="115" ht="14.25" customHeight="1">
      <c r="A115" s="43"/>
      <c r="B115" s="43"/>
      <c r="C115" s="43"/>
      <c r="D115" s="42" t="s">
        <v>308</v>
      </c>
      <c r="E115" s="42"/>
      <c r="F115" s="42"/>
      <c r="G115" s="42"/>
    </row>
    <row r="116" ht="14.25" customHeight="1">
      <c r="A116" s="43"/>
      <c r="B116" s="43"/>
      <c r="C116" s="43"/>
      <c r="D116" s="42" t="s">
        <v>309</v>
      </c>
      <c r="E116" s="42"/>
      <c r="F116" s="42"/>
      <c r="G116" s="42"/>
    </row>
    <row r="117" ht="14.25" customHeight="1">
      <c r="A117" s="43"/>
      <c r="B117" s="43"/>
      <c r="C117" s="43"/>
      <c r="D117" s="42" t="s">
        <v>158</v>
      </c>
      <c r="E117" s="42"/>
      <c r="F117" s="42"/>
      <c r="G117" s="42"/>
    </row>
    <row r="118" ht="14.25" customHeight="1">
      <c r="A118" s="43"/>
      <c r="B118" s="43"/>
      <c r="C118" s="43"/>
      <c r="D118" s="42" t="s">
        <v>41</v>
      </c>
      <c r="E118" s="42"/>
      <c r="F118" s="42"/>
      <c r="G118" s="42"/>
    </row>
    <row r="119" ht="14.25" customHeight="1">
      <c r="A119" s="43"/>
      <c r="B119" s="43"/>
      <c r="C119" s="43"/>
      <c r="D119" s="42" t="s">
        <v>310</v>
      </c>
      <c r="E119" s="42"/>
      <c r="F119" s="42"/>
      <c r="G119" s="42"/>
    </row>
    <row r="120" ht="14.25" customHeight="1">
      <c r="A120" s="43"/>
      <c r="B120" s="43"/>
      <c r="C120" s="43"/>
      <c r="D120" s="42" t="s">
        <v>268</v>
      </c>
      <c r="E120" s="42"/>
      <c r="F120" s="42"/>
      <c r="G120" s="42"/>
    </row>
    <row r="121" ht="14.25" customHeight="1">
      <c r="A121" s="43"/>
      <c r="B121" s="43"/>
      <c r="C121" s="43"/>
      <c r="D121" s="42" t="s">
        <v>311</v>
      </c>
      <c r="E121" s="42"/>
      <c r="F121" s="42"/>
      <c r="G121" s="42"/>
    </row>
    <row r="122" ht="14.25" customHeight="1">
      <c r="A122" s="43"/>
      <c r="B122" s="43"/>
      <c r="C122" s="43"/>
      <c r="D122" s="41" t="s">
        <v>312</v>
      </c>
      <c r="E122" s="42"/>
      <c r="F122" s="42"/>
      <c r="G122" s="41" t="s">
        <v>313</v>
      </c>
    </row>
    <row r="123" ht="14.25" customHeight="1">
      <c r="A123" s="47"/>
      <c r="B123" s="47"/>
      <c r="C123" s="47"/>
      <c r="D123" s="42" t="s">
        <v>314</v>
      </c>
      <c r="E123" s="42"/>
      <c r="F123" s="42"/>
      <c r="G123" s="42"/>
    </row>
    <row r="124" ht="14.25" customHeight="1">
      <c r="A124" s="38">
        <v>16.0</v>
      </c>
      <c r="B124" s="49" t="s">
        <v>315</v>
      </c>
      <c r="C124" s="50" t="s">
        <v>316</v>
      </c>
      <c r="D124" s="42" t="s">
        <v>317</v>
      </c>
      <c r="E124" s="42"/>
      <c r="F124" s="42"/>
      <c r="G124" s="42"/>
    </row>
    <row r="125" ht="14.25" customHeight="1">
      <c r="A125" s="47"/>
      <c r="B125" s="47"/>
      <c r="C125" s="47"/>
      <c r="D125" s="42" t="s">
        <v>318</v>
      </c>
      <c r="E125" s="42"/>
      <c r="F125" s="42"/>
      <c r="G125" s="42"/>
    </row>
    <row r="126" ht="14.25" customHeight="1">
      <c r="A126" s="57">
        <v>17.0</v>
      </c>
      <c r="B126" s="58" t="s">
        <v>319</v>
      </c>
      <c r="C126" s="51" t="s">
        <v>320</v>
      </c>
      <c r="D126" s="42"/>
      <c r="E126" s="42"/>
      <c r="F126" s="42"/>
      <c r="G126" s="42"/>
    </row>
    <row r="127" ht="14.25" customHeight="1">
      <c r="A127" s="57">
        <v>18.0</v>
      </c>
      <c r="B127" s="58" t="s">
        <v>321</v>
      </c>
      <c r="C127" s="51" t="s">
        <v>322</v>
      </c>
      <c r="D127" s="42"/>
      <c r="E127" s="42"/>
      <c r="F127" s="42"/>
      <c r="G127" s="42"/>
    </row>
    <row r="128" ht="14.25" customHeight="1">
      <c r="A128" s="57">
        <v>19.0</v>
      </c>
      <c r="B128" s="58" t="s">
        <v>323</v>
      </c>
      <c r="C128" s="51" t="s">
        <v>322</v>
      </c>
      <c r="D128" s="42"/>
      <c r="E128" s="42"/>
      <c r="F128" s="42"/>
      <c r="G128" s="42"/>
    </row>
    <row r="129" ht="14.25" customHeight="1">
      <c r="A129" s="38">
        <v>20.0</v>
      </c>
      <c r="B129" s="49" t="s">
        <v>324</v>
      </c>
      <c r="C129" s="50" t="s">
        <v>325</v>
      </c>
      <c r="D129" s="42" t="s">
        <v>326</v>
      </c>
      <c r="E129" s="42"/>
      <c r="F129" s="42"/>
      <c r="G129" s="42"/>
    </row>
    <row r="130" ht="14.25" customHeight="1">
      <c r="A130" s="43"/>
      <c r="B130" s="43"/>
      <c r="C130" s="43"/>
      <c r="D130" s="42" t="s">
        <v>327</v>
      </c>
      <c r="E130" s="42"/>
      <c r="F130" s="42"/>
      <c r="G130" s="42"/>
    </row>
    <row r="131" ht="14.25" customHeight="1">
      <c r="A131" s="47"/>
      <c r="B131" s="47"/>
      <c r="C131" s="47"/>
      <c r="D131" s="42" t="s">
        <v>284</v>
      </c>
      <c r="E131" s="42"/>
      <c r="F131" s="42"/>
      <c r="G131" s="42"/>
    </row>
    <row r="132" ht="14.25" customHeight="1">
      <c r="A132" s="57">
        <v>21.0</v>
      </c>
      <c r="B132" s="68" t="s">
        <v>328</v>
      </c>
      <c r="C132" s="69" t="s">
        <v>329</v>
      </c>
      <c r="D132" s="70"/>
      <c r="E132" s="70"/>
      <c r="F132" s="70"/>
      <c r="G132" s="70"/>
    </row>
    <row r="133" ht="14.25" customHeight="1">
      <c r="A133" s="71"/>
    </row>
    <row r="134" ht="14.25" customHeight="1">
      <c r="A134" s="72"/>
    </row>
    <row r="135" ht="14.25" customHeight="1">
      <c r="A135" s="72"/>
    </row>
    <row r="136" ht="14.25" customHeight="1">
      <c r="A136" s="72"/>
    </row>
    <row r="137" ht="14.25" customHeight="1">
      <c r="A137" s="72"/>
    </row>
    <row r="138" ht="14.25" customHeight="1">
      <c r="A138" s="72"/>
    </row>
    <row r="139" ht="14.25" customHeight="1">
      <c r="A139" s="72"/>
    </row>
    <row r="140" ht="14.25" customHeight="1">
      <c r="A140" s="72"/>
    </row>
    <row r="141" ht="14.25" customHeight="1">
      <c r="A141" s="72"/>
    </row>
    <row r="142" ht="14.25" customHeight="1">
      <c r="A142" s="72"/>
    </row>
    <row r="143" ht="14.25" customHeight="1">
      <c r="A143" s="72"/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39">
    <mergeCell ref="A1:G1"/>
    <mergeCell ref="A2:G2"/>
    <mergeCell ref="A3:G3"/>
    <mergeCell ref="A5:A13"/>
    <mergeCell ref="B5:B13"/>
    <mergeCell ref="C5:C13"/>
    <mergeCell ref="A14:A22"/>
    <mergeCell ref="B14:B22"/>
    <mergeCell ref="C14:C22"/>
    <mergeCell ref="A23:A46"/>
    <mergeCell ref="B23:B46"/>
    <mergeCell ref="C23:C46"/>
    <mergeCell ref="B48:B53"/>
    <mergeCell ref="C48:C53"/>
    <mergeCell ref="A48:A53"/>
    <mergeCell ref="A54:A70"/>
    <mergeCell ref="B54:B70"/>
    <mergeCell ref="C54:C70"/>
    <mergeCell ref="A71:A75"/>
    <mergeCell ref="B71:B75"/>
    <mergeCell ref="C71:C75"/>
    <mergeCell ref="B101:B111"/>
    <mergeCell ref="C101:C111"/>
    <mergeCell ref="A76:A83"/>
    <mergeCell ref="B76:B83"/>
    <mergeCell ref="C76:C83"/>
    <mergeCell ref="A88:A100"/>
    <mergeCell ref="B88:B100"/>
    <mergeCell ref="C88:C100"/>
    <mergeCell ref="A101:A111"/>
    <mergeCell ref="B129:B131"/>
    <mergeCell ref="C129:C131"/>
    <mergeCell ref="A112:A123"/>
    <mergeCell ref="B112:B123"/>
    <mergeCell ref="C112:C123"/>
    <mergeCell ref="A124:A125"/>
    <mergeCell ref="B124:B125"/>
    <mergeCell ref="C124:C125"/>
    <mergeCell ref="A129:A131"/>
  </mergeCells>
  <dataValidations>
    <dataValidation type="list" allowBlank="1" showErrorMessage="1" sqref="E5:E131">
      <formula1>"Confirmado,Pendiente ,En proceso  ,Pedido Proveedor  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7.86"/>
    <col customWidth="1" min="3" max="3" width="36.0"/>
    <col customWidth="1" min="4" max="4" width="20.86"/>
    <col customWidth="1" min="5" max="5" width="17.57"/>
  </cols>
  <sheetData>
    <row r="1" ht="80.25" customHeight="1"/>
    <row r="2">
      <c r="A2" s="73" t="s">
        <v>330</v>
      </c>
      <c r="B2" s="74"/>
      <c r="C2" s="74"/>
      <c r="D2" s="74"/>
      <c r="E2" s="75"/>
    </row>
    <row r="3">
      <c r="A3" s="76" t="s">
        <v>4</v>
      </c>
      <c r="B3" s="77" t="s">
        <v>331</v>
      </c>
      <c r="C3" s="78" t="s">
        <v>332</v>
      </c>
      <c r="D3" s="78" t="s">
        <v>333</v>
      </c>
      <c r="E3" s="79" t="s">
        <v>334</v>
      </c>
    </row>
    <row r="4">
      <c r="A4" s="80">
        <v>1.0</v>
      </c>
      <c r="B4" s="81" t="s">
        <v>335</v>
      </c>
      <c r="C4" s="82" t="s">
        <v>336</v>
      </c>
      <c r="D4" s="82" t="s">
        <v>337</v>
      </c>
      <c r="E4" s="83"/>
    </row>
    <row r="5">
      <c r="A5" s="84">
        <v>2.0</v>
      </c>
      <c r="B5" s="85" t="s">
        <v>338</v>
      </c>
      <c r="C5" s="86" t="s">
        <v>336</v>
      </c>
      <c r="D5" s="86" t="s">
        <v>337</v>
      </c>
      <c r="E5" s="87"/>
    </row>
    <row r="6">
      <c r="A6" s="84">
        <v>3.0</v>
      </c>
      <c r="B6" s="85" t="s">
        <v>339</v>
      </c>
      <c r="C6" s="86" t="s">
        <v>340</v>
      </c>
      <c r="D6" s="86" t="s">
        <v>341</v>
      </c>
      <c r="E6" s="87"/>
    </row>
    <row r="7">
      <c r="A7" s="84">
        <v>4.0</v>
      </c>
      <c r="B7" s="85" t="s">
        <v>342</v>
      </c>
      <c r="C7" s="86" t="s">
        <v>343</v>
      </c>
      <c r="D7" s="86" t="s">
        <v>341</v>
      </c>
      <c r="E7" s="87"/>
    </row>
    <row r="8">
      <c r="A8" s="84">
        <v>5.0</v>
      </c>
      <c r="B8" s="85" t="s">
        <v>344</v>
      </c>
      <c r="C8" s="86" t="s">
        <v>345</v>
      </c>
      <c r="D8" s="86" t="s">
        <v>341</v>
      </c>
      <c r="E8" s="87"/>
    </row>
    <row r="9">
      <c r="A9" s="84">
        <v>6.0</v>
      </c>
      <c r="B9" s="85" t="s">
        <v>346</v>
      </c>
      <c r="C9" s="86" t="s">
        <v>347</v>
      </c>
      <c r="D9" s="86" t="s">
        <v>341</v>
      </c>
      <c r="E9" s="87"/>
    </row>
    <row r="10">
      <c r="A10" s="84">
        <v>7.0</v>
      </c>
      <c r="B10" s="85" t="s">
        <v>204</v>
      </c>
      <c r="C10" s="86" t="s">
        <v>348</v>
      </c>
      <c r="D10" s="86" t="s">
        <v>349</v>
      </c>
      <c r="E10" s="87"/>
    </row>
    <row r="11">
      <c r="A11" s="84">
        <v>8.0</v>
      </c>
      <c r="B11" s="85" t="s">
        <v>350</v>
      </c>
      <c r="C11" s="86" t="s">
        <v>348</v>
      </c>
      <c r="D11" s="86" t="s">
        <v>349</v>
      </c>
      <c r="E11" s="87"/>
    </row>
    <row r="12">
      <c r="A12" s="84">
        <v>9.0</v>
      </c>
      <c r="B12" s="85" t="s">
        <v>252</v>
      </c>
      <c r="C12" s="86" t="s">
        <v>351</v>
      </c>
      <c r="D12" s="86" t="s">
        <v>352</v>
      </c>
      <c r="E12" s="87"/>
    </row>
    <row r="13">
      <c r="A13" s="88">
        <v>10.0</v>
      </c>
      <c r="B13" s="89" t="s">
        <v>353</v>
      </c>
      <c r="C13" s="90" t="s">
        <v>354</v>
      </c>
      <c r="D13" s="90" t="s">
        <v>355</v>
      </c>
      <c r="E13" s="91"/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paperSize="9" scale="13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1.0"/>
    <col customWidth="1" min="3" max="3" width="27.14"/>
    <col customWidth="1" min="4" max="4" width="14.0"/>
    <col customWidth="1" min="5" max="5" width="32.86"/>
    <col customWidth="1" min="6" max="7" width="16.29"/>
    <col customWidth="1" min="8" max="9" width="21.57"/>
  </cols>
  <sheetData>
    <row r="1" ht="123.75" customHeight="1"/>
    <row r="2">
      <c r="A2" s="73" t="s">
        <v>356</v>
      </c>
      <c r="B2" s="74"/>
      <c r="C2" s="74"/>
      <c r="D2" s="74"/>
      <c r="E2" s="74"/>
      <c r="F2" s="74"/>
      <c r="G2" s="74"/>
      <c r="H2" s="74"/>
      <c r="I2" s="75"/>
    </row>
    <row r="3">
      <c r="A3" s="92" t="s">
        <v>357</v>
      </c>
      <c r="B3" s="74"/>
      <c r="C3" s="74"/>
      <c r="D3" s="74"/>
      <c r="E3" s="74"/>
      <c r="F3" s="74"/>
      <c r="G3" s="74"/>
      <c r="H3" s="74"/>
      <c r="I3" s="75"/>
    </row>
    <row r="4">
      <c r="A4" s="76" t="s">
        <v>4</v>
      </c>
      <c r="B4" s="77" t="s">
        <v>358</v>
      </c>
      <c r="C4" s="78" t="s">
        <v>359</v>
      </c>
      <c r="D4" s="78" t="s">
        <v>360</v>
      </c>
      <c r="E4" s="78" t="s">
        <v>361</v>
      </c>
      <c r="F4" s="78" t="s">
        <v>7</v>
      </c>
      <c r="G4" s="79" t="s">
        <v>362</v>
      </c>
      <c r="H4" s="79" t="s">
        <v>363</v>
      </c>
      <c r="I4" s="79" t="s">
        <v>364</v>
      </c>
    </row>
    <row r="5">
      <c r="A5" s="93">
        <v>1.0</v>
      </c>
      <c r="B5" s="94">
        <v>46099.0</v>
      </c>
      <c r="C5" s="95" t="s">
        <v>365</v>
      </c>
      <c r="D5" s="95">
        <v>1.0</v>
      </c>
      <c r="E5" s="95" t="s">
        <v>366</v>
      </c>
      <c r="F5" s="96">
        <v>0.3333333333333333</v>
      </c>
      <c r="G5" s="96">
        <v>0.8333333333333334</v>
      </c>
      <c r="H5" s="95">
        <v>12.0</v>
      </c>
      <c r="I5" s="97">
        <v>12.0</v>
      </c>
    </row>
    <row r="6">
      <c r="A6" s="98">
        <v>2.0</v>
      </c>
      <c r="B6" s="99"/>
      <c r="C6" s="100" t="s">
        <v>367</v>
      </c>
      <c r="D6" s="100">
        <v>2.0</v>
      </c>
      <c r="E6" s="100" t="s">
        <v>368</v>
      </c>
      <c r="F6" s="101">
        <v>0.8333333333333334</v>
      </c>
      <c r="G6" s="101">
        <v>0.3333333333333333</v>
      </c>
      <c r="H6" s="100">
        <v>12.0</v>
      </c>
      <c r="I6" s="102">
        <v>24.0</v>
      </c>
    </row>
    <row r="7">
      <c r="A7" s="103">
        <v>3.0</v>
      </c>
      <c r="B7" s="104">
        <v>46100.0</v>
      </c>
      <c r="C7" s="105" t="s">
        <v>365</v>
      </c>
      <c r="D7" s="105">
        <v>3.0</v>
      </c>
      <c r="E7" s="105" t="s">
        <v>368</v>
      </c>
      <c r="F7" s="106">
        <v>0.3333333333333333</v>
      </c>
      <c r="G7" s="106">
        <v>0.8333333333333334</v>
      </c>
      <c r="H7" s="105">
        <v>12.0</v>
      </c>
      <c r="I7" s="107">
        <v>36.0</v>
      </c>
    </row>
    <row r="8">
      <c r="A8" s="108">
        <v>4.0</v>
      </c>
      <c r="B8" s="99"/>
      <c r="C8" s="109" t="s">
        <v>367</v>
      </c>
      <c r="D8" s="109">
        <v>3.0</v>
      </c>
      <c r="E8" s="109" t="s">
        <v>369</v>
      </c>
      <c r="F8" s="110">
        <v>0.8333333333333334</v>
      </c>
      <c r="G8" s="110">
        <v>0.3333333333333333</v>
      </c>
      <c r="H8" s="109">
        <v>12.0</v>
      </c>
      <c r="I8" s="111">
        <v>36.0</v>
      </c>
    </row>
    <row r="9">
      <c r="A9" s="93">
        <v>5.0</v>
      </c>
      <c r="B9" s="112">
        <v>46101.0</v>
      </c>
      <c r="C9" s="113" t="s">
        <v>365</v>
      </c>
      <c r="D9" s="113">
        <v>4.0</v>
      </c>
      <c r="E9" s="95" t="s">
        <v>370</v>
      </c>
      <c r="F9" s="114">
        <v>0.3333333333333333</v>
      </c>
      <c r="G9" s="114">
        <v>0.8333333333333334</v>
      </c>
      <c r="H9" s="113">
        <v>12.0</v>
      </c>
      <c r="I9" s="115">
        <v>48.0</v>
      </c>
    </row>
    <row r="10">
      <c r="A10" s="98">
        <v>6.0</v>
      </c>
      <c r="B10" s="99"/>
      <c r="C10" s="100" t="s">
        <v>367</v>
      </c>
      <c r="D10" s="100">
        <v>3.0</v>
      </c>
      <c r="E10" s="100" t="s">
        <v>371</v>
      </c>
      <c r="F10" s="101">
        <v>0.8333333333333334</v>
      </c>
      <c r="G10" s="101">
        <v>0.3333333333333333</v>
      </c>
      <c r="H10" s="100">
        <v>12.0</v>
      </c>
      <c r="I10" s="102">
        <v>36.0</v>
      </c>
    </row>
    <row r="11">
      <c r="A11" s="103">
        <v>7.0</v>
      </c>
      <c r="B11" s="104">
        <v>46102.0</v>
      </c>
      <c r="C11" s="105" t="s">
        <v>365</v>
      </c>
      <c r="D11" s="105">
        <v>4.0</v>
      </c>
      <c r="E11" s="105" t="s">
        <v>370</v>
      </c>
      <c r="F11" s="106">
        <v>0.3333333333333333</v>
      </c>
      <c r="G11" s="106">
        <v>0.8333333333333334</v>
      </c>
      <c r="H11" s="105">
        <v>12.0</v>
      </c>
      <c r="I11" s="107">
        <v>48.0</v>
      </c>
    </row>
    <row r="12">
      <c r="A12" s="116">
        <v>8.0</v>
      </c>
      <c r="B12" s="117"/>
      <c r="C12" s="118" t="s">
        <v>367</v>
      </c>
      <c r="D12" s="118">
        <v>4.0</v>
      </c>
      <c r="E12" s="118" t="s">
        <v>372</v>
      </c>
      <c r="F12" s="119">
        <v>0.8333333333333334</v>
      </c>
      <c r="G12" s="119">
        <v>0.3333333333333333</v>
      </c>
      <c r="H12" s="118">
        <v>12.0</v>
      </c>
      <c r="I12" s="120">
        <v>48.0</v>
      </c>
    </row>
    <row r="13">
      <c r="A13" s="116">
        <v>9.0</v>
      </c>
      <c r="B13" s="117"/>
      <c r="C13" s="118" t="s">
        <v>373</v>
      </c>
      <c r="D13" s="118">
        <v>2.0</v>
      </c>
      <c r="E13" s="118" t="s">
        <v>374</v>
      </c>
      <c r="F13" s="119">
        <v>0.3333333333333333</v>
      </c>
      <c r="G13" s="119">
        <v>0.8333333333333334</v>
      </c>
      <c r="H13" s="118">
        <v>12.0</v>
      </c>
      <c r="I13" s="120">
        <v>24.0</v>
      </c>
    </row>
    <row r="14">
      <c r="A14" s="116">
        <v>10.0</v>
      </c>
      <c r="B14" s="117"/>
      <c r="C14" s="118" t="s">
        <v>373</v>
      </c>
      <c r="D14" s="118">
        <v>2.0</v>
      </c>
      <c r="E14" s="118" t="s">
        <v>374</v>
      </c>
      <c r="F14" s="119">
        <v>0.8333333333333334</v>
      </c>
      <c r="G14" s="119">
        <v>0.3333333333333333</v>
      </c>
      <c r="H14" s="118">
        <v>12.0</v>
      </c>
      <c r="I14" s="120">
        <v>24.0</v>
      </c>
    </row>
    <row r="15">
      <c r="A15" s="116">
        <v>11.0</v>
      </c>
      <c r="B15" s="117"/>
      <c r="C15" s="121" t="s">
        <v>375</v>
      </c>
      <c r="D15" s="121">
        <v>5.0</v>
      </c>
      <c r="E15" s="121" t="s">
        <v>376</v>
      </c>
      <c r="F15" s="122">
        <v>0.5833333333333334</v>
      </c>
      <c r="G15" s="122">
        <v>0.08333333333333333</v>
      </c>
      <c r="H15" s="121">
        <v>12.0</v>
      </c>
      <c r="I15" s="123">
        <v>60.0</v>
      </c>
    </row>
    <row r="16">
      <c r="A16" s="124">
        <v>12.0</v>
      </c>
      <c r="B16" s="99"/>
      <c r="C16" s="121" t="s">
        <v>377</v>
      </c>
      <c r="D16" s="121">
        <v>2.0</v>
      </c>
      <c r="E16" s="121" t="s">
        <v>378</v>
      </c>
      <c r="F16" s="122">
        <v>0.6666666666666666</v>
      </c>
      <c r="G16" s="122">
        <v>0.16666666666666666</v>
      </c>
      <c r="H16" s="121">
        <v>12.0</v>
      </c>
      <c r="I16" s="123">
        <v>24.0</v>
      </c>
    </row>
    <row r="17">
      <c r="A17" s="93">
        <v>13.0</v>
      </c>
      <c r="B17" s="94">
        <v>46103.0</v>
      </c>
      <c r="C17" s="95" t="s">
        <v>375</v>
      </c>
      <c r="D17" s="95">
        <v>5.0</v>
      </c>
      <c r="E17" s="95" t="s">
        <v>376</v>
      </c>
      <c r="F17" s="96">
        <v>0.08333333333333333</v>
      </c>
      <c r="G17" s="96">
        <v>0.625</v>
      </c>
      <c r="H17" s="95">
        <v>13.0</v>
      </c>
      <c r="I17" s="97">
        <v>65.0</v>
      </c>
    </row>
    <row r="18">
      <c r="A18" s="125">
        <v>14.0</v>
      </c>
      <c r="B18" s="117"/>
      <c r="C18" s="126" t="s">
        <v>377</v>
      </c>
      <c r="D18" s="126">
        <v>2.0</v>
      </c>
      <c r="E18" s="126" t="s">
        <v>378</v>
      </c>
      <c r="F18" s="127">
        <v>0.16666666666666666</v>
      </c>
      <c r="G18" s="127">
        <v>0.6666666666666666</v>
      </c>
      <c r="H18" s="126">
        <v>12.0</v>
      </c>
      <c r="I18" s="128">
        <v>24.0</v>
      </c>
    </row>
    <row r="19">
      <c r="A19" s="125">
        <v>15.0</v>
      </c>
      <c r="B19" s="117"/>
      <c r="C19" s="126" t="s">
        <v>379</v>
      </c>
      <c r="D19" s="126">
        <v>16.0</v>
      </c>
      <c r="E19" s="126" t="s">
        <v>380</v>
      </c>
      <c r="F19" s="127">
        <v>0.16666666666666666</v>
      </c>
      <c r="G19" s="127">
        <v>0.7083333333333334</v>
      </c>
      <c r="H19" s="126">
        <v>13.0</v>
      </c>
      <c r="I19" s="128">
        <v>208.0</v>
      </c>
    </row>
    <row r="20">
      <c r="A20" s="125">
        <v>16.0</v>
      </c>
      <c r="B20" s="117"/>
      <c r="C20" s="126" t="s">
        <v>367</v>
      </c>
      <c r="D20" s="126">
        <v>4.0</v>
      </c>
      <c r="E20" s="126" t="s">
        <v>372</v>
      </c>
      <c r="F20" s="127">
        <v>0.8333333333333334</v>
      </c>
      <c r="G20" s="127">
        <v>0.3333333333333333</v>
      </c>
      <c r="H20" s="126">
        <v>12.0</v>
      </c>
      <c r="I20" s="128">
        <v>48.0</v>
      </c>
    </row>
    <row r="21">
      <c r="A21" s="125">
        <v>17.0</v>
      </c>
      <c r="B21" s="117"/>
      <c r="C21" s="126" t="s">
        <v>373</v>
      </c>
      <c r="D21" s="126">
        <v>2.0</v>
      </c>
      <c r="E21" s="126" t="s">
        <v>374</v>
      </c>
      <c r="F21" s="127">
        <v>0.3333333333333333</v>
      </c>
      <c r="G21" s="127">
        <v>0.8333333333333334</v>
      </c>
      <c r="H21" s="126">
        <v>12.0</v>
      </c>
      <c r="I21" s="128">
        <v>24.0</v>
      </c>
    </row>
    <row r="22">
      <c r="A22" s="98">
        <v>18.0</v>
      </c>
      <c r="B22" s="99"/>
      <c r="C22" s="129" t="s">
        <v>381</v>
      </c>
      <c r="D22" s="129">
        <v>2.0</v>
      </c>
      <c r="E22" s="129" t="s">
        <v>366</v>
      </c>
      <c r="F22" s="130">
        <v>0.7083333333333334</v>
      </c>
      <c r="G22" s="130">
        <v>0.8333333333333334</v>
      </c>
      <c r="H22" s="129">
        <v>3.0</v>
      </c>
      <c r="I22" s="131">
        <v>6.0</v>
      </c>
    </row>
    <row r="23">
      <c r="A23" s="132" t="s">
        <v>382</v>
      </c>
      <c r="B23" s="74"/>
      <c r="C23" s="133"/>
      <c r="D23" s="134">
        <f>SUM(D5:D21)</f>
        <v>64</v>
      </c>
      <c r="E23" s="135" t="s">
        <v>383</v>
      </c>
      <c r="F23" s="74"/>
      <c r="G23" s="74"/>
      <c r="H23" s="75"/>
      <c r="I23" s="136">
        <f>SUM(I5:I22)</f>
        <v>795</v>
      </c>
    </row>
    <row r="24">
      <c r="A24" s="137" t="s">
        <v>384</v>
      </c>
      <c r="B24" s="138"/>
      <c r="C24" s="138"/>
      <c r="D24" s="138"/>
      <c r="E24" s="138"/>
      <c r="F24" s="138"/>
      <c r="G24" s="138"/>
      <c r="H24" s="138"/>
      <c r="I24" s="139"/>
    </row>
    <row r="25">
      <c r="A25" s="93">
        <v>1.0</v>
      </c>
      <c r="B25" s="140">
        <v>46103.0</v>
      </c>
      <c r="C25" s="141" t="s">
        <v>385</v>
      </c>
      <c r="D25" s="142">
        <v>1.0</v>
      </c>
      <c r="E25" s="95" t="s">
        <v>386</v>
      </c>
      <c r="F25" s="143">
        <v>0.16666666666666666</v>
      </c>
      <c r="G25" s="143">
        <v>0.5833333333333334</v>
      </c>
      <c r="H25" s="144">
        <v>10.0</v>
      </c>
      <c r="I25" s="145">
        <v>70.0</v>
      </c>
    </row>
    <row r="26">
      <c r="A26" s="125">
        <v>2.0</v>
      </c>
      <c r="B26" s="146"/>
      <c r="C26" s="147"/>
      <c r="D26" s="148">
        <v>1.0</v>
      </c>
      <c r="E26" s="126" t="s">
        <v>387</v>
      </c>
      <c r="F26" s="43"/>
      <c r="G26" s="43"/>
      <c r="H26" s="43"/>
      <c r="I26" s="149"/>
    </row>
    <row r="27">
      <c r="A27" s="125">
        <v>3.0</v>
      </c>
      <c r="B27" s="146"/>
      <c r="C27" s="147"/>
      <c r="D27" s="148">
        <v>1.0</v>
      </c>
      <c r="E27" s="126" t="s">
        <v>388</v>
      </c>
      <c r="F27" s="43"/>
      <c r="G27" s="43"/>
      <c r="H27" s="43"/>
      <c r="I27" s="149"/>
    </row>
    <row r="28">
      <c r="A28" s="125">
        <v>4.0</v>
      </c>
      <c r="B28" s="146"/>
      <c r="C28" s="147"/>
      <c r="D28" s="148">
        <v>1.0</v>
      </c>
      <c r="E28" s="126" t="s">
        <v>389</v>
      </c>
      <c r="F28" s="43"/>
      <c r="G28" s="43"/>
      <c r="H28" s="43"/>
      <c r="I28" s="149"/>
    </row>
    <row r="29">
      <c r="A29" s="125">
        <v>5.0</v>
      </c>
      <c r="B29" s="146"/>
      <c r="C29" s="147"/>
      <c r="D29" s="148">
        <v>1.0</v>
      </c>
      <c r="E29" s="126" t="s">
        <v>390</v>
      </c>
      <c r="F29" s="43"/>
      <c r="G29" s="43"/>
      <c r="H29" s="43"/>
      <c r="I29" s="149"/>
    </row>
    <row r="30">
      <c r="A30" s="125">
        <v>6.0</v>
      </c>
      <c r="B30" s="146"/>
      <c r="C30" s="147"/>
      <c r="D30" s="148">
        <v>1.0</v>
      </c>
      <c r="E30" s="126" t="s">
        <v>391</v>
      </c>
      <c r="F30" s="43"/>
      <c r="G30" s="43"/>
      <c r="H30" s="43"/>
      <c r="I30" s="149"/>
    </row>
    <row r="31">
      <c r="A31" s="98">
        <v>7.0</v>
      </c>
      <c r="B31" s="150"/>
      <c r="C31" s="151"/>
      <c r="D31" s="152">
        <v>1.0</v>
      </c>
      <c r="E31" s="129" t="s">
        <v>392</v>
      </c>
      <c r="F31" s="153"/>
      <c r="G31" s="153"/>
      <c r="H31" s="153"/>
      <c r="I31" s="154"/>
    </row>
    <row r="32">
      <c r="A32" s="155" t="s">
        <v>382</v>
      </c>
      <c r="B32" s="74"/>
      <c r="C32" s="133"/>
      <c r="D32" s="134">
        <v>7.0</v>
      </c>
      <c r="E32" s="156" t="s">
        <v>383</v>
      </c>
      <c r="F32" s="74"/>
      <c r="G32" s="74"/>
      <c r="H32" s="75"/>
      <c r="I32" s="136">
        <v>70.0</v>
      </c>
    </row>
  </sheetData>
  <mergeCells count="19">
    <mergeCell ref="A1:I1"/>
    <mergeCell ref="A2:I2"/>
    <mergeCell ref="A3:I3"/>
    <mergeCell ref="B5:B6"/>
    <mergeCell ref="B7:B8"/>
    <mergeCell ref="B9:B10"/>
    <mergeCell ref="B11:B16"/>
    <mergeCell ref="G25:G31"/>
    <mergeCell ref="H25:H31"/>
    <mergeCell ref="C25:C31"/>
    <mergeCell ref="A32:C32"/>
    <mergeCell ref="B17:B22"/>
    <mergeCell ref="A23:C23"/>
    <mergeCell ref="E23:H23"/>
    <mergeCell ref="A24:I24"/>
    <mergeCell ref="B25:B31"/>
    <mergeCell ref="F25:F31"/>
    <mergeCell ref="I25:I31"/>
    <mergeCell ref="E32:H32"/>
  </mergeCells>
  <printOptions gridLines="1" horizontalCentered="1"/>
  <pageMargins bottom="0.75" footer="0.0" header="0.0" left="0.25" right="0.25" top="0.75"/>
  <pageSetup paperSize="9" scale="6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9.43"/>
    <col customWidth="1" min="4" max="4" width="26.57"/>
    <col customWidth="1" min="5" max="5" width="17.43"/>
    <col customWidth="1" min="6" max="6" width="15.86"/>
    <col customWidth="1" min="7" max="7" width="20.29"/>
  </cols>
  <sheetData>
    <row r="1" ht="83.25" customHeight="1"/>
    <row r="2" ht="30.75" customHeight="1">
      <c r="A2" s="157" t="s">
        <v>393</v>
      </c>
    </row>
    <row r="3">
      <c r="A3" s="158" t="s">
        <v>358</v>
      </c>
      <c r="B3" s="138"/>
      <c r="C3" s="159" t="s">
        <v>394</v>
      </c>
      <c r="D3" s="160" t="s">
        <v>395</v>
      </c>
      <c r="E3" s="159" t="s">
        <v>6</v>
      </c>
      <c r="F3" s="160" t="s">
        <v>396</v>
      </c>
      <c r="G3" s="159" t="s">
        <v>334</v>
      </c>
    </row>
    <row r="4">
      <c r="A4" s="161">
        <v>46097.0</v>
      </c>
      <c r="B4" s="145" t="s">
        <v>397</v>
      </c>
      <c r="C4" s="162">
        <v>0.5416666666666666</v>
      </c>
      <c r="D4" s="95" t="s">
        <v>398</v>
      </c>
      <c r="E4" s="95" t="s">
        <v>399</v>
      </c>
      <c r="F4" s="95" t="s">
        <v>400</v>
      </c>
      <c r="G4" s="163"/>
    </row>
    <row r="5">
      <c r="A5" s="164"/>
      <c r="B5" s="149"/>
      <c r="C5" s="165">
        <v>0.5416666666666666</v>
      </c>
      <c r="D5" s="126" t="s">
        <v>401</v>
      </c>
      <c r="E5" s="126" t="s">
        <v>402</v>
      </c>
      <c r="F5" s="126" t="s">
        <v>403</v>
      </c>
      <c r="G5" s="166"/>
    </row>
    <row r="6">
      <c r="A6" s="167"/>
      <c r="B6" s="154"/>
      <c r="C6" s="165">
        <v>0.5416666666666666</v>
      </c>
      <c r="D6" s="126" t="s">
        <v>404</v>
      </c>
      <c r="E6" s="126" t="s">
        <v>402</v>
      </c>
      <c r="F6" s="126" t="s">
        <v>403</v>
      </c>
      <c r="G6" s="166"/>
    </row>
    <row r="7">
      <c r="A7" s="161">
        <v>46098.0</v>
      </c>
      <c r="B7" s="145" t="s">
        <v>405</v>
      </c>
      <c r="C7" s="162">
        <v>0.3333333333333333</v>
      </c>
      <c r="D7" s="95" t="s">
        <v>398</v>
      </c>
      <c r="E7" s="95" t="s">
        <v>399</v>
      </c>
      <c r="F7" s="95" t="s">
        <v>400</v>
      </c>
      <c r="G7" s="163"/>
    </row>
    <row r="8">
      <c r="A8" s="164"/>
      <c r="B8" s="149"/>
      <c r="C8" s="165">
        <v>0.3333333333333333</v>
      </c>
      <c r="D8" s="126" t="s">
        <v>406</v>
      </c>
      <c r="E8" s="126" t="s">
        <v>399</v>
      </c>
      <c r="F8" s="126" t="s">
        <v>400</v>
      </c>
      <c r="G8" s="166"/>
    </row>
    <row r="9">
      <c r="A9" s="164"/>
      <c r="B9" s="149"/>
      <c r="C9" s="165">
        <v>0.375</v>
      </c>
      <c r="D9" s="126" t="s">
        <v>401</v>
      </c>
      <c r="E9" s="126" t="s">
        <v>402</v>
      </c>
      <c r="F9" s="126" t="s">
        <v>403</v>
      </c>
      <c r="G9" s="166"/>
    </row>
    <row r="10">
      <c r="A10" s="164"/>
      <c r="B10" s="149"/>
      <c r="C10" s="165">
        <v>0.375</v>
      </c>
      <c r="D10" s="126" t="s">
        <v>407</v>
      </c>
      <c r="E10" s="126" t="s">
        <v>408</v>
      </c>
      <c r="F10" s="126" t="s">
        <v>409</v>
      </c>
      <c r="G10" s="166"/>
    </row>
    <row r="11">
      <c r="A11" s="167"/>
      <c r="B11" s="154"/>
      <c r="C11" s="168">
        <v>0.5833333333333334</v>
      </c>
      <c r="D11" s="100" t="s">
        <v>410</v>
      </c>
      <c r="E11" s="100" t="s">
        <v>411</v>
      </c>
      <c r="F11" s="100" t="s">
        <v>412</v>
      </c>
      <c r="G11" s="169"/>
    </row>
    <row r="12">
      <c r="A12" s="161">
        <v>46099.0</v>
      </c>
      <c r="B12" s="170" t="s">
        <v>413</v>
      </c>
      <c r="C12" s="171">
        <v>0.3333333333333333</v>
      </c>
      <c r="D12" s="95" t="s">
        <v>414</v>
      </c>
      <c r="E12" s="95" t="s">
        <v>60</v>
      </c>
      <c r="F12" s="95" t="s">
        <v>415</v>
      </c>
      <c r="G12" s="163"/>
    </row>
    <row r="13">
      <c r="A13" s="164"/>
      <c r="B13" s="172"/>
      <c r="C13" s="173">
        <v>0.375</v>
      </c>
      <c r="D13" s="126" t="s">
        <v>416</v>
      </c>
      <c r="E13" s="126" t="s">
        <v>417</v>
      </c>
      <c r="F13" s="126" t="s">
        <v>412</v>
      </c>
      <c r="G13" s="166"/>
    </row>
    <row r="14">
      <c r="A14" s="164"/>
      <c r="B14" s="172"/>
      <c r="C14" s="173">
        <v>0.375</v>
      </c>
      <c r="D14" s="126" t="s">
        <v>418</v>
      </c>
      <c r="E14" s="126" t="s">
        <v>216</v>
      </c>
      <c r="F14" s="126" t="s">
        <v>412</v>
      </c>
      <c r="G14" s="166"/>
    </row>
    <row r="15">
      <c r="A15" s="164"/>
      <c r="B15" s="172"/>
      <c r="C15" s="173">
        <v>0.375</v>
      </c>
      <c r="D15" s="126" t="s">
        <v>419</v>
      </c>
      <c r="E15" s="126" t="s">
        <v>402</v>
      </c>
      <c r="F15" s="126" t="s">
        <v>420</v>
      </c>
      <c r="G15" s="166"/>
    </row>
    <row r="16">
      <c r="A16" s="164"/>
      <c r="B16" s="172"/>
      <c r="C16" s="173">
        <v>0.375</v>
      </c>
      <c r="D16" s="126" t="s">
        <v>421</v>
      </c>
      <c r="E16" s="126" t="s">
        <v>422</v>
      </c>
      <c r="F16" s="126" t="s">
        <v>415</v>
      </c>
      <c r="G16" s="128"/>
    </row>
    <row r="17">
      <c r="A17" s="164"/>
      <c r="B17" s="172"/>
      <c r="C17" s="173">
        <v>0.375</v>
      </c>
      <c r="D17" s="126" t="s">
        <v>423</v>
      </c>
      <c r="E17" s="126" t="s">
        <v>402</v>
      </c>
      <c r="F17" s="126" t="s">
        <v>420</v>
      </c>
      <c r="G17" s="128"/>
    </row>
    <row r="18">
      <c r="A18" s="164"/>
      <c r="B18" s="172"/>
      <c r="C18" s="173">
        <v>0.4166666666666667</v>
      </c>
      <c r="D18" s="126" t="s">
        <v>424</v>
      </c>
      <c r="E18" s="126" t="s">
        <v>402</v>
      </c>
      <c r="F18" s="126" t="s">
        <v>403</v>
      </c>
      <c r="G18" s="128"/>
    </row>
    <row r="19">
      <c r="A19" s="167"/>
      <c r="B19" s="174"/>
      <c r="C19" s="175">
        <v>0.8333333333333334</v>
      </c>
      <c r="D19" s="100" t="s">
        <v>425</v>
      </c>
      <c r="E19" s="100" t="s">
        <v>60</v>
      </c>
      <c r="F19" s="100" t="s">
        <v>415</v>
      </c>
      <c r="G19" s="102" t="s">
        <v>426</v>
      </c>
    </row>
    <row r="20">
      <c r="A20" s="176">
        <v>46100.0</v>
      </c>
      <c r="B20" s="177" t="s">
        <v>427</v>
      </c>
      <c r="C20" s="171">
        <v>0.3333333333333333</v>
      </c>
      <c r="D20" s="95" t="s">
        <v>414</v>
      </c>
      <c r="E20" s="95" t="s">
        <v>60</v>
      </c>
      <c r="F20" s="95" t="s">
        <v>415</v>
      </c>
      <c r="G20" s="97" t="s">
        <v>428</v>
      </c>
    </row>
    <row r="21">
      <c r="A21" s="164"/>
      <c r="B21" s="172"/>
      <c r="C21" s="173">
        <v>0.375</v>
      </c>
      <c r="D21" s="126" t="s">
        <v>429</v>
      </c>
      <c r="E21" s="126" t="s">
        <v>402</v>
      </c>
      <c r="F21" s="126" t="s">
        <v>415</v>
      </c>
      <c r="G21" s="128"/>
    </row>
    <row r="22">
      <c r="A22" s="164"/>
      <c r="B22" s="172"/>
      <c r="C22" s="173">
        <v>0.375</v>
      </c>
      <c r="D22" s="126" t="s">
        <v>430</v>
      </c>
      <c r="E22" s="126" t="s">
        <v>422</v>
      </c>
      <c r="F22" s="126" t="s">
        <v>415</v>
      </c>
      <c r="G22" s="128"/>
    </row>
    <row r="23">
      <c r="A23" s="164"/>
      <c r="B23" s="172"/>
      <c r="C23" s="173">
        <v>0.375</v>
      </c>
      <c r="D23" s="126" t="s">
        <v>431</v>
      </c>
      <c r="E23" s="126" t="s">
        <v>402</v>
      </c>
      <c r="F23" s="126" t="s">
        <v>403</v>
      </c>
      <c r="G23" s="128"/>
    </row>
    <row r="24">
      <c r="A24" s="164"/>
      <c r="B24" s="172"/>
      <c r="C24" s="173">
        <v>0.375</v>
      </c>
      <c r="D24" s="126" t="s">
        <v>416</v>
      </c>
      <c r="E24" s="126" t="s">
        <v>417</v>
      </c>
      <c r="F24" s="126" t="s">
        <v>412</v>
      </c>
      <c r="G24" s="166"/>
    </row>
    <row r="25">
      <c r="A25" s="164"/>
      <c r="B25" s="172"/>
      <c r="C25" s="173">
        <v>0.375</v>
      </c>
      <c r="D25" s="126" t="s">
        <v>418</v>
      </c>
      <c r="E25" s="126" t="s">
        <v>216</v>
      </c>
      <c r="F25" s="126" t="s">
        <v>412</v>
      </c>
      <c r="G25" s="166"/>
    </row>
    <row r="26">
      <c r="A26" s="164"/>
      <c r="B26" s="172"/>
      <c r="C26" s="173">
        <v>0.375</v>
      </c>
      <c r="D26" s="126" t="s">
        <v>432</v>
      </c>
      <c r="E26" s="126" t="s">
        <v>235</v>
      </c>
      <c r="F26" s="126" t="s">
        <v>412</v>
      </c>
      <c r="G26" s="166"/>
    </row>
    <row r="27">
      <c r="A27" s="164"/>
      <c r="B27" s="172"/>
      <c r="C27" s="173">
        <v>0.375</v>
      </c>
      <c r="D27" s="126" t="s">
        <v>410</v>
      </c>
      <c r="E27" s="126" t="s">
        <v>411</v>
      </c>
      <c r="F27" s="126" t="s">
        <v>412</v>
      </c>
      <c r="G27" s="128" t="s">
        <v>433</v>
      </c>
    </row>
    <row r="28">
      <c r="A28" s="164"/>
      <c r="B28" s="172"/>
      <c r="C28" s="173">
        <v>0.5833333333333334</v>
      </c>
      <c r="D28" s="126" t="s">
        <v>434</v>
      </c>
      <c r="E28" s="126"/>
      <c r="F28" s="126"/>
      <c r="G28" s="128" t="s">
        <v>435</v>
      </c>
    </row>
    <row r="29">
      <c r="A29" s="167"/>
      <c r="B29" s="174"/>
      <c r="C29" s="175">
        <v>0.8333333333333334</v>
      </c>
      <c r="D29" s="100" t="s">
        <v>436</v>
      </c>
      <c r="E29" s="100" t="s">
        <v>60</v>
      </c>
      <c r="F29" s="100" t="s">
        <v>415</v>
      </c>
      <c r="G29" s="102" t="s">
        <v>426</v>
      </c>
    </row>
    <row r="30">
      <c r="A30" s="161">
        <v>46101.0</v>
      </c>
      <c r="B30" s="170" t="s">
        <v>437</v>
      </c>
      <c r="C30" s="171">
        <v>0.3333333333333333</v>
      </c>
      <c r="D30" s="178" t="s">
        <v>438</v>
      </c>
      <c r="E30" s="178" t="s">
        <v>402</v>
      </c>
      <c r="F30" s="178" t="s">
        <v>420</v>
      </c>
      <c r="G30" s="179" t="s">
        <v>439</v>
      </c>
    </row>
    <row r="31">
      <c r="A31" s="164"/>
      <c r="B31" s="172"/>
      <c r="C31" s="173">
        <v>0.3333333333333333</v>
      </c>
      <c r="D31" s="126" t="s">
        <v>414</v>
      </c>
      <c r="E31" s="126" t="s">
        <v>60</v>
      </c>
      <c r="F31" s="126" t="s">
        <v>415</v>
      </c>
      <c r="G31" s="128" t="s">
        <v>428</v>
      </c>
    </row>
    <row r="32">
      <c r="A32" s="164"/>
      <c r="B32" s="172"/>
      <c r="C32" s="173">
        <v>0.3333333333333333</v>
      </c>
      <c r="D32" s="180" t="s">
        <v>421</v>
      </c>
      <c r="E32" s="180" t="s">
        <v>422</v>
      </c>
      <c r="F32" s="180" t="s">
        <v>415</v>
      </c>
      <c r="G32" s="181"/>
    </row>
    <row r="33">
      <c r="A33" s="164"/>
      <c r="B33" s="172"/>
      <c r="C33" s="173">
        <v>0.3333333333333333</v>
      </c>
      <c r="D33" s="180" t="s">
        <v>440</v>
      </c>
      <c r="E33" s="180" t="s">
        <v>417</v>
      </c>
      <c r="F33" s="180" t="s">
        <v>412</v>
      </c>
      <c r="G33" s="182" t="s">
        <v>441</v>
      </c>
    </row>
    <row r="34">
      <c r="A34" s="164"/>
      <c r="B34" s="172"/>
      <c r="C34" s="173">
        <v>0.3333333333333333</v>
      </c>
      <c r="D34" s="180" t="s">
        <v>442</v>
      </c>
      <c r="E34" s="180" t="s">
        <v>216</v>
      </c>
      <c r="F34" s="180" t="s">
        <v>412</v>
      </c>
      <c r="G34" s="183"/>
    </row>
    <row r="35">
      <c r="A35" s="164"/>
      <c r="B35" s="172"/>
      <c r="C35" s="173">
        <v>0.3333333333333333</v>
      </c>
      <c r="D35" s="180" t="s">
        <v>443</v>
      </c>
      <c r="E35" s="180" t="s">
        <v>60</v>
      </c>
      <c r="F35" s="180" t="s">
        <v>415</v>
      </c>
      <c r="G35" s="181"/>
    </row>
    <row r="36">
      <c r="A36" s="164"/>
      <c r="B36" s="172"/>
      <c r="C36" s="173">
        <v>0.3333333333333333</v>
      </c>
      <c r="D36" s="180" t="s">
        <v>444</v>
      </c>
      <c r="E36" s="180" t="s">
        <v>445</v>
      </c>
      <c r="F36" s="180" t="s">
        <v>403</v>
      </c>
      <c r="G36" s="184"/>
    </row>
    <row r="37">
      <c r="A37" s="164"/>
      <c r="B37" s="172"/>
      <c r="C37" s="173">
        <v>0.3333333333333333</v>
      </c>
      <c r="D37" s="180" t="s">
        <v>434</v>
      </c>
      <c r="E37" s="180"/>
      <c r="F37" s="180"/>
      <c r="G37" s="181"/>
    </row>
    <row r="38">
      <c r="A38" s="164"/>
      <c r="B38" s="172"/>
      <c r="C38" s="173">
        <v>0.4166666666666667</v>
      </c>
      <c r="D38" s="180" t="s">
        <v>446</v>
      </c>
      <c r="E38" s="180" t="s">
        <v>10</v>
      </c>
      <c r="F38" s="180" t="s">
        <v>10</v>
      </c>
      <c r="G38" s="181"/>
    </row>
    <row r="39">
      <c r="A39" s="164"/>
      <c r="B39" s="172"/>
      <c r="C39" s="173">
        <v>0.8333333333333334</v>
      </c>
      <c r="D39" s="180" t="s">
        <v>447</v>
      </c>
      <c r="E39" s="180" t="s">
        <v>10</v>
      </c>
      <c r="F39" s="180" t="s">
        <v>10</v>
      </c>
      <c r="G39" s="184"/>
    </row>
    <row r="40">
      <c r="A40" s="164"/>
      <c r="B40" s="172"/>
      <c r="C40" s="173">
        <v>0.8333333333333334</v>
      </c>
      <c r="D40" s="126" t="s">
        <v>436</v>
      </c>
      <c r="E40" s="126" t="s">
        <v>60</v>
      </c>
      <c r="F40" s="126" t="s">
        <v>415</v>
      </c>
      <c r="G40" s="128" t="s">
        <v>426</v>
      </c>
    </row>
    <row r="41">
      <c r="A41" s="167"/>
      <c r="B41" s="174"/>
      <c r="C41" s="185">
        <v>0.8333333333333334</v>
      </c>
      <c r="D41" s="186" t="s">
        <v>448</v>
      </c>
      <c r="E41" s="186" t="s">
        <v>402</v>
      </c>
      <c r="F41" s="186" t="s">
        <v>420</v>
      </c>
      <c r="G41" s="187"/>
    </row>
    <row r="42">
      <c r="A42" s="176">
        <v>46102.0</v>
      </c>
      <c r="B42" s="188" t="s">
        <v>449</v>
      </c>
      <c r="C42" s="189">
        <v>0.3333333333333333</v>
      </c>
      <c r="D42" s="190" t="s">
        <v>440</v>
      </c>
      <c r="E42" s="190" t="s">
        <v>417</v>
      </c>
      <c r="F42" s="190" t="s">
        <v>412</v>
      </c>
      <c r="G42" s="191" t="s">
        <v>441</v>
      </c>
    </row>
    <row r="43">
      <c r="A43" s="164"/>
      <c r="B43" s="149"/>
      <c r="C43" s="165">
        <v>0.3333333333333333</v>
      </c>
      <c r="D43" s="180" t="s">
        <v>442</v>
      </c>
      <c r="E43" s="180" t="s">
        <v>216</v>
      </c>
      <c r="F43" s="180" t="s">
        <v>412</v>
      </c>
      <c r="G43" s="183"/>
    </row>
    <row r="44">
      <c r="A44" s="164"/>
      <c r="B44" s="149"/>
      <c r="C44" s="165">
        <v>0.3333333333333333</v>
      </c>
      <c r="D44" s="180" t="s">
        <v>450</v>
      </c>
      <c r="E44" s="180" t="s">
        <v>60</v>
      </c>
      <c r="F44" s="180" t="s">
        <v>415</v>
      </c>
      <c r="G44" s="128" t="s">
        <v>428</v>
      </c>
    </row>
    <row r="45">
      <c r="A45" s="164"/>
      <c r="B45" s="149"/>
      <c r="C45" s="165">
        <v>0.3333333333333333</v>
      </c>
      <c r="D45" s="180" t="s">
        <v>451</v>
      </c>
      <c r="E45" s="180" t="s">
        <v>445</v>
      </c>
      <c r="F45" s="180" t="s">
        <v>403</v>
      </c>
      <c r="G45" s="184"/>
    </row>
    <row r="46">
      <c r="A46" s="164"/>
      <c r="B46" s="149"/>
      <c r="C46" s="165">
        <v>0.3333333333333333</v>
      </c>
      <c r="D46" s="180" t="s">
        <v>434</v>
      </c>
      <c r="E46" s="180"/>
      <c r="F46" s="180"/>
      <c r="G46" s="181"/>
    </row>
    <row r="47" ht="25.5" customHeight="1">
      <c r="A47" s="164"/>
      <c r="B47" s="149"/>
      <c r="C47" s="165">
        <v>0.3333333333333333</v>
      </c>
      <c r="D47" s="180" t="s">
        <v>452</v>
      </c>
      <c r="E47" s="180" t="s">
        <v>422</v>
      </c>
      <c r="F47" s="180" t="s">
        <v>453</v>
      </c>
      <c r="G47" s="128"/>
    </row>
    <row r="48" ht="25.5" customHeight="1">
      <c r="A48" s="164"/>
      <c r="B48" s="149"/>
      <c r="C48" s="165">
        <v>0.3333333333333333</v>
      </c>
      <c r="D48" s="180" t="s">
        <v>454</v>
      </c>
      <c r="E48" s="180" t="s">
        <v>422</v>
      </c>
      <c r="F48" s="180" t="s">
        <v>453</v>
      </c>
      <c r="G48" s="128"/>
    </row>
    <row r="49" ht="25.5" customHeight="1">
      <c r="A49" s="164"/>
      <c r="B49" s="149"/>
      <c r="C49" s="192" t="s">
        <v>455</v>
      </c>
      <c r="D49" s="126" t="s">
        <v>456</v>
      </c>
      <c r="E49" s="180" t="s">
        <v>60</v>
      </c>
      <c r="F49" s="180" t="s">
        <v>415</v>
      </c>
      <c r="G49" s="128" t="s">
        <v>457</v>
      </c>
    </row>
    <row r="50" ht="25.5" customHeight="1">
      <c r="A50" s="164"/>
      <c r="B50" s="149"/>
      <c r="C50" s="165">
        <v>0.3333333333333333</v>
      </c>
      <c r="D50" s="180" t="s">
        <v>458</v>
      </c>
      <c r="E50" s="180" t="s">
        <v>459</v>
      </c>
      <c r="F50" s="180" t="s">
        <v>415</v>
      </c>
      <c r="G50" s="102" t="s">
        <v>460</v>
      </c>
    </row>
    <row r="51" ht="21.75" customHeight="1">
      <c r="A51" s="164"/>
      <c r="B51" s="149"/>
      <c r="C51" s="165">
        <v>0.3333333333333333</v>
      </c>
      <c r="D51" s="180" t="s">
        <v>461</v>
      </c>
      <c r="E51" s="180" t="s">
        <v>462</v>
      </c>
      <c r="F51" s="180" t="s">
        <v>415</v>
      </c>
      <c r="G51" s="183"/>
    </row>
    <row r="52">
      <c r="A52" s="164"/>
      <c r="B52" s="149"/>
      <c r="C52" s="165">
        <v>0.4166666666666667</v>
      </c>
      <c r="D52" s="180" t="s">
        <v>446</v>
      </c>
      <c r="E52" s="180" t="s">
        <v>10</v>
      </c>
      <c r="F52" s="180" t="s">
        <v>10</v>
      </c>
      <c r="G52" s="181"/>
    </row>
    <row r="53">
      <c r="A53" s="164"/>
      <c r="B53" s="149"/>
      <c r="C53" s="168">
        <v>0.4583333333333333</v>
      </c>
      <c r="D53" s="193" t="s">
        <v>463</v>
      </c>
      <c r="E53" s="193" t="s">
        <v>464</v>
      </c>
      <c r="F53" s="193" t="s">
        <v>415</v>
      </c>
      <c r="G53" s="102" t="s">
        <v>465</v>
      </c>
    </row>
    <row r="54">
      <c r="A54" s="164"/>
      <c r="B54" s="149"/>
      <c r="C54" s="168">
        <v>0.8333333333333334</v>
      </c>
      <c r="D54" s="193" t="s">
        <v>447</v>
      </c>
      <c r="E54" s="193" t="s">
        <v>10</v>
      </c>
      <c r="F54" s="193" t="s">
        <v>10</v>
      </c>
      <c r="G54" s="194"/>
    </row>
    <row r="55">
      <c r="A55" s="164"/>
      <c r="B55" s="149"/>
      <c r="C55" s="168">
        <v>0.8333333333333334</v>
      </c>
      <c r="D55" s="126" t="s">
        <v>436</v>
      </c>
      <c r="E55" s="126" t="s">
        <v>60</v>
      </c>
      <c r="F55" s="126" t="s">
        <v>415</v>
      </c>
      <c r="G55" s="128" t="s">
        <v>426</v>
      </c>
    </row>
    <row r="56">
      <c r="A56" s="164"/>
      <c r="B56" s="149"/>
      <c r="C56" s="168">
        <v>0.8333333333333334</v>
      </c>
      <c r="D56" s="126" t="s">
        <v>456</v>
      </c>
      <c r="E56" s="100" t="s">
        <v>60</v>
      </c>
      <c r="F56" s="100" t="s">
        <v>415</v>
      </c>
      <c r="G56" s="102" t="s">
        <v>426</v>
      </c>
    </row>
    <row r="57">
      <c r="A57" s="167"/>
      <c r="B57" s="154"/>
      <c r="C57" s="168">
        <v>0.8333333333333334</v>
      </c>
      <c r="D57" s="100" t="s">
        <v>466</v>
      </c>
      <c r="E57" s="193" t="s">
        <v>402</v>
      </c>
      <c r="F57" s="193" t="s">
        <v>420</v>
      </c>
      <c r="G57" s="194"/>
    </row>
    <row r="58">
      <c r="A58" s="161">
        <v>46103.0</v>
      </c>
      <c r="B58" s="145" t="s">
        <v>467</v>
      </c>
      <c r="C58" s="162">
        <v>0.16666666666666666</v>
      </c>
      <c r="D58" s="178" t="s">
        <v>468</v>
      </c>
      <c r="E58" s="178" t="s">
        <v>469</v>
      </c>
      <c r="F58" s="178" t="s">
        <v>470</v>
      </c>
      <c r="G58" s="195"/>
    </row>
    <row r="59">
      <c r="A59" s="164"/>
      <c r="B59" s="149"/>
      <c r="C59" s="165">
        <v>0.16666666666666666</v>
      </c>
      <c r="D59" s="180" t="s">
        <v>471</v>
      </c>
      <c r="E59" s="180" t="s">
        <v>472</v>
      </c>
      <c r="F59" s="180" t="s">
        <v>415</v>
      </c>
      <c r="G59" s="128" t="s">
        <v>473</v>
      </c>
    </row>
    <row r="60">
      <c r="A60" s="164"/>
      <c r="B60" s="149"/>
      <c r="C60" s="165">
        <v>0.20833333333333334</v>
      </c>
      <c r="D60" s="180" t="s">
        <v>474</v>
      </c>
      <c r="E60" s="180" t="s">
        <v>60</v>
      </c>
      <c r="F60" s="180" t="s">
        <v>415</v>
      </c>
      <c r="G60" s="181" t="s">
        <v>475</v>
      </c>
    </row>
    <row r="61">
      <c r="A61" s="164"/>
      <c r="B61" s="149"/>
      <c r="C61" s="165">
        <v>0.20833333333333334</v>
      </c>
      <c r="D61" s="180" t="s">
        <v>434</v>
      </c>
      <c r="E61" s="180"/>
      <c r="F61" s="180"/>
      <c r="G61" s="181" t="s">
        <v>475</v>
      </c>
    </row>
    <row r="62">
      <c r="A62" s="164"/>
      <c r="B62" s="149"/>
      <c r="C62" s="165">
        <v>0.20833333333333334</v>
      </c>
      <c r="D62" s="180" t="s">
        <v>476</v>
      </c>
      <c r="E62" s="180"/>
      <c r="F62" s="180"/>
      <c r="G62" s="184"/>
    </row>
    <row r="63">
      <c r="A63" s="164"/>
      <c r="B63" s="149"/>
      <c r="C63" s="165">
        <v>0.25</v>
      </c>
      <c r="D63" s="180" t="s">
        <v>477</v>
      </c>
      <c r="E63" s="180" t="s">
        <v>10</v>
      </c>
      <c r="F63" s="180" t="s">
        <v>10</v>
      </c>
      <c r="G63" s="184"/>
    </row>
    <row r="64">
      <c r="A64" s="164"/>
      <c r="B64" s="149"/>
      <c r="C64" s="165">
        <v>0.4583333333333333</v>
      </c>
      <c r="D64" s="126" t="s">
        <v>478</v>
      </c>
      <c r="E64" s="180" t="s">
        <v>216</v>
      </c>
      <c r="F64" s="180" t="s">
        <v>412</v>
      </c>
      <c r="G64" s="184"/>
    </row>
    <row r="65">
      <c r="A65" s="164"/>
      <c r="B65" s="149"/>
      <c r="C65" s="165">
        <v>0.5</v>
      </c>
      <c r="D65" s="180" t="s">
        <v>479</v>
      </c>
      <c r="E65" s="180" t="s">
        <v>216</v>
      </c>
      <c r="F65" s="180" t="s">
        <v>412</v>
      </c>
      <c r="G65" s="184"/>
    </row>
    <row r="66">
      <c r="A66" s="164"/>
      <c r="B66" s="149"/>
      <c r="C66" s="165">
        <v>0.75</v>
      </c>
      <c r="D66" s="180" t="s">
        <v>480</v>
      </c>
      <c r="E66" s="180" t="s">
        <v>10</v>
      </c>
      <c r="F66" s="180" t="s">
        <v>10</v>
      </c>
      <c r="G66" s="184"/>
    </row>
    <row r="67">
      <c r="A67" s="164"/>
      <c r="B67" s="149"/>
      <c r="C67" s="165">
        <v>0.75</v>
      </c>
      <c r="D67" s="180" t="s">
        <v>481</v>
      </c>
      <c r="E67" s="180" t="s">
        <v>10</v>
      </c>
      <c r="F67" s="180" t="s">
        <v>10</v>
      </c>
      <c r="G67" s="184"/>
    </row>
    <row r="68">
      <c r="A68" s="164"/>
      <c r="B68" s="149"/>
      <c r="C68" s="165">
        <v>0.75</v>
      </c>
      <c r="D68" s="180" t="s">
        <v>482</v>
      </c>
      <c r="E68" s="180" t="s">
        <v>417</v>
      </c>
      <c r="F68" s="180" t="s">
        <v>412</v>
      </c>
      <c r="G68" s="102" t="s">
        <v>483</v>
      </c>
    </row>
    <row r="69">
      <c r="A69" s="164"/>
      <c r="B69" s="149"/>
      <c r="C69" s="165">
        <v>0.75</v>
      </c>
      <c r="D69" s="180" t="s">
        <v>484</v>
      </c>
      <c r="E69" s="180" t="s">
        <v>216</v>
      </c>
      <c r="F69" s="180" t="s">
        <v>412</v>
      </c>
      <c r="G69" s="183"/>
    </row>
    <row r="70">
      <c r="A70" s="167"/>
      <c r="B70" s="154"/>
      <c r="C70" s="168">
        <v>0.8333333333333334</v>
      </c>
      <c r="D70" s="193" t="s">
        <v>485</v>
      </c>
      <c r="E70" s="193" t="s">
        <v>445</v>
      </c>
      <c r="F70" s="193" t="s">
        <v>403</v>
      </c>
      <c r="G70" s="194"/>
    </row>
    <row r="71">
      <c r="A71" s="161">
        <v>46104.0</v>
      </c>
      <c r="B71" s="145" t="s">
        <v>397</v>
      </c>
      <c r="C71" s="162">
        <v>0.375</v>
      </c>
      <c r="D71" s="178" t="s">
        <v>486</v>
      </c>
      <c r="E71" s="178" t="s">
        <v>399</v>
      </c>
      <c r="F71" s="178" t="s">
        <v>415</v>
      </c>
      <c r="G71" s="195"/>
    </row>
    <row r="72">
      <c r="A72" s="164"/>
      <c r="B72" s="149"/>
      <c r="C72" s="165">
        <v>0.375</v>
      </c>
      <c r="D72" s="180" t="s">
        <v>487</v>
      </c>
      <c r="E72" s="180" t="s">
        <v>422</v>
      </c>
      <c r="F72" s="180" t="s">
        <v>453</v>
      </c>
      <c r="G72" s="184"/>
    </row>
    <row r="73" ht="14.25" customHeight="1">
      <c r="A73" s="164"/>
      <c r="B73" s="149"/>
      <c r="C73" s="165">
        <v>0.375</v>
      </c>
      <c r="D73" s="180" t="s">
        <v>488</v>
      </c>
      <c r="E73" s="180" t="s">
        <v>422</v>
      </c>
      <c r="F73" s="180" t="s">
        <v>453</v>
      </c>
      <c r="G73" s="184"/>
    </row>
    <row r="74">
      <c r="A74" s="167"/>
      <c r="B74" s="154"/>
      <c r="C74" s="196">
        <v>0.5833333333333334</v>
      </c>
      <c r="D74" s="186" t="s">
        <v>489</v>
      </c>
      <c r="E74" s="197"/>
      <c r="F74" s="197"/>
      <c r="G74" s="187"/>
    </row>
    <row r="75">
      <c r="A75" s="198"/>
      <c r="B75" s="199"/>
      <c r="C75" s="200"/>
      <c r="D75" s="201"/>
      <c r="E75" s="202"/>
      <c r="F75" s="202"/>
      <c r="G75" s="202"/>
    </row>
    <row r="76">
      <c r="A76" s="203"/>
      <c r="B76" s="203"/>
      <c r="C76" s="203"/>
      <c r="D76" s="202"/>
      <c r="E76" s="202"/>
      <c r="F76" s="202"/>
      <c r="G76" s="202"/>
    </row>
    <row r="77">
      <c r="A77" s="203"/>
      <c r="B77" s="203"/>
      <c r="C77" s="203"/>
      <c r="D77" s="202"/>
      <c r="E77" s="202"/>
      <c r="F77" s="202"/>
      <c r="G77" s="202"/>
    </row>
    <row r="78">
      <c r="A78" s="203"/>
      <c r="B78" s="203"/>
      <c r="C78" s="203"/>
      <c r="D78" s="202"/>
      <c r="E78" s="202"/>
      <c r="F78" s="202"/>
      <c r="G78" s="202"/>
    </row>
    <row r="79">
      <c r="A79" s="203"/>
      <c r="B79" s="203"/>
      <c r="C79" s="203"/>
      <c r="D79" s="202"/>
      <c r="E79" s="202"/>
      <c r="F79" s="202"/>
      <c r="G79" s="202"/>
    </row>
    <row r="80">
      <c r="A80" s="203"/>
      <c r="B80" s="203"/>
      <c r="C80" s="203"/>
      <c r="D80" s="202"/>
      <c r="E80" s="202"/>
      <c r="F80" s="202"/>
      <c r="G80" s="202"/>
    </row>
    <row r="81">
      <c r="A81" s="203"/>
      <c r="B81" s="203"/>
      <c r="C81" s="203"/>
      <c r="D81" s="202"/>
      <c r="E81" s="202"/>
      <c r="F81" s="202"/>
      <c r="G81" s="202"/>
    </row>
    <row r="82">
      <c r="A82" s="203"/>
      <c r="B82" s="203"/>
      <c r="C82" s="203"/>
      <c r="D82" s="202"/>
      <c r="E82" s="202"/>
      <c r="F82" s="202"/>
      <c r="G82" s="202"/>
    </row>
    <row r="83">
      <c r="A83" s="203"/>
      <c r="B83" s="203"/>
      <c r="C83" s="203"/>
      <c r="D83" s="202"/>
      <c r="E83" s="202"/>
      <c r="F83" s="202"/>
      <c r="G83" s="202"/>
    </row>
    <row r="84">
      <c r="A84" s="203"/>
      <c r="B84" s="203"/>
      <c r="C84" s="203"/>
      <c r="D84" s="202"/>
      <c r="E84" s="202"/>
      <c r="F84" s="202"/>
      <c r="G84" s="202"/>
    </row>
    <row r="85">
      <c r="A85" s="203"/>
      <c r="B85" s="203"/>
      <c r="C85" s="203"/>
      <c r="D85" s="202"/>
      <c r="E85" s="202"/>
      <c r="F85" s="202"/>
      <c r="G85" s="202"/>
    </row>
    <row r="86">
      <c r="A86" s="203"/>
      <c r="B86" s="203"/>
      <c r="C86" s="203"/>
      <c r="D86" s="202"/>
      <c r="E86" s="202"/>
      <c r="F86" s="202"/>
      <c r="G86" s="202"/>
    </row>
    <row r="87">
      <c r="A87" s="203"/>
      <c r="B87" s="203"/>
      <c r="C87" s="203"/>
      <c r="D87" s="202"/>
      <c r="E87" s="202"/>
      <c r="F87" s="202"/>
      <c r="G87" s="202"/>
    </row>
    <row r="88">
      <c r="A88" s="203"/>
      <c r="B88" s="203"/>
      <c r="C88" s="203"/>
      <c r="D88" s="202"/>
      <c r="E88" s="202"/>
      <c r="F88" s="202"/>
      <c r="G88" s="202"/>
    </row>
    <row r="89">
      <c r="A89" s="203"/>
      <c r="B89" s="203"/>
      <c r="C89" s="203"/>
      <c r="D89" s="202"/>
      <c r="E89" s="202"/>
      <c r="F89" s="202"/>
      <c r="G89" s="202"/>
    </row>
    <row r="90">
      <c r="A90" s="203"/>
      <c r="B90" s="203"/>
      <c r="C90" s="203"/>
      <c r="D90" s="202"/>
      <c r="E90" s="202"/>
      <c r="F90" s="202"/>
      <c r="G90" s="202"/>
    </row>
    <row r="91">
      <c r="A91" s="203"/>
      <c r="B91" s="203"/>
      <c r="C91" s="203"/>
      <c r="D91" s="202"/>
      <c r="E91" s="202"/>
      <c r="F91" s="202"/>
      <c r="G91" s="202"/>
    </row>
    <row r="92">
      <c r="A92" s="203"/>
      <c r="B92" s="203"/>
      <c r="C92" s="203"/>
      <c r="D92" s="202"/>
      <c r="E92" s="202"/>
      <c r="F92" s="202"/>
      <c r="G92" s="202"/>
    </row>
    <row r="93">
      <c r="A93" s="203"/>
      <c r="B93" s="203"/>
      <c r="C93" s="203"/>
      <c r="D93" s="202"/>
      <c r="E93" s="202"/>
      <c r="F93" s="202"/>
      <c r="G93" s="202"/>
    </row>
    <row r="94">
      <c r="A94" s="202"/>
      <c r="B94" s="202"/>
      <c r="C94" s="202"/>
      <c r="D94" s="202"/>
      <c r="E94" s="202"/>
      <c r="F94" s="202"/>
      <c r="G94" s="202"/>
    </row>
    <row r="95">
      <c r="A95" s="202"/>
      <c r="B95" s="202"/>
      <c r="C95" s="202"/>
      <c r="D95" s="202"/>
      <c r="E95" s="202"/>
      <c r="F95" s="202"/>
      <c r="G95" s="202"/>
    </row>
    <row r="96">
      <c r="A96" s="202"/>
      <c r="B96" s="202"/>
      <c r="C96" s="202"/>
      <c r="D96" s="202"/>
      <c r="E96" s="202"/>
      <c r="F96" s="202"/>
      <c r="G96" s="202"/>
    </row>
    <row r="97">
      <c r="A97" s="202"/>
      <c r="B97" s="202"/>
      <c r="C97" s="202"/>
      <c r="D97" s="202"/>
      <c r="E97" s="202"/>
      <c r="F97" s="202"/>
      <c r="G97" s="202"/>
    </row>
    <row r="98">
      <c r="A98" s="202"/>
      <c r="B98" s="202"/>
      <c r="C98" s="202"/>
      <c r="D98" s="202"/>
      <c r="E98" s="202"/>
      <c r="F98" s="202"/>
      <c r="G98" s="202"/>
    </row>
    <row r="99">
      <c r="A99" s="202"/>
      <c r="B99" s="202"/>
      <c r="C99" s="202"/>
      <c r="D99" s="202"/>
      <c r="E99" s="202"/>
      <c r="F99" s="202"/>
      <c r="G99" s="202"/>
    </row>
    <row r="100">
      <c r="A100" s="202"/>
      <c r="B100" s="202"/>
      <c r="C100" s="202"/>
      <c r="D100" s="202"/>
      <c r="E100" s="202"/>
      <c r="F100" s="202"/>
      <c r="G100" s="202"/>
    </row>
    <row r="101">
      <c r="A101" s="202"/>
      <c r="B101" s="202"/>
      <c r="C101" s="202"/>
      <c r="D101" s="202"/>
      <c r="E101" s="202"/>
      <c r="F101" s="202"/>
      <c r="G101" s="202"/>
    </row>
    <row r="102">
      <c r="A102" s="202"/>
      <c r="B102" s="202"/>
      <c r="C102" s="202"/>
      <c r="D102" s="202"/>
      <c r="E102" s="202"/>
      <c r="F102" s="202"/>
      <c r="G102" s="202"/>
    </row>
  </sheetData>
  <mergeCells count="23">
    <mergeCell ref="A1:G1"/>
    <mergeCell ref="A2:G2"/>
    <mergeCell ref="A3:B3"/>
    <mergeCell ref="A4:A6"/>
    <mergeCell ref="B4:B6"/>
    <mergeCell ref="A7:A11"/>
    <mergeCell ref="B7:B11"/>
    <mergeCell ref="A42:A57"/>
    <mergeCell ref="B42:B57"/>
    <mergeCell ref="A58:A70"/>
    <mergeCell ref="B58:B70"/>
    <mergeCell ref="A71:A74"/>
    <mergeCell ref="B71:B74"/>
    <mergeCell ref="G42:G43"/>
    <mergeCell ref="G50:G51"/>
    <mergeCell ref="G68:G69"/>
    <mergeCell ref="A12:A19"/>
    <mergeCell ref="B12:B19"/>
    <mergeCell ref="A20:A29"/>
    <mergeCell ref="B20:B29"/>
    <mergeCell ref="A30:A41"/>
    <mergeCell ref="B30:B41"/>
    <mergeCell ref="G33:G34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24.86"/>
    <col customWidth="1" min="6" max="6" width="16.71"/>
    <col customWidth="1" min="7" max="7" width="21.71"/>
    <col customWidth="1" min="8" max="8" width="15.57"/>
    <col customWidth="1" min="10" max="10" width="21.14"/>
  </cols>
  <sheetData>
    <row r="3">
      <c r="A3" s="204" t="s">
        <v>4</v>
      </c>
      <c r="B3" s="205" t="s">
        <v>358</v>
      </c>
      <c r="C3" s="206" t="s">
        <v>490</v>
      </c>
      <c r="D3" s="205" t="s">
        <v>360</v>
      </c>
      <c r="E3" s="205" t="s">
        <v>491</v>
      </c>
      <c r="F3" s="206" t="s">
        <v>6</v>
      </c>
      <c r="G3" s="206" t="s">
        <v>492</v>
      </c>
      <c r="H3" s="205" t="s">
        <v>493</v>
      </c>
      <c r="I3" s="206" t="s">
        <v>494</v>
      </c>
      <c r="J3" s="205" t="s">
        <v>334</v>
      </c>
    </row>
    <row r="4">
      <c r="A4" s="93">
        <v>1.0</v>
      </c>
      <c r="B4" s="207">
        <v>46094.0</v>
      </c>
      <c r="C4" s="113" t="s">
        <v>495</v>
      </c>
      <c r="D4" s="113">
        <v>50.0</v>
      </c>
      <c r="E4" s="208">
        <v>105948.81</v>
      </c>
      <c r="F4" s="113" t="s">
        <v>496</v>
      </c>
      <c r="G4" s="113" t="s">
        <v>497</v>
      </c>
      <c r="H4" s="113" t="s">
        <v>498</v>
      </c>
      <c r="I4" s="113" t="s">
        <v>499</v>
      </c>
      <c r="J4" s="209"/>
    </row>
    <row r="5">
      <c r="A5" s="210">
        <v>2.0</v>
      </c>
      <c r="B5" s="211">
        <v>46094.0</v>
      </c>
      <c r="C5" s="126" t="s">
        <v>500</v>
      </c>
      <c r="D5" s="126">
        <v>13.0</v>
      </c>
      <c r="E5" s="212">
        <v>22462.44</v>
      </c>
      <c r="F5" s="126" t="s">
        <v>496</v>
      </c>
      <c r="G5" s="113" t="s">
        <v>497</v>
      </c>
      <c r="H5" s="113" t="s">
        <v>498</v>
      </c>
      <c r="I5" s="126" t="s">
        <v>499</v>
      </c>
      <c r="J5" s="166"/>
    </row>
    <row r="6">
      <c r="A6" s="210">
        <v>3.0</v>
      </c>
      <c r="B6" s="211">
        <v>46096.0</v>
      </c>
      <c r="C6" s="126" t="s">
        <v>501</v>
      </c>
      <c r="D6" s="126">
        <v>12.0</v>
      </c>
      <c r="E6" s="212">
        <v>97104.0</v>
      </c>
      <c r="F6" s="126" t="s">
        <v>502</v>
      </c>
      <c r="G6" s="113" t="s">
        <v>503</v>
      </c>
      <c r="H6" s="113" t="s">
        <v>498</v>
      </c>
      <c r="I6" s="126" t="s">
        <v>504</v>
      </c>
      <c r="J6" s="166"/>
    </row>
    <row r="7">
      <c r="A7" s="210">
        <v>4.0</v>
      </c>
      <c r="B7" s="211">
        <v>46096.0</v>
      </c>
      <c r="C7" s="126" t="s">
        <v>505</v>
      </c>
      <c r="D7" s="126">
        <v>5.0</v>
      </c>
      <c r="E7" s="212">
        <v>54984.0</v>
      </c>
      <c r="F7" s="126" t="s">
        <v>502</v>
      </c>
      <c r="G7" s="113" t="s">
        <v>503</v>
      </c>
      <c r="H7" s="113" t="s">
        <v>498</v>
      </c>
      <c r="I7" s="126" t="s">
        <v>499</v>
      </c>
      <c r="J7" s="166"/>
    </row>
    <row r="8">
      <c r="A8" s="210">
        <v>5.0</v>
      </c>
      <c r="B8" s="211">
        <v>46096.0</v>
      </c>
      <c r="C8" s="126" t="s">
        <v>506</v>
      </c>
      <c r="D8" s="126">
        <v>50.0</v>
      </c>
      <c r="E8" s="212">
        <v>116249.07</v>
      </c>
      <c r="F8" s="126" t="s">
        <v>502</v>
      </c>
      <c r="G8" s="126" t="s">
        <v>503</v>
      </c>
      <c r="H8" s="126" t="s">
        <v>507</v>
      </c>
      <c r="I8" s="126" t="s">
        <v>504</v>
      </c>
      <c r="J8" s="166"/>
    </row>
    <row r="9">
      <c r="A9" s="213">
        <v>6.0</v>
      </c>
      <c r="B9" s="214">
        <v>46097.0</v>
      </c>
      <c r="C9" s="215" t="s">
        <v>508</v>
      </c>
      <c r="D9" s="215">
        <v>3.0</v>
      </c>
      <c r="E9" s="216">
        <v>156000.0</v>
      </c>
      <c r="F9" s="215" t="s">
        <v>509</v>
      </c>
      <c r="G9" s="215" t="s">
        <v>503</v>
      </c>
      <c r="H9" s="215" t="s">
        <v>510</v>
      </c>
      <c r="I9" s="215" t="s">
        <v>511</v>
      </c>
      <c r="J9" s="217" t="s">
        <v>512</v>
      </c>
    </row>
    <row r="10">
      <c r="A10" s="210">
        <v>7.0</v>
      </c>
      <c r="B10" s="218"/>
      <c r="C10" s="126" t="s">
        <v>513</v>
      </c>
      <c r="D10" s="126">
        <v>20.0</v>
      </c>
      <c r="E10" s="212" t="s">
        <v>509</v>
      </c>
      <c r="F10" s="126" t="s">
        <v>496</v>
      </c>
      <c r="G10" s="126" t="s">
        <v>497</v>
      </c>
      <c r="H10" s="126" t="s">
        <v>511</v>
      </c>
      <c r="I10" s="126" t="s">
        <v>499</v>
      </c>
      <c r="J10" s="128" t="s">
        <v>514</v>
      </c>
    </row>
    <row r="11">
      <c r="A11" s="210">
        <v>8.0</v>
      </c>
      <c r="B11" s="211">
        <v>46097.0</v>
      </c>
      <c r="C11" s="126" t="s">
        <v>515</v>
      </c>
      <c r="D11" s="126">
        <v>10.0</v>
      </c>
      <c r="E11" s="212">
        <v>54990.0</v>
      </c>
      <c r="F11" s="126" t="s">
        <v>502</v>
      </c>
      <c r="G11" s="126" t="s">
        <v>503</v>
      </c>
      <c r="H11" s="126" t="s">
        <v>511</v>
      </c>
      <c r="I11" s="126" t="s">
        <v>499</v>
      </c>
      <c r="J11" s="166"/>
    </row>
    <row r="12">
      <c r="A12" s="210">
        <v>9.0</v>
      </c>
      <c r="B12" s="211">
        <v>46097.0</v>
      </c>
      <c r="C12" s="126" t="s">
        <v>515</v>
      </c>
      <c r="D12" s="126">
        <v>10.0</v>
      </c>
      <c r="E12" s="212">
        <v>47500.0</v>
      </c>
      <c r="F12" s="126" t="s">
        <v>502</v>
      </c>
      <c r="G12" s="126" t="s">
        <v>503</v>
      </c>
      <c r="H12" s="126" t="s">
        <v>511</v>
      </c>
      <c r="I12" s="126" t="s">
        <v>499</v>
      </c>
      <c r="J12" s="166"/>
    </row>
    <row r="13">
      <c r="A13" s="210">
        <v>10.0</v>
      </c>
      <c r="B13" s="218"/>
      <c r="C13" s="219"/>
      <c r="D13" s="220"/>
      <c r="E13" s="221"/>
      <c r="F13" s="219"/>
      <c r="G13" s="219"/>
      <c r="H13" s="219"/>
      <c r="I13" s="219"/>
      <c r="J13" s="166"/>
    </row>
    <row r="14">
      <c r="A14" s="210">
        <v>11.0</v>
      </c>
      <c r="B14" s="218"/>
      <c r="C14" s="219"/>
      <c r="D14" s="220"/>
      <c r="E14" s="221"/>
      <c r="F14" s="219"/>
      <c r="G14" s="219"/>
      <c r="H14" s="219"/>
      <c r="I14" s="219"/>
      <c r="J14" s="166"/>
    </row>
    <row r="15">
      <c r="A15" s="210">
        <v>12.0</v>
      </c>
      <c r="B15" s="218"/>
      <c r="C15" s="219"/>
      <c r="D15" s="220"/>
      <c r="E15" s="221"/>
      <c r="F15" s="219"/>
      <c r="G15" s="219"/>
      <c r="H15" s="219"/>
      <c r="I15" s="219"/>
      <c r="J15" s="166"/>
    </row>
    <row r="16">
      <c r="A16" s="210">
        <v>13.0</v>
      </c>
      <c r="B16" s="218"/>
      <c r="C16" s="219"/>
      <c r="D16" s="220"/>
      <c r="E16" s="221"/>
      <c r="F16" s="219"/>
      <c r="G16" s="219"/>
      <c r="H16" s="219"/>
      <c r="I16" s="219"/>
      <c r="J16" s="166"/>
    </row>
    <row r="17">
      <c r="A17" s="210">
        <v>14.0</v>
      </c>
      <c r="B17" s="218"/>
      <c r="C17" s="219"/>
      <c r="D17" s="220"/>
      <c r="E17" s="221"/>
      <c r="F17" s="219"/>
      <c r="G17" s="219"/>
      <c r="H17" s="219"/>
      <c r="I17" s="219"/>
      <c r="J17" s="166"/>
    </row>
    <row r="18">
      <c r="A18" s="210">
        <v>15.0</v>
      </c>
      <c r="B18" s="218"/>
      <c r="C18" s="219"/>
      <c r="D18" s="220"/>
      <c r="E18" s="221"/>
      <c r="F18" s="219"/>
      <c r="G18" s="219"/>
      <c r="H18" s="219"/>
      <c r="I18" s="219"/>
      <c r="J18" s="166"/>
    </row>
    <row r="19">
      <c r="A19" s="210">
        <v>16.0</v>
      </c>
      <c r="B19" s="218"/>
      <c r="C19" s="219"/>
      <c r="D19" s="220"/>
      <c r="E19" s="221"/>
      <c r="F19" s="219"/>
      <c r="G19" s="219"/>
      <c r="H19" s="219"/>
      <c r="I19" s="219"/>
      <c r="J19" s="166"/>
    </row>
    <row r="20">
      <c r="A20" s="210">
        <v>17.0</v>
      </c>
      <c r="B20" s="218"/>
      <c r="C20" s="219"/>
      <c r="D20" s="220"/>
      <c r="E20" s="221"/>
      <c r="F20" s="219"/>
      <c r="G20" s="219"/>
      <c r="H20" s="219"/>
      <c r="I20" s="219"/>
      <c r="J20" s="166"/>
    </row>
    <row r="21">
      <c r="A21" s="210">
        <v>18.0</v>
      </c>
      <c r="B21" s="218"/>
      <c r="C21" s="219"/>
      <c r="D21" s="220"/>
      <c r="E21" s="221"/>
      <c r="F21" s="219"/>
      <c r="G21" s="219"/>
      <c r="H21" s="219"/>
      <c r="I21" s="219"/>
      <c r="J21" s="166"/>
    </row>
    <row r="22">
      <c r="A22" s="210">
        <v>19.0</v>
      </c>
      <c r="B22" s="218"/>
      <c r="C22" s="219"/>
      <c r="D22" s="220"/>
      <c r="E22" s="221"/>
      <c r="F22" s="219"/>
      <c r="G22" s="219"/>
      <c r="H22" s="219"/>
      <c r="I22" s="219"/>
      <c r="J22" s="166"/>
    </row>
    <row r="23">
      <c r="A23" s="210">
        <v>20.0</v>
      </c>
      <c r="B23" s="218"/>
      <c r="C23" s="219"/>
      <c r="D23" s="220"/>
      <c r="E23" s="221"/>
      <c r="F23" s="219"/>
      <c r="G23" s="219"/>
      <c r="H23" s="219"/>
      <c r="I23" s="219"/>
      <c r="J23" s="166"/>
    </row>
    <row r="24">
      <c r="A24" s="210">
        <v>21.0</v>
      </c>
      <c r="B24" s="218"/>
      <c r="C24" s="219"/>
      <c r="D24" s="220"/>
      <c r="E24" s="221"/>
      <c r="F24" s="219"/>
      <c r="G24" s="219"/>
      <c r="H24" s="219"/>
      <c r="I24" s="219"/>
      <c r="J24" s="166"/>
    </row>
    <row r="25">
      <c r="A25" s="210">
        <v>22.0</v>
      </c>
      <c r="B25" s="218"/>
      <c r="C25" s="219"/>
      <c r="D25" s="220"/>
      <c r="E25" s="221"/>
      <c r="F25" s="219"/>
      <c r="G25" s="219"/>
      <c r="H25" s="219"/>
      <c r="I25" s="219"/>
      <c r="J25" s="166"/>
    </row>
    <row r="26">
      <c r="A26" s="210">
        <v>23.0</v>
      </c>
      <c r="B26" s="218"/>
      <c r="C26" s="219"/>
      <c r="D26" s="220"/>
      <c r="E26" s="221"/>
      <c r="F26" s="219"/>
      <c r="G26" s="219"/>
      <c r="H26" s="219"/>
      <c r="I26" s="219"/>
      <c r="J26" s="166"/>
    </row>
    <row r="27">
      <c r="A27" s="210">
        <v>24.0</v>
      </c>
      <c r="B27" s="218"/>
      <c r="C27" s="219"/>
      <c r="D27" s="220"/>
      <c r="E27" s="221"/>
      <c r="F27" s="219"/>
      <c r="G27" s="219"/>
      <c r="H27" s="219"/>
      <c r="I27" s="219"/>
      <c r="J27" s="166"/>
    </row>
    <row r="28">
      <c r="A28" s="210">
        <v>25.0</v>
      </c>
      <c r="B28" s="218"/>
      <c r="C28" s="219"/>
      <c r="D28" s="220"/>
      <c r="E28" s="221"/>
      <c r="F28" s="219"/>
      <c r="G28" s="219"/>
      <c r="H28" s="219"/>
      <c r="I28" s="219"/>
      <c r="J28" s="166"/>
    </row>
    <row r="29">
      <c r="A29" s="222">
        <v>26.0</v>
      </c>
      <c r="B29" s="223"/>
      <c r="C29" s="224"/>
      <c r="D29" s="225"/>
      <c r="E29" s="226"/>
      <c r="F29" s="224"/>
      <c r="G29" s="224"/>
      <c r="H29" s="224"/>
      <c r="I29" s="224"/>
      <c r="J29" s="227"/>
    </row>
    <row r="30">
      <c r="E30" s="228">
        <f>SUM(E4:E29)</f>
        <v>655238.32</v>
      </c>
    </row>
  </sheetData>
  <autoFilter ref="$A$3:$J$3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" ht="50.25" customHeight="1"/>
    <row r="3">
      <c r="A3" s="229" t="s">
        <v>516</v>
      </c>
      <c r="B3" s="138"/>
      <c r="C3" s="138"/>
      <c r="D3" s="138"/>
      <c r="E3" s="138"/>
      <c r="F3" s="139"/>
    </row>
    <row r="4">
      <c r="A4" s="230" t="s">
        <v>517</v>
      </c>
      <c r="B4" s="231"/>
      <c r="C4" s="231"/>
      <c r="D4" s="231"/>
      <c r="E4" s="231"/>
      <c r="F4" s="232"/>
    </row>
    <row r="5">
      <c r="A5" s="233" t="s">
        <v>2</v>
      </c>
      <c r="B5" s="231"/>
      <c r="C5" s="234"/>
      <c r="D5" s="235" t="s">
        <v>518</v>
      </c>
      <c r="E5" s="231"/>
      <c r="F5" s="232"/>
    </row>
    <row r="6">
      <c r="A6" s="236" t="s">
        <v>519</v>
      </c>
      <c r="B6" s="237"/>
      <c r="C6" s="238"/>
      <c r="D6" s="239" t="s">
        <v>520</v>
      </c>
      <c r="E6" s="237"/>
      <c r="F6" s="240"/>
    </row>
    <row r="7">
      <c r="A7" s="241" t="s">
        <v>521</v>
      </c>
      <c r="B7" s="242"/>
      <c r="C7" s="243"/>
      <c r="D7" s="244" t="s">
        <v>522</v>
      </c>
      <c r="E7" s="242"/>
      <c r="F7" s="245"/>
    </row>
    <row r="8">
      <c r="A8" s="246" t="s">
        <v>523</v>
      </c>
      <c r="B8" s="247"/>
      <c r="C8" s="247"/>
      <c r="D8" s="247"/>
      <c r="E8" s="247"/>
      <c r="F8" s="248"/>
    </row>
    <row r="9">
      <c r="A9" s="249" t="s">
        <v>524</v>
      </c>
      <c r="B9" s="74"/>
      <c r="C9" s="74"/>
      <c r="D9" s="74"/>
      <c r="E9" s="74"/>
      <c r="F9" s="75"/>
    </row>
    <row r="10">
      <c r="A10" s="250" t="s">
        <v>360</v>
      </c>
      <c r="B10" s="251" t="s">
        <v>525</v>
      </c>
      <c r="C10" s="74"/>
      <c r="D10" s="133"/>
      <c r="E10" s="252" t="s">
        <v>334</v>
      </c>
      <c r="F10" s="75"/>
    </row>
    <row r="11">
      <c r="A11" s="253">
        <v>1.0</v>
      </c>
      <c r="B11" s="254" t="s">
        <v>526</v>
      </c>
      <c r="C11" s="138"/>
      <c r="D11" s="255"/>
      <c r="E11" s="254" t="s">
        <v>527</v>
      </c>
      <c r="F11" s="139"/>
    </row>
    <row r="12">
      <c r="A12" s="164"/>
      <c r="B12" s="172"/>
      <c r="D12" s="117"/>
      <c r="E12" s="172"/>
      <c r="F12" s="146"/>
    </row>
    <row r="13">
      <c r="A13" s="164"/>
      <c r="B13" s="172"/>
      <c r="D13" s="117"/>
      <c r="E13" s="172"/>
      <c r="F13" s="146"/>
    </row>
    <row r="14">
      <c r="A14" s="256"/>
      <c r="B14" s="257"/>
      <c r="C14" s="231"/>
      <c r="D14" s="234"/>
      <c r="E14" s="257"/>
      <c r="F14" s="232"/>
    </row>
    <row r="15">
      <c r="A15" s="258">
        <v>2.0</v>
      </c>
      <c r="B15" s="259" t="s">
        <v>528</v>
      </c>
      <c r="C15" s="237"/>
      <c r="D15" s="238"/>
      <c r="E15" s="259" t="s">
        <v>529</v>
      </c>
      <c r="F15" s="240"/>
    </row>
    <row r="16">
      <c r="A16" s="148">
        <v>2.0</v>
      </c>
      <c r="B16" s="260" t="s">
        <v>530</v>
      </c>
      <c r="C16" s="237"/>
      <c r="D16" s="238"/>
      <c r="E16" s="260" t="s">
        <v>531</v>
      </c>
      <c r="F16" s="240"/>
    </row>
    <row r="17">
      <c r="A17" s="148">
        <v>1.0</v>
      </c>
      <c r="B17" s="260" t="s">
        <v>532</v>
      </c>
      <c r="C17" s="237"/>
      <c r="D17" s="238"/>
      <c r="E17" s="260"/>
      <c r="F17" s="240"/>
    </row>
    <row r="18">
      <c r="A18" s="148">
        <v>1.0</v>
      </c>
      <c r="B18" s="260" t="s">
        <v>533</v>
      </c>
      <c r="C18" s="237"/>
      <c r="D18" s="238"/>
      <c r="E18" s="260" t="s">
        <v>534</v>
      </c>
      <c r="F18" s="240"/>
    </row>
    <row r="19">
      <c r="A19" s="148">
        <v>2.0</v>
      </c>
      <c r="B19" s="260" t="s">
        <v>535</v>
      </c>
      <c r="C19" s="237"/>
      <c r="D19" s="238"/>
      <c r="E19" s="260" t="s">
        <v>536</v>
      </c>
      <c r="F19" s="240"/>
    </row>
    <row r="20">
      <c r="A20" s="148">
        <v>3.0</v>
      </c>
      <c r="B20" s="260" t="s">
        <v>537</v>
      </c>
      <c r="C20" s="237"/>
      <c r="D20" s="238"/>
      <c r="E20" s="260" t="s">
        <v>538</v>
      </c>
      <c r="F20" s="240"/>
    </row>
    <row r="21">
      <c r="A21" s="261">
        <v>4.0</v>
      </c>
      <c r="B21" s="262" t="s">
        <v>539</v>
      </c>
      <c r="C21" s="242"/>
      <c r="D21" s="243"/>
      <c r="E21" s="263"/>
      <c r="F21" s="245"/>
    </row>
    <row r="22">
      <c r="A22" s="261">
        <v>4.0</v>
      </c>
      <c r="B22" s="262" t="s">
        <v>540</v>
      </c>
      <c r="C22" s="242"/>
      <c r="D22" s="243"/>
      <c r="E22" s="262" t="s">
        <v>541</v>
      </c>
      <c r="F22" s="245"/>
    </row>
    <row r="23">
      <c r="A23" s="264"/>
      <c r="B23" s="265" t="s">
        <v>542</v>
      </c>
      <c r="C23" s="247"/>
      <c r="D23" s="266"/>
      <c r="E23" s="267"/>
      <c r="F23" s="248"/>
    </row>
    <row r="24">
      <c r="A24" s="203"/>
      <c r="B24" s="203"/>
      <c r="E24" s="203"/>
    </row>
    <row r="25">
      <c r="A25" s="203"/>
      <c r="B25" s="203"/>
      <c r="E25" s="203"/>
    </row>
    <row r="26">
      <c r="A26" s="203"/>
      <c r="B26" s="203"/>
      <c r="E26" s="203"/>
    </row>
    <row r="27">
      <c r="A27" s="203"/>
      <c r="B27" s="203"/>
      <c r="E27" s="203"/>
    </row>
    <row r="28">
      <c r="A28" s="203"/>
      <c r="B28" s="203"/>
      <c r="E28" s="203"/>
    </row>
    <row r="29">
      <c r="A29" s="203"/>
      <c r="B29" s="203"/>
      <c r="E29" s="203"/>
    </row>
    <row r="30">
      <c r="A30" s="203"/>
      <c r="B30" s="203"/>
      <c r="C30" s="203"/>
      <c r="D30" s="203"/>
      <c r="E30" s="203"/>
      <c r="F30" s="203"/>
    </row>
    <row r="31">
      <c r="A31" s="203"/>
      <c r="B31" s="203"/>
      <c r="C31" s="203"/>
      <c r="D31" s="203"/>
      <c r="E31" s="203"/>
      <c r="F31" s="203"/>
    </row>
    <row r="32">
      <c r="A32" s="203"/>
      <c r="B32" s="203"/>
      <c r="C32" s="203"/>
      <c r="D32" s="203"/>
      <c r="E32" s="203"/>
      <c r="F32" s="203"/>
    </row>
    <row r="33">
      <c r="A33" s="203"/>
      <c r="B33" s="203"/>
      <c r="C33" s="203"/>
      <c r="D33" s="203"/>
      <c r="E33" s="203"/>
      <c r="F33" s="203"/>
    </row>
    <row r="34">
      <c r="A34" s="203"/>
      <c r="B34" s="203"/>
      <c r="C34" s="203"/>
      <c r="D34" s="203"/>
      <c r="E34" s="203"/>
      <c r="F34" s="203"/>
    </row>
    <row r="35">
      <c r="A35" s="203"/>
      <c r="B35" s="203"/>
      <c r="C35" s="203"/>
      <c r="D35" s="203"/>
      <c r="E35" s="203"/>
      <c r="F35" s="203"/>
    </row>
    <row r="36">
      <c r="A36" s="203"/>
      <c r="B36" s="203"/>
      <c r="C36" s="203"/>
      <c r="D36" s="203"/>
      <c r="E36" s="203"/>
      <c r="F36" s="203"/>
    </row>
    <row r="37">
      <c r="A37" s="203"/>
      <c r="B37" s="203"/>
      <c r="C37" s="203"/>
      <c r="D37" s="203"/>
      <c r="E37" s="203"/>
      <c r="F37" s="203"/>
    </row>
    <row r="38">
      <c r="A38" s="203"/>
      <c r="B38" s="203"/>
      <c r="C38" s="203"/>
      <c r="D38" s="203"/>
      <c r="E38" s="203"/>
      <c r="F38" s="203"/>
    </row>
    <row r="39">
      <c r="A39" s="203"/>
      <c r="B39" s="203"/>
      <c r="C39" s="203"/>
      <c r="D39" s="203"/>
      <c r="E39" s="203"/>
      <c r="F39" s="203"/>
    </row>
    <row r="40">
      <c r="A40" s="203"/>
      <c r="B40" s="203"/>
      <c r="C40" s="203"/>
      <c r="D40" s="203"/>
      <c r="E40" s="203"/>
      <c r="F40" s="203"/>
    </row>
    <row r="41">
      <c r="A41" s="203"/>
      <c r="B41" s="203"/>
      <c r="C41" s="203"/>
      <c r="D41" s="203"/>
      <c r="E41" s="203"/>
      <c r="F41" s="203"/>
    </row>
    <row r="42">
      <c r="A42" s="203"/>
      <c r="B42" s="203"/>
      <c r="C42" s="203"/>
      <c r="D42" s="203"/>
      <c r="E42" s="203"/>
      <c r="F42" s="203"/>
    </row>
    <row r="43">
      <c r="A43" s="203"/>
      <c r="B43" s="203"/>
      <c r="C43" s="203"/>
      <c r="D43" s="203"/>
      <c r="E43" s="203"/>
      <c r="F43" s="203"/>
    </row>
  </sheetData>
  <mergeCells count="46">
    <mergeCell ref="A1:F2"/>
    <mergeCell ref="A3:F3"/>
    <mergeCell ref="A4:F4"/>
    <mergeCell ref="A5:C5"/>
    <mergeCell ref="D5:F5"/>
    <mergeCell ref="A6:C6"/>
    <mergeCell ref="D6:F6"/>
    <mergeCell ref="A7:C7"/>
    <mergeCell ref="D7:F7"/>
    <mergeCell ref="A8:F8"/>
    <mergeCell ref="A9:F9"/>
    <mergeCell ref="B10:D10"/>
    <mergeCell ref="E10:F10"/>
    <mergeCell ref="A11:A14"/>
    <mergeCell ref="B11:D14"/>
    <mergeCell ref="E11:F14"/>
    <mergeCell ref="B15:D15"/>
    <mergeCell ref="E15:F15"/>
    <mergeCell ref="B16:D16"/>
    <mergeCell ref="E16:F16"/>
    <mergeCell ref="E17:F17"/>
    <mergeCell ref="B17:D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E24:F24"/>
    <mergeCell ref="B28:D28"/>
    <mergeCell ref="E28:F28"/>
    <mergeCell ref="B29:D29"/>
    <mergeCell ref="E29:F29"/>
    <mergeCell ref="B24:D24"/>
    <mergeCell ref="B25:D25"/>
    <mergeCell ref="E25:F25"/>
    <mergeCell ref="B26:D26"/>
    <mergeCell ref="E26:F26"/>
    <mergeCell ref="B27:D27"/>
    <mergeCell ref="E27:F27"/>
  </mergeCells>
  <printOptions gridLines="1" horizontalCentered="1"/>
  <pageMargins bottom="1.0" footer="0.0" header="0.0" left="1.0" right="1.0" top="1.0"/>
  <pageSetup paperSize="9" scale="10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0"/>
    <col customWidth="1" min="5" max="5" width="47.57"/>
  </cols>
  <sheetData>
    <row r="3">
      <c r="A3" s="268" t="s">
        <v>4</v>
      </c>
      <c r="B3" s="268" t="s">
        <v>543</v>
      </c>
      <c r="C3" s="268" t="s">
        <v>544</v>
      </c>
      <c r="D3" s="268" t="s">
        <v>360</v>
      </c>
      <c r="E3" s="268" t="s">
        <v>361</v>
      </c>
      <c r="F3" s="269" t="s">
        <v>134</v>
      </c>
      <c r="G3" s="269" t="s">
        <v>136</v>
      </c>
    </row>
    <row r="4">
      <c r="B4" s="269" t="s">
        <v>545</v>
      </c>
      <c r="C4" s="269" t="s">
        <v>73</v>
      </c>
      <c r="E4" s="269" t="s">
        <v>546</v>
      </c>
    </row>
    <row r="5">
      <c r="B5" s="269" t="s">
        <v>545</v>
      </c>
      <c r="C5" s="269" t="s">
        <v>547</v>
      </c>
      <c r="D5" s="269">
        <v>70.0</v>
      </c>
      <c r="E5" s="269" t="s">
        <v>548</v>
      </c>
    </row>
    <row r="6">
      <c r="B6" s="269" t="s">
        <v>549</v>
      </c>
      <c r="C6" s="269" t="s">
        <v>547</v>
      </c>
      <c r="D6" s="269">
        <v>40.0</v>
      </c>
    </row>
    <row r="7">
      <c r="B7" s="269" t="s">
        <v>545</v>
      </c>
      <c r="C7" s="269" t="s">
        <v>550</v>
      </c>
      <c r="D7" s="269">
        <v>4.0</v>
      </c>
      <c r="E7" s="269" t="s">
        <v>551</v>
      </c>
    </row>
    <row r="8">
      <c r="B8" s="269" t="s">
        <v>552</v>
      </c>
      <c r="C8" s="269" t="s">
        <v>553</v>
      </c>
      <c r="D8" s="269">
        <v>4.0</v>
      </c>
      <c r="E8" s="269" t="s">
        <v>551</v>
      </c>
    </row>
    <row r="9">
      <c r="B9" s="269" t="s">
        <v>554</v>
      </c>
      <c r="C9" s="269" t="s">
        <v>555</v>
      </c>
      <c r="D9" s="269">
        <v>4.0</v>
      </c>
      <c r="E9" s="269" t="s">
        <v>551</v>
      </c>
    </row>
    <row r="10">
      <c r="B10" s="269" t="s">
        <v>554</v>
      </c>
      <c r="C10" s="269" t="s">
        <v>556</v>
      </c>
      <c r="D10" s="269">
        <v>4.0</v>
      </c>
      <c r="E10" s="269" t="s">
        <v>551</v>
      </c>
    </row>
    <row r="11">
      <c r="B11" s="269" t="s">
        <v>554</v>
      </c>
      <c r="C11" s="269" t="s">
        <v>557</v>
      </c>
      <c r="D11" s="269">
        <v>4.0</v>
      </c>
      <c r="E11" s="269" t="s">
        <v>551</v>
      </c>
    </row>
    <row r="12">
      <c r="B12" s="269" t="s">
        <v>554</v>
      </c>
      <c r="C12" s="269" t="s">
        <v>558</v>
      </c>
      <c r="D12" s="269">
        <v>4.0</v>
      </c>
      <c r="E12" s="269" t="s">
        <v>551</v>
      </c>
    </row>
    <row r="13">
      <c r="B13" s="269" t="s">
        <v>559</v>
      </c>
      <c r="C13" s="269" t="s">
        <v>556</v>
      </c>
      <c r="D13" s="269">
        <v>2.0</v>
      </c>
      <c r="E13" s="269" t="s">
        <v>560</v>
      </c>
    </row>
    <row r="14">
      <c r="B14" s="269" t="s">
        <v>561</v>
      </c>
      <c r="C14" s="269" t="s">
        <v>562</v>
      </c>
      <c r="D14" s="269">
        <v>1.0</v>
      </c>
      <c r="E14" s="269" t="s">
        <v>563</v>
      </c>
      <c r="G14" s="269" t="s">
        <v>564</v>
      </c>
    </row>
    <row r="15">
      <c r="B15" s="269" t="s">
        <v>565</v>
      </c>
      <c r="C15" s="269" t="s">
        <v>562</v>
      </c>
      <c r="D15" s="269">
        <v>2.0</v>
      </c>
      <c r="E15" s="269" t="s">
        <v>566</v>
      </c>
    </row>
    <row r="16">
      <c r="B16" s="269" t="s">
        <v>567</v>
      </c>
      <c r="C16" s="269" t="s">
        <v>547</v>
      </c>
      <c r="D16" s="269">
        <v>2.0</v>
      </c>
      <c r="E16" s="269" t="s">
        <v>568</v>
      </c>
    </row>
    <row r="17">
      <c r="B17" s="269" t="s">
        <v>569</v>
      </c>
      <c r="C17" s="269" t="s">
        <v>570</v>
      </c>
      <c r="D17" s="269">
        <v>1.0</v>
      </c>
      <c r="E17" s="269" t="s">
        <v>571</v>
      </c>
    </row>
    <row r="18">
      <c r="B18" s="269" t="s">
        <v>572</v>
      </c>
      <c r="C18" s="269" t="s">
        <v>570</v>
      </c>
      <c r="D18" s="269">
        <v>15.0</v>
      </c>
      <c r="E18" s="269" t="s">
        <v>571</v>
      </c>
    </row>
    <row r="19">
      <c r="B19" s="269" t="s">
        <v>554</v>
      </c>
      <c r="C19" s="269" t="s">
        <v>570</v>
      </c>
      <c r="D19" s="269">
        <v>8.0</v>
      </c>
      <c r="E19" s="269" t="s">
        <v>551</v>
      </c>
    </row>
    <row r="20">
      <c r="B20" s="269" t="s">
        <v>573</v>
      </c>
      <c r="C20" s="269" t="s">
        <v>570</v>
      </c>
      <c r="D20" s="269">
        <v>1.0</v>
      </c>
      <c r="E20" s="269" t="s">
        <v>574</v>
      </c>
    </row>
    <row r="21">
      <c r="B21" s="269" t="s">
        <v>575</v>
      </c>
      <c r="C21" s="269" t="s">
        <v>73</v>
      </c>
      <c r="D21" s="269">
        <v>9.0</v>
      </c>
      <c r="E21" s="269" t="s">
        <v>571</v>
      </c>
    </row>
    <row r="22">
      <c r="B22" s="269" t="s">
        <v>576</v>
      </c>
      <c r="C22" s="269" t="s">
        <v>547</v>
      </c>
      <c r="D22" s="269">
        <v>10.0</v>
      </c>
      <c r="E22" s="269" t="s">
        <v>210</v>
      </c>
    </row>
    <row r="23">
      <c r="B23" s="269" t="s">
        <v>577</v>
      </c>
      <c r="C23" s="269" t="s">
        <v>547</v>
      </c>
      <c r="D23" s="269">
        <v>1.0</v>
      </c>
      <c r="E23" s="269" t="s">
        <v>578</v>
      </c>
      <c r="G23" s="269" t="s">
        <v>579</v>
      </c>
    </row>
    <row r="24">
      <c r="B24" s="269" t="s">
        <v>580</v>
      </c>
      <c r="C24" s="269" t="s">
        <v>547</v>
      </c>
      <c r="D24" s="269">
        <v>2.0</v>
      </c>
      <c r="E24" s="269" t="s">
        <v>581</v>
      </c>
    </row>
    <row r="25">
      <c r="B25" s="269" t="s">
        <v>582</v>
      </c>
      <c r="C25" s="269" t="s">
        <v>547</v>
      </c>
      <c r="D25" s="269">
        <v>3.0</v>
      </c>
      <c r="E25" s="269" t="s">
        <v>583</v>
      </c>
    </row>
    <row r="26">
      <c r="B26" s="269" t="s">
        <v>584</v>
      </c>
      <c r="C26" s="269" t="s">
        <v>226</v>
      </c>
      <c r="D26" s="269">
        <v>2.0</v>
      </c>
    </row>
    <row r="27">
      <c r="B27" s="269" t="s">
        <v>585</v>
      </c>
      <c r="C27" s="269" t="s">
        <v>586</v>
      </c>
      <c r="D27" s="269">
        <v>3.0</v>
      </c>
      <c r="E27" s="269" t="s">
        <v>563</v>
      </c>
    </row>
  </sheetData>
  <mergeCells count="2">
    <mergeCell ref="A1:E1"/>
    <mergeCell ref="A2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2025-11-19T04:17:29Z</dcterms:created>
  <dc:creator>daniel yanello</dc:creator>
</cp:coreProperties>
</file>