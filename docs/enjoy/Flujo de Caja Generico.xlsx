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admin-portal\docs\"/>
    </mc:Choice>
  </mc:AlternateContent>
  <xr:revisionPtr revIDLastSave="0" documentId="13_ncr:1_{05D9C607-7907-4678-80BF-97AD10ECF0B7}" xr6:coauthVersionLast="47" xr6:coauthVersionMax="47" xr10:uidLastSave="{00000000-0000-0000-0000-000000000000}"/>
  <bookViews>
    <workbookView xWindow="28680" yWindow="-120" windowWidth="29040" windowHeight="16440" tabRatio="845" activeTab="9" xr2:uid="{59E7F5C0-26AE-46A2-A89E-C3A6714DFE55}"/>
  </bookViews>
  <sheets>
    <sheet name="RESUMEN" sheetId="5" r:id="rId1"/>
    <sheet name="EG-TC 1" sheetId="16" r:id="rId2"/>
    <sheet name="EG-RET SOC 2" sheetId="17" r:id="rId3"/>
    <sheet name="EG-EXTRA 3" sheetId="18" r:id="rId4"/>
    <sheet name="EG-IMP 4" sheetId="19" r:id="rId5"/>
    <sheet name="EG-PREST 5" sheetId="20" r:id="rId6"/>
    <sheet name="ING TICKETS 6" sheetId="4" r:id="rId7"/>
    <sheet name="ING SPON 7" sheetId="2" r:id="rId8"/>
    <sheet name="ING CORP 8" sheetId="11" r:id="rId9"/>
    <sheet name="ING GASTRO 9" sheetId="12" r:id="rId10"/>
    <sheet name="ING SERV CHARGE 10" sheetId="14" r:id="rId11"/>
    <sheet name="xxx" sheetId="15" r:id="rId12"/>
  </sheets>
  <definedNames>
    <definedName name="_xlnm._FilterDatabase" localSheetId="3" hidden="1">'EG-EXTRA 3'!$B$12:$M$47</definedName>
    <definedName name="_xlnm._FilterDatabase" localSheetId="5" hidden="1">'EG-PREST 5'!$B$12:$M$12</definedName>
    <definedName name="_xlnm._FilterDatabase" localSheetId="2" hidden="1">'EG-RET SOC 2'!$B$15:$M$75</definedName>
    <definedName name="_xlnm._FilterDatabase" localSheetId="1" hidden="1">'EG-TC 1'!$B$12:$M$105</definedName>
    <definedName name="_xlnm._FilterDatabase" localSheetId="6" hidden="1">'ING TICKETS 6'!$A$12:$M$12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14" l="1"/>
  <c r="M20" i="14"/>
  <c r="M21" i="14"/>
  <c r="M22" i="14"/>
  <c r="M16" i="14"/>
  <c r="M17" i="14"/>
  <c r="M18" i="14"/>
  <c r="M14" i="14"/>
  <c r="M23" i="14" s="1"/>
  <c r="M15" i="14"/>
  <c r="F72" i="18" l="1"/>
  <c r="G72" i="18"/>
  <c r="G74" i="18" l="1"/>
  <c r="D19" i="5" l="1"/>
  <c r="L75" i="17" l="1"/>
  <c r="K75" i="17"/>
  <c r="P21" i="19" l="1"/>
  <c r="P20" i="19"/>
  <c r="P19" i="19"/>
  <c r="P18" i="19"/>
  <c r="P17" i="19"/>
  <c r="P16" i="19"/>
  <c r="P15" i="19"/>
  <c r="O21" i="19"/>
  <c r="O20" i="19"/>
  <c r="O19" i="19"/>
  <c r="O18" i="19"/>
  <c r="M14" i="2" l="1"/>
  <c r="M14" i="4"/>
  <c r="M15" i="4" s="1"/>
  <c r="M16" i="4" s="1"/>
  <c r="K47" i="18" l="1"/>
  <c r="K26" i="14" l="1"/>
  <c r="L26" i="14"/>
  <c r="K38" i="12"/>
  <c r="K40" i="11"/>
  <c r="K60" i="4"/>
  <c r="K37" i="2"/>
  <c r="L37" i="2"/>
  <c r="L40" i="11"/>
  <c r="K27" i="20"/>
  <c r="K30" i="19"/>
  <c r="M24" i="14" l="1"/>
  <c r="M25" i="14" s="1"/>
  <c r="K105" i="16" l="1"/>
  <c r="M14" i="18" l="1"/>
  <c r="M15" i="18" s="1"/>
  <c r="M16" i="18" s="1"/>
  <c r="M17" i="18" s="1"/>
  <c r="M18" i="18" s="1"/>
  <c r="M19" i="18" s="1"/>
  <c r="M20" i="18" s="1"/>
  <c r="M21" i="18" s="1"/>
  <c r="M22" i="18" s="1"/>
  <c r="M23" i="18" s="1"/>
  <c r="M24" i="18" s="1"/>
  <c r="M25" i="18" s="1"/>
  <c r="M26" i="18" s="1"/>
  <c r="M27" i="18" s="1"/>
  <c r="M28" i="18" s="1"/>
  <c r="M29" i="18" s="1"/>
  <c r="M30" i="18" s="1"/>
  <c r="M31" i="18" s="1"/>
  <c r="M32" i="18" s="1"/>
  <c r="M33" i="18" s="1"/>
  <c r="M34" i="18" s="1"/>
  <c r="M35" i="18" s="1"/>
  <c r="M36" i="18" s="1"/>
  <c r="M37" i="18" s="1"/>
  <c r="M38" i="18" s="1"/>
  <c r="M39" i="18" s="1"/>
  <c r="M40" i="18" s="1"/>
  <c r="M41" i="18" s="1"/>
  <c r="M42" i="18" s="1"/>
  <c r="M43" i="18" s="1"/>
  <c r="M14" i="20"/>
  <c r="M15" i="20" s="1"/>
  <c r="M16" i="20" s="1"/>
  <c r="M17" i="20" s="1"/>
  <c r="M18" i="20" s="1"/>
  <c r="M19" i="20" s="1"/>
  <c r="M20" i="20" s="1"/>
  <c r="M21" i="20" s="1"/>
  <c r="M22" i="20" s="1"/>
  <c r="M23" i="20" s="1"/>
  <c r="M24" i="20" s="1"/>
  <c r="M25" i="20" s="1"/>
  <c r="M26" i="20" s="1"/>
  <c r="M14" i="19"/>
  <c r="M15" i="19" s="1"/>
  <c r="M17" i="17"/>
  <c r="M18" i="17" s="1"/>
  <c r="M44" i="18" l="1"/>
  <c r="M45" i="18" s="1"/>
  <c r="M46" i="18" s="1"/>
  <c r="M47" i="18" s="1"/>
  <c r="C17" i="5" s="1"/>
  <c r="M19" i="17"/>
  <c r="M20" i="17" s="1"/>
  <c r="M21" i="17" s="1"/>
  <c r="M22" i="17" s="1"/>
  <c r="M23" i="17" s="1"/>
  <c r="M24" i="17" s="1"/>
  <c r="M25" i="17" s="1"/>
  <c r="M26" i="17" s="1"/>
  <c r="M27" i="17" s="1"/>
  <c r="M28" i="17" s="1"/>
  <c r="M29" i="17" s="1"/>
  <c r="M30" i="17" s="1"/>
  <c r="M31" i="17" s="1"/>
  <c r="M32" i="17" s="1"/>
  <c r="M33" i="17" s="1"/>
  <c r="M34" i="17" s="1"/>
  <c r="M35" i="17" s="1"/>
  <c r="M36" i="17" s="1"/>
  <c r="M37" i="17" s="1"/>
  <c r="M38" i="17" s="1"/>
  <c r="M39" i="17" s="1"/>
  <c r="M40" i="17" s="1"/>
  <c r="M41" i="17" s="1"/>
  <c r="M42" i="17" s="1"/>
  <c r="M43" i="17" s="1"/>
  <c r="M44" i="17" s="1"/>
  <c r="M45" i="17" s="1"/>
  <c r="M46" i="17" s="1"/>
  <c r="M47" i="17" s="1"/>
  <c r="M48" i="17" s="1"/>
  <c r="M49" i="17" s="1"/>
  <c r="M50" i="17" s="1"/>
  <c r="M51" i="17" s="1"/>
  <c r="M52" i="17" s="1"/>
  <c r="M53" i="17" s="1"/>
  <c r="M54" i="17" s="1"/>
  <c r="M55" i="17" s="1"/>
  <c r="M56" i="17" s="1"/>
  <c r="M57" i="17" s="1"/>
  <c r="M58" i="17" s="1"/>
  <c r="M59" i="17" s="1"/>
  <c r="M60" i="17" s="1"/>
  <c r="M61" i="17" s="1"/>
  <c r="M62" i="17" s="1"/>
  <c r="M63" i="17" s="1"/>
  <c r="M64" i="17" s="1"/>
  <c r="M65" i="17" s="1"/>
  <c r="M66" i="17" s="1"/>
  <c r="M67" i="17" s="1"/>
  <c r="M68" i="17" s="1"/>
  <c r="M69" i="17" s="1"/>
  <c r="M70" i="17" s="1"/>
  <c r="M71" i="17" s="1"/>
  <c r="M72" i="17" s="1"/>
  <c r="M73" i="17" s="1"/>
  <c r="M74" i="17" s="1"/>
  <c r="M75" i="17" s="1"/>
  <c r="C16" i="5" s="1"/>
  <c r="M16" i="19"/>
  <c r="M17" i="19" s="1"/>
  <c r="M27" i="20"/>
  <c r="C19" i="5" s="1"/>
  <c r="M18" i="19" l="1"/>
  <c r="M19" i="19" s="1"/>
  <c r="M20" i="19" s="1"/>
  <c r="M21" i="19" s="1"/>
  <c r="M22" i="19" s="1"/>
  <c r="M23" i="19" s="1"/>
  <c r="M24" i="19" s="1"/>
  <c r="M25" i="19" s="1"/>
  <c r="M26" i="19" s="1"/>
  <c r="M27" i="19" s="1"/>
  <c r="M28" i="19" s="1"/>
  <c r="M29" i="19" s="1"/>
  <c r="M30" i="19" s="1"/>
  <c r="C18" i="5" s="1"/>
  <c r="O14" i="15"/>
  <c r="O15" i="15" s="1"/>
  <c r="O16" i="15" s="1"/>
  <c r="O17" i="15" s="1"/>
  <c r="O18" i="15" s="1"/>
  <c r="O19" i="15" s="1"/>
  <c r="O20" i="15" s="1"/>
  <c r="O21" i="15" s="1"/>
  <c r="O22" i="15" s="1"/>
  <c r="O23" i="15" s="1"/>
  <c r="O24" i="15" s="1"/>
  <c r="O25" i="15" s="1"/>
  <c r="O26" i="15" s="1"/>
  <c r="O27" i="15" s="1"/>
  <c r="O28" i="15" s="1"/>
  <c r="O29" i="15" s="1"/>
  <c r="O30" i="15" s="1"/>
  <c r="O31" i="15" s="1"/>
  <c r="O32" i="15" s="1"/>
  <c r="O33" i="15" s="1"/>
  <c r="O34" i="15" s="1"/>
  <c r="O35" i="15" s="1"/>
  <c r="O36" i="15" s="1"/>
  <c r="O37" i="15" s="1"/>
  <c r="O38" i="15" s="1"/>
  <c r="O39" i="15" s="1"/>
  <c r="O40" i="15" s="1"/>
  <c r="O41" i="15" s="1"/>
  <c r="O42" i="15" s="1"/>
  <c r="O43" i="15" s="1"/>
  <c r="O44" i="15" s="1"/>
  <c r="O45" i="15" s="1"/>
  <c r="O46" i="15" s="1"/>
  <c r="O47" i="15" s="1"/>
  <c r="O48" i="15" s="1"/>
  <c r="O49" i="15" s="1"/>
  <c r="O50" i="15" s="1"/>
  <c r="O51" i="15" s="1"/>
  <c r="O52" i="15" s="1"/>
  <c r="O53" i="15" s="1"/>
  <c r="M26" i="14"/>
  <c r="D24" i="5" s="1"/>
  <c r="M14" i="11"/>
  <c r="M15" i="11" s="1"/>
  <c r="M16" i="11" s="1"/>
  <c r="M17" i="11" s="1"/>
  <c r="M18" i="11" s="1"/>
  <c r="M19" i="11" s="1"/>
  <c r="M20" i="11" s="1"/>
  <c r="M21" i="11" s="1"/>
  <c r="M22" i="11" s="1"/>
  <c r="M23" i="11" s="1"/>
  <c r="M24" i="11" s="1"/>
  <c r="M25" i="11" s="1"/>
  <c r="M26" i="11" s="1"/>
  <c r="M27" i="11" s="1"/>
  <c r="M28" i="11" s="1"/>
  <c r="M29" i="11" s="1"/>
  <c r="M30" i="11" s="1"/>
  <c r="M31" i="11" s="1"/>
  <c r="M32" i="11" s="1"/>
  <c r="M33" i="11" s="1"/>
  <c r="M34" i="11" s="1"/>
  <c r="M35" i="11" s="1"/>
  <c r="M36" i="11" l="1"/>
  <c r="M37" i="11" s="1"/>
  <c r="M38" i="11" s="1"/>
  <c r="M39" i="11" s="1"/>
  <c r="M40" i="11" s="1"/>
  <c r="D22" i="5" s="1"/>
  <c r="D23" i="5"/>
  <c r="L60" i="4" l="1"/>
  <c r="M17" i="4" l="1"/>
  <c r="M18" i="4" s="1"/>
  <c r="M15" i="2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l="1"/>
  <c r="M36" i="2" s="1"/>
  <c r="M37" i="2" s="1"/>
  <c r="D21" i="5" s="1"/>
  <c r="M19" i="4"/>
  <c r="M20" i="4" s="1"/>
  <c r="M21" i="4" l="1"/>
  <c r="M22" i="4" s="1"/>
  <c r="M23" i="4" s="1"/>
  <c r="M24" i="4" l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M35" i="4" s="1"/>
  <c r="M36" i="4" s="1"/>
  <c r="M37" i="4" s="1"/>
  <c r="M38" i="4" s="1"/>
  <c r="M39" i="4" s="1"/>
  <c r="M40" i="4" s="1"/>
  <c r="M41" i="4" s="1"/>
  <c r="M42" i="4" l="1"/>
  <c r="M43" i="4" s="1"/>
  <c r="M44" i="4" s="1"/>
  <c r="M45" i="4" s="1"/>
  <c r="M46" i="4" s="1"/>
  <c r="M47" i="4" s="1"/>
  <c r="M48" i="4" s="1"/>
  <c r="M49" i="4" s="1"/>
  <c r="M50" i="4" s="1"/>
  <c r="M51" i="4" s="1"/>
  <c r="M52" i="4" s="1"/>
  <c r="M53" i="4" s="1"/>
  <c r="M54" i="4" s="1"/>
  <c r="M55" i="4" s="1"/>
  <c r="M56" i="4" s="1"/>
  <c r="M57" i="4" s="1"/>
  <c r="M58" i="4" s="1"/>
  <c r="M59" i="4" s="1"/>
  <c r="M60" i="4" l="1"/>
  <c r="D20" i="5" l="1"/>
  <c r="M14" i="16"/>
  <c r="M15" i="16" s="1"/>
  <c r="M16" i="16" s="1"/>
  <c r="M17" i="16" s="1"/>
  <c r="M18" i="16" s="1"/>
  <c r="M19" i="16" s="1"/>
  <c r="M20" i="16" s="1"/>
  <c r="M21" i="16" s="1"/>
  <c r="M22" i="16" s="1"/>
  <c r="M23" i="16" s="1"/>
  <c r="M24" i="16" s="1"/>
  <c r="M25" i="16" s="1"/>
  <c r="M26" i="16" s="1"/>
  <c r="M27" i="16" s="1"/>
  <c r="M28" i="16" s="1"/>
  <c r="M29" i="16" s="1"/>
  <c r="M30" i="16" s="1"/>
  <c r="M31" i="16" s="1"/>
  <c r="M32" i="16" s="1"/>
  <c r="M33" i="16" s="1"/>
  <c r="M34" i="16" s="1"/>
  <c r="M35" i="16" s="1"/>
  <c r="M36" i="16" s="1"/>
  <c r="M37" i="16" s="1"/>
  <c r="M38" i="16" s="1"/>
  <c r="M39" i="16" s="1"/>
  <c r="M40" i="16" s="1"/>
  <c r="M41" i="16" s="1"/>
  <c r="M42" i="16" s="1"/>
  <c r="M43" i="16" s="1"/>
  <c r="M44" i="16" s="1"/>
  <c r="M45" i="16" s="1"/>
  <c r="M46" i="16" s="1"/>
  <c r="M47" i="16" s="1"/>
  <c r="M48" i="16" s="1"/>
  <c r="M49" i="16" s="1"/>
  <c r="M50" i="16" s="1"/>
  <c r="M51" i="16" s="1"/>
  <c r="M52" i="16" s="1"/>
  <c r="M53" i="16" s="1"/>
  <c r="M54" i="16" s="1"/>
  <c r="M55" i="16" s="1"/>
  <c r="M56" i="16" s="1"/>
  <c r="M57" i="16" s="1"/>
  <c r="M58" i="16" s="1"/>
  <c r="M59" i="16" s="1"/>
  <c r="M60" i="16" s="1"/>
  <c r="M61" i="16" s="1"/>
  <c r="M62" i="16" s="1"/>
  <c r="M63" i="16" s="1"/>
  <c r="M64" i="16" s="1"/>
  <c r="M65" i="16" s="1"/>
  <c r="M66" i="16" s="1"/>
  <c r="M67" i="16" s="1"/>
  <c r="M68" i="16" s="1"/>
  <c r="M69" i="16" s="1"/>
  <c r="M70" i="16" s="1"/>
  <c r="M71" i="16" s="1"/>
  <c r="M72" i="16" s="1"/>
  <c r="M73" i="16" s="1"/>
  <c r="M74" i="16" s="1"/>
  <c r="M75" i="16" s="1"/>
  <c r="M76" i="16" s="1"/>
  <c r="M77" i="16" s="1"/>
  <c r="M78" i="16" s="1"/>
  <c r="M79" i="16" s="1"/>
  <c r="M80" i="16" s="1"/>
  <c r="M81" i="16" s="1"/>
  <c r="M82" i="16" s="1"/>
  <c r="M83" i="16" s="1"/>
  <c r="M84" i="16" s="1"/>
  <c r="M85" i="16" s="1"/>
  <c r="M86" i="16" s="1"/>
  <c r="M87" i="16" s="1"/>
  <c r="M88" i="16" s="1"/>
  <c r="M89" i="16" s="1"/>
  <c r="M90" i="16" s="1"/>
  <c r="M91" i="16" s="1"/>
  <c r="M92" i="16" s="1"/>
  <c r="M93" i="16" s="1"/>
  <c r="M94" i="16" s="1"/>
  <c r="M95" i="16" s="1"/>
  <c r="M96" i="16" s="1"/>
  <c r="M97" i="16" s="1"/>
  <c r="M98" i="16" s="1"/>
  <c r="M99" i="16" s="1"/>
  <c r="M100" i="16" s="1"/>
  <c r="M101" i="16" s="1"/>
  <c r="M102" i="16" s="1"/>
  <c r="M103" i="16" s="1"/>
  <c r="M104" i="16" s="1"/>
  <c r="M105" i="16" s="1"/>
  <c r="C15" i="5" s="1"/>
  <c r="D26" i="5" l="1"/>
  <c r="H15" i="5" s="1"/>
  <c r="E15" i="5"/>
  <c r="E16" i="5" s="1"/>
  <c r="E17" i="5" s="1"/>
  <c r="E18" i="5" s="1"/>
  <c r="E19" i="5" s="1"/>
  <c r="E20" i="5" s="1"/>
  <c r="E21" i="5" s="1"/>
  <c r="E22" i="5" s="1"/>
  <c r="E23" i="5" s="1"/>
  <c r="C26" i="5"/>
  <c r="H17" i="5" l="1"/>
  <c r="H19" i="5" s="1"/>
  <c r="E26" i="5"/>
  <c r="H24" i="5" l="1"/>
  <c r="H23" i="5"/>
</calcChain>
</file>

<file path=xl/sharedStrings.xml><?xml version="1.0" encoding="utf-8"?>
<sst xmlns="http://schemas.openxmlformats.org/spreadsheetml/2006/main" count="237" uniqueCount="80">
  <si>
    <t>FECHA</t>
  </si>
  <si>
    <t xml:space="preserve">DESCRIPCION </t>
  </si>
  <si>
    <t>TOTALES</t>
  </si>
  <si>
    <t xml:space="preserve">DEBE </t>
  </si>
  <si>
    <t xml:space="preserve">HABER </t>
  </si>
  <si>
    <t>SALDO</t>
  </si>
  <si>
    <t>SALDO INICIAL</t>
  </si>
  <si>
    <t>EVENTO</t>
  </si>
  <si>
    <t>FECHA DEL EVENTO</t>
  </si>
  <si>
    <t xml:space="preserve">TURISMO CARRETERA (TC) - OSCAR CABALEN </t>
  </si>
  <si>
    <t>CONCEPTO</t>
  </si>
  <si>
    <t>MOTIVO</t>
  </si>
  <si>
    <t>DE DONDE SALE</t>
  </si>
  <si>
    <t>NETO</t>
  </si>
  <si>
    <t>IVA</t>
  </si>
  <si>
    <t>BRUTO</t>
  </si>
  <si>
    <t>TOTAL SPONSORS</t>
  </si>
  <si>
    <t>CONCILIACION</t>
  </si>
  <si>
    <t xml:space="preserve">PAYWAY - COSTOS FINANCIEROS </t>
  </si>
  <si>
    <t>PAYWAY - IMPUESTOS</t>
  </si>
  <si>
    <t>PAYWAY - CONTRACARGOS</t>
  </si>
  <si>
    <t xml:space="preserve"> </t>
  </si>
  <si>
    <t xml:space="preserve">REBA - MANTENIMIENTO DE CUENTA + IVA SOBRE COMISIONES </t>
  </si>
  <si>
    <t>REBA - IMP. LEY 25413 S/CREDITOS</t>
  </si>
  <si>
    <t>REBA - IMP. LEY 25413 S/DÉBITOS</t>
  </si>
  <si>
    <t xml:space="preserve">REBA - SIRCREB </t>
  </si>
  <si>
    <t>TOTAL CORPORATIVO (AGUS)</t>
  </si>
  <si>
    <t>TOTAL SERVICE CHARGE</t>
  </si>
  <si>
    <t>TOTAL INGRESOS TICKETS</t>
  </si>
  <si>
    <t>TOTAL EGRESOS EVENTO TC</t>
  </si>
  <si>
    <t>TOTAL COMIDA BEBIDA - GASTRONOMICO</t>
  </si>
  <si>
    <t>CATEGORIA</t>
  </si>
  <si>
    <t xml:space="preserve">AUTOENTRADA - SERVICE CHARGE </t>
  </si>
  <si>
    <t>AUTOENTRADA - MEDIOS DE PAGO</t>
  </si>
  <si>
    <t>IMUESTOS</t>
  </si>
  <si>
    <t>PERDIDA</t>
  </si>
  <si>
    <t xml:space="preserve">AUTOENTRADA </t>
  </si>
  <si>
    <t>TOTAL EGRESOS EXTRAORDINARIOS TC</t>
  </si>
  <si>
    <t>TOTAL EGRESOS IMPUESTOS - (DEVOLUCIONES + DESCONOCIMIENTO)</t>
  </si>
  <si>
    <t>IMPUESTOS</t>
  </si>
  <si>
    <t>TOTAL</t>
  </si>
  <si>
    <t>GANANCIAS</t>
  </si>
  <si>
    <t>INGRESOS BRUTOS</t>
  </si>
  <si>
    <t>MUNICIPALIDAD</t>
  </si>
  <si>
    <t>INGRESOS TOTALES</t>
  </si>
  <si>
    <t xml:space="preserve">EGRESOS TOTALES </t>
  </si>
  <si>
    <t xml:space="preserve">SALDO </t>
  </si>
  <si>
    <t>SOCIO 1 (50%)</t>
  </si>
  <si>
    <t>SOCIO 2 (50%)</t>
  </si>
  <si>
    <t>RESUMEN GENERAL EVENTO - PN</t>
  </si>
  <si>
    <t>DISTRIBUCION SOCIOS</t>
  </si>
  <si>
    <t>PAYWAY</t>
  </si>
  <si>
    <t>REBA</t>
  </si>
  <si>
    <t>AUTOENTRADA</t>
  </si>
  <si>
    <t>TOTAL PRESTAMOS</t>
  </si>
  <si>
    <t>TOTAL EGRESOS SOCIETARIOS</t>
  </si>
  <si>
    <t>ECHEQS EMITIDOS ENJOY - BANCOR CTA TC</t>
  </si>
  <si>
    <t>N° ECHEQ</t>
  </si>
  <si>
    <t>RAZON SOCIAL</t>
  </si>
  <si>
    <t>DETALLE</t>
  </si>
  <si>
    <t>IMPORTE PAGADO</t>
  </si>
  <si>
    <t>IMPORTE PENDIENTE</t>
  </si>
  <si>
    <t>FECHA EMISION</t>
  </si>
  <si>
    <t xml:space="preserve">VERONICA GLORIA HADAC </t>
  </si>
  <si>
    <t>HONORARIOS ABOGADA - ARREGLO SADAIC - JUICIO 2025</t>
  </si>
  <si>
    <t>SADAIC - SOCIEDAD ARG. DE AUTORES Y COMPOSITORES</t>
  </si>
  <si>
    <t>JUICIO TOTAL - ARREGLO SADAIC - JUICIO 2025</t>
  </si>
  <si>
    <t>TOTAL GRAL.</t>
  </si>
  <si>
    <t>30 Y 31 DE MAYO 2026</t>
  </si>
  <si>
    <t>test eg</t>
  </si>
  <si>
    <t>testing importador</t>
  </si>
  <si>
    <t>testeando el importer eg ret soc 2</t>
  </si>
  <si>
    <t>testeando el importer eg extra 3</t>
  </si>
  <si>
    <t>testeando el importador eg-prest</t>
  </si>
  <si>
    <t>testeando el importador ing tickets</t>
  </si>
  <si>
    <t>sponsor 1</t>
  </si>
  <si>
    <t>ing corp</t>
  </si>
  <si>
    <t>ingreso gastro</t>
  </si>
  <si>
    <t>ing serv charge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</si>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</sst>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[$-F800]dddd\,\ mmmm\ dd\,\ yyyy"/>
    <numFmt numFmtId="165" formatCode="&quot;$&quot;#,##0.00_);[Red]\(&quot;$&quot;#,##0.00\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5">
    <xf numFmtId="0" fontId="0" fillId="0" borderId="0" xfId="0"/>
    <xf numFmtId="0" fontId="0" fillId="0" borderId="0" xfId="0" applyAlignment="1">
      <alignment horizontal="center"/>
    </xf>
    <xf numFmtId="0" fontId="0" fillId="0" borderId="6" xfId="0" applyBorder="1"/>
    <xf numFmtId="0" fontId="2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7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0" xfId="0" applyFont="1"/>
    <xf numFmtId="16" fontId="0" fillId="0" borderId="0" xfId="0" applyNumberFormat="1"/>
    <xf numFmtId="44" fontId="0" fillId="0" borderId="0" xfId="1" applyFont="1"/>
    <xf numFmtId="44" fontId="5" fillId="0" borderId="9" xfId="1" applyFont="1" applyBorder="1"/>
    <xf numFmtId="44" fontId="5" fillId="0" borderId="10" xfId="1" applyFont="1" applyBorder="1"/>
    <xf numFmtId="0" fontId="6" fillId="2" borderId="4" xfId="0" applyFont="1" applyFill="1" applyBorder="1" applyAlignment="1">
      <alignment horizontal="center"/>
    </xf>
    <xf numFmtId="0" fontId="3" fillId="0" borderId="0" xfId="0" applyFont="1"/>
    <xf numFmtId="0" fontId="7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2" borderId="9" xfId="0" applyFont="1" applyFill="1" applyBorder="1"/>
    <xf numFmtId="0" fontId="6" fillId="2" borderId="1" xfId="0" applyFont="1" applyFill="1" applyBorder="1"/>
    <xf numFmtId="44" fontId="6" fillId="2" borderId="9" xfId="1" applyFont="1" applyFill="1" applyBorder="1"/>
    <xf numFmtId="44" fontId="6" fillId="2" borderId="10" xfId="1" applyFont="1" applyFill="1" applyBorder="1"/>
    <xf numFmtId="16" fontId="0" fillId="0" borderId="0" xfId="0" applyNumberFormat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4" fillId="2" borderId="1" xfId="0" applyFont="1" applyFill="1" applyBorder="1"/>
    <xf numFmtId="0" fontId="6" fillId="2" borderId="5" xfId="0" applyFont="1" applyFill="1" applyBorder="1" applyAlignment="1">
      <alignment horizontal="center"/>
    </xf>
    <xf numFmtId="0" fontId="0" fillId="0" borderId="12" xfId="0" applyBorder="1"/>
    <xf numFmtId="0" fontId="3" fillId="0" borderId="14" xfId="0" applyFont="1" applyBorder="1"/>
    <xf numFmtId="0" fontId="2" fillId="0" borderId="13" xfId="0" applyFont="1" applyBorder="1"/>
    <xf numFmtId="41" fontId="0" fillId="0" borderId="0" xfId="2" applyNumberFormat="1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vertical="center"/>
    </xf>
    <xf numFmtId="44" fontId="0" fillId="0" borderId="0" xfId="0" applyNumberFormat="1"/>
    <xf numFmtId="165" fontId="0" fillId="0" borderId="0" xfId="0" applyNumberFormat="1"/>
    <xf numFmtId="41" fontId="0" fillId="0" borderId="0" xfId="2" applyNumberFormat="1" applyFont="1" applyFill="1" applyAlignment="1">
      <alignment horizontal="center"/>
    </xf>
    <xf numFmtId="44" fontId="0" fillId="0" borderId="0" xfId="1" applyFont="1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41" fontId="0" fillId="0" borderId="0" xfId="2" applyNumberFormat="1" applyFont="1" applyFill="1" applyAlignment="1">
      <alignment horizontal="center" vertical="center"/>
    </xf>
    <xf numFmtId="43" fontId="0" fillId="0" borderId="0" xfId="2" applyFont="1"/>
    <xf numFmtId="44" fontId="1" fillId="0" borderId="0" xfId="1" applyFont="1"/>
    <xf numFmtId="0" fontId="10" fillId="0" borderId="0" xfId="0" applyFont="1"/>
    <xf numFmtId="0" fontId="10" fillId="0" borderId="0" xfId="0" applyFont="1" applyAlignment="1">
      <alignment horizontal="center"/>
    </xf>
    <xf numFmtId="44" fontId="10" fillId="0" borderId="0" xfId="1" applyFont="1"/>
    <xf numFmtId="16" fontId="10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44" fontId="10" fillId="0" borderId="0" xfId="1" applyFont="1" applyFill="1"/>
    <xf numFmtId="0" fontId="7" fillId="4" borderId="7" xfId="0" applyFont="1" applyFill="1" applyBorder="1"/>
    <xf numFmtId="0" fontId="7" fillId="4" borderId="8" xfId="0" applyFont="1" applyFill="1" applyBorder="1" applyAlignment="1">
      <alignment horizontal="center"/>
    </xf>
    <xf numFmtId="0" fontId="7" fillId="4" borderId="9" xfId="0" applyFont="1" applyFill="1" applyBorder="1"/>
    <xf numFmtId="0" fontId="7" fillId="4" borderId="9" xfId="0" applyFont="1" applyFill="1" applyBorder="1" applyAlignment="1">
      <alignment horizontal="center"/>
    </xf>
    <xf numFmtId="44" fontId="7" fillId="4" borderId="9" xfId="1" applyFont="1" applyFill="1" applyBorder="1"/>
    <xf numFmtId="44" fontId="7" fillId="4" borderId="10" xfId="1" applyFont="1" applyFill="1" applyBorder="1"/>
    <xf numFmtId="0" fontId="7" fillId="4" borderId="8" xfId="0" applyFont="1" applyFill="1" applyBorder="1"/>
    <xf numFmtId="44" fontId="1" fillId="0" borderId="0" xfId="1" applyFont="1" applyFill="1"/>
    <xf numFmtId="16" fontId="0" fillId="0" borderId="0" xfId="0" applyNumberFormat="1" applyAlignment="1">
      <alignment horizontal="center" vertical="center"/>
    </xf>
    <xf numFmtId="0" fontId="4" fillId="6" borderId="1" xfId="0" applyFont="1" applyFill="1" applyBorder="1"/>
    <xf numFmtId="0" fontId="7" fillId="3" borderId="1" xfId="0" applyFont="1" applyFill="1" applyBorder="1"/>
    <xf numFmtId="0" fontId="7" fillId="3" borderId="3" xfId="0" applyFont="1" applyFill="1" applyBorder="1"/>
    <xf numFmtId="44" fontId="0" fillId="0" borderId="18" xfId="0" applyNumberFormat="1" applyBorder="1"/>
    <xf numFmtId="0" fontId="8" fillId="7" borderId="1" xfId="0" applyFont="1" applyFill="1" applyBorder="1"/>
    <xf numFmtId="44" fontId="8" fillId="7" borderId="3" xfId="0" applyNumberFormat="1" applyFont="1" applyFill="1" applyBorder="1"/>
    <xf numFmtId="44" fontId="0" fillId="0" borderId="16" xfId="1" applyFont="1" applyBorder="1"/>
    <xf numFmtId="44" fontId="0" fillId="0" borderId="20" xfId="1" applyFont="1" applyBorder="1"/>
    <xf numFmtId="164" fontId="7" fillId="3" borderId="1" xfId="0" applyNumberFormat="1" applyFont="1" applyFill="1" applyBorder="1" applyAlignment="1">
      <alignment horizontal="left"/>
    </xf>
    <xf numFmtId="164" fontId="7" fillId="3" borderId="3" xfId="0" applyNumberFormat="1" applyFont="1" applyFill="1" applyBorder="1" applyAlignment="1">
      <alignment horizontal="left"/>
    </xf>
    <xf numFmtId="164" fontId="7" fillId="3" borderId="2" xfId="0" applyNumberFormat="1" applyFont="1" applyFill="1" applyBorder="1" applyAlignment="1">
      <alignment horizontal="left"/>
    </xf>
    <xf numFmtId="44" fontId="12" fillId="0" borderId="0" xfId="1" applyFont="1"/>
    <xf numFmtId="44" fontId="12" fillId="0" borderId="0" xfId="1" applyFont="1" applyFill="1"/>
    <xf numFmtId="44" fontId="0" fillId="0" borderId="0" xfId="1" applyFont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44" fontId="8" fillId="5" borderId="2" xfId="1" applyFont="1" applyFill="1" applyBorder="1" applyAlignment="1">
      <alignment horizontal="center"/>
    </xf>
    <xf numFmtId="0" fontId="13" fillId="9" borderId="17" xfId="0" applyFont="1" applyFill="1" applyBorder="1" applyAlignment="1">
      <alignment horizontal="center"/>
    </xf>
    <xf numFmtId="0" fontId="13" fillId="9" borderId="0" xfId="0" applyFont="1" applyFill="1"/>
    <xf numFmtId="0" fontId="13" fillId="9" borderId="0" xfId="0" applyFont="1" applyFill="1" applyAlignment="1">
      <alignment horizontal="center"/>
    </xf>
    <xf numFmtId="44" fontId="14" fillId="9" borderId="0" xfId="1" applyFont="1" applyFill="1" applyAlignment="1">
      <alignment horizontal="center"/>
    </xf>
    <xf numFmtId="44" fontId="13" fillId="9" borderId="0" xfId="1" applyFont="1" applyFill="1"/>
    <xf numFmtId="16" fontId="13" fillId="9" borderId="0" xfId="0" applyNumberFormat="1" applyFont="1" applyFill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44" fontId="14" fillId="0" borderId="0" xfId="1" applyFont="1" applyAlignment="1">
      <alignment horizontal="center"/>
    </xf>
    <xf numFmtId="44" fontId="13" fillId="0" borderId="0" xfId="1" applyFont="1"/>
    <xf numFmtId="16" fontId="13" fillId="0" borderId="0" xfId="0" applyNumberFormat="1" applyFont="1" applyAlignment="1">
      <alignment horizontal="center"/>
    </xf>
    <xf numFmtId="44" fontId="13" fillId="0" borderId="0" xfId="1" applyFont="1" applyAlignment="1">
      <alignment horizontal="center"/>
    </xf>
    <xf numFmtId="0" fontId="8" fillId="5" borderId="2" xfId="0" applyFont="1" applyFill="1" applyBorder="1"/>
    <xf numFmtId="44" fontId="11" fillId="5" borderId="2" xfId="1" applyFont="1" applyFill="1" applyBorder="1" applyAlignment="1">
      <alignment horizontal="center"/>
    </xf>
    <xf numFmtId="44" fontId="8" fillId="5" borderId="2" xfId="1" applyFont="1" applyFill="1" applyBorder="1"/>
    <xf numFmtId="44" fontId="4" fillId="0" borderId="2" xfId="1" applyFont="1" applyBorder="1" applyAlignment="1">
      <alignment horizontal="center"/>
    </xf>
    <xf numFmtId="44" fontId="4" fillId="0" borderId="2" xfId="1" applyFont="1" applyBorder="1"/>
    <xf numFmtId="44" fontId="8" fillId="5" borderId="1" xfId="1" applyFont="1" applyFill="1" applyBorder="1"/>
    <xf numFmtId="44" fontId="8" fillId="5" borderId="3" xfId="1" applyFont="1" applyFill="1" applyBorder="1"/>
    <xf numFmtId="41" fontId="0" fillId="0" borderId="0" xfId="2" applyNumberFormat="1" applyFont="1" applyAlignment="1">
      <alignment horizontal="left"/>
    </xf>
    <xf numFmtId="41" fontId="0" fillId="0" borderId="0" xfId="2" applyNumberFormat="1" applyFont="1" applyFill="1" applyAlignment="1">
      <alignment horizontal="left"/>
    </xf>
    <xf numFmtId="0" fontId="7" fillId="3" borderId="2" xfId="0" applyFont="1" applyFill="1" applyBorder="1"/>
    <xf numFmtId="0" fontId="7" fillId="0" borderId="0" xfId="0" applyFont="1"/>
    <xf numFmtId="164" fontId="7" fillId="0" borderId="0" xfId="0" applyNumberFormat="1" applyFont="1"/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13" xfId="0" applyBorder="1"/>
    <xf numFmtId="0" fontId="8" fillId="0" borderId="0" xfId="0" applyFont="1"/>
    <xf numFmtId="44" fontId="8" fillId="0" borderId="0" xfId="1" applyFont="1" applyBorder="1"/>
    <xf numFmtId="0" fontId="7" fillId="0" borderId="0" xfId="0" applyFont="1" applyAlignment="1">
      <alignment horizontal="left"/>
    </xf>
    <xf numFmtId="164" fontId="7" fillId="0" borderId="0" xfId="0" applyNumberFormat="1" applyFont="1" applyAlignment="1">
      <alignment horizontal="left"/>
    </xf>
    <xf numFmtId="164" fontId="7" fillId="3" borderId="1" xfId="0" applyNumberFormat="1" applyFont="1" applyFill="1" applyBorder="1" applyAlignment="1">
      <alignment horizontal="left"/>
    </xf>
    <xf numFmtId="164" fontId="7" fillId="3" borderId="3" xfId="0" applyNumberFormat="1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7" fillId="3" borderId="2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left"/>
    </xf>
  </cellXfs>
  <cellStyles count="3">
    <cellStyle name="Millares" xfId="2" builtinId="3"/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342830337700554"/>
          <c:y val="0.16750626368134855"/>
          <c:w val="0.73960374312689514"/>
          <c:h val="0.6090536234870122"/>
        </c:manualLayout>
      </c:layout>
      <c:pie3DChart>
        <c:varyColors val="1"/>
        <c:ser>
          <c:idx val="0"/>
          <c:order val="0"/>
          <c:tx>
            <c:strRef>
              <c:f>'EG-IMP 4'!$P$14</c:f>
              <c:strCache>
                <c:ptCount val="1"/>
                <c:pt idx="0">
                  <c:v>IMPUESTOS</c:v>
                </c:pt>
              </c:strCache>
            </c:strRef>
          </c:tx>
          <c:explosion val="5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4802-4EC1-B875-0993F90BA8E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4802-4EC1-B875-0993F90BA8E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4802-4EC1-B875-0993F90BA8E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8-4802-4EC1-B875-0993F90BA8E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4802-4EC1-B875-0993F90BA8E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4802-4EC1-B875-0993F90BA8E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4802-4EC1-B875-0993F90BA8EF}"/>
              </c:ext>
            </c:extLst>
          </c:dPt>
          <c:dLbls>
            <c:dLbl>
              <c:idx val="0"/>
              <c:layout>
                <c:manualLayout>
                  <c:x val="-9.5958628355694464E-2"/>
                  <c:y val="-5.815277338358302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802-4EC1-B875-0993F90BA8EF}"/>
                </c:ext>
              </c:extLst>
            </c:dLbl>
            <c:dLbl>
              <c:idx val="1"/>
              <c:layout>
                <c:manualLayout>
                  <c:x val="4.2925194640915255E-3"/>
                  <c:y val="-6.194620709690642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802-4EC1-B875-0993F90BA8EF}"/>
                </c:ext>
              </c:extLst>
            </c:dLbl>
            <c:dLbl>
              <c:idx val="2"/>
              <c:layout>
                <c:manualLayout>
                  <c:x val="-2.5943857026759925E-2"/>
                  <c:y val="7.337227418979339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802-4EC1-B875-0993F90BA8EF}"/>
                </c:ext>
              </c:extLst>
            </c:dLbl>
            <c:dLbl>
              <c:idx val="3"/>
              <c:layout>
                <c:manualLayout>
                  <c:x val="-3.4200192561114305E-2"/>
                  <c:y val="2.047943483691070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802-4EC1-B875-0993F90BA8EF}"/>
                </c:ext>
              </c:extLst>
            </c:dLbl>
            <c:dLbl>
              <c:idx val="4"/>
              <c:layout>
                <c:manualLayout>
                  <c:x val="-2.9759986906061013E-2"/>
                  <c:y val="-4.369769664601892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802-4EC1-B875-0993F90BA8EF}"/>
                </c:ext>
              </c:extLst>
            </c:dLbl>
            <c:dLbl>
              <c:idx val="5"/>
              <c:layout>
                <c:manualLayout>
                  <c:x val="-1.7763667950497757E-3"/>
                  <c:y val="-7.577017797649486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802-4EC1-B875-0993F90BA8EF}"/>
                </c:ext>
              </c:extLst>
            </c:dLbl>
            <c:dLbl>
              <c:idx val="6"/>
              <c:layout>
                <c:manualLayout>
                  <c:x val="8.2582730687862663E-2"/>
                  <c:y val="-5.16659470136389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802-4EC1-B875-0993F90BA8EF}"/>
                </c:ext>
              </c:extLst>
            </c:dLbl>
            <c:spPr>
              <a:noFill/>
              <a:ln>
                <a:noFill/>
              </a:ln>
              <a:effectLst>
                <a:glow rad="127000">
                  <a:schemeClr val="bg1"/>
                </a:glow>
                <a:outerShdw blurRad="50800" dist="50800" dir="600000" algn="ctr" rotWithShape="0">
                  <a:srgbClr val="000000">
                    <a:alpha val="43137"/>
                  </a:srgb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'EG-IMP 4'!$O$15:$O$21</c:f>
              <c:strCache>
                <c:ptCount val="7"/>
                <c:pt idx="0">
                  <c:v> PAYWAY </c:v>
                </c:pt>
                <c:pt idx="1">
                  <c:v> REBA </c:v>
                </c:pt>
                <c:pt idx="2">
                  <c:v> AUTOENTRADA </c:v>
                </c:pt>
                <c:pt idx="3">
                  <c:v> IVA </c:v>
                </c:pt>
                <c:pt idx="4">
                  <c:v> INGRESOS BRUTOS </c:v>
                </c:pt>
                <c:pt idx="5">
                  <c:v> MUNICIPALIDAD </c:v>
                </c:pt>
                <c:pt idx="6">
                  <c:v>GANANCIAS</c:v>
                </c:pt>
              </c:strCache>
            </c:strRef>
          </c:cat>
          <c:val>
            <c:numRef>
              <c:f>'EG-IMP 4'!$P$15:$P$21</c:f>
              <c:numCache>
                <c:formatCode>_("$"* #,##0.00_);_("$"* \(#,##0.00\);_("$"* "-"??_);_(@_)</c:formatCode>
                <c:ptCount val="7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2-4EC1-B875-0993F90BA8E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850545097536567"/>
          <c:y val="0.738431328850923"/>
          <c:w val="0.80394752994168173"/>
          <c:h val="0.178937579883144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baseline="0"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604023</xdr:colOff>
      <xdr:row>0</xdr:row>
      <xdr:rowOff>102220</xdr:rowOff>
    </xdr:from>
    <xdr:to>
      <xdr:col>8</xdr:col>
      <xdr:colOff>283890</xdr:colOff>
      <xdr:row>9</xdr:row>
      <xdr:rowOff>197691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7131F79-8C2C-4B82-B092-E8284574D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8145" y="102220"/>
          <a:ext cx="2876550" cy="2009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4758690</xdr:colOff>
      <xdr:row>11</xdr:row>
      <xdr:rowOff>187254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3C21781-36F1-44B6-8ABB-E26A02C83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9659"/>
          <a:ext cx="4758690" cy="1077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674915</xdr:colOff>
      <xdr:row>0</xdr:row>
      <xdr:rowOff>76199</xdr:rowOff>
    </xdr:from>
    <xdr:to>
      <xdr:col>12</xdr:col>
      <xdr:colOff>1298122</xdr:colOff>
      <xdr:row>9</xdr:row>
      <xdr:rowOff>159192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1EC768-08B0-4790-82F9-FA3E0519B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41686" y="76199"/>
          <a:ext cx="2876550" cy="2009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576943</xdr:colOff>
      <xdr:row>0</xdr:row>
      <xdr:rowOff>97971</xdr:rowOff>
    </xdr:from>
    <xdr:to>
      <xdr:col>3</xdr:col>
      <xdr:colOff>2385604</xdr:colOff>
      <xdr:row>5</xdr:row>
      <xdr:rowOff>76192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B94FF65-7A24-45A2-98A3-43D4F3BA9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743" y="97971"/>
          <a:ext cx="4758690" cy="1077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489857</xdr:colOff>
      <xdr:row>5</xdr:row>
      <xdr:rowOff>108858</xdr:rowOff>
    </xdr:from>
    <xdr:to>
      <xdr:col>4</xdr:col>
      <xdr:colOff>284661</xdr:colOff>
      <xdr:row>9</xdr:row>
      <xdr:rowOff>231858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BAF2DD-9CE6-4E5E-A354-D2BE58BBF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3828" y="1121229"/>
          <a:ext cx="4758690" cy="1070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903514</xdr:colOff>
      <xdr:row>3</xdr:row>
      <xdr:rowOff>76200</xdr:rowOff>
    </xdr:from>
    <xdr:to>
      <xdr:col>12</xdr:col>
      <xdr:colOff>1058635</xdr:colOff>
      <xdr:row>12</xdr:row>
      <xdr:rowOff>28564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B08855A-711C-4F9E-90C3-C546599BC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39657" y="631371"/>
          <a:ext cx="2876550" cy="2009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3</xdr:col>
      <xdr:colOff>3463290</xdr:colOff>
      <xdr:row>7</xdr:row>
      <xdr:rowOff>119735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B5BA2E2-F41A-44CF-8D88-414083CF6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486" y="566057"/>
          <a:ext cx="4758690" cy="1077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522514</xdr:colOff>
      <xdr:row>0</xdr:row>
      <xdr:rowOff>76200</xdr:rowOff>
    </xdr:from>
    <xdr:to>
      <xdr:col>12</xdr:col>
      <xdr:colOff>1145721</xdr:colOff>
      <xdr:row>10</xdr:row>
      <xdr:rowOff>17678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E4B9D87-978B-432C-9A9F-178C62A78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35400" y="76200"/>
          <a:ext cx="2876550" cy="2009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664029</xdr:colOff>
      <xdr:row>3</xdr:row>
      <xdr:rowOff>32658</xdr:rowOff>
    </xdr:from>
    <xdr:to>
      <xdr:col>20</xdr:col>
      <xdr:colOff>609601</xdr:colOff>
      <xdr:row>30</xdr:row>
      <xdr:rowOff>21771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A0B1A98-DF32-4185-9264-E25EE55A47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3</xdr:row>
      <xdr:rowOff>0</xdr:rowOff>
    </xdr:from>
    <xdr:to>
      <xdr:col>4</xdr:col>
      <xdr:colOff>4355</xdr:colOff>
      <xdr:row>7</xdr:row>
      <xdr:rowOff>130620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85FFBC9-9CD4-46DB-9F07-8C8E6FB3D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486" y="566057"/>
          <a:ext cx="4758690" cy="1077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685801</xdr:colOff>
      <xdr:row>0</xdr:row>
      <xdr:rowOff>130628</xdr:rowOff>
    </xdr:from>
    <xdr:to>
      <xdr:col>12</xdr:col>
      <xdr:colOff>1309008</xdr:colOff>
      <xdr:row>10</xdr:row>
      <xdr:rowOff>28563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DA2F940-C93D-4818-BBD1-41F9DE9FD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52172" y="130628"/>
          <a:ext cx="2876550" cy="2009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4</xdr:col>
      <xdr:colOff>317319</xdr:colOff>
      <xdr:row>6</xdr:row>
      <xdr:rowOff>174163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61AC364-15DD-43CA-94BE-316836A52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486" y="370114"/>
          <a:ext cx="4758690" cy="1077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587828</xdr:colOff>
      <xdr:row>0</xdr:row>
      <xdr:rowOff>87085</xdr:rowOff>
    </xdr:from>
    <xdr:to>
      <xdr:col>12</xdr:col>
      <xdr:colOff>873578</xdr:colOff>
      <xdr:row>10</xdr:row>
      <xdr:rowOff>28563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4C49599-F6EB-40DA-BC04-0B427F1BE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80771" y="87085"/>
          <a:ext cx="2876550" cy="2009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2993</xdr:colOff>
      <xdr:row>5</xdr:row>
      <xdr:rowOff>217706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8E4ADBF-0BEA-4ADF-B01B-84BFC034A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829" y="185057"/>
          <a:ext cx="4758690" cy="1077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43543</xdr:colOff>
      <xdr:row>0</xdr:row>
      <xdr:rowOff>65314</xdr:rowOff>
    </xdr:from>
    <xdr:to>
      <xdr:col>12</xdr:col>
      <xdr:colOff>895351</xdr:colOff>
      <xdr:row>10</xdr:row>
      <xdr:rowOff>6792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1EF82F0-49E3-4624-A282-15BF71FC7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23572" y="65314"/>
          <a:ext cx="2876550" cy="2009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161925</xdr:colOff>
      <xdr:row>0</xdr:row>
      <xdr:rowOff>57150</xdr:rowOff>
    </xdr:from>
    <xdr:to>
      <xdr:col>12</xdr:col>
      <xdr:colOff>1085850</xdr:colOff>
      <xdr:row>10</xdr:row>
      <xdr:rowOff>28564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3D463B3-485B-4B99-8194-7EA306B08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5100" y="57150"/>
          <a:ext cx="2876550" cy="2009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542925</xdr:colOff>
      <xdr:row>1</xdr:row>
      <xdr:rowOff>114300</xdr:rowOff>
    </xdr:from>
    <xdr:to>
      <xdr:col>3</xdr:col>
      <xdr:colOff>462915</xdr:colOff>
      <xdr:row>6</xdr:row>
      <xdr:rowOff>106128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9E81511-3CD0-4E9B-8121-DB85E6936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295275"/>
          <a:ext cx="4758690" cy="1077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3</xdr:col>
      <xdr:colOff>953</xdr:colOff>
      <xdr:row>6</xdr:row>
      <xdr:rowOff>182328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7E28B7-E870-4E8B-88CD-CACB0287E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61950"/>
          <a:ext cx="4758690" cy="1077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38100</xdr:colOff>
      <xdr:row>0</xdr:row>
      <xdr:rowOff>66675</xdr:rowOff>
    </xdr:from>
    <xdr:to>
      <xdr:col>12</xdr:col>
      <xdr:colOff>1038225</xdr:colOff>
      <xdr:row>10</xdr:row>
      <xdr:rowOff>38089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AF50346-A26B-4AF9-A6EC-C267665B7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58950" y="66675"/>
          <a:ext cx="2876550" cy="2009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953</xdr:colOff>
      <xdr:row>5</xdr:row>
      <xdr:rowOff>229953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F9DD03-193E-47DA-AE56-5593DC23F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80975"/>
          <a:ext cx="4758690" cy="1077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76200</xdr:colOff>
      <xdr:row>0</xdr:row>
      <xdr:rowOff>66675</xdr:rowOff>
    </xdr:from>
    <xdr:to>
      <xdr:col>12</xdr:col>
      <xdr:colOff>1000125</xdr:colOff>
      <xdr:row>10</xdr:row>
      <xdr:rowOff>38089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8096C7D-8C22-45EB-AE5A-98B29FA74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44625" y="66675"/>
          <a:ext cx="2876550" cy="2009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142876</xdr:colOff>
      <xdr:row>0</xdr:row>
      <xdr:rowOff>49989</xdr:rowOff>
    </xdr:from>
    <xdr:to>
      <xdr:col>12</xdr:col>
      <xdr:colOff>1066801</xdr:colOff>
      <xdr:row>9</xdr:row>
      <xdr:rowOff>154753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5F501B1-F16E-4D4E-B5A5-6BFBA9527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16176" y="49989"/>
          <a:ext cx="2876550" cy="2009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209550</xdr:colOff>
      <xdr:row>1</xdr:row>
      <xdr:rowOff>114300</xdr:rowOff>
    </xdr:from>
    <xdr:to>
      <xdr:col>3</xdr:col>
      <xdr:colOff>129540</xdr:colOff>
      <xdr:row>6</xdr:row>
      <xdr:rowOff>58503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FE33381-A415-4008-A928-2924A999B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295275"/>
          <a:ext cx="4758690" cy="1077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3</xdr:row>
      <xdr:rowOff>93026</xdr:rowOff>
    </xdr:from>
    <xdr:to>
      <xdr:col>2</xdr:col>
      <xdr:colOff>3901440</xdr:colOff>
      <xdr:row>7</xdr:row>
      <xdr:rowOff>15239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B4D80C0-611C-4333-B44D-97D438743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" y="649286"/>
          <a:ext cx="3802380" cy="859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9FB0F-DE8B-4B78-BF7C-65D40CE759EF}">
  <dimension ref="A2:J27"/>
  <sheetViews>
    <sheetView zoomScale="82" zoomScaleNormal="80" workbookViewId="0">
      <selection activeCell="A40" sqref="A40"/>
    </sheetView>
  </sheetViews>
  <sheetFormatPr baseColWidth="10" defaultRowHeight="15" x14ac:dyDescent="0.25"/>
  <cols>
    <col min="1" max="1" width="73.7109375" bestFit="1" customWidth="1"/>
    <col min="2" max="2" width="14.85546875" style="1" bestFit="1" customWidth="1"/>
    <col min="3" max="3" width="24.42578125" customWidth="1"/>
    <col min="4" max="4" width="37.42578125" customWidth="1"/>
    <col min="5" max="5" width="19.7109375" bestFit="1" customWidth="1"/>
    <col min="7" max="7" width="17.140625" bestFit="1" customWidth="1"/>
    <col min="8" max="8" width="18" bestFit="1" customWidth="1"/>
    <col min="9" max="9" width="20.140625" bestFit="1" customWidth="1"/>
    <col min="10" max="10" width="16.5703125" bestFit="1" customWidth="1"/>
  </cols>
  <sheetData>
    <row r="2" spans="1:9" x14ac:dyDescent="0.25">
      <c r="A2" s="2"/>
      <c r="B2" s="26"/>
      <c r="C2" s="2"/>
      <c r="D2" s="2"/>
      <c r="E2" s="2"/>
    </row>
    <row r="3" spans="1:9" x14ac:dyDescent="0.25">
      <c r="A3" s="2"/>
      <c r="B3" s="26"/>
      <c r="C3" s="2"/>
      <c r="D3" s="2"/>
      <c r="E3" s="2"/>
    </row>
    <row r="4" spans="1:9" ht="15.75" thickBot="1" x14ac:dyDescent="0.3">
      <c r="A4" s="2"/>
      <c r="B4" s="26"/>
      <c r="C4" s="27"/>
      <c r="D4" s="27"/>
      <c r="E4" s="27"/>
    </row>
    <row r="5" spans="1:9" ht="19.5" thickBot="1" x14ac:dyDescent="0.35">
      <c r="A5" s="2"/>
      <c r="B5" s="26"/>
      <c r="C5" s="17" t="s">
        <v>7</v>
      </c>
      <c r="D5" s="67" t="s">
        <v>9</v>
      </c>
      <c r="E5" s="68"/>
    </row>
    <row r="6" spans="1:9" ht="19.5" thickBot="1" x14ac:dyDescent="0.35">
      <c r="B6" s="26"/>
      <c r="F6" s="32"/>
    </row>
    <row r="7" spans="1:9" ht="19.5" thickBot="1" x14ac:dyDescent="0.35">
      <c r="A7" s="2"/>
      <c r="B7" s="26"/>
      <c r="C7" s="17" t="s">
        <v>8</v>
      </c>
      <c r="D7" s="116" t="s">
        <v>68</v>
      </c>
      <c r="E7" s="117"/>
    </row>
    <row r="8" spans="1:9" ht="18.75" x14ac:dyDescent="0.3">
      <c r="A8" s="2"/>
      <c r="B8" s="26"/>
      <c r="C8" s="108"/>
      <c r="D8" s="109"/>
      <c r="E8" s="109"/>
    </row>
    <row r="9" spans="1:9" ht="18.75" x14ac:dyDescent="0.3">
      <c r="A9" s="2"/>
      <c r="B9" s="26"/>
      <c r="C9" s="33"/>
      <c r="D9" s="33"/>
      <c r="E9" s="33"/>
    </row>
    <row r="10" spans="1:9" ht="18.75" x14ac:dyDescent="0.3">
      <c r="A10" s="2"/>
      <c r="B10" s="26"/>
      <c r="C10" s="33"/>
      <c r="D10" s="33"/>
      <c r="E10" s="33"/>
    </row>
    <row r="11" spans="1:9" x14ac:dyDescent="0.25">
      <c r="A11" s="2"/>
      <c r="B11" s="26"/>
      <c r="C11" s="2"/>
      <c r="D11" s="2"/>
      <c r="E11" s="2"/>
    </row>
    <row r="12" spans="1:9" ht="15.75" thickBot="1" x14ac:dyDescent="0.3">
      <c r="A12" s="27"/>
      <c r="B12" s="28"/>
      <c r="C12" s="27"/>
      <c r="D12" s="27"/>
      <c r="E12" s="27"/>
    </row>
    <row r="13" spans="1:9" s="6" customFormat="1" ht="16.5" thickBot="1" x14ac:dyDescent="0.3">
      <c r="A13" s="15" t="s">
        <v>17</v>
      </c>
      <c r="B13" s="15" t="s">
        <v>31</v>
      </c>
      <c r="C13" s="15" t="s">
        <v>3</v>
      </c>
      <c r="D13" s="15" t="s">
        <v>4</v>
      </c>
      <c r="E13" s="30" t="s">
        <v>5</v>
      </c>
      <c r="F13" s="5"/>
      <c r="G13" s="118" t="s">
        <v>49</v>
      </c>
      <c r="H13" s="119"/>
      <c r="I13"/>
    </row>
    <row r="14" spans="1:9" ht="3" customHeight="1" x14ac:dyDescent="0.25">
      <c r="C14" s="12"/>
      <c r="D14" s="12"/>
      <c r="E14" s="12">
        <v>0</v>
      </c>
      <c r="G14" s="53"/>
      <c r="H14" s="54"/>
    </row>
    <row r="15" spans="1:9" x14ac:dyDescent="0.25">
      <c r="A15" t="s">
        <v>29</v>
      </c>
      <c r="B15" s="1">
        <v>1</v>
      </c>
      <c r="C15" s="77">
        <f>+'EG-TC 1'!M105</f>
        <v>-10</v>
      </c>
      <c r="D15" s="12">
        <v>0</v>
      </c>
      <c r="E15" s="12">
        <f>+E14+C15+D15</f>
        <v>-10</v>
      </c>
      <c r="G15" s="53" t="s">
        <v>44</v>
      </c>
      <c r="H15" s="69">
        <f>+D26</f>
        <v>280</v>
      </c>
    </row>
    <row r="16" spans="1:9" x14ac:dyDescent="0.25">
      <c r="A16" t="s">
        <v>55</v>
      </c>
      <c r="B16" s="1">
        <v>2</v>
      </c>
      <c r="C16" s="77">
        <f>+'EG-RET SOC 2'!M75</f>
        <v>-10</v>
      </c>
      <c r="D16" s="12">
        <v>0</v>
      </c>
      <c r="E16" s="12">
        <f t="shared" ref="E16:E21" si="0">+E15+C16+D16</f>
        <v>-20</v>
      </c>
      <c r="G16" s="53"/>
      <c r="H16" s="54"/>
    </row>
    <row r="17" spans="1:10" x14ac:dyDescent="0.25">
      <c r="A17" t="s">
        <v>37</v>
      </c>
      <c r="B17" s="1">
        <v>3</v>
      </c>
      <c r="C17" s="77">
        <f>+'EG-EXTRA 3'!M47</f>
        <v>-10</v>
      </c>
      <c r="D17" s="12">
        <v>0</v>
      </c>
      <c r="E17" s="12">
        <f t="shared" si="0"/>
        <v>-30</v>
      </c>
      <c r="G17" s="53" t="s">
        <v>45</v>
      </c>
      <c r="H17" s="69">
        <f>+C26</f>
        <v>-52</v>
      </c>
      <c r="J17" s="45"/>
    </row>
    <row r="18" spans="1:10" ht="15.75" thickBot="1" x14ac:dyDescent="0.3">
      <c r="A18" t="s">
        <v>38</v>
      </c>
      <c r="B18" s="1">
        <v>4</v>
      </c>
      <c r="C18" s="77">
        <f>+'EG-IMP 4'!$M$30</f>
        <v>-12</v>
      </c>
      <c r="D18" s="12">
        <v>0</v>
      </c>
      <c r="E18" s="12">
        <f t="shared" si="0"/>
        <v>-42</v>
      </c>
      <c r="G18" s="53"/>
      <c r="H18" s="54"/>
    </row>
    <row r="19" spans="1:10" ht="15.75" thickBot="1" x14ac:dyDescent="0.3">
      <c r="A19" t="s">
        <v>54</v>
      </c>
      <c r="B19" s="1">
        <v>5</v>
      </c>
      <c r="C19" s="77">
        <f>+'EG-PREST 5'!M27</f>
        <v>-10</v>
      </c>
      <c r="D19" s="12">
        <f>+'ING TICKETS 6'!M61</f>
        <v>0</v>
      </c>
      <c r="E19" s="12">
        <f t="shared" si="0"/>
        <v>-52</v>
      </c>
      <c r="G19" s="70" t="s">
        <v>46</v>
      </c>
      <c r="H19" s="71">
        <f>+H15+H17</f>
        <v>228</v>
      </c>
    </row>
    <row r="20" spans="1:10" x14ac:dyDescent="0.25">
      <c r="A20" t="s">
        <v>28</v>
      </c>
      <c r="B20" s="1">
        <v>6</v>
      </c>
      <c r="C20" s="77"/>
      <c r="D20" s="12">
        <f>+'ING TICKETS 6'!M60</f>
        <v>200</v>
      </c>
      <c r="E20" s="12">
        <f>+E19+C20+D20</f>
        <v>148</v>
      </c>
      <c r="H20" s="12"/>
    </row>
    <row r="21" spans="1:10" ht="15.75" thickBot="1" x14ac:dyDescent="0.3">
      <c r="A21" t="s">
        <v>16</v>
      </c>
      <c r="B21" s="1">
        <v>7</v>
      </c>
      <c r="C21" s="77"/>
      <c r="D21" s="12">
        <f>+'ING SPON 7'!M37</f>
        <v>50</v>
      </c>
      <c r="E21" s="12">
        <f t="shared" si="0"/>
        <v>198</v>
      </c>
    </row>
    <row r="22" spans="1:10" ht="16.5" thickBot="1" x14ac:dyDescent="0.3">
      <c r="A22" t="s">
        <v>26</v>
      </c>
      <c r="B22" s="1">
        <v>8</v>
      </c>
      <c r="C22" s="77"/>
      <c r="D22" s="12">
        <f>+'ING CORP 8'!M40</f>
        <v>10</v>
      </c>
      <c r="E22" s="12">
        <f t="shared" ref="E22" si="1">+E21+C22+D22</f>
        <v>208</v>
      </c>
      <c r="G22" s="118" t="s">
        <v>50</v>
      </c>
      <c r="H22" s="119"/>
    </row>
    <row r="23" spans="1:10" x14ac:dyDescent="0.25">
      <c r="A23" t="s">
        <v>30</v>
      </c>
      <c r="B23" s="1">
        <v>9</v>
      </c>
      <c r="C23" s="77"/>
      <c r="D23" s="12">
        <f>+'ING GASTRO 9'!M38</f>
        <v>10</v>
      </c>
      <c r="E23" s="12">
        <f t="shared" ref="E23" si="2">+E22+C23+D23</f>
        <v>218</v>
      </c>
      <c r="G23" s="52" t="s">
        <v>47</v>
      </c>
      <c r="H23" s="72">
        <f>+H19/2</f>
        <v>114</v>
      </c>
    </row>
    <row r="24" spans="1:10" ht="15.75" thickBot="1" x14ac:dyDescent="0.3">
      <c r="A24" t="s">
        <v>27</v>
      </c>
      <c r="B24" s="1">
        <v>10</v>
      </c>
      <c r="C24" s="77"/>
      <c r="D24" s="12">
        <f>+'ING SERV CHARGE 10'!M26</f>
        <v>10</v>
      </c>
      <c r="E24" s="12"/>
      <c r="G24" s="55" t="s">
        <v>48</v>
      </c>
      <c r="H24" s="73">
        <f>+H19/2</f>
        <v>114</v>
      </c>
    </row>
    <row r="25" spans="1:10" ht="16.5" thickBot="1" x14ac:dyDescent="0.3">
      <c r="C25" s="77"/>
      <c r="D25" s="12"/>
      <c r="E25" s="12"/>
      <c r="G25" s="6"/>
      <c r="H25" s="6"/>
    </row>
    <row r="26" spans="1:10" s="6" customFormat="1" ht="16.5" thickBot="1" x14ac:dyDescent="0.3">
      <c r="A26" s="20"/>
      <c r="B26" s="25"/>
      <c r="C26" s="22">
        <f>SUM(C15:C25)</f>
        <v>-52</v>
      </c>
      <c r="D26" s="22">
        <f>SUM(D15:D25)</f>
        <v>280</v>
      </c>
      <c r="E26" s="23">
        <f>+D26+C26</f>
        <v>228</v>
      </c>
      <c r="G26"/>
      <c r="H26"/>
      <c r="I26"/>
    </row>
    <row r="27" spans="1:10" x14ac:dyDescent="0.25">
      <c r="H27" s="1"/>
    </row>
  </sheetData>
  <mergeCells count="3">
    <mergeCell ref="D7:E7"/>
    <mergeCell ref="G13:H13"/>
    <mergeCell ref="G22:H22"/>
  </mergeCells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2E46E-38C3-4394-86B2-776346B49688}">
  <sheetPr>
    <tabColor rgb="FFFF0000"/>
  </sheetPr>
  <dimension ref="A2:P122"/>
  <sheetViews>
    <sheetView zoomScale="70" zoomScaleNormal="70" workbookViewId="0">
      <selection activeCell="L14" sqref="L14"/>
    </sheetView>
  </sheetViews>
  <sheetFormatPr baseColWidth="10" defaultRowHeight="15" x14ac:dyDescent="0.25"/>
  <cols>
    <col min="1" max="1" width="4.42578125" bestFit="1" customWidth="1"/>
    <col min="2" max="2" width="25.7109375" bestFit="1" customWidth="1"/>
    <col min="3" max="3" width="17.28515625" bestFit="1" customWidth="1"/>
    <col min="4" max="4" width="57.28515625" customWidth="1"/>
    <col min="5" max="5" width="7.42578125" style="1" customWidth="1"/>
    <col min="6" max="7" width="50.7109375" bestFit="1" customWidth="1"/>
    <col min="8" max="8" width="8.140625" customWidth="1"/>
    <col min="9" max="9" width="7.5703125" customWidth="1"/>
    <col min="10" max="10" width="8.7109375" customWidth="1"/>
    <col min="11" max="11" width="21.28515625" bestFit="1" customWidth="1"/>
    <col min="13" max="13" width="21.28515625" bestFit="1" customWidth="1"/>
    <col min="14" max="16" width="15.28515625" bestFit="1" customWidth="1"/>
  </cols>
  <sheetData>
    <row r="2" spans="1:16" ht="15.75" thickBot="1" x14ac:dyDescent="0.3"/>
    <row r="3" spans="1:16" ht="19.5" thickBot="1" x14ac:dyDescent="0.35">
      <c r="F3" s="17" t="s">
        <v>7</v>
      </c>
      <c r="G3" s="67" t="s">
        <v>9</v>
      </c>
      <c r="H3" s="68"/>
      <c r="I3" s="1"/>
    </row>
    <row r="4" spans="1:16" ht="19.5" thickBot="1" x14ac:dyDescent="0.35">
      <c r="I4" s="108"/>
      <c r="J4" s="114"/>
      <c r="K4" s="114"/>
      <c r="L4" s="114"/>
      <c r="M4" s="114"/>
    </row>
    <row r="5" spans="1:16" ht="19.5" thickBot="1" x14ac:dyDescent="0.35">
      <c r="F5" s="17" t="s">
        <v>8</v>
      </c>
      <c r="G5" s="74" t="s">
        <v>68</v>
      </c>
      <c r="H5" s="75"/>
      <c r="I5" s="18"/>
      <c r="J5" s="16"/>
      <c r="K5" s="16"/>
      <c r="L5" s="16"/>
      <c r="M5" s="16"/>
    </row>
    <row r="6" spans="1:16" ht="18.75" x14ac:dyDescent="0.3">
      <c r="I6" s="108"/>
      <c r="J6" s="109"/>
      <c r="K6" s="109"/>
      <c r="L6" s="115"/>
      <c r="M6" s="115"/>
    </row>
    <row r="7" spans="1:16" ht="18.75" x14ac:dyDescent="0.3">
      <c r="I7" s="19"/>
      <c r="J7" s="3"/>
      <c r="K7" s="3"/>
      <c r="L7" s="3"/>
      <c r="M7" s="3"/>
    </row>
    <row r="11" spans="1:16" ht="15.75" thickBot="1" x14ac:dyDescent="0.3"/>
    <row r="12" spans="1:16" s="6" customFormat="1" ht="16.5" thickBot="1" x14ac:dyDescent="0.3">
      <c r="A12" s="66"/>
      <c r="B12" s="15" t="s">
        <v>0</v>
      </c>
      <c r="C12" s="15" t="s">
        <v>10</v>
      </c>
      <c r="D12" s="15" t="s">
        <v>1</v>
      </c>
      <c r="E12" s="15"/>
      <c r="F12" s="15"/>
      <c r="G12" s="15"/>
      <c r="H12" s="15"/>
      <c r="I12" s="15"/>
      <c r="J12" s="15"/>
      <c r="K12" s="15" t="s">
        <v>3</v>
      </c>
      <c r="L12" s="15" t="s">
        <v>4</v>
      </c>
      <c r="M12" s="15" t="s">
        <v>5</v>
      </c>
      <c r="N12" s="5"/>
      <c r="O12" s="5"/>
      <c r="P12" s="5"/>
    </row>
    <row r="13" spans="1:16" x14ac:dyDescent="0.25">
      <c r="B13" s="11"/>
      <c r="K13" s="77"/>
      <c r="L13" s="12"/>
      <c r="M13" s="12">
        <v>0</v>
      </c>
    </row>
    <row r="14" spans="1:16" x14ac:dyDescent="0.25">
      <c r="A14">
        <v>1</v>
      </c>
      <c r="B14" s="24">
        <v>46152</v>
      </c>
      <c r="C14" s="1" t="s">
        <v>69</v>
      </c>
      <c r="D14" t="s">
        <v>70</v>
      </c>
      <c r="F14" s="1"/>
      <c r="G14" s="34"/>
      <c r="H14" s="42"/>
      <c r="I14" s="1"/>
      <c r="J14" s="12"/>
      <c r="K14" s="78">
        <v>10</v>
      </c>
      <c r="L14" s="12">
        <v>0</v>
      </c>
      <c r="M14" s="12">
        <f t="shared" ref="M14:M45" si="0">+M13-K14+L14</f>
        <v>-10</v>
      </c>
      <c r="O14" s="12"/>
    </row>
    <row r="15" spans="1:16" x14ac:dyDescent="0.25">
      <c r="A15">
        <v>2</v>
      </c>
      <c r="B15" s="24"/>
      <c r="C15" s="1"/>
      <c r="F15" s="1"/>
      <c r="G15" s="34"/>
      <c r="H15" s="42"/>
      <c r="I15" s="1"/>
      <c r="J15" s="12"/>
      <c r="K15" s="78">
        <v>0</v>
      </c>
      <c r="L15" s="12">
        <v>0</v>
      </c>
      <c r="M15" s="12">
        <f t="shared" si="0"/>
        <v>-10</v>
      </c>
      <c r="O15" s="12"/>
    </row>
    <row r="16" spans="1:16" x14ac:dyDescent="0.25">
      <c r="A16">
        <v>3</v>
      </c>
      <c r="B16" s="24"/>
      <c r="C16" s="1"/>
      <c r="F16" s="1"/>
      <c r="G16" s="34"/>
      <c r="H16" s="42"/>
      <c r="I16" s="1"/>
      <c r="J16" s="12"/>
      <c r="K16" s="78">
        <v>0</v>
      </c>
      <c r="L16" s="12">
        <v>0</v>
      </c>
      <c r="M16" s="12">
        <f t="shared" si="0"/>
        <v>-10</v>
      </c>
      <c r="O16" s="12"/>
    </row>
    <row r="17" spans="1:15" x14ac:dyDescent="0.25">
      <c r="A17">
        <v>4</v>
      </c>
      <c r="B17" s="24"/>
      <c r="C17" s="1"/>
      <c r="F17" s="1"/>
      <c r="G17" s="34"/>
      <c r="H17" s="42"/>
      <c r="I17" s="1"/>
      <c r="J17" s="12"/>
      <c r="K17" s="78">
        <v>0</v>
      </c>
      <c r="L17" s="12">
        <v>0</v>
      </c>
      <c r="M17" s="12">
        <f t="shared" si="0"/>
        <v>-10</v>
      </c>
      <c r="O17" s="12"/>
    </row>
    <row r="18" spans="1:15" x14ac:dyDescent="0.25">
      <c r="A18">
        <v>5</v>
      </c>
      <c r="B18" s="24"/>
      <c r="C18" s="1"/>
      <c r="F18" s="1"/>
      <c r="G18" s="34"/>
      <c r="H18" s="42"/>
      <c r="I18" s="1"/>
      <c r="J18" s="12"/>
      <c r="K18" s="78">
        <v>0</v>
      </c>
      <c r="L18" s="12">
        <v>0</v>
      </c>
      <c r="M18" s="12">
        <f t="shared" si="0"/>
        <v>-10</v>
      </c>
      <c r="O18" s="12"/>
    </row>
    <row r="19" spans="1:15" x14ac:dyDescent="0.25">
      <c r="A19">
        <v>6</v>
      </c>
      <c r="B19" s="24"/>
      <c r="C19" s="1"/>
      <c r="F19" s="1"/>
      <c r="G19" s="34"/>
      <c r="H19" s="42"/>
      <c r="I19" s="1"/>
      <c r="J19" s="12"/>
      <c r="K19" s="78">
        <v>0</v>
      </c>
      <c r="L19" s="12">
        <v>0</v>
      </c>
      <c r="M19" s="12">
        <f t="shared" si="0"/>
        <v>-10</v>
      </c>
      <c r="O19" s="12"/>
    </row>
    <row r="20" spans="1:15" x14ac:dyDescent="0.25">
      <c r="A20">
        <v>7</v>
      </c>
      <c r="B20" s="24"/>
      <c r="C20" s="1"/>
      <c r="F20" s="1"/>
      <c r="G20" s="34"/>
      <c r="H20" s="42"/>
      <c r="I20" s="1"/>
      <c r="J20" s="12"/>
      <c r="K20" s="78">
        <v>0</v>
      </c>
      <c r="L20" s="12">
        <v>0</v>
      </c>
      <c r="M20" s="12">
        <f t="shared" si="0"/>
        <v>-10</v>
      </c>
      <c r="O20" s="12"/>
    </row>
    <row r="21" spans="1:15" x14ac:dyDescent="0.25">
      <c r="A21">
        <v>8</v>
      </c>
      <c r="B21" s="24"/>
      <c r="C21" s="1"/>
      <c r="F21" s="1"/>
      <c r="G21" s="34"/>
      <c r="H21" s="42"/>
      <c r="I21" s="1"/>
      <c r="J21" s="12"/>
      <c r="K21" s="78">
        <v>0</v>
      </c>
      <c r="L21" s="12">
        <v>0</v>
      </c>
      <c r="M21" s="12">
        <f t="shared" si="0"/>
        <v>-10</v>
      </c>
      <c r="O21" s="12"/>
    </row>
    <row r="22" spans="1:15" x14ac:dyDescent="0.25">
      <c r="A22">
        <v>9</v>
      </c>
      <c r="B22" s="24"/>
      <c r="C22" s="1"/>
      <c r="F22" s="1"/>
      <c r="G22" s="34"/>
      <c r="H22" s="42"/>
      <c r="I22" s="1"/>
      <c r="J22" s="12"/>
      <c r="K22" s="78">
        <v>0</v>
      </c>
      <c r="L22" s="12">
        <v>0</v>
      </c>
      <c r="M22" s="12">
        <f t="shared" si="0"/>
        <v>-10</v>
      </c>
      <c r="O22" s="12"/>
    </row>
    <row r="23" spans="1:15" x14ac:dyDescent="0.25">
      <c r="A23">
        <v>10</v>
      </c>
      <c r="B23" s="24"/>
      <c r="C23" s="1"/>
      <c r="F23" s="1"/>
      <c r="G23" s="34"/>
      <c r="H23" s="42"/>
      <c r="I23" s="1"/>
      <c r="J23" s="12"/>
      <c r="K23" s="78">
        <v>0</v>
      </c>
      <c r="L23" s="12">
        <v>0</v>
      </c>
      <c r="M23" s="12">
        <f t="shared" si="0"/>
        <v>-10</v>
      </c>
      <c r="O23" s="12"/>
    </row>
    <row r="24" spans="1:15" x14ac:dyDescent="0.25">
      <c r="A24">
        <v>11</v>
      </c>
      <c r="B24" s="24"/>
      <c r="C24" s="1"/>
      <c r="F24" s="1"/>
      <c r="G24" s="34"/>
      <c r="H24" s="42"/>
      <c r="I24" s="1"/>
      <c r="J24" s="12"/>
      <c r="K24" s="78">
        <v>0</v>
      </c>
      <c r="L24" s="12">
        <v>0</v>
      </c>
      <c r="M24" s="12">
        <f t="shared" si="0"/>
        <v>-10</v>
      </c>
      <c r="O24" s="12"/>
    </row>
    <row r="25" spans="1:15" x14ac:dyDescent="0.25">
      <c r="A25">
        <v>12</v>
      </c>
      <c r="B25" s="24"/>
      <c r="C25" s="1"/>
      <c r="F25" s="1"/>
      <c r="G25" s="34"/>
      <c r="H25" s="42"/>
      <c r="I25" s="1"/>
      <c r="J25" s="12"/>
      <c r="K25" s="78">
        <v>0</v>
      </c>
      <c r="L25" s="12">
        <v>0</v>
      </c>
      <c r="M25" s="12">
        <f t="shared" si="0"/>
        <v>-10</v>
      </c>
      <c r="O25" s="12"/>
    </row>
    <row r="26" spans="1:15" x14ac:dyDescent="0.25">
      <c r="A26">
        <v>13</v>
      </c>
      <c r="B26" s="24"/>
      <c r="C26" s="1"/>
      <c r="F26" s="1"/>
      <c r="G26" s="34"/>
      <c r="H26" s="42"/>
      <c r="I26" s="1"/>
      <c r="J26" s="12"/>
      <c r="K26" s="78">
        <v>0</v>
      </c>
      <c r="L26" s="12">
        <v>0</v>
      </c>
      <c r="M26" s="12">
        <f t="shared" si="0"/>
        <v>-10</v>
      </c>
      <c r="O26" s="12"/>
    </row>
    <row r="27" spans="1:15" x14ac:dyDescent="0.25">
      <c r="A27">
        <v>14</v>
      </c>
      <c r="B27" s="24"/>
      <c r="C27" s="1"/>
      <c r="F27" s="1"/>
      <c r="G27" s="34"/>
      <c r="H27" s="42"/>
      <c r="I27" s="1"/>
      <c r="J27" s="12"/>
      <c r="K27" s="78">
        <v>0</v>
      </c>
      <c r="L27" s="12">
        <v>0</v>
      </c>
      <c r="M27" s="12">
        <f t="shared" si="0"/>
        <v>-10</v>
      </c>
      <c r="O27" s="12"/>
    </row>
    <row r="28" spans="1:15" x14ac:dyDescent="0.25">
      <c r="A28">
        <v>15</v>
      </c>
      <c r="B28" s="24"/>
      <c r="C28" s="1"/>
      <c r="F28" s="1"/>
      <c r="G28" s="34"/>
      <c r="H28" s="42"/>
      <c r="I28" s="1"/>
      <c r="J28" s="12"/>
      <c r="K28" s="78">
        <v>0</v>
      </c>
      <c r="L28" s="12">
        <v>0</v>
      </c>
      <c r="M28" s="12">
        <f t="shared" si="0"/>
        <v>-10</v>
      </c>
      <c r="O28" s="12"/>
    </row>
    <row r="29" spans="1:15" x14ac:dyDescent="0.25">
      <c r="A29">
        <v>16</v>
      </c>
      <c r="B29" s="24"/>
      <c r="C29" s="1"/>
      <c r="F29" s="1"/>
      <c r="G29" s="34"/>
      <c r="H29" s="42"/>
      <c r="I29" s="1"/>
      <c r="J29" s="12"/>
      <c r="K29" s="78">
        <v>0</v>
      </c>
      <c r="L29" s="12">
        <v>0</v>
      </c>
      <c r="M29" s="12">
        <f t="shared" si="0"/>
        <v>-10</v>
      </c>
      <c r="O29" s="12"/>
    </row>
    <row r="30" spans="1:15" x14ac:dyDescent="0.25">
      <c r="A30">
        <v>17</v>
      </c>
      <c r="B30" s="24"/>
      <c r="C30" s="1"/>
      <c r="F30" s="1"/>
      <c r="G30" s="34"/>
      <c r="H30" s="42"/>
      <c r="I30" s="1"/>
      <c r="J30" s="12"/>
      <c r="K30" s="78">
        <v>0</v>
      </c>
      <c r="L30" s="12">
        <v>0</v>
      </c>
      <c r="M30" s="12">
        <f t="shared" si="0"/>
        <v>-10</v>
      </c>
      <c r="O30" s="12"/>
    </row>
    <row r="31" spans="1:15" x14ac:dyDescent="0.25">
      <c r="A31">
        <v>18</v>
      </c>
      <c r="B31" s="24"/>
      <c r="C31" s="1"/>
      <c r="F31" s="1"/>
      <c r="G31" s="34"/>
      <c r="H31" s="42"/>
      <c r="I31" s="1"/>
      <c r="J31" s="12"/>
      <c r="K31" s="78">
        <v>0</v>
      </c>
      <c r="L31" s="12">
        <v>0</v>
      </c>
      <c r="M31" s="12">
        <f t="shared" si="0"/>
        <v>-10</v>
      </c>
      <c r="O31" s="12"/>
    </row>
    <row r="32" spans="1:15" x14ac:dyDescent="0.25">
      <c r="A32">
        <v>19</v>
      </c>
      <c r="B32" s="24"/>
      <c r="C32" s="1"/>
      <c r="F32" s="1"/>
      <c r="G32" s="34"/>
      <c r="H32" s="42"/>
      <c r="I32" s="1"/>
      <c r="J32" s="12"/>
      <c r="K32" s="78">
        <v>0</v>
      </c>
      <c r="L32" s="12">
        <v>0</v>
      </c>
      <c r="M32" s="12">
        <f t="shared" si="0"/>
        <v>-10</v>
      </c>
      <c r="O32" s="12"/>
    </row>
    <row r="33" spans="1:16" x14ac:dyDescent="0.25">
      <c r="A33">
        <v>20</v>
      </c>
      <c r="B33" s="24"/>
      <c r="C33" s="1"/>
      <c r="F33" s="1"/>
      <c r="G33" s="34"/>
      <c r="H33" s="42"/>
      <c r="I33" s="1"/>
      <c r="J33" s="12"/>
      <c r="K33" s="78">
        <v>0</v>
      </c>
      <c r="L33" s="12">
        <v>0</v>
      </c>
      <c r="M33" s="12">
        <f t="shared" si="0"/>
        <v>-10</v>
      </c>
      <c r="O33" s="1"/>
      <c r="P33" s="1"/>
    </row>
    <row r="34" spans="1:16" x14ac:dyDescent="0.25">
      <c r="A34">
        <v>21</v>
      </c>
      <c r="B34" s="24"/>
      <c r="C34" s="1"/>
      <c r="F34" s="1"/>
      <c r="G34" s="34"/>
      <c r="H34" s="42"/>
      <c r="I34" s="1"/>
      <c r="J34" s="12"/>
      <c r="K34" s="78">
        <v>0</v>
      </c>
      <c r="L34" s="12">
        <v>0</v>
      </c>
      <c r="M34" s="12">
        <f t="shared" si="0"/>
        <v>-10</v>
      </c>
      <c r="O34" s="12"/>
    </row>
    <row r="35" spans="1:16" x14ac:dyDescent="0.25">
      <c r="A35">
        <v>22</v>
      </c>
      <c r="B35" s="24"/>
      <c r="C35" s="1"/>
      <c r="F35" s="1"/>
      <c r="G35" s="34"/>
      <c r="H35" s="42"/>
      <c r="I35" s="1"/>
      <c r="J35" s="12"/>
      <c r="K35" s="78">
        <v>0</v>
      </c>
      <c r="L35" s="12">
        <v>0</v>
      </c>
      <c r="M35" s="12">
        <f t="shared" si="0"/>
        <v>-10</v>
      </c>
      <c r="O35" s="12"/>
    </row>
    <row r="36" spans="1:16" x14ac:dyDescent="0.25">
      <c r="A36">
        <v>23</v>
      </c>
      <c r="B36" s="24"/>
      <c r="C36" s="1"/>
      <c r="F36" s="1"/>
      <c r="G36" s="34"/>
      <c r="H36" s="42"/>
      <c r="I36" s="1"/>
      <c r="J36" s="12"/>
      <c r="K36" s="78">
        <v>0</v>
      </c>
      <c r="L36" s="12">
        <v>0</v>
      </c>
      <c r="M36" s="12">
        <f t="shared" si="0"/>
        <v>-10</v>
      </c>
      <c r="O36" s="12"/>
    </row>
    <row r="37" spans="1:16" x14ac:dyDescent="0.25">
      <c r="A37">
        <v>24</v>
      </c>
      <c r="B37" s="24"/>
      <c r="C37" s="1"/>
      <c r="F37" s="1"/>
      <c r="G37" s="34"/>
      <c r="H37" s="42"/>
      <c r="I37" s="1"/>
      <c r="J37" s="12"/>
      <c r="K37" s="78">
        <v>0</v>
      </c>
      <c r="L37" s="12">
        <v>0</v>
      </c>
      <c r="M37" s="12">
        <f t="shared" si="0"/>
        <v>-10</v>
      </c>
      <c r="O37" s="12"/>
    </row>
    <row r="38" spans="1:16" x14ac:dyDescent="0.25">
      <c r="A38">
        <v>25</v>
      </c>
      <c r="B38" s="24"/>
      <c r="C38" s="1"/>
      <c r="F38" s="1"/>
      <c r="G38" s="34"/>
      <c r="H38" s="42"/>
      <c r="I38" s="1"/>
      <c r="J38" s="12"/>
      <c r="K38" s="78">
        <v>0</v>
      </c>
      <c r="L38" s="12">
        <v>0</v>
      </c>
      <c r="M38" s="12">
        <f t="shared" si="0"/>
        <v>-10</v>
      </c>
      <c r="O38" s="12"/>
    </row>
    <row r="39" spans="1:16" x14ac:dyDescent="0.25">
      <c r="A39">
        <v>26</v>
      </c>
      <c r="B39" s="24"/>
      <c r="C39" s="1"/>
      <c r="F39" s="1"/>
      <c r="G39" s="34"/>
      <c r="H39" s="42"/>
      <c r="I39" s="1"/>
      <c r="J39" s="12"/>
      <c r="K39" s="78">
        <v>0</v>
      </c>
      <c r="L39" s="12">
        <v>0</v>
      </c>
      <c r="M39" s="12">
        <f t="shared" si="0"/>
        <v>-10</v>
      </c>
      <c r="O39" s="12"/>
    </row>
    <row r="40" spans="1:16" x14ac:dyDescent="0.25">
      <c r="A40">
        <v>27</v>
      </c>
      <c r="B40" s="24"/>
      <c r="C40" s="1"/>
      <c r="F40" s="1"/>
      <c r="G40" s="34"/>
      <c r="H40" s="42"/>
      <c r="I40" s="1"/>
      <c r="J40" s="12"/>
      <c r="K40" s="78">
        <v>0</v>
      </c>
      <c r="L40" s="12">
        <v>0</v>
      </c>
      <c r="M40" s="12">
        <f t="shared" si="0"/>
        <v>-10</v>
      </c>
      <c r="O40" s="12"/>
    </row>
    <row r="41" spans="1:16" x14ac:dyDescent="0.25">
      <c r="A41">
        <v>28</v>
      </c>
      <c r="B41" s="24"/>
      <c r="C41" s="1"/>
      <c r="F41" s="1"/>
      <c r="G41" s="34"/>
      <c r="H41" s="42"/>
      <c r="I41" s="1"/>
      <c r="J41" s="12"/>
      <c r="K41" s="78">
        <v>0</v>
      </c>
      <c r="L41" s="12">
        <v>0</v>
      </c>
      <c r="M41" s="12">
        <f t="shared" si="0"/>
        <v>-10</v>
      </c>
      <c r="O41" s="12"/>
    </row>
    <row r="42" spans="1:16" x14ac:dyDescent="0.25">
      <c r="A42">
        <v>29</v>
      </c>
      <c r="B42" s="24"/>
      <c r="C42" s="1"/>
      <c r="F42" s="1"/>
      <c r="G42" s="40"/>
      <c r="H42" s="42"/>
      <c r="I42" s="1"/>
      <c r="J42" s="41"/>
      <c r="K42" s="78">
        <v>0</v>
      </c>
      <c r="L42" s="41">
        <v>0</v>
      </c>
      <c r="M42" s="12">
        <f t="shared" si="0"/>
        <v>-10</v>
      </c>
      <c r="O42" s="12"/>
    </row>
    <row r="43" spans="1:16" x14ac:dyDescent="0.25">
      <c r="A43">
        <v>30</v>
      </c>
      <c r="B43" s="24"/>
      <c r="C43" s="1"/>
      <c r="F43" s="1"/>
      <c r="G43" s="40"/>
      <c r="H43" s="42"/>
      <c r="I43" s="1"/>
      <c r="J43" s="41"/>
      <c r="K43" s="78">
        <v>0</v>
      </c>
      <c r="L43" s="41">
        <v>0</v>
      </c>
      <c r="M43" s="12">
        <f t="shared" si="0"/>
        <v>-10</v>
      </c>
      <c r="O43" s="12"/>
    </row>
    <row r="44" spans="1:16" x14ac:dyDescent="0.25">
      <c r="A44">
        <v>31</v>
      </c>
      <c r="B44" s="24"/>
      <c r="C44" s="1"/>
      <c r="F44" s="1"/>
      <c r="G44" s="40"/>
      <c r="H44" s="42"/>
      <c r="I44" s="1"/>
      <c r="J44" s="41"/>
      <c r="K44" s="78">
        <v>0</v>
      </c>
      <c r="L44" s="41">
        <v>0</v>
      </c>
      <c r="M44" s="12">
        <f t="shared" si="0"/>
        <v>-10</v>
      </c>
      <c r="O44" s="12"/>
    </row>
    <row r="45" spans="1:16" x14ac:dyDescent="0.25">
      <c r="A45">
        <v>32</v>
      </c>
      <c r="B45" s="24"/>
      <c r="C45" s="1"/>
      <c r="F45" s="1"/>
      <c r="G45" s="34"/>
      <c r="H45" s="42"/>
      <c r="I45" s="1"/>
      <c r="J45" s="12"/>
      <c r="K45" s="78">
        <v>0</v>
      </c>
      <c r="L45" s="12">
        <v>0</v>
      </c>
      <c r="M45" s="12">
        <f t="shared" si="0"/>
        <v>-10</v>
      </c>
      <c r="O45" s="12"/>
    </row>
    <row r="46" spans="1:16" x14ac:dyDescent="0.25">
      <c r="A46">
        <v>33</v>
      </c>
      <c r="B46" s="24"/>
      <c r="C46" s="1"/>
      <c r="F46" s="1"/>
      <c r="G46" s="34"/>
      <c r="H46" s="42"/>
      <c r="I46" s="1"/>
      <c r="J46" s="12"/>
      <c r="K46" s="78">
        <v>0</v>
      </c>
      <c r="L46" s="12">
        <v>0</v>
      </c>
      <c r="M46" s="12">
        <f t="shared" ref="M46:M77" si="1">+M45-K46+L46</f>
        <v>-10</v>
      </c>
      <c r="O46" s="12"/>
    </row>
    <row r="47" spans="1:16" x14ac:dyDescent="0.25">
      <c r="A47">
        <v>34</v>
      </c>
      <c r="B47" s="24"/>
      <c r="C47" s="1"/>
      <c r="F47" s="1"/>
      <c r="G47" s="34"/>
      <c r="H47" s="42"/>
      <c r="I47" s="1"/>
      <c r="J47" s="12"/>
      <c r="K47" s="78">
        <v>0</v>
      </c>
      <c r="L47" s="12">
        <v>0</v>
      </c>
      <c r="M47" s="12">
        <f t="shared" si="1"/>
        <v>-10</v>
      </c>
      <c r="O47" s="12"/>
    </row>
    <row r="48" spans="1:16" x14ac:dyDescent="0.25">
      <c r="A48">
        <v>35</v>
      </c>
      <c r="B48" s="24"/>
      <c r="C48" s="1"/>
      <c r="F48" s="1"/>
      <c r="G48" s="34"/>
      <c r="H48" s="42"/>
      <c r="I48" s="1"/>
      <c r="J48" s="12"/>
      <c r="K48" s="78">
        <v>0</v>
      </c>
      <c r="L48" s="12">
        <v>0</v>
      </c>
      <c r="M48" s="12">
        <f t="shared" si="1"/>
        <v>-10</v>
      </c>
      <c r="O48" s="12"/>
    </row>
    <row r="49" spans="1:15" x14ac:dyDescent="0.25">
      <c r="A49">
        <v>36</v>
      </c>
      <c r="B49" s="24"/>
      <c r="C49" s="1"/>
      <c r="F49" s="1"/>
      <c r="G49" s="34"/>
      <c r="H49" s="42"/>
      <c r="I49" s="1"/>
      <c r="J49" s="12"/>
      <c r="K49" s="78">
        <v>0</v>
      </c>
      <c r="L49" s="12">
        <v>0</v>
      </c>
      <c r="M49" s="12">
        <f t="shared" si="1"/>
        <v>-10</v>
      </c>
      <c r="O49" s="12"/>
    </row>
    <row r="50" spans="1:15" x14ac:dyDescent="0.25">
      <c r="A50">
        <v>37</v>
      </c>
      <c r="B50" s="24"/>
      <c r="C50" s="1"/>
      <c r="F50" s="1"/>
      <c r="G50" s="34"/>
      <c r="H50" s="42"/>
      <c r="I50" s="1"/>
      <c r="J50" s="12"/>
      <c r="K50" s="78">
        <v>0</v>
      </c>
      <c r="L50" s="12">
        <v>0</v>
      </c>
      <c r="M50" s="12">
        <f t="shared" si="1"/>
        <v>-10</v>
      </c>
      <c r="O50" s="12"/>
    </row>
    <row r="51" spans="1:15" x14ac:dyDescent="0.25">
      <c r="A51">
        <v>38</v>
      </c>
      <c r="B51" s="24"/>
      <c r="C51" s="1"/>
      <c r="F51" s="1"/>
      <c r="G51" s="34"/>
      <c r="H51" s="42"/>
      <c r="I51" s="1"/>
      <c r="J51" s="12"/>
      <c r="K51" s="78">
        <v>0</v>
      </c>
      <c r="L51" s="12">
        <v>0</v>
      </c>
      <c r="M51" s="12">
        <f t="shared" si="1"/>
        <v>-10</v>
      </c>
      <c r="O51" s="12"/>
    </row>
    <row r="52" spans="1:15" x14ac:dyDescent="0.25">
      <c r="A52">
        <v>39</v>
      </c>
      <c r="B52" s="24"/>
      <c r="C52" s="1"/>
      <c r="F52" s="1"/>
      <c r="G52" s="34"/>
      <c r="H52" s="42"/>
      <c r="I52" s="1"/>
      <c r="J52" s="12"/>
      <c r="K52" s="78">
        <v>0</v>
      </c>
      <c r="L52" s="12">
        <v>0</v>
      </c>
      <c r="M52" s="12">
        <f t="shared" si="1"/>
        <v>-10</v>
      </c>
      <c r="O52" s="12"/>
    </row>
    <row r="53" spans="1:15" x14ac:dyDescent="0.25">
      <c r="A53">
        <v>40</v>
      </c>
      <c r="B53" s="24"/>
      <c r="C53" s="1"/>
      <c r="F53" s="1"/>
      <c r="G53" s="34"/>
      <c r="H53" s="42"/>
      <c r="I53" s="1"/>
      <c r="J53" s="12"/>
      <c r="K53" s="78">
        <v>0</v>
      </c>
      <c r="L53" s="12">
        <v>0</v>
      </c>
      <c r="M53" s="12">
        <f t="shared" si="1"/>
        <v>-10</v>
      </c>
      <c r="O53" s="12"/>
    </row>
    <row r="54" spans="1:15" x14ac:dyDescent="0.25">
      <c r="A54">
        <v>41</v>
      </c>
      <c r="B54" s="24"/>
      <c r="C54" s="1"/>
      <c r="F54" s="1"/>
      <c r="G54" s="34"/>
      <c r="H54" s="42"/>
      <c r="I54" s="1"/>
      <c r="J54" s="12"/>
      <c r="K54" s="78">
        <v>0</v>
      </c>
      <c r="L54" s="12">
        <v>0</v>
      </c>
      <c r="M54" s="12">
        <f t="shared" si="1"/>
        <v>-10</v>
      </c>
      <c r="O54" s="12"/>
    </row>
    <row r="55" spans="1:15" x14ac:dyDescent="0.25">
      <c r="A55">
        <v>42</v>
      </c>
      <c r="B55" s="24"/>
      <c r="C55" s="1"/>
      <c r="F55" s="1"/>
      <c r="G55" s="34"/>
      <c r="H55" s="42"/>
      <c r="I55" s="1"/>
      <c r="J55" s="12"/>
      <c r="K55" s="78">
        <v>0</v>
      </c>
      <c r="L55" s="12">
        <v>0</v>
      </c>
      <c r="M55" s="12">
        <f t="shared" si="1"/>
        <v>-10</v>
      </c>
      <c r="O55" s="12"/>
    </row>
    <row r="56" spans="1:15" x14ac:dyDescent="0.25">
      <c r="A56">
        <v>43</v>
      </c>
      <c r="B56" s="24"/>
      <c r="C56" s="1"/>
      <c r="F56" s="1"/>
      <c r="G56" s="34"/>
      <c r="H56" s="42"/>
      <c r="I56" s="1"/>
      <c r="J56" s="12"/>
      <c r="K56" s="78">
        <v>0</v>
      </c>
      <c r="L56" s="12">
        <v>0</v>
      </c>
      <c r="M56" s="12">
        <f t="shared" si="1"/>
        <v>-10</v>
      </c>
      <c r="O56" s="12"/>
    </row>
    <row r="57" spans="1:15" x14ac:dyDescent="0.25">
      <c r="A57">
        <v>44</v>
      </c>
      <c r="B57" s="24"/>
      <c r="C57" s="1"/>
      <c r="F57" s="1"/>
      <c r="G57" s="34"/>
      <c r="H57" s="42"/>
      <c r="I57" s="1"/>
      <c r="J57" s="12"/>
      <c r="K57" s="78">
        <v>0</v>
      </c>
      <c r="L57" s="12">
        <v>0</v>
      </c>
      <c r="M57" s="12">
        <f t="shared" si="1"/>
        <v>-10</v>
      </c>
      <c r="O57" s="12"/>
    </row>
    <row r="58" spans="1:15" x14ac:dyDescent="0.25">
      <c r="A58">
        <v>45</v>
      </c>
      <c r="B58" s="24"/>
      <c r="C58" s="1"/>
      <c r="F58" s="1"/>
      <c r="G58" s="34"/>
      <c r="H58" s="42"/>
      <c r="I58" s="1"/>
      <c r="J58" s="12"/>
      <c r="K58" s="78">
        <v>0</v>
      </c>
      <c r="L58" s="12">
        <v>0</v>
      </c>
      <c r="M58" s="12">
        <f t="shared" si="1"/>
        <v>-10</v>
      </c>
      <c r="O58" s="12"/>
    </row>
    <row r="59" spans="1:15" x14ac:dyDescent="0.25">
      <c r="A59">
        <v>46</v>
      </c>
      <c r="B59" s="24"/>
      <c r="C59" s="1"/>
      <c r="F59" s="1"/>
      <c r="G59" s="34"/>
      <c r="H59" s="42"/>
      <c r="I59" s="1"/>
      <c r="J59" s="12"/>
      <c r="K59" s="78">
        <v>0</v>
      </c>
      <c r="L59" s="12">
        <v>0</v>
      </c>
      <c r="M59" s="12">
        <f t="shared" si="1"/>
        <v>-10</v>
      </c>
      <c r="O59" s="12"/>
    </row>
    <row r="60" spans="1:15" x14ac:dyDescent="0.25">
      <c r="A60">
        <v>47</v>
      </c>
      <c r="B60" s="24"/>
      <c r="C60" s="1"/>
      <c r="F60" s="1"/>
      <c r="G60" s="34"/>
      <c r="H60" s="42"/>
      <c r="I60" s="1"/>
      <c r="J60" s="12"/>
      <c r="K60" s="78">
        <v>0</v>
      </c>
      <c r="L60" s="12">
        <v>0</v>
      </c>
      <c r="M60" s="12">
        <f t="shared" si="1"/>
        <v>-10</v>
      </c>
      <c r="O60" s="12"/>
    </row>
    <row r="61" spans="1:15" x14ac:dyDescent="0.25">
      <c r="A61">
        <v>48</v>
      </c>
      <c r="B61" s="24"/>
      <c r="C61" s="1"/>
      <c r="F61" s="1"/>
      <c r="G61" s="34"/>
      <c r="H61" s="42"/>
      <c r="I61" s="1"/>
      <c r="J61" s="12"/>
      <c r="K61" s="78">
        <v>0</v>
      </c>
      <c r="L61" s="12">
        <v>0</v>
      </c>
      <c r="M61" s="12">
        <f t="shared" si="1"/>
        <v>-10</v>
      </c>
      <c r="O61" s="12"/>
    </row>
    <row r="62" spans="1:15" x14ac:dyDescent="0.25">
      <c r="A62">
        <v>49</v>
      </c>
      <c r="B62" s="24"/>
      <c r="C62" s="1"/>
      <c r="F62" s="1"/>
      <c r="G62" s="34"/>
      <c r="H62" s="42"/>
      <c r="I62" s="1"/>
      <c r="J62" s="12"/>
      <c r="K62" s="78">
        <v>0</v>
      </c>
      <c r="L62" s="12">
        <v>0</v>
      </c>
      <c r="M62" s="12">
        <f t="shared" si="1"/>
        <v>-10</v>
      </c>
      <c r="O62" s="12"/>
    </row>
    <row r="63" spans="1:15" x14ac:dyDescent="0.25">
      <c r="A63">
        <v>50</v>
      </c>
      <c r="B63" s="24"/>
      <c r="C63" s="1"/>
      <c r="F63" s="1"/>
      <c r="G63" s="34"/>
      <c r="H63" s="42"/>
      <c r="I63" s="1"/>
      <c r="J63" s="12"/>
      <c r="K63" s="78">
        <v>0</v>
      </c>
      <c r="L63" s="12">
        <v>0</v>
      </c>
      <c r="M63" s="12">
        <f t="shared" si="1"/>
        <v>-10</v>
      </c>
      <c r="O63" s="12"/>
    </row>
    <row r="64" spans="1:15" x14ac:dyDescent="0.25">
      <c r="A64">
        <v>51</v>
      </c>
      <c r="B64" s="24"/>
      <c r="C64" s="1"/>
      <c r="F64" s="1"/>
      <c r="G64" s="34"/>
      <c r="H64" s="42"/>
      <c r="I64" s="1"/>
      <c r="J64" s="12"/>
      <c r="K64" s="78">
        <v>0</v>
      </c>
      <c r="L64" s="12">
        <v>0</v>
      </c>
      <c r="M64" s="12">
        <f t="shared" si="1"/>
        <v>-10</v>
      </c>
      <c r="O64" s="12"/>
    </row>
    <row r="65" spans="1:15" x14ac:dyDescent="0.25">
      <c r="A65">
        <v>52</v>
      </c>
      <c r="B65" s="24"/>
      <c r="C65" s="1"/>
      <c r="F65" s="1"/>
      <c r="G65" s="34"/>
      <c r="H65" s="42"/>
      <c r="I65" s="1"/>
      <c r="J65" s="12"/>
      <c r="K65" s="78">
        <v>0</v>
      </c>
      <c r="L65" s="12">
        <v>0</v>
      </c>
      <c r="M65" s="12">
        <f t="shared" si="1"/>
        <v>-10</v>
      </c>
      <c r="O65" s="12"/>
    </row>
    <row r="66" spans="1:15" x14ac:dyDescent="0.25">
      <c r="A66">
        <v>53</v>
      </c>
      <c r="B66" s="24"/>
      <c r="C66" s="1"/>
      <c r="F66" s="1"/>
      <c r="G66" s="34"/>
      <c r="H66" s="42"/>
      <c r="I66" s="1"/>
      <c r="J66" s="12"/>
      <c r="K66" s="78">
        <v>0</v>
      </c>
      <c r="L66" s="12">
        <v>0</v>
      </c>
      <c r="M66" s="12">
        <f t="shared" si="1"/>
        <v>-10</v>
      </c>
      <c r="O66" s="12"/>
    </row>
    <row r="67" spans="1:15" x14ac:dyDescent="0.25">
      <c r="A67">
        <v>54</v>
      </c>
      <c r="B67" s="24"/>
      <c r="C67" s="1"/>
      <c r="F67" s="1"/>
      <c r="G67" s="34"/>
      <c r="H67" s="42"/>
      <c r="I67" s="1"/>
      <c r="J67" s="12"/>
      <c r="K67" s="78">
        <v>0</v>
      </c>
      <c r="L67" s="12">
        <v>0</v>
      </c>
      <c r="M67" s="12">
        <f t="shared" si="1"/>
        <v>-10</v>
      </c>
      <c r="O67" s="12"/>
    </row>
    <row r="68" spans="1:15" x14ac:dyDescent="0.25">
      <c r="A68">
        <v>55</v>
      </c>
      <c r="B68" s="24"/>
      <c r="C68" s="1"/>
      <c r="F68" s="1"/>
      <c r="G68" s="34"/>
      <c r="H68" s="42"/>
      <c r="I68" s="1"/>
      <c r="J68" s="12"/>
      <c r="K68" s="78">
        <v>0</v>
      </c>
      <c r="L68" s="12">
        <v>0</v>
      </c>
      <c r="M68" s="12">
        <f t="shared" si="1"/>
        <v>-10</v>
      </c>
      <c r="O68" s="12"/>
    </row>
    <row r="69" spans="1:15" x14ac:dyDescent="0.25">
      <c r="A69">
        <v>56</v>
      </c>
      <c r="B69" s="24"/>
      <c r="C69" s="1"/>
      <c r="F69" s="1"/>
      <c r="G69" s="34"/>
      <c r="H69" s="42"/>
      <c r="I69" s="1"/>
      <c r="J69" s="12"/>
      <c r="K69" s="78">
        <v>0</v>
      </c>
      <c r="L69" s="12">
        <v>0</v>
      </c>
      <c r="M69" s="12">
        <f t="shared" si="1"/>
        <v>-10</v>
      </c>
      <c r="O69" s="12"/>
    </row>
    <row r="70" spans="1:15" x14ac:dyDescent="0.25">
      <c r="A70">
        <v>57</v>
      </c>
      <c r="B70" s="24"/>
      <c r="C70" s="1"/>
      <c r="F70" s="1"/>
      <c r="G70" s="34"/>
      <c r="H70" s="42"/>
      <c r="I70" s="1"/>
      <c r="J70" s="12"/>
      <c r="K70" s="78">
        <v>0</v>
      </c>
      <c r="L70" s="12">
        <v>0</v>
      </c>
      <c r="M70" s="12">
        <f t="shared" si="1"/>
        <v>-10</v>
      </c>
      <c r="O70" s="12"/>
    </row>
    <row r="71" spans="1:15" x14ac:dyDescent="0.25">
      <c r="A71">
        <v>58</v>
      </c>
      <c r="B71" s="24"/>
      <c r="C71" s="1"/>
      <c r="F71" s="1"/>
      <c r="G71" s="34"/>
      <c r="H71" s="42"/>
      <c r="I71" s="1"/>
      <c r="J71" s="12"/>
      <c r="K71" s="78">
        <v>0</v>
      </c>
      <c r="L71" s="12">
        <v>0</v>
      </c>
      <c r="M71" s="12">
        <f t="shared" si="1"/>
        <v>-10</v>
      </c>
      <c r="O71" s="12"/>
    </row>
    <row r="72" spans="1:15" x14ac:dyDescent="0.25">
      <c r="A72">
        <v>59</v>
      </c>
      <c r="B72" s="24"/>
      <c r="C72" s="1"/>
      <c r="F72" s="1"/>
      <c r="G72" s="34"/>
      <c r="H72" s="42"/>
      <c r="I72" s="1"/>
      <c r="J72" s="12"/>
      <c r="K72" s="78">
        <v>0</v>
      </c>
      <c r="L72" s="12">
        <v>0</v>
      </c>
      <c r="M72" s="12">
        <f t="shared" si="1"/>
        <v>-10</v>
      </c>
      <c r="O72" s="12"/>
    </row>
    <row r="73" spans="1:15" x14ac:dyDescent="0.25">
      <c r="A73">
        <v>60</v>
      </c>
      <c r="B73" s="24"/>
      <c r="C73" s="1"/>
      <c r="F73" s="1"/>
      <c r="G73" s="34"/>
      <c r="H73" s="42"/>
      <c r="I73" s="1"/>
      <c r="J73" s="12"/>
      <c r="K73" s="78">
        <v>0</v>
      </c>
      <c r="L73" s="12">
        <v>0</v>
      </c>
      <c r="M73" s="12">
        <f t="shared" si="1"/>
        <v>-10</v>
      </c>
      <c r="O73" s="12"/>
    </row>
    <row r="74" spans="1:15" x14ac:dyDescent="0.25">
      <c r="A74">
        <v>61</v>
      </c>
      <c r="B74" s="24"/>
      <c r="C74" s="1"/>
      <c r="F74" s="1"/>
      <c r="G74" s="34"/>
      <c r="H74" s="42"/>
      <c r="I74" s="1"/>
      <c r="J74" s="12"/>
      <c r="K74" s="78">
        <v>0</v>
      </c>
      <c r="L74" s="12">
        <v>0</v>
      </c>
      <c r="M74" s="12">
        <f t="shared" si="1"/>
        <v>-10</v>
      </c>
      <c r="O74" s="12"/>
    </row>
    <row r="75" spans="1:15" x14ac:dyDescent="0.25">
      <c r="A75">
        <v>62</v>
      </c>
      <c r="B75" s="24"/>
      <c r="C75" s="1"/>
      <c r="F75" s="1"/>
      <c r="G75" s="34"/>
      <c r="H75" s="42"/>
      <c r="I75" s="1"/>
      <c r="J75" s="12"/>
      <c r="K75" s="78">
        <v>0</v>
      </c>
      <c r="L75" s="12">
        <v>0</v>
      </c>
      <c r="M75" s="12">
        <f t="shared" si="1"/>
        <v>-10</v>
      </c>
      <c r="O75" s="12"/>
    </row>
    <row r="76" spans="1:15" x14ac:dyDescent="0.25">
      <c r="A76">
        <v>63</v>
      </c>
      <c r="B76" s="24"/>
      <c r="C76" s="1"/>
      <c r="F76" s="1"/>
      <c r="G76" s="34"/>
      <c r="H76" s="42"/>
      <c r="I76" s="1"/>
      <c r="J76" s="12"/>
      <c r="K76" s="78">
        <v>0</v>
      </c>
      <c r="L76" s="12">
        <v>0</v>
      </c>
      <c r="M76" s="12">
        <f t="shared" si="1"/>
        <v>-10</v>
      </c>
      <c r="O76" s="12"/>
    </row>
    <row r="77" spans="1:15" x14ac:dyDescent="0.25">
      <c r="A77">
        <v>64</v>
      </c>
      <c r="B77" s="24"/>
      <c r="C77" s="1"/>
      <c r="F77" s="1"/>
      <c r="G77" s="34"/>
      <c r="H77" s="42"/>
      <c r="I77" s="1"/>
      <c r="J77" s="12"/>
      <c r="K77" s="78">
        <v>0</v>
      </c>
      <c r="L77" s="12">
        <v>0</v>
      </c>
      <c r="M77" s="12">
        <f t="shared" si="1"/>
        <v>-10</v>
      </c>
      <c r="O77" s="12"/>
    </row>
    <row r="78" spans="1:15" x14ac:dyDescent="0.25">
      <c r="A78">
        <v>65</v>
      </c>
      <c r="B78" s="24"/>
      <c r="C78" s="1"/>
      <c r="F78" s="1"/>
      <c r="G78" s="34"/>
      <c r="H78" s="42"/>
      <c r="I78" s="1"/>
      <c r="J78" s="12"/>
      <c r="K78" s="78">
        <v>0</v>
      </c>
      <c r="L78" s="12">
        <v>0</v>
      </c>
      <c r="M78" s="12">
        <f t="shared" ref="M78:M104" si="2">+M77-K78+L78</f>
        <v>-10</v>
      </c>
      <c r="O78" s="12"/>
    </row>
    <row r="79" spans="1:15" x14ac:dyDescent="0.25">
      <c r="A79">
        <v>66</v>
      </c>
      <c r="B79" s="24"/>
      <c r="C79" s="1"/>
      <c r="F79" s="1"/>
      <c r="G79" s="34"/>
      <c r="H79" s="42"/>
      <c r="I79" s="1"/>
      <c r="J79" s="12"/>
      <c r="K79" s="78">
        <v>0</v>
      </c>
      <c r="L79" s="12">
        <v>0</v>
      </c>
      <c r="M79" s="12">
        <f t="shared" si="2"/>
        <v>-10</v>
      </c>
      <c r="O79" s="12"/>
    </row>
    <row r="80" spans="1:15" x14ac:dyDescent="0.25">
      <c r="A80">
        <v>67</v>
      </c>
      <c r="B80" s="24"/>
      <c r="C80" s="1"/>
      <c r="F80" s="1"/>
      <c r="G80" s="40"/>
      <c r="H80" s="42"/>
      <c r="I80" s="1"/>
      <c r="J80" s="41"/>
      <c r="K80" s="78">
        <v>0</v>
      </c>
      <c r="L80" s="12">
        <v>0</v>
      </c>
      <c r="M80" s="12">
        <f t="shared" si="2"/>
        <v>-10</v>
      </c>
      <c r="O80" s="12"/>
    </row>
    <row r="81" spans="1:15" x14ac:dyDescent="0.25">
      <c r="A81">
        <v>68</v>
      </c>
      <c r="B81" s="24"/>
      <c r="C81" s="1"/>
      <c r="F81" s="1"/>
      <c r="G81" s="40"/>
      <c r="H81" s="42"/>
      <c r="I81" s="1"/>
      <c r="J81" s="41"/>
      <c r="K81" s="78">
        <v>0</v>
      </c>
      <c r="L81" s="12">
        <v>0</v>
      </c>
      <c r="M81" s="12">
        <f t="shared" si="2"/>
        <v>-10</v>
      </c>
      <c r="O81" s="12"/>
    </row>
    <row r="82" spans="1:15" x14ac:dyDescent="0.25">
      <c r="A82">
        <v>69</v>
      </c>
      <c r="B82" s="24"/>
      <c r="C82" s="1"/>
      <c r="F82" s="1"/>
      <c r="G82" s="40"/>
      <c r="H82" s="42"/>
      <c r="I82" s="1"/>
      <c r="J82" s="41"/>
      <c r="K82" s="78">
        <v>0</v>
      </c>
      <c r="L82" s="12">
        <v>0</v>
      </c>
      <c r="M82" s="12">
        <f t="shared" si="2"/>
        <v>-10</v>
      </c>
      <c r="O82" s="12"/>
    </row>
    <row r="83" spans="1:15" x14ac:dyDescent="0.25">
      <c r="A83">
        <v>70</v>
      </c>
      <c r="B83" s="24"/>
      <c r="C83" s="1"/>
      <c r="F83" s="1"/>
      <c r="G83" s="34"/>
      <c r="H83" s="42"/>
      <c r="I83" s="1"/>
      <c r="J83" s="12"/>
      <c r="K83" s="78">
        <v>0</v>
      </c>
      <c r="L83" s="12">
        <v>0</v>
      </c>
      <c r="M83" s="12">
        <f t="shared" si="2"/>
        <v>-10</v>
      </c>
      <c r="O83" s="12"/>
    </row>
    <row r="84" spans="1:15" x14ac:dyDescent="0.25">
      <c r="A84">
        <v>71</v>
      </c>
      <c r="B84" s="24"/>
      <c r="C84" s="1"/>
      <c r="F84" s="1"/>
      <c r="G84" s="34"/>
      <c r="H84" s="42"/>
      <c r="I84" s="1"/>
      <c r="J84" s="12"/>
      <c r="K84" s="78">
        <v>0</v>
      </c>
      <c r="L84" s="12">
        <v>0</v>
      </c>
      <c r="M84" s="12">
        <f t="shared" si="2"/>
        <v>-10</v>
      </c>
      <c r="O84" s="12"/>
    </row>
    <row r="85" spans="1:15" x14ac:dyDescent="0.25">
      <c r="A85">
        <v>72</v>
      </c>
      <c r="B85" s="24"/>
      <c r="C85" s="1"/>
      <c r="F85" s="1"/>
      <c r="G85" s="34"/>
      <c r="H85" s="42"/>
      <c r="I85" s="1"/>
      <c r="J85" s="12"/>
      <c r="K85" s="78">
        <v>0</v>
      </c>
      <c r="L85" s="12">
        <v>0</v>
      </c>
      <c r="M85" s="12">
        <f t="shared" si="2"/>
        <v>-10</v>
      </c>
      <c r="O85" s="12"/>
    </row>
    <row r="86" spans="1:15" x14ac:dyDescent="0.25">
      <c r="A86">
        <v>73</v>
      </c>
      <c r="B86" s="24"/>
      <c r="C86" s="1"/>
      <c r="F86" s="1"/>
      <c r="G86" s="34"/>
      <c r="H86" s="42"/>
      <c r="I86" s="1"/>
      <c r="J86" s="12"/>
      <c r="K86" s="78">
        <v>0</v>
      </c>
      <c r="L86" s="12">
        <v>0</v>
      </c>
      <c r="M86" s="12">
        <f t="shared" si="2"/>
        <v>-10</v>
      </c>
      <c r="O86" s="12"/>
    </row>
    <row r="87" spans="1:15" x14ac:dyDescent="0.25">
      <c r="A87">
        <v>74</v>
      </c>
      <c r="B87" s="24"/>
      <c r="C87" s="1"/>
      <c r="F87" s="1"/>
      <c r="G87" s="34"/>
      <c r="H87" s="42"/>
      <c r="I87" s="1"/>
      <c r="J87" s="12"/>
      <c r="K87" s="78">
        <v>0</v>
      </c>
      <c r="L87" s="12">
        <v>0</v>
      </c>
      <c r="M87" s="12">
        <f t="shared" si="2"/>
        <v>-10</v>
      </c>
      <c r="O87" s="12"/>
    </row>
    <row r="88" spans="1:15" x14ac:dyDescent="0.25">
      <c r="A88">
        <v>75</v>
      </c>
      <c r="B88" s="24"/>
      <c r="C88" s="1"/>
      <c r="F88" s="1"/>
      <c r="G88" s="34"/>
      <c r="H88" s="42"/>
      <c r="I88" s="1"/>
      <c r="J88" s="12"/>
      <c r="K88" s="78">
        <v>0</v>
      </c>
      <c r="L88" s="12">
        <v>0</v>
      </c>
      <c r="M88" s="12">
        <f t="shared" si="2"/>
        <v>-10</v>
      </c>
      <c r="O88" s="12"/>
    </row>
    <row r="89" spans="1:15" x14ac:dyDescent="0.25">
      <c r="A89">
        <v>76</v>
      </c>
      <c r="B89" s="24"/>
      <c r="C89" s="24"/>
      <c r="F89" s="1"/>
      <c r="G89" s="34"/>
      <c r="H89" s="42"/>
      <c r="I89" s="1"/>
      <c r="J89" s="12"/>
      <c r="K89" s="78">
        <v>0</v>
      </c>
      <c r="L89" s="12">
        <v>0</v>
      </c>
      <c r="M89" s="12">
        <f t="shared" si="2"/>
        <v>-10</v>
      </c>
      <c r="O89" s="12"/>
    </row>
    <row r="90" spans="1:15" x14ac:dyDescent="0.25">
      <c r="A90">
        <v>77</v>
      </c>
      <c r="B90" s="24"/>
      <c r="C90" s="24"/>
      <c r="F90" s="1"/>
      <c r="G90" s="34"/>
      <c r="H90" s="42"/>
      <c r="I90" s="1"/>
      <c r="J90" s="12"/>
      <c r="K90" s="78">
        <v>0</v>
      </c>
      <c r="L90" s="12">
        <v>0</v>
      </c>
      <c r="M90" s="12">
        <f t="shared" si="2"/>
        <v>-10</v>
      </c>
      <c r="O90" s="12"/>
    </row>
    <row r="91" spans="1:15" x14ac:dyDescent="0.25">
      <c r="A91">
        <v>78</v>
      </c>
      <c r="B91" s="24"/>
      <c r="C91" s="24"/>
      <c r="F91" s="1"/>
      <c r="G91" s="34"/>
      <c r="H91" s="42"/>
      <c r="I91" s="1"/>
      <c r="J91" s="12"/>
      <c r="K91" s="78">
        <v>0</v>
      </c>
      <c r="L91" s="12">
        <v>0</v>
      </c>
      <c r="M91" s="12">
        <f t="shared" si="2"/>
        <v>-10</v>
      </c>
      <c r="O91" s="12"/>
    </row>
    <row r="92" spans="1:15" x14ac:dyDescent="0.25">
      <c r="A92">
        <v>79</v>
      </c>
      <c r="B92" s="24"/>
      <c r="C92" s="24"/>
      <c r="F92" s="1"/>
      <c r="G92" s="34"/>
      <c r="H92" s="42"/>
      <c r="I92" s="1"/>
      <c r="J92" s="12"/>
      <c r="K92" s="78">
        <v>0</v>
      </c>
      <c r="L92" s="12">
        <v>0</v>
      </c>
      <c r="M92" s="12">
        <f t="shared" si="2"/>
        <v>-10</v>
      </c>
      <c r="O92" s="12"/>
    </row>
    <row r="93" spans="1:15" x14ac:dyDescent="0.25">
      <c r="A93">
        <v>80</v>
      </c>
      <c r="B93" s="24"/>
      <c r="C93" s="1"/>
      <c r="F93" s="1"/>
      <c r="G93" s="34"/>
      <c r="H93" s="42"/>
      <c r="I93" s="35"/>
      <c r="J93" s="12"/>
      <c r="K93" s="78">
        <v>0</v>
      </c>
      <c r="L93" s="12">
        <v>0</v>
      </c>
      <c r="M93" s="12">
        <f t="shared" si="2"/>
        <v>-10</v>
      </c>
    </row>
    <row r="94" spans="1:15" x14ac:dyDescent="0.25">
      <c r="A94">
        <v>81</v>
      </c>
      <c r="B94" s="24"/>
      <c r="C94" s="1"/>
      <c r="F94" s="1"/>
      <c r="G94" s="34"/>
      <c r="H94" s="42"/>
      <c r="I94" s="35"/>
      <c r="J94" s="12"/>
      <c r="K94" s="78">
        <v>0</v>
      </c>
      <c r="L94" s="12">
        <v>0</v>
      </c>
      <c r="M94" s="12">
        <f t="shared" si="2"/>
        <v>-10</v>
      </c>
    </row>
    <row r="95" spans="1:15" x14ac:dyDescent="0.25">
      <c r="A95">
        <v>82</v>
      </c>
      <c r="B95" s="24"/>
      <c r="C95" s="1"/>
      <c r="F95" s="1"/>
      <c r="G95" s="34"/>
      <c r="H95" s="42"/>
      <c r="I95" s="35"/>
      <c r="J95" s="12"/>
      <c r="K95" s="78">
        <v>0</v>
      </c>
      <c r="L95" s="12">
        <v>0</v>
      </c>
      <c r="M95" s="12">
        <f t="shared" si="2"/>
        <v>-10</v>
      </c>
    </row>
    <row r="96" spans="1:15" x14ac:dyDescent="0.25">
      <c r="A96">
        <v>83</v>
      </c>
      <c r="B96" s="24"/>
      <c r="C96" s="1"/>
      <c r="F96" s="1"/>
      <c r="G96" s="34"/>
      <c r="H96" s="42"/>
      <c r="I96" s="35"/>
      <c r="J96" s="12"/>
      <c r="K96" s="78">
        <v>0</v>
      </c>
      <c r="L96" s="12">
        <v>0</v>
      </c>
      <c r="M96" s="12">
        <f t="shared" si="2"/>
        <v>-10</v>
      </c>
    </row>
    <row r="97" spans="1:13" x14ac:dyDescent="0.25">
      <c r="A97">
        <v>84</v>
      </c>
      <c r="B97" s="24"/>
      <c r="C97" s="1"/>
      <c r="F97" s="1"/>
      <c r="G97" s="34"/>
      <c r="H97" s="42"/>
      <c r="I97" s="1"/>
      <c r="J97" s="12"/>
      <c r="K97" s="78">
        <v>0</v>
      </c>
      <c r="L97" s="12">
        <v>0</v>
      </c>
      <c r="M97" s="12">
        <f t="shared" si="2"/>
        <v>-10</v>
      </c>
    </row>
    <row r="98" spans="1:13" x14ac:dyDescent="0.25">
      <c r="A98">
        <v>85</v>
      </c>
      <c r="B98" s="24"/>
      <c r="C98" s="1"/>
      <c r="F98" s="1"/>
      <c r="G98" s="34"/>
      <c r="H98" s="42"/>
      <c r="I98" s="1"/>
      <c r="J98" s="12"/>
      <c r="K98" s="78">
        <v>0</v>
      </c>
      <c r="L98" s="12">
        <v>0</v>
      </c>
      <c r="M98" s="12">
        <f t="shared" si="2"/>
        <v>-10</v>
      </c>
    </row>
    <row r="99" spans="1:13" x14ac:dyDescent="0.25">
      <c r="A99">
        <v>86</v>
      </c>
      <c r="B99" s="24"/>
      <c r="C99" s="1"/>
      <c r="F99" s="1"/>
      <c r="G99" s="40"/>
      <c r="H99" s="42"/>
      <c r="I99" s="1"/>
      <c r="J99" s="41"/>
      <c r="K99" s="78">
        <v>0</v>
      </c>
      <c r="L99" s="12">
        <v>0</v>
      </c>
      <c r="M99" s="12">
        <f t="shared" si="2"/>
        <v>-10</v>
      </c>
    </row>
    <row r="100" spans="1:13" x14ac:dyDescent="0.25">
      <c r="A100">
        <v>87</v>
      </c>
      <c r="B100" s="24"/>
      <c r="C100" s="1"/>
      <c r="F100" s="1"/>
      <c r="G100" s="34"/>
      <c r="H100" s="42"/>
      <c r="I100" s="1"/>
      <c r="J100" s="12"/>
      <c r="K100" s="78">
        <v>0</v>
      </c>
      <c r="L100" s="12">
        <v>0</v>
      </c>
      <c r="M100" s="12">
        <f t="shared" si="2"/>
        <v>-10</v>
      </c>
    </row>
    <row r="101" spans="1:13" x14ac:dyDescent="0.25">
      <c r="A101">
        <v>88</v>
      </c>
      <c r="B101" s="24"/>
      <c r="C101" s="1"/>
      <c r="D101" s="51"/>
      <c r="F101" s="1"/>
      <c r="G101" s="40"/>
      <c r="H101" s="42"/>
      <c r="I101" s="1"/>
      <c r="J101" s="41"/>
      <c r="K101" s="78">
        <v>0</v>
      </c>
      <c r="L101" s="12">
        <v>0</v>
      </c>
      <c r="M101" s="12">
        <f t="shared" si="2"/>
        <v>-10</v>
      </c>
    </row>
    <row r="102" spans="1:13" x14ac:dyDescent="0.25">
      <c r="B102" s="24"/>
      <c r="C102" s="1"/>
      <c r="G102" s="34"/>
      <c r="H102" s="42"/>
      <c r="I102" s="1"/>
      <c r="J102" s="12"/>
      <c r="K102" s="78">
        <v>0</v>
      </c>
      <c r="L102" s="12">
        <v>0</v>
      </c>
      <c r="M102" s="12">
        <f t="shared" si="2"/>
        <v>-10</v>
      </c>
    </row>
    <row r="103" spans="1:13" x14ac:dyDescent="0.25">
      <c r="B103" s="24"/>
      <c r="C103" s="1"/>
      <c r="F103" s="1"/>
      <c r="G103" s="34"/>
      <c r="H103" s="42"/>
      <c r="I103" s="1"/>
      <c r="J103" s="12"/>
      <c r="K103" s="78">
        <v>0</v>
      </c>
      <c r="L103" s="12">
        <v>0</v>
      </c>
      <c r="M103" s="12">
        <f t="shared" si="2"/>
        <v>-10</v>
      </c>
    </row>
    <row r="104" spans="1:13" ht="15.75" thickBot="1" x14ac:dyDescent="0.3">
      <c r="K104" s="77">
        <v>0</v>
      </c>
      <c r="L104" s="12">
        <v>0</v>
      </c>
      <c r="M104" s="12">
        <f t="shared" si="2"/>
        <v>-10</v>
      </c>
    </row>
    <row r="105" spans="1:13" s="16" customFormat="1" ht="19.5" thickBot="1" x14ac:dyDescent="0.35">
      <c r="A105" s="57"/>
      <c r="B105" s="63" t="s">
        <v>2</v>
      </c>
      <c r="C105" s="59"/>
      <c r="D105" s="59"/>
      <c r="E105" s="60"/>
      <c r="F105" s="59"/>
      <c r="G105" s="59"/>
      <c r="H105" s="59"/>
      <c r="I105" s="59"/>
      <c r="J105" s="59"/>
      <c r="K105" s="61">
        <f>SUM(K14:K104)</f>
        <v>10</v>
      </c>
      <c r="L105" s="61"/>
      <c r="M105" s="62">
        <f>+M104</f>
        <v>-10</v>
      </c>
    </row>
    <row r="108" spans="1:13" x14ac:dyDescent="0.25">
      <c r="C108" s="38"/>
    </row>
    <row r="109" spans="1:13" x14ac:dyDescent="0.25">
      <c r="C109" s="38"/>
    </row>
    <row r="110" spans="1:13" x14ac:dyDescent="0.25">
      <c r="C110" s="38"/>
    </row>
    <row r="111" spans="1:13" x14ac:dyDescent="0.25">
      <c r="C111" s="38"/>
    </row>
    <row r="112" spans="1:13" x14ac:dyDescent="0.25">
      <c r="C112" s="38"/>
    </row>
    <row r="113" spans="2:3" x14ac:dyDescent="0.25">
      <c r="C113" s="38"/>
    </row>
    <row r="114" spans="2:3" x14ac:dyDescent="0.25">
      <c r="C114" s="38"/>
    </row>
    <row r="115" spans="2:3" x14ac:dyDescent="0.25">
      <c r="C115" s="38"/>
    </row>
    <row r="116" spans="2:3" x14ac:dyDescent="0.25">
      <c r="C116" s="38"/>
    </row>
    <row r="117" spans="2:3" x14ac:dyDescent="0.25">
      <c r="C117" s="38"/>
    </row>
    <row r="118" spans="2:3" x14ac:dyDescent="0.25">
      <c r="C118" s="38"/>
    </row>
    <row r="119" spans="2:3" x14ac:dyDescent="0.25">
      <c r="C119" s="38"/>
    </row>
    <row r="120" spans="2:3" x14ac:dyDescent="0.25">
      <c r="C120" s="38"/>
    </row>
    <row r="121" spans="2:3" x14ac:dyDescent="0.25">
      <c r="C121" s="38"/>
    </row>
    <row r="122" spans="2:3" x14ac:dyDescent="0.25">
      <c r="B122" s="112"/>
      <c r="C122" s="113"/>
    </row>
  </sheetData>
  <autoFilter ref="B12:M105" xr:uid="{E5EAD264-4387-496D-859B-2A2D9DF68837}"/>
  <mergeCells count="2">
    <mergeCell ref="J4:M4"/>
    <mergeCell ref="L6:M6"/>
  </mergeCells>
  <phoneticPr fontId="9" type="noConversion"/>
  <pageMargins left="0.7" right="0.7" top="0.75" bottom="0.75" header="0.3" footer="0.3"/>
  <pageSetup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05589-1F81-4444-A7AE-7800BCCDF4AA}">
  <sheetPr>
    <tabColor rgb="FFFF0000"/>
  </sheetPr>
  <dimension ref="A3:O76"/>
  <sheetViews>
    <sheetView topLeftCell="D4" zoomScale="70" zoomScaleNormal="70" workbookViewId="0">
      <pane ySplit="12" topLeftCell="A55" activePane="bottomLeft" state="frozen"/>
      <selection activeCell="G4" sqref="G4"/>
      <selection pane="bottomLeft" activeCell="D15" sqref="D15"/>
    </sheetView>
  </sheetViews>
  <sheetFormatPr baseColWidth="10" defaultRowHeight="15" x14ac:dyDescent="0.25"/>
  <cols>
    <col min="1" max="1" width="3" bestFit="1" customWidth="1"/>
    <col min="3" max="3" width="20.140625" bestFit="1" customWidth="1"/>
    <col min="4" max="4" width="72.28515625" bestFit="1" customWidth="1"/>
    <col min="5" max="5" width="27.7109375" style="1" customWidth="1"/>
    <col min="6" max="6" width="22" bestFit="1" customWidth="1"/>
    <col min="7" max="7" width="50.7109375" bestFit="1" customWidth="1"/>
    <col min="8" max="8" width="24.5703125" customWidth="1"/>
    <col min="9" max="9" width="15.7109375" customWidth="1"/>
    <col min="10" max="10" width="16.42578125" customWidth="1"/>
    <col min="11" max="13" width="19.85546875" bestFit="1" customWidth="1"/>
  </cols>
  <sheetData>
    <row r="3" spans="1:15" x14ac:dyDescent="0.25">
      <c r="I3" s="1"/>
    </row>
    <row r="4" spans="1:15" ht="18.75" x14ac:dyDescent="0.3">
      <c r="I4" s="108"/>
      <c r="J4" s="114"/>
      <c r="K4" s="114"/>
      <c r="L4" s="114"/>
      <c r="M4" s="114"/>
    </row>
    <row r="5" spans="1:15" ht="18.75" x14ac:dyDescent="0.3">
      <c r="I5" s="108"/>
      <c r="J5" s="110"/>
      <c r="K5" s="110"/>
      <c r="L5" s="110"/>
      <c r="M5" s="110"/>
    </row>
    <row r="6" spans="1:15" ht="18.75" x14ac:dyDescent="0.3">
      <c r="I6" s="108"/>
      <c r="J6" s="110"/>
      <c r="K6" s="110"/>
      <c r="L6" s="110"/>
      <c r="M6" s="110"/>
    </row>
    <row r="7" spans="1:15" ht="19.5" thickBot="1" x14ac:dyDescent="0.35">
      <c r="I7" s="18"/>
      <c r="J7" s="16"/>
      <c r="K7" s="16"/>
      <c r="L7" s="16"/>
      <c r="M7" s="16"/>
    </row>
    <row r="8" spans="1:15" ht="19.5" thickBot="1" x14ac:dyDescent="0.35">
      <c r="F8" s="17" t="s">
        <v>7</v>
      </c>
      <c r="G8" s="67" t="s">
        <v>9</v>
      </c>
      <c r="H8" s="68"/>
      <c r="I8" s="108"/>
      <c r="J8" s="109"/>
      <c r="K8" s="109"/>
      <c r="L8" s="115"/>
      <c r="M8" s="115"/>
    </row>
    <row r="9" spans="1:15" ht="19.5" thickBot="1" x14ac:dyDescent="0.35">
      <c r="I9" s="19"/>
      <c r="J9" s="3"/>
      <c r="K9" s="3"/>
      <c r="L9" s="3"/>
      <c r="M9" s="3"/>
    </row>
    <row r="10" spans="1:15" ht="19.5" thickBot="1" x14ac:dyDescent="0.35">
      <c r="F10" s="17" t="s">
        <v>8</v>
      </c>
      <c r="G10" s="74" t="s">
        <v>68</v>
      </c>
      <c r="H10" s="75"/>
    </row>
    <row r="11" spans="1:15" ht="18.75" x14ac:dyDescent="0.3">
      <c r="F11" s="108"/>
      <c r="G11" s="109"/>
      <c r="H11" s="109"/>
    </row>
    <row r="14" spans="1:15" ht="15.75" thickBot="1" x14ac:dyDescent="0.3"/>
    <row r="15" spans="1:15" s="6" customFormat="1" ht="16.5" thickBot="1" x14ac:dyDescent="0.3">
      <c r="A15" s="66"/>
      <c r="B15" s="15" t="s">
        <v>0</v>
      </c>
      <c r="C15" s="15" t="s">
        <v>10</v>
      </c>
      <c r="D15" s="15" t="s">
        <v>79</v>
      </c>
      <c r="E15" s="15"/>
      <c r="F15" s="15"/>
      <c r="G15" s="15"/>
      <c r="H15" s="15"/>
      <c r="I15" s="15"/>
      <c r="J15" s="15"/>
      <c r="K15" s="15" t="s">
        <v>3</v>
      </c>
      <c r="L15" s="15" t="s">
        <v>4</v>
      </c>
      <c r="M15" s="15" t="s">
        <v>5</v>
      </c>
      <c r="N15" s="5"/>
      <c r="O15" s="5"/>
    </row>
    <row r="16" spans="1:15" x14ac:dyDescent="0.25">
      <c r="B16" s="24"/>
      <c r="C16" s="1"/>
      <c r="K16" s="77"/>
      <c r="L16" s="12"/>
      <c r="M16" s="12">
        <v>0</v>
      </c>
    </row>
    <row r="17" spans="1:13" x14ac:dyDescent="0.25">
      <c r="A17">
        <v>1</v>
      </c>
      <c r="B17" s="24"/>
      <c r="C17" s="1"/>
      <c r="F17" s="1"/>
      <c r="G17" s="40"/>
      <c r="H17" s="42"/>
      <c r="I17" s="1"/>
      <c r="J17" s="41"/>
      <c r="K17" s="78">
        <v>0</v>
      </c>
      <c r="L17" s="12">
        <v>0</v>
      </c>
      <c r="M17" s="12">
        <f>+M16-K17+L17</f>
        <v>0</v>
      </c>
    </row>
    <row r="18" spans="1:13" x14ac:dyDescent="0.25">
      <c r="A18">
        <v>2</v>
      </c>
      <c r="B18" s="24"/>
      <c r="C18" s="1"/>
      <c r="F18" s="1"/>
      <c r="G18" s="34"/>
      <c r="H18" s="42"/>
      <c r="I18" s="1"/>
      <c r="J18" s="12"/>
      <c r="K18" s="78">
        <v>0</v>
      </c>
      <c r="L18" s="12">
        <v>0</v>
      </c>
      <c r="M18" s="12">
        <f t="shared" ref="M18:M74" si="0">+M17-K18+L18</f>
        <v>0</v>
      </c>
    </row>
    <row r="19" spans="1:13" x14ac:dyDescent="0.25">
      <c r="A19">
        <v>3</v>
      </c>
      <c r="B19" s="24"/>
      <c r="C19" s="1"/>
      <c r="F19" s="1"/>
      <c r="G19" s="34"/>
      <c r="H19" s="42"/>
      <c r="I19" s="1"/>
      <c r="J19" s="12"/>
      <c r="K19" s="78">
        <v>0</v>
      </c>
      <c r="L19" s="12">
        <v>0</v>
      </c>
      <c r="M19" s="12">
        <f t="shared" si="0"/>
        <v>0</v>
      </c>
    </row>
    <row r="20" spans="1:13" x14ac:dyDescent="0.25">
      <c r="A20">
        <v>4</v>
      </c>
      <c r="B20" s="24"/>
      <c r="C20" s="1"/>
      <c r="F20" s="1"/>
      <c r="G20" s="34"/>
      <c r="H20" s="42"/>
      <c r="I20" s="1"/>
      <c r="J20" s="12"/>
      <c r="K20" s="78">
        <v>0</v>
      </c>
      <c r="L20" s="12">
        <v>0</v>
      </c>
      <c r="M20" s="12">
        <f t="shared" si="0"/>
        <v>0</v>
      </c>
    </row>
    <row r="21" spans="1:13" x14ac:dyDescent="0.25">
      <c r="A21">
        <v>5</v>
      </c>
      <c r="B21" s="24"/>
      <c r="C21" s="1"/>
      <c r="F21" s="1"/>
      <c r="G21" s="34"/>
      <c r="H21" s="42"/>
      <c r="I21" s="1"/>
      <c r="J21" s="12"/>
      <c r="K21" s="78">
        <v>0</v>
      </c>
      <c r="L21" s="12">
        <v>0</v>
      </c>
      <c r="M21" s="12">
        <f t="shared" si="0"/>
        <v>0</v>
      </c>
    </row>
    <row r="22" spans="1:13" x14ac:dyDescent="0.25">
      <c r="A22">
        <v>6</v>
      </c>
      <c r="B22" s="24"/>
      <c r="C22" s="1"/>
      <c r="F22" s="1"/>
      <c r="G22" s="34"/>
      <c r="H22" s="42"/>
      <c r="I22" s="1"/>
      <c r="J22" s="12"/>
      <c r="K22" s="78">
        <v>0</v>
      </c>
      <c r="L22" s="12">
        <v>0</v>
      </c>
      <c r="M22" s="12">
        <f t="shared" si="0"/>
        <v>0</v>
      </c>
    </row>
    <row r="23" spans="1:13" x14ac:dyDescent="0.25">
      <c r="A23">
        <v>7</v>
      </c>
      <c r="B23" s="24"/>
      <c r="C23" s="1"/>
      <c r="F23" s="1"/>
      <c r="G23" s="34"/>
      <c r="H23" s="42"/>
      <c r="I23" s="1"/>
      <c r="J23" s="12"/>
      <c r="K23" s="78">
        <v>0</v>
      </c>
      <c r="L23" s="12">
        <v>0</v>
      </c>
      <c r="M23" s="12">
        <f t="shared" si="0"/>
        <v>0</v>
      </c>
    </row>
    <row r="24" spans="1:13" x14ac:dyDescent="0.25">
      <c r="A24">
        <v>8</v>
      </c>
      <c r="B24" s="24"/>
      <c r="C24" s="1"/>
      <c r="F24" s="1"/>
      <c r="G24" s="34"/>
      <c r="H24" s="42"/>
      <c r="I24" s="1"/>
      <c r="J24" s="12"/>
      <c r="K24" s="78">
        <v>0</v>
      </c>
      <c r="L24" s="12">
        <v>0</v>
      </c>
      <c r="M24" s="12">
        <f t="shared" si="0"/>
        <v>0</v>
      </c>
    </row>
    <row r="25" spans="1:13" x14ac:dyDescent="0.25">
      <c r="A25">
        <v>9</v>
      </c>
      <c r="B25" s="24"/>
      <c r="C25" s="1"/>
      <c r="F25" s="1"/>
      <c r="G25" s="34"/>
      <c r="H25" s="42"/>
      <c r="I25" s="1"/>
      <c r="J25" s="12"/>
      <c r="K25" s="78">
        <v>0</v>
      </c>
      <c r="L25" s="12">
        <v>0</v>
      </c>
      <c r="M25" s="12">
        <f t="shared" si="0"/>
        <v>0</v>
      </c>
    </row>
    <row r="26" spans="1:13" x14ac:dyDescent="0.25">
      <c r="A26">
        <v>10</v>
      </c>
      <c r="B26" s="24"/>
      <c r="C26" s="1"/>
      <c r="F26" s="1"/>
      <c r="G26" s="34"/>
      <c r="H26" s="42"/>
      <c r="I26" s="1"/>
      <c r="J26" s="12"/>
      <c r="K26" s="78">
        <v>0</v>
      </c>
      <c r="L26" s="12">
        <v>0</v>
      </c>
      <c r="M26" s="12">
        <f t="shared" si="0"/>
        <v>0</v>
      </c>
    </row>
    <row r="27" spans="1:13" x14ac:dyDescent="0.25">
      <c r="A27">
        <v>11</v>
      </c>
      <c r="B27" s="24"/>
      <c r="C27" s="1"/>
      <c r="F27" s="1"/>
      <c r="G27" s="34"/>
      <c r="H27" s="42"/>
      <c r="I27" s="1"/>
      <c r="J27" s="12"/>
      <c r="K27" s="78">
        <v>0</v>
      </c>
      <c r="L27" s="12">
        <v>0</v>
      </c>
      <c r="M27" s="12">
        <f t="shared" si="0"/>
        <v>0</v>
      </c>
    </row>
    <row r="28" spans="1:13" x14ac:dyDescent="0.25">
      <c r="A28">
        <v>12</v>
      </c>
      <c r="B28" s="24"/>
      <c r="C28" s="1"/>
      <c r="F28" s="1"/>
      <c r="G28" s="34"/>
      <c r="H28" s="42"/>
      <c r="I28" s="1"/>
      <c r="J28" s="12"/>
      <c r="K28" s="78">
        <v>0</v>
      </c>
      <c r="L28" s="12">
        <v>0</v>
      </c>
      <c r="M28" s="12">
        <f t="shared" si="0"/>
        <v>0</v>
      </c>
    </row>
    <row r="29" spans="1:13" x14ac:dyDescent="0.25">
      <c r="A29">
        <v>13</v>
      </c>
      <c r="B29" s="24"/>
      <c r="C29" s="1"/>
      <c r="F29" s="1"/>
      <c r="G29" s="34"/>
      <c r="H29" s="42"/>
      <c r="I29" s="1"/>
      <c r="J29" s="12"/>
      <c r="K29" s="78">
        <v>0</v>
      </c>
      <c r="L29" s="12">
        <v>0</v>
      </c>
      <c r="M29" s="12">
        <f t="shared" si="0"/>
        <v>0</v>
      </c>
    </row>
    <row r="30" spans="1:13" x14ac:dyDescent="0.25">
      <c r="A30">
        <v>14</v>
      </c>
      <c r="B30" s="24"/>
      <c r="C30" s="1"/>
      <c r="F30" s="1"/>
      <c r="G30" s="34"/>
      <c r="H30" s="42"/>
      <c r="I30" s="1"/>
      <c r="J30" s="12"/>
      <c r="K30" s="78">
        <v>0</v>
      </c>
      <c r="L30" s="12">
        <v>0</v>
      </c>
      <c r="M30" s="12">
        <f t="shared" si="0"/>
        <v>0</v>
      </c>
    </row>
    <row r="31" spans="1:13" x14ac:dyDescent="0.25">
      <c r="A31">
        <v>15</v>
      </c>
      <c r="B31" s="24"/>
      <c r="C31" s="1"/>
      <c r="F31" s="1"/>
      <c r="G31" s="34"/>
      <c r="H31" s="42"/>
      <c r="I31" s="1"/>
      <c r="J31" s="12"/>
      <c r="K31" s="78">
        <v>0</v>
      </c>
      <c r="L31" s="12">
        <v>0</v>
      </c>
      <c r="M31" s="12">
        <f t="shared" si="0"/>
        <v>0</v>
      </c>
    </row>
    <row r="32" spans="1:13" x14ac:dyDescent="0.25">
      <c r="A32">
        <v>16</v>
      </c>
      <c r="B32" s="24"/>
      <c r="C32" s="1"/>
      <c r="F32" s="1"/>
      <c r="G32" s="34"/>
      <c r="H32" s="42"/>
      <c r="I32" s="1"/>
      <c r="J32" s="12"/>
      <c r="K32" s="78">
        <v>0</v>
      </c>
      <c r="L32" s="12">
        <v>0</v>
      </c>
      <c r="M32" s="12">
        <f t="shared" si="0"/>
        <v>0</v>
      </c>
    </row>
    <row r="33" spans="1:13" x14ac:dyDescent="0.25">
      <c r="A33">
        <v>17</v>
      </c>
      <c r="B33" s="24"/>
      <c r="C33" s="1"/>
      <c r="F33" s="1"/>
      <c r="G33" s="34"/>
      <c r="H33" s="42"/>
      <c r="I33" s="1"/>
      <c r="J33" s="12"/>
      <c r="K33" s="78">
        <v>0</v>
      </c>
      <c r="L33" s="12">
        <v>0</v>
      </c>
      <c r="M33" s="12">
        <f t="shared" si="0"/>
        <v>0</v>
      </c>
    </row>
    <row r="34" spans="1:13" x14ac:dyDescent="0.25">
      <c r="A34">
        <v>18</v>
      </c>
      <c r="B34" s="24"/>
      <c r="C34" s="1"/>
      <c r="F34" s="1"/>
      <c r="G34" s="34"/>
      <c r="H34" s="42"/>
      <c r="I34" s="1"/>
      <c r="J34" s="12"/>
      <c r="K34" s="78">
        <v>0</v>
      </c>
      <c r="L34" s="12">
        <v>0</v>
      </c>
      <c r="M34" s="12">
        <f t="shared" si="0"/>
        <v>0</v>
      </c>
    </row>
    <row r="35" spans="1:13" x14ac:dyDescent="0.25">
      <c r="A35">
        <v>19</v>
      </c>
      <c r="B35" s="24"/>
      <c r="C35" s="1"/>
      <c r="F35" s="1"/>
      <c r="G35" s="34"/>
      <c r="H35" s="42"/>
      <c r="I35" s="1"/>
      <c r="J35" s="12"/>
      <c r="K35" s="78">
        <v>0</v>
      </c>
      <c r="L35" s="12">
        <v>0</v>
      </c>
      <c r="M35" s="12">
        <f t="shared" si="0"/>
        <v>0</v>
      </c>
    </row>
    <row r="36" spans="1:13" x14ac:dyDescent="0.25">
      <c r="A36">
        <v>20</v>
      </c>
      <c r="B36" s="24"/>
      <c r="C36" s="1"/>
      <c r="F36" s="1"/>
      <c r="G36" s="34"/>
      <c r="H36" s="42"/>
      <c r="I36" s="1"/>
      <c r="J36" s="12"/>
      <c r="K36" s="78">
        <v>0</v>
      </c>
      <c r="L36" s="12">
        <v>0</v>
      </c>
      <c r="M36" s="12">
        <f t="shared" si="0"/>
        <v>0</v>
      </c>
    </row>
    <row r="37" spans="1:13" x14ac:dyDescent="0.25">
      <c r="A37">
        <v>21</v>
      </c>
      <c r="B37" s="24"/>
      <c r="C37" s="1"/>
      <c r="F37" s="1"/>
      <c r="G37" s="34"/>
      <c r="H37" s="42"/>
      <c r="I37" s="1"/>
      <c r="J37" s="12"/>
      <c r="K37" s="78">
        <v>0</v>
      </c>
      <c r="L37" s="12">
        <v>0</v>
      </c>
      <c r="M37" s="12">
        <f t="shared" si="0"/>
        <v>0</v>
      </c>
    </row>
    <row r="38" spans="1:13" x14ac:dyDescent="0.25">
      <c r="A38">
        <v>22</v>
      </c>
      <c r="B38" s="24"/>
      <c r="C38" s="1"/>
      <c r="I38" s="1"/>
      <c r="K38" s="78">
        <v>0</v>
      </c>
      <c r="L38" s="12">
        <v>0</v>
      </c>
      <c r="M38" s="12">
        <f t="shared" si="0"/>
        <v>0</v>
      </c>
    </row>
    <row r="39" spans="1:13" x14ac:dyDescent="0.25">
      <c r="A39">
        <v>23</v>
      </c>
      <c r="B39" s="24"/>
      <c r="C39" s="1"/>
      <c r="I39" s="1"/>
      <c r="K39" s="78">
        <v>0</v>
      </c>
      <c r="L39" s="12">
        <v>0</v>
      </c>
      <c r="M39" s="12">
        <f t="shared" si="0"/>
        <v>0</v>
      </c>
    </row>
    <row r="40" spans="1:13" x14ac:dyDescent="0.25">
      <c r="A40">
        <v>24</v>
      </c>
      <c r="B40" s="24"/>
      <c r="C40" s="1"/>
      <c r="I40" s="1"/>
      <c r="K40" s="78">
        <v>0</v>
      </c>
      <c r="L40" s="12">
        <v>0</v>
      </c>
      <c r="M40" s="12">
        <f t="shared" si="0"/>
        <v>0</v>
      </c>
    </row>
    <row r="41" spans="1:13" x14ac:dyDescent="0.25">
      <c r="A41">
        <v>25</v>
      </c>
      <c r="B41" s="24"/>
      <c r="C41" s="1"/>
      <c r="I41" s="1"/>
      <c r="K41" s="78">
        <v>0</v>
      </c>
      <c r="L41" s="12">
        <v>0</v>
      </c>
      <c r="M41" s="12">
        <f t="shared" si="0"/>
        <v>0</v>
      </c>
    </row>
    <row r="42" spans="1:13" x14ac:dyDescent="0.25">
      <c r="A42">
        <v>26</v>
      </c>
      <c r="B42" s="24"/>
      <c r="C42" s="1"/>
      <c r="I42" s="1"/>
      <c r="K42" s="78">
        <v>0</v>
      </c>
      <c r="L42" s="12">
        <v>0</v>
      </c>
      <c r="M42" s="12">
        <f t="shared" si="0"/>
        <v>0</v>
      </c>
    </row>
    <row r="43" spans="1:13" x14ac:dyDescent="0.25">
      <c r="A43">
        <v>27</v>
      </c>
      <c r="B43" s="24"/>
      <c r="C43" s="1"/>
      <c r="I43" s="1"/>
      <c r="K43" s="78">
        <v>0</v>
      </c>
      <c r="L43" s="12">
        <v>0</v>
      </c>
      <c r="M43" s="12">
        <f t="shared" si="0"/>
        <v>0</v>
      </c>
    </row>
    <row r="44" spans="1:13" x14ac:dyDescent="0.25">
      <c r="A44">
        <v>28</v>
      </c>
      <c r="B44" s="24"/>
      <c r="C44" s="1"/>
      <c r="I44" s="1"/>
      <c r="K44" s="78">
        <v>0</v>
      </c>
      <c r="L44" s="12">
        <v>0</v>
      </c>
      <c r="M44" s="12">
        <f t="shared" si="0"/>
        <v>0</v>
      </c>
    </row>
    <row r="45" spans="1:13" x14ac:dyDescent="0.25">
      <c r="A45">
        <v>29</v>
      </c>
      <c r="B45" s="24"/>
      <c r="C45" s="1"/>
      <c r="I45" s="1"/>
      <c r="K45" s="78">
        <v>0</v>
      </c>
      <c r="L45" s="12">
        <v>0</v>
      </c>
      <c r="M45" s="12">
        <f t="shared" si="0"/>
        <v>0</v>
      </c>
    </row>
    <row r="46" spans="1:13" x14ac:dyDescent="0.25">
      <c r="A46">
        <v>30</v>
      </c>
      <c r="B46" s="24"/>
      <c r="C46" s="1"/>
      <c r="I46" s="1"/>
      <c r="K46" s="78">
        <v>0</v>
      </c>
      <c r="L46" s="12">
        <v>0</v>
      </c>
      <c r="M46" s="12">
        <f t="shared" si="0"/>
        <v>0</v>
      </c>
    </row>
    <row r="47" spans="1:13" ht="16.149999999999999" customHeight="1" x14ac:dyDescent="0.25">
      <c r="A47">
        <v>31</v>
      </c>
      <c r="B47" s="24"/>
      <c r="C47" s="1"/>
      <c r="I47" s="1"/>
      <c r="K47" s="78">
        <v>0</v>
      </c>
      <c r="L47" s="12">
        <v>0</v>
      </c>
      <c r="M47" s="12">
        <f t="shared" si="0"/>
        <v>0</v>
      </c>
    </row>
    <row r="48" spans="1:13" s="47" customFormat="1" x14ac:dyDescent="0.25">
      <c r="A48">
        <v>32</v>
      </c>
      <c r="B48" s="50"/>
      <c r="E48" s="1"/>
      <c r="I48" s="48"/>
      <c r="K48" s="78">
        <v>0</v>
      </c>
      <c r="L48" s="12">
        <v>0</v>
      </c>
      <c r="M48" s="12">
        <f t="shared" si="0"/>
        <v>0</v>
      </c>
    </row>
    <row r="49" spans="1:13" x14ac:dyDescent="0.25">
      <c r="A49">
        <v>33</v>
      </c>
      <c r="B49" s="24"/>
      <c r="I49" s="1"/>
      <c r="K49" s="78">
        <v>0</v>
      </c>
      <c r="L49" s="12">
        <v>0</v>
      </c>
      <c r="M49" s="12">
        <f t="shared" si="0"/>
        <v>0</v>
      </c>
    </row>
    <row r="50" spans="1:13" s="47" customFormat="1" x14ac:dyDescent="0.25">
      <c r="A50">
        <v>34</v>
      </c>
      <c r="B50" s="50"/>
      <c r="E50" s="1"/>
      <c r="I50" s="48"/>
      <c r="K50" s="78">
        <v>0</v>
      </c>
      <c r="L50" s="12">
        <v>0</v>
      </c>
      <c r="M50" s="12">
        <f t="shared" si="0"/>
        <v>0</v>
      </c>
    </row>
    <row r="51" spans="1:13" s="47" customFormat="1" x14ac:dyDescent="0.25">
      <c r="A51">
        <v>35</v>
      </c>
      <c r="B51" s="24"/>
      <c r="C51" s="1"/>
      <c r="D51"/>
      <c r="E51" s="1"/>
      <c r="F51" s="1"/>
      <c r="G51" s="40"/>
      <c r="H51" s="42"/>
      <c r="I51" s="1"/>
      <c r="J51" s="41"/>
      <c r="K51" s="78">
        <v>0</v>
      </c>
      <c r="L51" s="12">
        <v>0</v>
      </c>
      <c r="M51" s="12">
        <f t="shared" si="0"/>
        <v>0</v>
      </c>
    </row>
    <row r="52" spans="1:13" s="47" customFormat="1" x14ac:dyDescent="0.25">
      <c r="A52">
        <v>36</v>
      </c>
      <c r="B52" s="24"/>
      <c r="C52" s="1"/>
      <c r="D52"/>
      <c r="E52" s="1"/>
      <c r="F52" s="1"/>
      <c r="G52" s="34"/>
      <c r="H52" s="42"/>
      <c r="I52" s="1"/>
      <c r="J52" s="12"/>
      <c r="K52" s="78">
        <v>0</v>
      </c>
      <c r="L52" s="12">
        <v>0</v>
      </c>
      <c r="M52" s="12">
        <f t="shared" si="0"/>
        <v>0</v>
      </c>
    </row>
    <row r="53" spans="1:13" s="47" customFormat="1" x14ac:dyDescent="0.25">
      <c r="A53">
        <v>37</v>
      </c>
      <c r="B53" s="24"/>
      <c r="C53" s="1"/>
      <c r="D53"/>
      <c r="E53" s="1"/>
      <c r="F53" s="1"/>
      <c r="G53" s="34"/>
      <c r="H53" s="42"/>
      <c r="I53" s="1"/>
      <c r="J53" s="12"/>
      <c r="K53" s="78">
        <v>0</v>
      </c>
      <c r="L53" s="12">
        <v>0</v>
      </c>
      <c r="M53" s="12">
        <f t="shared" si="0"/>
        <v>0</v>
      </c>
    </row>
    <row r="54" spans="1:13" s="47" customFormat="1" x14ac:dyDescent="0.25">
      <c r="A54">
        <v>38</v>
      </c>
      <c r="B54" s="24"/>
      <c r="C54" s="1"/>
      <c r="D54"/>
      <c r="E54" s="1"/>
      <c r="F54" s="1"/>
      <c r="G54" s="34"/>
      <c r="H54" s="42"/>
      <c r="I54" s="1"/>
      <c r="J54" s="12"/>
      <c r="K54" s="78">
        <v>0</v>
      </c>
      <c r="L54" s="12">
        <v>0</v>
      </c>
      <c r="M54" s="12">
        <f t="shared" si="0"/>
        <v>0</v>
      </c>
    </row>
    <row r="55" spans="1:13" s="47" customFormat="1" x14ac:dyDescent="0.25">
      <c r="A55">
        <v>39</v>
      </c>
      <c r="B55" s="24"/>
      <c r="C55" s="1"/>
      <c r="D55" t="s">
        <v>71</v>
      </c>
      <c r="E55" s="1"/>
      <c r="F55" s="1"/>
      <c r="G55" s="34"/>
      <c r="H55" s="42"/>
      <c r="I55" s="1"/>
      <c r="J55" s="12"/>
      <c r="K55" s="78">
        <v>10</v>
      </c>
      <c r="L55" s="12">
        <v>0</v>
      </c>
      <c r="M55" s="12">
        <f t="shared" si="0"/>
        <v>-10</v>
      </c>
    </row>
    <row r="56" spans="1:13" s="47" customFormat="1" x14ac:dyDescent="0.25">
      <c r="A56">
        <v>40</v>
      </c>
      <c r="B56" s="24"/>
      <c r="C56" s="1"/>
      <c r="D56"/>
      <c r="E56" s="1"/>
      <c r="F56"/>
      <c r="G56"/>
      <c r="H56"/>
      <c r="I56" s="1"/>
      <c r="J56"/>
      <c r="K56" s="78">
        <v>0</v>
      </c>
      <c r="L56" s="12">
        <v>0</v>
      </c>
      <c r="M56" s="12">
        <f t="shared" si="0"/>
        <v>-10</v>
      </c>
    </row>
    <row r="57" spans="1:13" s="47" customFormat="1" x14ac:dyDescent="0.25">
      <c r="A57">
        <v>41</v>
      </c>
      <c r="B57" s="24"/>
      <c r="C57" s="1"/>
      <c r="D57"/>
      <c r="E57" s="1"/>
      <c r="F57"/>
      <c r="G57"/>
      <c r="H57"/>
      <c r="I57" s="1"/>
      <c r="J57"/>
      <c r="K57" s="78">
        <v>0</v>
      </c>
      <c r="L57" s="12">
        <v>0</v>
      </c>
      <c r="M57" s="12">
        <f t="shared" si="0"/>
        <v>-10</v>
      </c>
    </row>
    <row r="58" spans="1:13" s="47" customFormat="1" x14ac:dyDescent="0.25">
      <c r="A58">
        <v>42</v>
      </c>
      <c r="B58" s="50"/>
      <c r="C58" s="48"/>
      <c r="E58" s="1"/>
      <c r="K58" s="78">
        <v>0</v>
      </c>
      <c r="L58" s="12">
        <v>0</v>
      </c>
      <c r="M58" s="12">
        <f t="shared" si="0"/>
        <v>-10</v>
      </c>
    </row>
    <row r="59" spans="1:13" s="47" customFormat="1" x14ac:dyDescent="0.25">
      <c r="A59">
        <v>43</v>
      </c>
      <c r="B59" s="24"/>
      <c r="C59" s="1"/>
      <c r="D59"/>
      <c r="E59" s="1"/>
      <c r="F59" s="1"/>
      <c r="G59" s="40"/>
      <c r="H59" s="42"/>
      <c r="I59" s="1"/>
      <c r="J59" s="12"/>
      <c r="K59" s="78">
        <v>0</v>
      </c>
      <c r="L59" s="12">
        <v>0</v>
      </c>
      <c r="M59" s="12">
        <f t="shared" si="0"/>
        <v>-10</v>
      </c>
    </row>
    <row r="60" spans="1:13" s="47" customFormat="1" x14ac:dyDescent="0.25">
      <c r="A60">
        <v>44</v>
      </c>
      <c r="B60" s="50"/>
      <c r="C60" s="48"/>
      <c r="E60" s="1"/>
      <c r="I60" s="48"/>
      <c r="K60" s="78">
        <v>0</v>
      </c>
      <c r="L60" s="12">
        <v>0</v>
      </c>
      <c r="M60" s="12">
        <f t="shared" si="0"/>
        <v>-10</v>
      </c>
    </row>
    <row r="61" spans="1:13" s="47" customFormat="1" x14ac:dyDescent="0.25">
      <c r="A61">
        <v>45</v>
      </c>
      <c r="B61" s="50"/>
      <c r="C61" s="48"/>
      <c r="E61" s="1"/>
      <c r="I61" s="48"/>
      <c r="K61" s="78">
        <v>0</v>
      </c>
      <c r="L61" s="12">
        <v>0</v>
      </c>
      <c r="M61" s="12">
        <f t="shared" si="0"/>
        <v>-10</v>
      </c>
    </row>
    <row r="62" spans="1:13" s="47" customFormat="1" x14ac:dyDescent="0.25">
      <c r="A62">
        <v>46</v>
      </c>
      <c r="B62" s="50"/>
      <c r="C62" s="48"/>
      <c r="E62" s="1"/>
      <c r="I62" s="1"/>
      <c r="K62" s="78">
        <v>0</v>
      </c>
      <c r="L62" s="12">
        <v>0</v>
      </c>
      <c r="M62" s="12">
        <f t="shared" si="0"/>
        <v>-10</v>
      </c>
    </row>
    <row r="63" spans="1:13" s="47" customFormat="1" x14ac:dyDescent="0.25">
      <c r="A63">
        <v>47</v>
      </c>
      <c r="B63" s="50"/>
      <c r="C63" s="48"/>
      <c r="E63" s="1"/>
      <c r="I63" s="1"/>
      <c r="K63" s="78">
        <v>0</v>
      </c>
      <c r="L63" s="12">
        <v>0</v>
      </c>
      <c r="M63" s="12">
        <f t="shared" si="0"/>
        <v>-10</v>
      </c>
    </row>
    <row r="64" spans="1:13" s="47" customFormat="1" x14ac:dyDescent="0.25">
      <c r="A64">
        <v>48</v>
      </c>
      <c r="B64" s="24"/>
      <c r="C64" s="1"/>
      <c r="D64"/>
      <c r="E64" s="1"/>
      <c r="F64" s="1"/>
      <c r="G64" s="34"/>
      <c r="H64" s="42"/>
      <c r="I64" s="1"/>
      <c r="J64" s="12"/>
      <c r="K64" s="78">
        <v>0</v>
      </c>
      <c r="L64" s="12">
        <v>0</v>
      </c>
      <c r="M64" s="12">
        <f t="shared" si="0"/>
        <v>-10</v>
      </c>
    </row>
    <row r="65" spans="1:13" s="47" customFormat="1" x14ac:dyDescent="0.25">
      <c r="A65">
        <v>49</v>
      </c>
      <c r="B65" s="24"/>
      <c r="C65" s="1"/>
      <c r="D65"/>
      <c r="E65" s="1"/>
      <c r="F65" s="1"/>
      <c r="G65" s="34"/>
      <c r="H65" s="42"/>
      <c r="I65" s="1"/>
      <c r="J65" s="12"/>
      <c r="K65" s="78">
        <v>0</v>
      </c>
      <c r="L65" s="12">
        <v>0</v>
      </c>
      <c r="M65" s="12">
        <f t="shared" si="0"/>
        <v>-10</v>
      </c>
    </row>
    <row r="66" spans="1:13" s="47" customFormat="1" x14ac:dyDescent="0.25">
      <c r="A66">
        <v>50</v>
      </c>
      <c r="B66" s="24"/>
      <c r="C66" s="1"/>
      <c r="D66"/>
      <c r="E66" s="1"/>
      <c r="F66" s="1"/>
      <c r="G66" s="34"/>
      <c r="H66" s="42"/>
      <c r="I66" s="1"/>
      <c r="J66" s="12"/>
      <c r="K66" s="78">
        <v>0</v>
      </c>
      <c r="L66" s="12">
        <v>0</v>
      </c>
      <c r="M66" s="12">
        <f t="shared" si="0"/>
        <v>-10</v>
      </c>
    </row>
    <row r="67" spans="1:13" s="47" customFormat="1" x14ac:dyDescent="0.25">
      <c r="A67">
        <v>51</v>
      </c>
      <c r="B67" s="24"/>
      <c r="C67" s="1"/>
      <c r="D67"/>
      <c r="E67" s="1"/>
      <c r="F67" s="1"/>
      <c r="G67" s="34"/>
      <c r="H67" s="42"/>
      <c r="I67" s="1"/>
      <c r="J67" s="12"/>
      <c r="K67" s="78">
        <v>0</v>
      </c>
      <c r="L67" s="12">
        <v>0</v>
      </c>
      <c r="M67" s="12">
        <f t="shared" si="0"/>
        <v>-10</v>
      </c>
    </row>
    <row r="68" spans="1:13" x14ac:dyDescent="0.25">
      <c r="A68">
        <v>52</v>
      </c>
      <c r="B68" s="24"/>
      <c r="C68" s="1"/>
      <c r="F68" s="1"/>
      <c r="G68" s="34"/>
      <c r="H68" s="42"/>
      <c r="I68" s="1"/>
      <c r="J68" s="12"/>
      <c r="K68" s="78">
        <v>0</v>
      </c>
      <c r="L68" s="12">
        <v>0</v>
      </c>
      <c r="M68" s="12">
        <f t="shared" si="0"/>
        <v>-10</v>
      </c>
    </row>
    <row r="69" spans="1:13" x14ac:dyDescent="0.25">
      <c r="A69">
        <v>53</v>
      </c>
      <c r="B69" s="24"/>
      <c r="C69" s="1"/>
      <c r="F69" s="1"/>
      <c r="G69" s="34"/>
      <c r="H69" s="42"/>
      <c r="I69" s="1"/>
      <c r="J69" s="12"/>
      <c r="K69" s="78">
        <v>0</v>
      </c>
      <c r="L69" s="12">
        <v>0</v>
      </c>
      <c r="M69" s="12">
        <f t="shared" si="0"/>
        <v>-10</v>
      </c>
    </row>
    <row r="70" spans="1:13" x14ac:dyDescent="0.25">
      <c r="A70">
        <v>54</v>
      </c>
      <c r="B70" s="24"/>
      <c r="H70" s="1"/>
      <c r="I70" s="1"/>
      <c r="K70" s="78">
        <v>0</v>
      </c>
      <c r="L70" s="12">
        <v>0</v>
      </c>
      <c r="M70" s="12">
        <f t="shared" si="0"/>
        <v>-10</v>
      </c>
    </row>
    <row r="71" spans="1:13" x14ac:dyDescent="0.25">
      <c r="A71">
        <v>55</v>
      </c>
      <c r="B71" s="24"/>
      <c r="H71" s="1"/>
      <c r="I71" s="1"/>
      <c r="K71" s="78">
        <v>0</v>
      </c>
      <c r="L71" s="12">
        <v>0</v>
      </c>
      <c r="M71" s="12">
        <f t="shared" si="0"/>
        <v>-10</v>
      </c>
    </row>
    <row r="72" spans="1:13" x14ac:dyDescent="0.25">
      <c r="A72">
        <v>56</v>
      </c>
      <c r="B72" s="24"/>
      <c r="C72" s="1"/>
      <c r="I72" s="1"/>
      <c r="K72" s="78">
        <v>0</v>
      </c>
      <c r="L72" s="12">
        <v>0</v>
      </c>
      <c r="M72" s="12">
        <f t="shared" si="0"/>
        <v>-10</v>
      </c>
    </row>
    <row r="73" spans="1:13" x14ac:dyDescent="0.25">
      <c r="K73" s="78">
        <v>0</v>
      </c>
      <c r="L73" s="12">
        <v>0</v>
      </c>
      <c r="M73" s="12">
        <f t="shared" si="0"/>
        <v>-10</v>
      </c>
    </row>
    <row r="74" spans="1:13" ht="15.75" thickBot="1" x14ac:dyDescent="0.3">
      <c r="K74" s="78">
        <v>0</v>
      </c>
      <c r="L74" s="12">
        <v>0</v>
      </c>
      <c r="M74" s="12">
        <f t="shared" si="0"/>
        <v>-10</v>
      </c>
    </row>
    <row r="75" spans="1:13" s="6" customFormat="1" ht="19.5" thickBot="1" x14ac:dyDescent="0.35">
      <c r="A75" s="57"/>
      <c r="B75" s="63" t="s">
        <v>2</v>
      </c>
      <c r="C75" s="59"/>
      <c r="D75" s="59"/>
      <c r="E75" s="60"/>
      <c r="F75" s="59"/>
      <c r="G75" s="59"/>
      <c r="H75" s="59"/>
      <c r="I75" s="59"/>
      <c r="J75" s="59"/>
      <c r="K75" s="61">
        <f>SUM(K16:K74)</f>
        <v>10</v>
      </c>
      <c r="L75" s="61">
        <f>SUM(L16:L74)</f>
        <v>0</v>
      </c>
      <c r="M75" s="62">
        <f>+M74</f>
        <v>-10</v>
      </c>
    </row>
    <row r="76" spans="1:13" x14ac:dyDescent="0.25">
      <c r="M76" s="38"/>
    </row>
  </sheetData>
  <mergeCells count="2">
    <mergeCell ref="J4:M4"/>
    <mergeCell ref="L8:M8"/>
  </mergeCells>
  <pageMargins left="0.7" right="0.7" top="0.75" bottom="0.75" header="0.3" footer="0.3"/>
  <pageSetup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CFD48-D924-4F1D-951B-3285B977FC9B}">
  <sheetPr>
    <tabColor rgb="FFFF0000"/>
  </sheetPr>
  <dimension ref="A3:O75"/>
  <sheetViews>
    <sheetView zoomScale="70" zoomScaleNormal="70" workbookViewId="0">
      <selection activeCell="K15" sqref="K15"/>
    </sheetView>
  </sheetViews>
  <sheetFormatPr baseColWidth="10" defaultRowHeight="15" x14ac:dyDescent="0.25"/>
  <cols>
    <col min="1" max="1" width="3" bestFit="1" customWidth="1"/>
    <col min="2" max="2" width="11.5703125" style="1"/>
    <col min="3" max="3" width="18.85546875" customWidth="1"/>
    <col min="4" max="4" width="55.42578125" bestFit="1" customWidth="1"/>
    <col min="5" max="5" width="24.7109375" style="1" customWidth="1"/>
    <col min="6" max="6" width="22" bestFit="1" customWidth="1"/>
    <col min="7" max="7" width="50.7109375" bestFit="1" customWidth="1"/>
    <col min="8" max="8" width="18.85546875" bestFit="1" customWidth="1"/>
    <col min="9" max="9" width="12.5703125" customWidth="1"/>
    <col min="10" max="10" width="15.7109375" customWidth="1"/>
    <col min="11" max="11" width="21.28515625" bestFit="1" customWidth="1"/>
    <col min="13" max="13" width="21.28515625" bestFit="1" customWidth="1"/>
    <col min="14" max="14" width="15.28515625" bestFit="1" customWidth="1"/>
  </cols>
  <sheetData>
    <row r="3" spans="1:15" x14ac:dyDescent="0.25">
      <c r="I3" s="1"/>
    </row>
    <row r="4" spans="1:15" ht="19.5" thickBot="1" x14ac:dyDescent="0.35">
      <c r="I4" s="108" t="s">
        <v>7</v>
      </c>
      <c r="J4" s="114" t="s">
        <v>9</v>
      </c>
      <c r="K4" s="114"/>
      <c r="L4" s="114"/>
      <c r="M4" s="114"/>
    </row>
    <row r="5" spans="1:15" ht="19.5" thickBot="1" x14ac:dyDescent="0.35">
      <c r="F5" s="17" t="s">
        <v>7</v>
      </c>
      <c r="G5" s="67" t="s">
        <v>9</v>
      </c>
      <c r="H5" s="68"/>
      <c r="I5" s="18"/>
      <c r="J5" s="16"/>
      <c r="K5" s="16"/>
      <c r="L5" s="16"/>
      <c r="M5" s="16"/>
    </row>
    <row r="6" spans="1:15" ht="19.5" thickBot="1" x14ac:dyDescent="0.35">
      <c r="I6" s="108" t="s">
        <v>8</v>
      </c>
      <c r="J6" s="109" t="s">
        <v>68</v>
      </c>
      <c r="K6" s="109"/>
      <c r="L6" s="115" t="s">
        <v>68</v>
      </c>
      <c r="M6" s="115"/>
    </row>
    <row r="7" spans="1:15" ht="19.5" thickBot="1" x14ac:dyDescent="0.35">
      <c r="F7" s="17" t="s">
        <v>8</v>
      </c>
      <c r="G7" s="74" t="s">
        <v>68</v>
      </c>
      <c r="H7" s="75"/>
      <c r="I7" s="19"/>
      <c r="J7" s="3"/>
      <c r="K7" s="3"/>
      <c r="L7" s="3"/>
      <c r="M7" s="3"/>
    </row>
    <row r="11" spans="1:15" ht="15.75" thickBot="1" x14ac:dyDescent="0.3"/>
    <row r="12" spans="1:15" s="6" customFormat="1" ht="16.5" thickBot="1" x14ac:dyDescent="0.3">
      <c r="A12" s="66"/>
      <c r="B12" s="15" t="s">
        <v>0</v>
      </c>
      <c r="C12" s="15" t="s">
        <v>10</v>
      </c>
      <c r="D12" s="15" t="s">
        <v>1</v>
      </c>
      <c r="E12" s="15"/>
      <c r="F12" s="15"/>
      <c r="G12" s="15"/>
      <c r="H12" s="15"/>
      <c r="I12" s="15"/>
      <c r="J12" s="15"/>
      <c r="K12" s="15" t="s">
        <v>3</v>
      </c>
      <c r="L12" s="15" t="s">
        <v>4</v>
      </c>
      <c r="M12" s="15" t="s">
        <v>5</v>
      </c>
      <c r="N12" s="5"/>
      <c r="O12" s="5"/>
    </row>
    <row r="13" spans="1:15" x14ac:dyDescent="0.25">
      <c r="B13" s="24"/>
      <c r="K13" s="41"/>
      <c r="L13" s="12"/>
      <c r="M13" s="12">
        <v>0</v>
      </c>
    </row>
    <row r="14" spans="1:15" x14ac:dyDescent="0.25">
      <c r="A14">
        <v>1</v>
      </c>
      <c r="B14" s="24">
        <v>46152</v>
      </c>
      <c r="C14" t="s">
        <v>72</v>
      </c>
      <c r="F14" s="1"/>
      <c r="G14" s="40"/>
      <c r="H14" s="42"/>
      <c r="I14" s="1"/>
      <c r="J14" s="12"/>
      <c r="K14" s="77">
        <v>10</v>
      </c>
      <c r="L14" s="12">
        <v>0</v>
      </c>
      <c r="M14" s="12">
        <f>+M13-K14+L14</f>
        <v>-10</v>
      </c>
      <c r="N14" s="12"/>
    </row>
    <row r="15" spans="1:15" x14ac:dyDescent="0.25">
      <c r="A15">
        <v>2</v>
      </c>
      <c r="B15" s="24"/>
      <c r="C15" s="1"/>
      <c r="F15" s="1"/>
      <c r="G15" s="40"/>
      <c r="H15" s="42"/>
      <c r="I15" s="1"/>
      <c r="J15" s="12"/>
      <c r="K15" s="77">
        <v>0</v>
      </c>
      <c r="L15" s="12">
        <v>0</v>
      </c>
      <c r="M15" s="12">
        <f>+M14-K15+L15</f>
        <v>-10</v>
      </c>
      <c r="N15" s="12"/>
    </row>
    <row r="16" spans="1:15" x14ac:dyDescent="0.25">
      <c r="A16">
        <v>3</v>
      </c>
      <c r="B16" s="24"/>
      <c r="C16" s="1"/>
      <c r="F16" s="1"/>
      <c r="G16" s="40"/>
      <c r="H16" s="42"/>
      <c r="I16" s="1"/>
      <c r="J16" s="12"/>
      <c r="K16" s="77">
        <v>0</v>
      </c>
      <c r="L16" s="12">
        <v>0</v>
      </c>
      <c r="M16" s="12">
        <f>+M15-K16+L16</f>
        <v>-10</v>
      </c>
      <c r="N16" s="12"/>
    </row>
    <row r="17" spans="1:14" x14ac:dyDescent="0.25">
      <c r="A17">
        <v>4</v>
      </c>
      <c r="B17" s="24"/>
      <c r="C17" s="1"/>
      <c r="F17" s="1"/>
      <c r="G17" s="40"/>
      <c r="H17" s="42"/>
      <c r="I17" s="1"/>
      <c r="J17" s="12"/>
      <c r="K17" s="77">
        <v>0</v>
      </c>
      <c r="L17" s="12">
        <v>0</v>
      </c>
      <c r="M17" s="12">
        <f t="shared" ref="M17:M46" si="0">+M16-K17+L17</f>
        <v>-10</v>
      </c>
      <c r="N17" s="12"/>
    </row>
    <row r="18" spans="1:14" x14ac:dyDescent="0.25">
      <c r="A18">
        <v>5</v>
      </c>
      <c r="B18" s="24"/>
      <c r="C18" s="1"/>
      <c r="F18" s="1"/>
      <c r="G18" s="40"/>
      <c r="H18" s="42"/>
      <c r="I18" s="1"/>
      <c r="J18" s="12"/>
      <c r="K18" s="77">
        <v>0</v>
      </c>
      <c r="L18" s="12">
        <v>0</v>
      </c>
      <c r="M18" s="12">
        <f t="shared" si="0"/>
        <v>-10</v>
      </c>
      <c r="N18" s="12"/>
    </row>
    <row r="19" spans="1:14" x14ac:dyDescent="0.25">
      <c r="A19">
        <v>6</v>
      </c>
      <c r="B19" s="24"/>
      <c r="C19" s="1"/>
      <c r="F19" s="1"/>
      <c r="G19" s="40"/>
      <c r="H19" s="42"/>
      <c r="I19" s="1"/>
      <c r="J19" s="12"/>
      <c r="K19" s="77">
        <v>0</v>
      </c>
      <c r="L19" s="12">
        <v>0</v>
      </c>
      <c r="M19" s="12">
        <f t="shared" si="0"/>
        <v>-10</v>
      </c>
      <c r="N19" s="12"/>
    </row>
    <row r="20" spans="1:14" x14ac:dyDescent="0.25">
      <c r="A20">
        <v>7</v>
      </c>
      <c r="B20" s="24"/>
      <c r="C20" s="1"/>
      <c r="F20" s="1"/>
      <c r="G20" s="40"/>
      <c r="H20" s="42"/>
      <c r="I20" s="1"/>
      <c r="J20" s="12"/>
      <c r="K20" s="77">
        <v>0</v>
      </c>
      <c r="L20" s="12">
        <v>0</v>
      </c>
      <c r="M20" s="12">
        <f t="shared" si="0"/>
        <v>-10</v>
      </c>
      <c r="N20" s="12"/>
    </row>
    <row r="21" spans="1:14" x14ac:dyDescent="0.25">
      <c r="A21">
        <v>8</v>
      </c>
      <c r="B21" s="24"/>
      <c r="C21" s="1"/>
      <c r="F21" s="1"/>
      <c r="G21" s="40"/>
      <c r="H21" s="42"/>
      <c r="I21" s="1"/>
      <c r="J21" s="12"/>
      <c r="K21" s="77">
        <v>0</v>
      </c>
      <c r="L21" s="12">
        <v>0</v>
      </c>
      <c r="M21" s="12">
        <f t="shared" si="0"/>
        <v>-10</v>
      </c>
      <c r="N21" s="12"/>
    </row>
    <row r="22" spans="1:14" x14ac:dyDescent="0.25">
      <c r="A22">
        <v>9</v>
      </c>
      <c r="B22" s="24"/>
      <c r="C22" s="1"/>
      <c r="F22" s="1"/>
      <c r="G22" s="40"/>
      <c r="H22" s="42"/>
      <c r="I22" s="1"/>
      <c r="J22" s="12"/>
      <c r="K22" s="77">
        <v>0</v>
      </c>
      <c r="L22" s="12">
        <v>0</v>
      </c>
      <c r="M22" s="12">
        <f t="shared" si="0"/>
        <v>-10</v>
      </c>
      <c r="N22" s="12"/>
    </row>
    <row r="23" spans="1:14" x14ac:dyDescent="0.25">
      <c r="A23">
        <v>10</v>
      </c>
      <c r="B23" s="24"/>
      <c r="C23" s="1"/>
      <c r="F23" s="1"/>
      <c r="G23" s="40"/>
      <c r="H23" s="42"/>
      <c r="I23" s="1"/>
      <c r="J23" s="12"/>
      <c r="K23" s="77">
        <v>0</v>
      </c>
      <c r="L23" s="12">
        <v>0</v>
      </c>
      <c r="M23" s="12">
        <f t="shared" si="0"/>
        <v>-10</v>
      </c>
      <c r="N23" s="12"/>
    </row>
    <row r="24" spans="1:14" x14ac:dyDescent="0.25">
      <c r="A24">
        <v>11</v>
      </c>
      <c r="B24" s="24"/>
      <c r="C24" s="1"/>
      <c r="F24" s="1"/>
      <c r="G24" s="40"/>
      <c r="H24" s="42"/>
      <c r="I24" s="1"/>
      <c r="J24" s="12"/>
      <c r="K24" s="77">
        <v>0</v>
      </c>
      <c r="L24" s="12">
        <v>0</v>
      </c>
      <c r="M24" s="12">
        <f t="shared" si="0"/>
        <v>-10</v>
      </c>
      <c r="N24" s="12"/>
    </row>
    <row r="25" spans="1:14" s="35" customFormat="1" x14ac:dyDescent="0.25">
      <c r="A25">
        <v>12</v>
      </c>
      <c r="B25" s="65"/>
      <c r="C25" s="36"/>
      <c r="E25" s="36"/>
      <c r="F25" s="36"/>
      <c r="G25" s="44"/>
      <c r="H25" s="43"/>
      <c r="I25" s="43"/>
      <c r="J25" s="37"/>
      <c r="K25" s="77">
        <v>0</v>
      </c>
      <c r="L25" s="37">
        <v>0</v>
      </c>
      <c r="M25" s="37">
        <f t="shared" si="0"/>
        <v>-10</v>
      </c>
      <c r="N25" s="37"/>
    </row>
    <row r="26" spans="1:14" x14ac:dyDescent="0.25">
      <c r="A26">
        <v>13</v>
      </c>
      <c r="B26" s="24"/>
      <c r="C26" s="1"/>
      <c r="F26" s="1"/>
      <c r="G26" s="40"/>
      <c r="H26" s="42"/>
      <c r="I26" s="42"/>
      <c r="J26" s="12"/>
      <c r="K26" s="77">
        <v>0</v>
      </c>
      <c r="L26" s="12">
        <v>0</v>
      </c>
      <c r="M26" s="37">
        <f t="shared" si="0"/>
        <v>-10</v>
      </c>
      <c r="N26" s="12"/>
    </row>
    <row r="27" spans="1:14" x14ac:dyDescent="0.25">
      <c r="A27">
        <v>14</v>
      </c>
      <c r="B27" s="24"/>
      <c r="C27" s="1"/>
      <c r="F27" s="1"/>
      <c r="G27" s="40"/>
      <c r="H27" s="42"/>
      <c r="I27" s="1"/>
      <c r="J27" s="12"/>
      <c r="K27" s="77">
        <v>0</v>
      </c>
      <c r="L27" s="12">
        <v>0</v>
      </c>
      <c r="M27" s="37">
        <f t="shared" si="0"/>
        <v>-10</v>
      </c>
      <c r="N27" s="12"/>
    </row>
    <row r="28" spans="1:14" x14ac:dyDescent="0.25">
      <c r="A28">
        <v>15</v>
      </c>
      <c r="B28" s="24"/>
      <c r="C28" s="1"/>
      <c r="F28" s="1"/>
      <c r="G28" s="40"/>
      <c r="H28" s="42"/>
      <c r="I28" s="1"/>
      <c r="J28" s="12"/>
      <c r="K28" s="77">
        <v>0</v>
      </c>
      <c r="L28" s="12">
        <v>0</v>
      </c>
      <c r="M28" s="37">
        <f t="shared" si="0"/>
        <v>-10</v>
      </c>
      <c r="N28" s="12"/>
    </row>
    <row r="29" spans="1:14" s="35" customFormat="1" x14ac:dyDescent="0.25">
      <c r="A29">
        <v>16</v>
      </c>
      <c r="B29" s="65"/>
      <c r="C29" s="36"/>
      <c r="E29" s="36"/>
      <c r="F29" s="36"/>
      <c r="G29" s="44"/>
      <c r="H29" s="43"/>
      <c r="I29" s="36"/>
      <c r="J29" s="37"/>
      <c r="K29" s="77">
        <v>0</v>
      </c>
      <c r="L29" s="37">
        <v>0</v>
      </c>
      <c r="M29" s="37">
        <f t="shared" si="0"/>
        <v>-10</v>
      </c>
      <c r="N29" s="37"/>
    </row>
    <row r="30" spans="1:14" x14ac:dyDescent="0.25">
      <c r="A30">
        <v>17</v>
      </c>
      <c r="B30" s="24"/>
      <c r="C30" s="1"/>
      <c r="F30" s="1"/>
      <c r="G30" s="40"/>
      <c r="H30" s="42"/>
      <c r="I30" s="1"/>
      <c r="J30" s="41"/>
      <c r="K30" s="77">
        <v>0</v>
      </c>
      <c r="L30" s="12">
        <v>0</v>
      </c>
      <c r="M30" s="37">
        <f t="shared" si="0"/>
        <v>-10</v>
      </c>
      <c r="N30" s="12"/>
    </row>
    <row r="31" spans="1:14" x14ac:dyDescent="0.25">
      <c r="A31">
        <v>18</v>
      </c>
      <c r="B31" s="24"/>
      <c r="C31" s="1"/>
      <c r="F31" s="1"/>
      <c r="G31" s="34"/>
      <c r="H31" s="42"/>
      <c r="I31" s="122"/>
      <c r="J31" s="12"/>
      <c r="K31" s="77">
        <v>0</v>
      </c>
      <c r="L31" s="12">
        <v>0</v>
      </c>
      <c r="M31" s="37">
        <f t="shared" si="0"/>
        <v>-10</v>
      </c>
    </row>
    <row r="32" spans="1:14" x14ac:dyDescent="0.25">
      <c r="A32">
        <v>19</v>
      </c>
      <c r="B32" s="24"/>
      <c r="C32" s="1"/>
      <c r="F32" s="1"/>
      <c r="G32" s="34"/>
      <c r="H32" s="42"/>
      <c r="I32" s="122"/>
      <c r="J32" s="12"/>
      <c r="K32" s="77">
        <v>0</v>
      </c>
      <c r="L32" s="12">
        <v>0</v>
      </c>
      <c r="M32" s="12">
        <f t="shared" si="0"/>
        <v>-10</v>
      </c>
    </row>
    <row r="33" spans="1:13" x14ac:dyDescent="0.25">
      <c r="A33">
        <v>20</v>
      </c>
      <c r="B33" s="24"/>
      <c r="C33" s="1"/>
      <c r="F33" s="1"/>
      <c r="G33" s="34"/>
      <c r="H33" s="42"/>
      <c r="I33" s="122"/>
      <c r="J33" s="12"/>
      <c r="K33" s="77">
        <v>0</v>
      </c>
      <c r="L33" s="12">
        <v>0</v>
      </c>
      <c r="M33" s="12">
        <f t="shared" si="0"/>
        <v>-10</v>
      </c>
    </row>
    <row r="34" spans="1:13" x14ac:dyDescent="0.25">
      <c r="A34">
        <v>21</v>
      </c>
      <c r="B34" s="24"/>
      <c r="C34" s="1"/>
      <c r="F34" s="1"/>
      <c r="G34" s="34"/>
      <c r="H34" s="42"/>
      <c r="I34" s="122"/>
      <c r="J34" s="12"/>
      <c r="K34" s="77">
        <v>0</v>
      </c>
      <c r="L34" s="12">
        <v>0</v>
      </c>
      <c r="M34" s="12">
        <f t="shared" si="0"/>
        <v>-10</v>
      </c>
    </row>
    <row r="35" spans="1:13" x14ac:dyDescent="0.25">
      <c r="A35">
        <v>22</v>
      </c>
      <c r="B35" s="24"/>
      <c r="C35" s="1"/>
      <c r="I35" s="122"/>
      <c r="K35" s="77">
        <v>0</v>
      </c>
      <c r="L35" s="12">
        <v>0</v>
      </c>
      <c r="M35" s="12">
        <f t="shared" si="0"/>
        <v>-10</v>
      </c>
    </row>
    <row r="36" spans="1:13" x14ac:dyDescent="0.25">
      <c r="A36">
        <v>23</v>
      </c>
      <c r="B36" s="24"/>
      <c r="C36" s="1"/>
      <c r="I36" s="1"/>
      <c r="K36" s="77">
        <v>0</v>
      </c>
      <c r="L36" s="12">
        <v>0</v>
      </c>
      <c r="M36" s="12">
        <f t="shared" si="0"/>
        <v>-10</v>
      </c>
    </row>
    <row r="37" spans="1:13" x14ac:dyDescent="0.25">
      <c r="A37">
        <v>24</v>
      </c>
      <c r="B37" s="24"/>
      <c r="C37" s="1"/>
      <c r="I37" s="1"/>
      <c r="K37" s="77">
        <v>0</v>
      </c>
      <c r="L37" s="12">
        <v>0</v>
      </c>
      <c r="M37" s="12">
        <f t="shared" si="0"/>
        <v>-10</v>
      </c>
    </row>
    <row r="38" spans="1:13" x14ac:dyDescent="0.25">
      <c r="A38">
        <v>25</v>
      </c>
      <c r="B38" s="24"/>
      <c r="C38" s="1"/>
      <c r="I38" s="1"/>
      <c r="K38" s="77">
        <v>0</v>
      </c>
      <c r="L38" s="12">
        <v>0</v>
      </c>
      <c r="M38" s="12">
        <f t="shared" si="0"/>
        <v>-10</v>
      </c>
    </row>
    <row r="39" spans="1:13" x14ac:dyDescent="0.25">
      <c r="A39">
        <v>26</v>
      </c>
      <c r="B39" s="24"/>
      <c r="C39" s="1"/>
      <c r="I39" s="1"/>
      <c r="K39" s="77">
        <v>0</v>
      </c>
      <c r="L39" s="12">
        <v>0</v>
      </c>
      <c r="M39" s="12">
        <f t="shared" si="0"/>
        <v>-10</v>
      </c>
    </row>
    <row r="40" spans="1:13" x14ac:dyDescent="0.25">
      <c r="A40">
        <v>27</v>
      </c>
      <c r="B40" s="24"/>
      <c r="C40" s="1"/>
      <c r="I40" s="1"/>
      <c r="K40" s="77">
        <v>0</v>
      </c>
      <c r="L40" s="12">
        <v>0</v>
      </c>
      <c r="M40" s="12">
        <f t="shared" si="0"/>
        <v>-10</v>
      </c>
    </row>
    <row r="41" spans="1:13" x14ac:dyDescent="0.25">
      <c r="A41">
        <v>28</v>
      </c>
      <c r="B41" s="24"/>
      <c r="C41" s="1"/>
      <c r="I41" s="122"/>
      <c r="K41" s="77">
        <v>0</v>
      </c>
      <c r="L41" s="12">
        <v>0</v>
      </c>
      <c r="M41" s="12">
        <f t="shared" si="0"/>
        <v>-10</v>
      </c>
    </row>
    <row r="42" spans="1:13" x14ac:dyDescent="0.25">
      <c r="A42">
        <v>29</v>
      </c>
      <c r="B42" s="24"/>
      <c r="C42" s="1"/>
      <c r="I42" s="122"/>
      <c r="K42" s="77">
        <v>0</v>
      </c>
      <c r="L42" s="12">
        <v>0</v>
      </c>
      <c r="M42" s="12">
        <f t="shared" si="0"/>
        <v>-10</v>
      </c>
    </row>
    <row r="43" spans="1:13" x14ac:dyDescent="0.25">
      <c r="A43">
        <v>30</v>
      </c>
      <c r="B43" s="24"/>
      <c r="C43" s="1"/>
      <c r="K43" s="77">
        <v>0</v>
      </c>
      <c r="L43" s="41">
        <v>0</v>
      </c>
      <c r="M43" s="41">
        <f t="shared" si="0"/>
        <v>-10</v>
      </c>
    </row>
    <row r="44" spans="1:13" x14ac:dyDescent="0.25">
      <c r="K44" s="77">
        <v>0</v>
      </c>
      <c r="L44" s="12">
        <v>0</v>
      </c>
      <c r="M44" s="12">
        <f t="shared" si="0"/>
        <v>-10</v>
      </c>
    </row>
    <row r="45" spans="1:13" x14ac:dyDescent="0.25">
      <c r="K45" s="77">
        <v>0</v>
      </c>
      <c r="L45" s="12">
        <v>0</v>
      </c>
      <c r="M45" s="12">
        <f t="shared" si="0"/>
        <v>-10</v>
      </c>
    </row>
    <row r="46" spans="1:13" ht="15.75" thickBot="1" x14ac:dyDescent="0.3">
      <c r="K46" s="77">
        <v>0</v>
      </c>
      <c r="L46" s="12">
        <v>0</v>
      </c>
      <c r="M46" s="12">
        <f t="shared" si="0"/>
        <v>-10</v>
      </c>
    </row>
    <row r="47" spans="1:13" s="10" customFormat="1" ht="19.5" thickBot="1" x14ac:dyDescent="0.35">
      <c r="A47" s="57"/>
      <c r="B47" s="58" t="s">
        <v>2</v>
      </c>
      <c r="C47" s="59"/>
      <c r="D47" s="59"/>
      <c r="E47" s="60"/>
      <c r="F47" s="59"/>
      <c r="G47" s="59"/>
      <c r="H47" s="59"/>
      <c r="I47" s="59"/>
      <c r="J47" s="59"/>
      <c r="K47" s="61">
        <f>SUM(K14:K46)</f>
        <v>10</v>
      </c>
      <c r="L47" s="61"/>
      <c r="M47" s="62">
        <f>+M46</f>
        <v>-10</v>
      </c>
    </row>
    <row r="52" spans="3:8" x14ac:dyDescent="0.25">
      <c r="E52"/>
    </row>
    <row r="53" spans="3:8" ht="15.75" thickBot="1" x14ac:dyDescent="0.3">
      <c r="C53" s="1"/>
      <c r="F53" s="79"/>
      <c r="G53" s="12"/>
      <c r="H53" s="1"/>
    </row>
    <row r="54" spans="3:8" ht="19.5" thickBot="1" x14ac:dyDescent="0.35">
      <c r="C54" s="120" t="s">
        <v>56</v>
      </c>
      <c r="D54" s="121"/>
      <c r="E54" s="121"/>
      <c r="F54" s="121"/>
      <c r="G54" s="121"/>
      <c r="H54" s="121"/>
    </row>
    <row r="55" spans="3:8" ht="15.75" thickBot="1" x14ac:dyDescent="0.3">
      <c r="C55" s="80" t="s">
        <v>57</v>
      </c>
      <c r="D55" s="81" t="s">
        <v>58</v>
      </c>
      <c r="E55" s="81" t="s">
        <v>59</v>
      </c>
      <c r="F55" s="82" t="s">
        <v>60</v>
      </c>
      <c r="G55" s="82" t="s">
        <v>61</v>
      </c>
      <c r="H55" s="81" t="s">
        <v>62</v>
      </c>
    </row>
    <row r="56" spans="3:8" x14ac:dyDescent="0.25">
      <c r="C56" s="83">
        <v>1</v>
      </c>
      <c r="D56" s="84" t="s">
        <v>63</v>
      </c>
      <c r="E56" s="85" t="s">
        <v>64</v>
      </c>
      <c r="F56" s="86">
        <v>-924800</v>
      </c>
      <c r="G56" s="87">
        <v>0</v>
      </c>
      <c r="H56" s="88">
        <v>46093</v>
      </c>
    </row>
    <row r="57" spans="3:8" x14ac:dyDescent="0.25">
      <c r="C57" s="83">
        <v>2</v>
      </c>
      <c r="D57" s="84" t="s">
        <v>65</v>
      </c>
      <c r="E57" s="85" t="s">
        <v>66</v>
      </c>
      <c r="F57" s="86">
        <v>-1000000</v>
      </c>
      <c r="G57" s="87">
        <v>0</v>
      </c>
      <c r="H57" s="88">
        <v>46093</v>
      </c>
    </row>
    <row r="58" spans="3:8" x14ac:dyDescent="0.25">
      <c r="C58" s="89">
        <v>3</v>
      </c>
      <c r="D58" s="90" t="s">
        <v>65</v>
      </c>
      <c r="E58" s="91" t="s">
        <v>66</v>
      </c>
      <c r="F58" s="92"/>
      <c r="G58" s="93">
        <v>1000000</v>
      </c>
      <c r="H58" s="94">
        <v>46093</v>
      </c>
    </row>
    <row r="59" spans="3:8" x14ac:dyDescent="0.25">
      <c r="C59" s="89">
        <v>4</v>
      </c>
      <c r="D59" s="90" t="s">
        <v>65</v>
      </c>
      <c r="E59" s="91" t="s">
        <v>66</v>
      </c>
      <c r="F59" s="92"/>
      <c r="G59" s="93">
        <v>1000000</v>
      </c>
      <c r="H59" s="94">
        <v>46093</v>
      </c>
    </row>
    <row r="60" spans="3:8" x14ac:dyDescent="0.25">
      <c r="C60" s="89">
        <v>5</v>
      </c>
      <c r="D60" s="90" t="s">
        <v>65</v>
      </c>
      <c r="E60" s="91" t="s">
        <v>66</v>
      </c>
      <c r="F60" s="92"/>
      <c r="G60" s="93">
        <v>1000000</v>
      </c>
      <c r="H60" s="94">
        <v>46093</v>
      </c>
    </row>
    <row r="61" spans="3:8" x14ac:dyDescent="0.25">
      <c r="C61" s="89"/>
      <c r="D61" s="90"/>
      <c r="E61" s="91"/>
      <c r="F61" s="92"/>
      <c r="G61" s="93"/>
      <c r="H61" s="94"/>
    </row>
    <row r="62" spans="3:8" x14ac:dyDescent="0.25">
      <c r="C62" s="89"/>
      <c r="D62" s="90"/>
      <c r="E62" s="91"/>
      <c r="F62" s="92"/>
      <c r="G62" s="93"/>
      <c r="H62" s="94"/>
    </row>
    <row r="63" spans="3:8" x14ac:dyDescent="0.25">
      <c r="C63" s="89"/>
      <c r="D63" s="90"/>
      <c r="E63" s="91"/>
      <c r="F63" s="92"/>
      <c r="G63" s="93"/>
      <c r="H63" s="94"/>
    </row>
    <row r="64" spans="3:8" x14ac:dyDescent="0.25">
      <c r="C64" s="89"/>
      <c r="D64" s="90"/>
      <c r="E64" s="91"/>
      <c r="F64" s="92"/>
      <c r="G64" s="93"/>
      <c r="H64" s="94"/>
    </row>
    <row r="65" spans="3:8" x14ac:dyDescent="0.25">
      <c r="C65" s="89"/>
      <c r="D65" s="90"/>
      <c r="E65" s="91"/>
      <c r="F65" s="92"/>
      <c r="G65" s="93"/>
      <c r="H65" s="94"/>
    </row>
    <row r="66" spans="3:8" x14ac:dyDescent="0.25">
      <c r="C66" s="89"/>
      <c r="D66" s="90"/>
      <c r="E66" s="91"/>
      <c r="F66" s="92"/>
      <c r="G66" s="93"/>
      <c r="H66" s="94"/>
    </row>
    <row r="67" spans="3:8" x14ac:dyDescent="0.25">
      <c r="C67" s="89"/>
      <c r="D67" s="90"/>
      <c r="E67" s="91"/>
      <c r="F67" s="92"/>
      <c r="G67" s="93"/>
      <c r="H67" s="94"/>
    </row>
    <row r="68" spans="3:8" x14ac:dyDescent="0.25">
      <c r="C68" s="89"/>
      <c r="D68" s="90"/>
      <c r="E68" s="91"/>
      <c r="F68" s="92"/>
      <c r="G68" s="93"/>
      <c r="H68" s="94"/>
    </row>
    <row r="69" spans="3:8" x14ac:dyDescent="0.25">
      <c r="C69" s="89"/>
      <c r="D69" s="90"/>
      <c r="E69" s="91"/>
      <c r="F69" s="92"/>
      <c r="G69" s="93"/>
      <c r="H69" s="94"/>
    </row>
    <row r="70" spans="3:8" x14ac:dyDescent="0.25">
      <c r="C70" s="89"/>
      <c r="D70" s="90"/>
      <c r="E70" s="91"/>
      <c r="F70" s="92"/>
      <c r="G70" s="93"/>
      <c r="H70" s="94"/>
    </row>
    <row r="71" spans="3:8" ht="15.75" thickBot="1" x14ac:dyDescent="0.3">
      <c r="C71" s="89"/>
      <c r="D71" s="90"/>
      <c r="E71" s="91"/>
      <c r="F71" s="95"/>
      <c r="G71" s="93"/>
      <c r="H71" s="94"/>
    </row>
    <row r="72" spans="3:8" ht="15.75" thickBot="1" x14ac:dyDescent="0.3">
      <c r="C72" s="80"/>
      <c r="D72" s="96" t="s">
        <v>40</v>
      </c>
      <c r="E72" s="81"/>
      <c r="F72" s="97">
        <f>SUM(F56:F70)</f>
        <v>-1924800</v>
      </c>
      <c r="G72" s="98">
        <f>SUM(G56:G71)</f>
        <v>3000000</v>
      </c>
      <c r="H72" s="81"/>
    </row>
    <row r="73" spans="3:8" ht="16.5" thickBot="1" x14ac:dyDescent="0.3">
      <c r="C73" s="5"/>
      <c r="D73" s="6"/>
      <c r="E73" s="5"/>
      <c r="F73" s="99"/>
      <c r="G73" s="100"/>
      <c r="H73" s="5"/>
    </row>
    <row r="74" spans="3:8" ht="15.75" thickBot="1" x14ac:dyDescent="0.3">
      <c r="C74" s="1"/>
      <c r="F74" s="101" t="s">
        <v>67</v>
      </c>
      <c r="G74" s="102">
        <f>+G72-F72</f>
        <v>4924800</v>
      </c>
      <c r="H74" s="1"/>
    </row>
    <row r="75" spans="3:8" x14ac:dyDescent="0.25">
      <c r="C75" s="1"/>
      <c r="F75" s="79"/>
      <c r="G75" s="12"/>
      <c r="H75" s="1"/>
    </row>
  </sheetData>
  <autoFilter ref="B12:M47" xr:uid="{94279F95-CCE2-49E8-B7D5-D1A2DAF821A1}"/>
  <mergeCells count="5">
    <mergeCell ref="C54:H54"/>
    <mergeCell ref="J4:M4"/>
    <mergeCell ref="I41:I42"/>
    <mergeCell ref="I31:I35"/>
    <mergeCell ref="L6:M6"/>
  </mergeCells>
  <phoneticPr fontId="9" type="noConversion"/>
  <pageMargins left="0.7" right="0.7" top="0.75" bottom="0.75" header="0.3" footer="0.3"/>
  <pageSetup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EBC1-AB1C-4B67-BC98-8780CFEA31AE}">
  <sheetPr>
    <tabColor rgb="FFFF0000"/>
  </sheetPr>
  <dimension ref="A3:P30"/>
  <sheetViews>
    <sheetView zoomScale="70" zoomScaleNormal="70" workbookViewId="0">
      <selection activeCell="K28" sqref="K28"/>
    </sheetView>
  </sheetViews>
  <sheetFormatPr baseColWidth="10" defaultRowHeight="15" x14ac:dyDescent="0.25"/>
  <cols>
    <col min="1" max="1" width="3" bestFit="1" customWidth="1"/>
    <col min="3" max="3" width="14.140625" bestFit="1" customWidth="1"/>
    <col min="4" max="4" width="56" bestFit="1" customWidth="1"/>
    <col min="5" max="5" width="11.5703125" customWidth="1"/>
    <col min="6" max="6" width="22" bestFit="1" customWidth="1"/>
    <col min="7" max="7" width="50.7109375" bestFit="1" customWidth="1"/>
    <col min="8" max="8" width="11.28515625" customWidth="1"/>
    <col min="9" max="10" width="11.5703125" customWidth="1"/>
    <col min="11" max="11" width="21.28515625" bestFit="1" customWidth="1"/>
    <col min="13" max="13" width="21.28515625" bestFit="1" customWidth="1"/>
    <col min="15" max="15" width="15.28515625" bestFit="1" customWidth="1"/>
    <col min="16" max="16" width="17.5703125" bestFit="1" customWidth="1"/>
  </cols>
  <sheetData>
    <row r="3" spans="1:16" x14ac:dyDescent="0.25">
      <c r="G3" s="1"/>
    </row>
    <row r="4" spans="1:16" ht="18.75" x14ac:dyDescent="0.3">
      <c r="G4" s="108"/>
      <c r="H4" s="114"/>
      <c r="I4" s="114"/>
      <c r="J4" s="114"/>
      <c r="K4" s="114"/>
      <c r="L4" s="114"/>
      <c r="M4" s="114"/>
    </row>
    <row r="5" spans="1:16" ht="19.5" thickBot="1" x14ac:dyDescent="0.35">
      <c r="I5" s="16"/>
      <c r="J5" s="16"/>
      <c r="K5" s="16"/>
      <c r="L5" s="16"/>
      <c r="M5" s="16"/>
    </row>
    <row r="6" spans="1:16" ht="19.5" thickBot="1" x14ac:dyDescent="0.35">
      <c r="F6" s="17" t="s">
        <v>7</v>
      </c>
      <c r="G6" s="67" t="s">
        <v>9</v>
      </c>
      <c r="H6" s="68"/>
      <c r="I6" s="107"/>
      <c r="J6" s="115"/>
      <c r="K6" s="115"/>
      <c r="L6" s="115"/>
      <c r="M6" s="115"/>
    </row>
    <row r="7" spans="1:16" ht="19.5" thickBot="1" x14ac:dyDescent="0.35">
      <c r="I7" s="3"/>
      <c r="J7" s="3"/>
      <c r="K7" s="3"/>
      <c r="L7" s="3"/>
      <c r="M7" s="3"/>
    </row>
    <row r="8" spans="1:16" ht="19.5" thickBot="1" x14ac:dyDescent="0.35">
      <c r="F8" s="17" t="s">
        <v>8</v>
      </c>
      <c r="G8" s="74" t="s">
        <v>68</v>
      </c>
      <c r="H8" s="75"/>
    </row>
    <row r="11" spans="1:16" ht="15.75" thickBot="1" x14ac:dyDescent="0.3"/>
    <row r="12" spans="1:16" s="6" customFormat="1" ht="16.5" thickBot="1" x14ac:dyDescent="0.3">
      <c r="A12" s="66"/>
      <c r="B12" s="15" t="s">
        <v>0</v>
      </c>
      <c r="C12" s="15" t="s">
        <v>10</v>
      </c>
      <c r="D12" s="15" t="s">
        <v>1</v>
      </c>
      <c r="E12" s="15" t="s">
        <v>31</v>
      </c>
      <c r="F12" s="15" t="s">
        <v>11</v>
      </c>
      <c r="G12" s="15" t="s">
        <v>12</v>
      </c>
      <c r="H12" s="15" t="s">
        <v>13</v>
      </c>
      <c r="I12" s="15" t="s">
        <v>14</v>
      </c>
      <c r="J12" s="15" t="s">
        <v>15</v>
      </c>
      <c r="K12" s="15" t="s">
        <v>3</v>
      </c>
      <c r="L12" s="15" t="s">
        <v>4</v>
      </c>
      <c r="M12" s="15" t="s">
        <v>5</v>
      </c>
      <c r="N12" s="5"/>
      <c r="O12" s="5"/>
      <c r="P12" s="5"/>
    </row>
    <row r="13" spans="1:16" x14ac:dyDescent="0.25">
      <c r="B13" s="24"/>
      <c r="K13" s="12"/>
      <c r="L13" s="12"/>
      <c r="M13" s="12">
        <v>0</v>
      </c>
    </row>
    <row r="14" spans="1:16" x14ac:dyDescent="0.25">
      <c r="A14">
        <v>1</v>
      </c>
      <c r="B14" s="24"/>
      <c r="C14" t="s">
        <v>34</v>
      </c>
      <c r="D14" t="s">
        <v>18</v>
      </c>
      <c r="E14" s="1">
        <v>4</v>
      </c>
      <c r="F14" s="1"/>
      <c r="G14" s="1"/>
      <c r="H14" s="12"/>
      <c r="I14" s="12"/>
      <c r="J14" s="12"/>
      <c r="K14" s="12">
        <v>10</v>
      </c>
      <c r="L14" s="12">
        <v>0</v>
      </c>
      <c r="M14" s="12">
        <f>+M13-K14+L14</f>
        <v>-10</v>
      </c>
      <c r="O14" s="12"/>
      <c r="P14" t="s">
        <v>39</v>
      </c>
    </row>
    <row r="15" spans="1:16" x14ac:dyDescent="0.25">
      <c r="A15">
        <v>2</v>
      </c>
      <c r="B15" s="24"/>
      <c r="C15" t="s">
        <v>34</v>
      </c>
      <c r="D15" t="s">
        <v>19</v>
      </c>
      <c r="E15" s="1">
        <v>4</v>
      </c>
      <c r="F15" s="1"/>
      <c r="G15" s="1"/>
      <c r="H15" s="12"/>
      <c r="I15" s="12"/>
      <c r="J15" s="12"/>
      <c r="K15" s="12">
        <v>0</v>
      </c>
      <c r="L15" s="12">
        <v>0</v>
      </c>
      <c r="M15" s="12">
        <f t="shared" ref="M15:M29" si="0">+M14-K15+L15</f>
        <v>-10</v>
      </c>
      <c r="O15" s="12" t="s">
        <v>51</v>
      </c>
      <c r="P15" s="38">
        <f>+K14+K15+K16</f>
        <v>10</v>
      </c>
    </row>
    <row r="16" spans="1:16" x14ac:dyDescent="0.25">
      <c r="A16">
        <v>3</v>
      </c>
      <c r="B16" s="24"/>
      <c r="C16" t="s">
        <v>35</v>
      </c>
      <c r="D16" t="s">
        <v>20</v>
      </c>
      <c r="E16" s="1">
        <v>4</v>
      </c>
      <c r="F16" s="1"/>
      <c r="G16" s="1"/>
      <c r="H16" s="12"/>
      <c r="I16" s="12"/>
      <c r="J16" s="12"/>
      <c r="K16" s="12">
        <v>0</v>
      </c>
      <c r="L16" s="12">
        <v>0</v>
      </c>
      <c r="M16" s="12">
        <f t="shared" si="0"/>
        <v>-10</v>
      </c>
      <c r="O16" s="12" t="s">
        <v>52</v>
      </c>
      <c r="P16" s="38">
        <f>+K17+K18+K19+K20</f>
        <v>0</v>
      </c>
    </row>
    <row r="17" spans="1:16" x14ac:dyDescent="0.25">
      <c r="A17">
        <v>4</v>
      </c>
      <c r="B17" s="24"/>
      <c r="C17" t="s">
        <v>34</v>
      </c>
      <c r="D17" t="s">
        <v>22</v>
      </c>
      <c r="E17" s="1">
        <v>4</v>
      </c>
      <c r="F17" s="1"/>
      <c r="G17" s="1"/>
      <c r="H17" s="12"/>
      <c r="I17" s="12"/>
      <c r="J17" s="12"/>
      <c r="K17" s="12">
        <v>0</v>
      </c>
      <c r="L17" s="12">
        <v>0</v>
      </c>
      <c r="M17" s="12">
        <f t="shared" si="0"/>
        <v>-10</v>
      </c>
      <c r="O17" s="12" t="s">
        <v>53</v>
      </c>
      <c r="P17" s="38">
        <f>+K21+K22</f>
        <v>0</v>
      </c>
    </row>
    <row r="18" spans="1:16" x14ac:dyDescent="0.25">
      <c r="A18">
        <v>5</v>
      </c>
      <c r="B18" s="24"/>
      <c r="C18" t="s">
        <v>34</v>
      </c>
      <c r="D18" t="s">
        <v>23</v>
      </c>
      <c r="E18" s="1">
        <v>4</v>
      </c>
      <c r="F18" s="1"/>
      <c r="G18" s="1"/>
      <c r="H18" s="12"/>
      <c r="I18" s="12"/>
      <c r="J18" s="12"/>
      <c r="K18" s="12">
        <v>0</v>
      </c>
      <c r="L18" s="12">
        <v>0</v>
      </c>
      <c r="M18" s="12">
        <f t="shared" si="0"/>
        <v>-10</v>
      </c>
      <c r="O18" s="12" t="str">
        <f>+D23</f>
        <v>IVA</v>
      </c>
      <c r="P18" s="38">
        <f>+K23</f>
        <v>0</v>
      </c>
    </row>
    <row r="19" spans="1:16" x14ac:dyDescent="0.25">
      <c r="A19">
        <v>6</v>
      </c>
      <c r="B19" s="24"/>
      <c r="C19" t="s">
        <v>34</v>
      </c>
      <c r="D19" t="s">
        <v>24</v>
      </c>
      <c r="E19" s="1">
        <v>4</v>
      </c>
      <c r="F19" s="1"/>
      <c r="G19" s="1"/>
      <c r="H19" s="12"/>
      <c r="I19" s="12"/>
      <c r="J19" s="12"/>
      <c r="K19" s="12">
        <v>0</v>
      </c>
      <c r="L19" s="12">
        <v>0</v>
      </c>
      <c r="M19" s="12">
        <f t="shared" si="0"/>
        <v>-10</v>
      </c>
      <c r="O19" s="12" t="str">
        <f>+D24</f>
        <v>INGRESOS BRUTOS</v>
      </c>
      <c r="P19" s="38">
        <f>+K24</f>
        <v>0</v>
      </c>
    </row>
    <row r="20" spans="1:16" x14ac:dyDescent="0.25">
      <c r="A20">
        <v>7</v>
      </c>
      <c r="B20" s="24"/>
      <c r="C20" t="s">
        <v>34</v>
      </c>
      <c r="D20" t="s">
        <v>25</v>
      </c>
      <c r="E20" s="1">
        <v>4</v>
      </c>
      <c r="F20" s="1" t="s">
        <v>21</v>
      </c>
      <c r="G20" s="1"/>
      <c r="H20" s="12"/>
      <c r="I20" s="12"/>
      <c r="J20" s="12"/>
      <c r="K20" s="12">
        <v>0</v>
      </c>
      <c r="L20" s="12">
        <v>0</v>
      </c>
      <c r="M20" s="12">
        <f>+M19-K20+L20</f>
        <v>-10</v>
      </c>
      <c r="O20" s="12" t="str">
        <f>+D25</f>
        <v>MUNICIPALIDAD</v>
      </c>
      <c r="P20" s="38">
        <f>+K25</f>
        <v>0</v>
      </c>
    </row>
    <row r="21" spans="1:16" x14ac:dyDescent="0.25">
      <c r="A21">
        <v>8</v>
      </c>
      <c r="B21" s="24"/>
      <c r="C21" t="s">
        <v>36</v>
      </c>
      <c r="D21" t="s">
        <v>32</v>
      </c>
      <c r="E21" s="1">
        <v>4</v>
      </c>
      <c r="G21" s="1"/>
      <c r="K21" s="12">
        <v>0</v>
      </c>
      <c r="L21" s="12">
        <v>0</v>
      </c>
      <c r="M21" s="12">
        <f>+M20-K21+L21</f>
        <v>-10</v>
      </c>
      <c r="O21" t="str">
        <f>+D26</f>
        <v>GANANCIAS</v>
      </c>
      <c r="P21" s="38">
        <f>+K26</f>
        <v>0</v>
      </c>
    </row>
    <row r="22" spans="1:16" x14ac:dyDescent="0.25">
      <c r="A22">
        <v>9</v>
      </c>
      <c r="B22" s="24"/>
      <c r="C22" t="s">
        <v>36</v>
      </c>
      <c r="D22" t="s">
        <v>33</v>
      </c>
      <c r="E22" s="1">
        <v>4</v>
      </c>
      <c r="G22" s="1"/>
      <c r="K22" s="12">
        <v>0</v>
      </c>
      <c r="L22" s="12">
        <v>0</v>
      </c>
      <c r="M22" s="12">
        <f t="shared" si="0"/>
        <v>-10</v>
      </c>
    </row>
    <row r="23" spans="1:16" x14ac:dyDescent="0.25">
      <c r="A23">
        <v>10</v>
      </c>
      <c r="B23" s="24"/>
      <c r="C23" t="s">
        <v>39</v>
      </c>
      <c r="D23" t="s">
        <v>14</v>
      </c>
      <c r="E23" s="1">
        <v>4</v>
      </c>
      <c r="K23" s="12">
        <v>0</v>
      </c>
      <c r="L23" s="12">
        <v>0</v>
      </c>
      <c r="M23" s="12">
        <f>+M22-K23+L23</f>
        <v>-10</v>
      </c>
    </row>
    <row r="24" spans="1:16" x14ac:dyDescent="0.25">
      <c r="A24">
        <v>11</v>
      </c>
      <c r="B24" s="24"/>
      <c r="C24" t="s">
        <v>39</v>
      </c>
      <c r="D24" t="s">
        <v>42</v>
      </c>
      <c r="E24" s="1">
        <v>4</v>
      </c>
      <c r="G24" s="122"/>
      <c r="K24" s="12">
        <v>0</v>
      </c>
      <c r="L24" s="12">
        <v>0</v>
      </c>
      <c r="M24" s="12">
        <f t="shared" si="0"/>
        <v>-10</v>
      </c>
    </row>
    <row r="25" spans="1:16" x14ac:dyDescent="0.25">
      <c r="A25">
        <v>12</v>
      </c>
      <c r="B25" s="24"/>
      <c r="C25" t="s">
        <v>39</v>
      </c>
      <c r="D25" t="s">
        <v>43</v>
      </c>
      <c r="E25" s="1">
        <v>4</v>
      </c>
      <c r="G25" s="122"/>
      <c r="K25" s="12">
        <v>0</v>
      </c>
      <c r="L25" s="12">
        <v>0</v>
      </c>
      <c r="M25" s="12">
        <f t="shared" si="0"/>
        <v>-10</v>
      </c>
    </row>
    <row r="26" spans="1:16" x14ac:dyDescent="0.25">
      <c r="A26">
        <v>13</v>
      </c>
      <c r="B26" s="24"/>
      <c r="C26" t="s">
        <v>39</v>
      </c>
      <c r="D26" t="s">
        <v>41</v>
      </c>
      <c r="E26" s="1">
        <v>4</v>
      </c>
      <c r="G26" s="122"/>
      <c r="K26" s="12">
        <v>0</v>
      </c>
      <c r="L26" s="12">
        <v>0</v>
      </c>
      <c r="M26" s="12">
        <f t="shared" si="0"/>
        <v>-10</v>
      </c>
    </row>
    <row r="27" spans="1:16" x14ac:dyDescent="0.25">
      <c r="K27" s="12">
        <v>2</v>
      </c>
      <c r="L27" s="12">
        <v>0</v>
      </c>
      <c r="M27" s="12">
        <f t="shared" si="0"/>
        <v>-12</v>
      </c>
    </row>
    <row r="28" spans="1:16" x14ac:dyDescent="0.25">
      <c r="K28" s="12">
        <v>0</v>
      </c>
      <c r="L28" s="12">
        <v>0</v>
      </c>
      <c r="M28" s="12">
        <f t="shared" si="0"/>
        <v>-12</v>
      </c>
    </row>
    <row r="29" spans="1:16" ht="15.75" thickBot="1" x14ac:dyDescent="0.3">
      <c r="K29" s="12">
        <v>0</v>
      </c>
      <c r="L29" s="12">
        <v>0</v>
      </c>
      <c r="M29" s="12">
        <f t="shared" si="0"/>
        <v>-12</v>
      </c>
    </row>
    <row r="30" spans="1:16" s="10" customFormat="1" ht="19.5" thickBot="1" x14ac:dyDescent="0.35">
      <c r="A30" s="57"/>
      <c r="B30" s="63" t="s">
        <v>2</v>
      </c>
      <c r="C30" s="59"/>
      <c r="D30" s="59"/>
      <c r="E30" s="59"/>
      <c r="F30" s="59"/>
      <c r="G30" s="59"/>
      <c r="H30" s="59"/>
      <c r="I30" s="59"/>
      <c r="J30" s="59"/>
      <c r="K30" s="61">
        <f>SUM(K14:K29)</f>
        <v>12</v>
      </c>
      <c r="L30" s="61"/>
      <c r="M30" s="62">
        <f>+M29</f>
        <v>-12</v>
      </c>
    </row>
  </sheetData>
  <mergeCells count="4">
    <mergeCell ref="H4:M4"/>
    <mergeCell ref="G24:G26"/>
    <mergeCell ref="J6:K6"/>
    <mergeCell ref="L6:M6"/>
  </mergeCells>
  <pageMargins left="0.7" right="0.7" top="0.75" bottom="0.75" header="0.3" footer="0.3"/>
  <pageSetup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5FD72-3D7A-4BF7-8AA2-3CA16F8A3EBE}">
  <sheetPr>
    <tabColor rgb="FFFF0000"/>
  </sheetPr>
  <dimension ref="A3:P62"/>
  <sheetViews>
    <sheetView zoomScale="70" zoomScaleNormal="70" workbookViewId="0">
      <selection activeCell="L20" sqref="L20"/>
    </sheetView>
  </sheetViews>
  <sheetFormatPr baseColWidth="10" defaultRowHeight="15" x14ac:dyDescent="0.25"/>
  <cols>
    <col min="1" max="1" width="3" bestFit="1" customWidth="1"/>
    <col min="3" max="3" width="13" bestFit="1" customWidth="1"/>
    <col min="4" max="4" width="51.7109375" bestFit="1" customWidth="1"/>
    <col min="5" max="5" width="11.5703125" customWidth="1"/>
    <col min="6" max="6" width="22" bestFit="1" customWidth="1"/>
    <col min="7" max="7" width="50.7109375" bestFit="1" customWidth="1"/>
    <col min="8" max="8" width="12.7109375" bestFit="1" customWidth="1"/>
    <col min="9" max="9" width="14.28515625" customWidth="1"/>
    <col min="10" max="10" width="17.42578125" customWidth="1"/>
    <col min="11" max="11" width="21.28515625" bestFit="1" customWidth="1"/>
    <col min="12" max="12" width="16.42578125" bestFit="1" customWidth="1"/>
    <col min="13" max="13" width="21.28515625" bestFit="1" customWidth="1"/>
    <col min="15" max="15" width="15.28515625" bestFit="1" customWidth="1"/>
  </cols>
  <sheetData>
    <row r="3" spans="1:16" x14ac:dyDescent="0.25">
      <c r="I3" s="1"/>
    </row>
    <row r="4" spans="1:16" ht="19.5" thickBot="1" x14ac:dyDescent="0.35">
      <c r="I4" s="108" t="s">
        <v>7</v>
      </c>
      <c r="J4" s="114" t="s">
        <v>9</v>
      </c>
      <c r="K4" s="114"/>
      <c r="L4" s="114"/>
      <c r="M4" s="114"/>
    </row>
    <row r="5" spans="1:16" ht="19.5" thickBot="1" x14ac:dyDescent="0.35">
      <c r="F5" s="17" t="s">
        <v>7</v>
      </c>
      <c r="G5" s="67" t="s">
        <v>9</v>
      </c>
      <c r="H5" s="105"/>
      <c r="I5" s="18"/>
      <c r="J5" s="16"/>
      <c r="K5" s="16"/>
      <c r="L5" s="16"/>
      <c r="M5" s="16"/>
    </row>
    <row r="6" spans="1:16" ht="19.5" thickBot="1" x14ac:dyDescent="0.35">
      <c r="I6" s="108" t="s">
        <v>8</v>
      </c>
      <c r="J6" s="109" t="s">
        <v>68</v>
      </c>
      <c r="K6" s="109"/>
      <c r="L6" s="115" t="s">
        <v>68</v>
      </c>
      <c r="M6" s="115"/>
    </row>
    <row r="7" spans="1:16" ht="19.5" thickBot="1" x14ac:dyDescent="0.35">
      <c r="F7" s="17" t="s">
        <v>8</v>
      </c>
      <c r="G7" s="74" t="s">
        <v>68</v>
      </c>
      <c r="H7" s="76"/>
      <c r="I7" s="19"/>
      <c r="J7" s="3"/>
      <c r="K7" s="3"/>
      <c r="L7" s="3"/>
      <c r="M7" s="3"/>
    </row>
    <row r="11" spans="1:16" ht="15.75" thickBot="1" x14ac:dyDescent="0.3"/>
    <row r="12" spans="1:16" s="6" customFormat="1" ht="16.5" thickBot="1" x14ac:dyDescent="0.3">
      <c r="A12" s="66"/>
      <c r="B12" s="15" t="s">
        <v>0</v>
      </c>
      <c r="C12" s="15" t="s">
        <v>10</v>
      </c>
      <c r="D12" s="15" t="s">
        <v>1</v>
      </c>
      <c r="E12" s="15"/>
      <c r="F12" s="15"/>
      <c r="G12" s="15"/>
      <c r="H12" s="15"/>
      <c r="I12" s="15"/>
      <c r="J12" s="15"/>
      <c r="K12" s="15" t="s">
        <v>3</v>
      </c>
      <c r="L12" s="15" t="s">
        <v>4</v>
      </c>
      <c r="M12" s="15" t="s">
        <v>5</v>
      </c>
      <c r="N12" s="5"/>
      <c r="O12" s="5"/>
      <c r="P12" s="5"/>
    </row>
    <row r="13" spans="1:16" x14ac:dyDescent="0.25">
      <c r="B13" s="24"/>
      <c r="G13" s="51"/>
      <c r="K13" s="12"/>
      <c r="L13" s="12"/>
      <c r="M13" s="12">
        <v>0</v>
      </c>
    </row>
    <row r="14" spans="1:16" x14ac:dyDescent="0.25">
      <c r="A14">
        <v>1</v>
      </c>
      <c r="B14" s="24">
        <v>46152</v>
      </c>
      <c r="C14" t="s">
        <v>73</v>
      </c>
      <c r="D14" s="103" t="s">
        <v>73</v>
      </c>
      <c r="E14" s="1"/>
      <c r="H14" s="42"/>
      <c r="I14" s="1"/>
      <c r="J14" s="12"/>
      <c r="K14" s="77">
        <v>10</v>
      </c>
      <c r="L14" s="12">
        <v>0</v>
      </c>
      <c r="M14" s="12">
        <f>+M13-K14+L14</f>
        <v>-10</v>
      </c>
      <c r="O14" s="12"/>
    </row>
    <row r="15" spans="1:16" x14ac:dyDescent="0.25">
      <c r="A15">
        <v>2</v>
      </c>
      <c r="B15" s="24"/>
      <c r="D15" s="103"/>
      <c r="E15" s="1"/>
      <c r="H15" s="42"/>
      <c r="I15" s="1"/>
      <c r="J15" s="12"/>
      <c r="K15" s="77">
        <v>0</v>
      </c>
      <c r="L15" s="12">
        <v>0</v>
      </c>
      <c r="M15" s="12">
        <f>+M14-K15+L15</f>
        <v>-10</v>
      </c>
      <c r="O15" s="12"/>
    </row>
    <row r="16" spans="1:16" x14ac:dyDescent="0.25">
      <c r="A16">
        <v>3</v>
      </c>
      <c r="B16" s="24"/>
      <c r="C16" s="1"/>
      <c r="E16" s="1"/>
      <c r="F16" s="1"/>
      <c r="G16" s="103"/>
      <c r="H16" s="42"/>
      <c r="I16" s="1"/>
      <c r="J16" s="12"/>
      <c r="K16" s="77">
        <v>0</v>
      </c>
      <c r="L16" s="12">
        <v>0</v>
      </c>
      <c r="M16" s="12">
        <f t="shared" ref="M16:M26" si="0">+M15-K16+L16</f>
        <v>-10</v>
      </c>
      <c r="O16" s="12"/>
    </row>
    <row r="17" spans="1:15" x14ac:dyDescent="0.25">
      <c r="A17">
        <v>4</v>
      </c>
      <c r="B17" s="24"/>
      <c r="C17" s="1"/>
      <c r="E17" s="1"/>
      <c r="F17" s="1"/>
      <c r="G17" s="104"/>
      <c r="H17" s="42"/>
      <c r="I17" s="1"/>
      <c r="J17" s="41"/>
      <c r="K17" s="77">
        <v>0</v>
      </c>
      <c r="L17" s="12">
        <v>0</v>
      </c>
      <c r="M17" s="12">
        <f t="shared" si="0"/>
        <v>-10</v>
      </c>
      <c r="O17" s="12"/>
    </row>
    <row r="18" spans="1:15" x14ac:dyDescent="0.25">
      <c r="A18">
        <v>5</v>
      </c>
      <c r="B18" s="24"/>
      <c r="C18" s="1"/>
      <c r="E18" s="1"/>
      <c r="F18" s="1"/>
      <c r="G18" s="103"/>
      <c r="H18" s="42"/>
      <c r="I18" s="1"/>
      <c r="J18" s="12"/>
      <c r="K18" s="77">
        <v>0</v>
      </c>
      <c r="L18" s="12">
        <v>0</v>
      </c>
      <c r="M18" s="12">
        <f t="shared" si="0"/>
        <v>-10</v>
      </c>
      <c r="O18" s="12"/>
    </row>
    <row r="19" spans="1:15" x14ac:dyDescent="0.25">
      <c r="A19">
        <v>6</v>
      </c>
      <c r="B19" s="24"/>
      <c r="C19" s="1"/>
      <c r="E19" s="1"/>
      <c r="F19" s="1"/>
      <c r="G19" s="103"/>
      <c r="H19" s="42"/>
      <c r="I19" s="1"/>
      <c r="J19" s="12"/>
      <c r="K19" s="77">
        <v>0</v>
      </c>
      <c r="L19" s="12">
        <v>0</v>
      </c>
      <c r="M19" s="12">
        <f t="shared" si="0"/>
        <v>-10</v>
      </c>
      <c r="O19" s="12"/>
    </row>
    <row r="20" spans="1:15" x14ac:dyDescent="0.25">
      <c r="A20">
        <v>7</v>
      </c>
      <c r="B20" s="24"/>
      <c r="C20" s="1"/>
      <c r="E20" s="1"/>
      <c r="F20" s="1"/>
      <c r="G20" s="103"/>
      <c r="H20" s="42"/>
      <c r="I20" s="1"/>
      <c r="J20" s="12"/>
      <c r="K20" s="77">
        <v>0</v>
      </c>
      <c r="L20" s="12">
        <v>0</v>
      </c>
      <c r="M20" s="12">
        <f t="shared" si="0"/>
        <v>-10</v>
      </c>
      <c r="O20" s="12"/>
    </row>
    <row r="21" spans="1:15" x14ac:dyDescent="0.25">
      <c r="A21">
        <v>8</v>
      </c>
      <c r="B21" s="24"/>
      <c r="C21" s="1"/>
      <c r="E21" s="1"/>
      <c r="G21" s="51"/>
      <c r="H21" s="42"/>
      <c r="I21" s="1"/>
      <c r="K21" s="77">
        <v>0</v>
      </c>
      <c r="L21" s="12">
        <v>0</v>
      </c>
      <c r="M21" s="12">
        <f t="shared" si="0"/>
        <v>-10</v>
      </c>
    </row>
    <row r="22" spans="1:15" x14ac:dyDescent="0.25">
      <c r="A22">
        <v>9</v>
      </c>
      <c r="B22" s="24"/>
      <c r="C22" s="1"/>
      <c r="E22" s="1"/>
      <c r="F22" s="1"/>
      <c r="G22" s="104"/>
      <c r="H22" s="42"/>
      <c r="I22" s="1"/>
      <c r="J22" s="12"/>
      <c r="K22" s="77">
        <v>0</v>
      </c>
      <c r="L22" s="12">
        <v>0</v>
      </c>
      <c r="M22" s="12">
        <f t="shared" si="0"/>
        <v>-10</v>
      </c>
    </row>
    <row r="23" spans="1:15" x14ac:dyDescent="0.25">
      <c r="A23">
        <v>10</v>
      </c>
      <c r="B23" s="24"/>
      <c r="C23" s="1"/>
      <c r="E23" s="1"/>
      <c r="G23" s="51"/>
      <c r="H23" s="42"/>
      <c r="I23" s="1"/>
      <c r="K23" s="77">
        <v>0</v>
      </c>
      <c r="L23" s="12">
        <v>0</v>
      </c>
      <c r="M23" s="12">
        <f t="shared" si="0"/>
        <v>-10</v>
      </c>
    </row>
    <row r="24" spans="1:15" x14ac:dyDescent="0.25">
      <c r="B24" s="11"/>
      <c r="G24" s="51"/>
      <c r="K24" s="77">
        <v>0</v>
      </c>
      <c r="L24" s="12">
        <v>0</v>
      </c>
      <c r="M24" s="12">
        <f t="shared" si="0"/>
        <v>-10</v>
      </c>
    </row>
    <row r="25" spans="1:15" x14ac:dyDescent="0.25">
      <c r="G25" s="51"/>
      <c r="K25" s="77">
        <v>0</v>
      </c>
      <c r="L25" s="12">
        <v>0</v>
      </c>
      <c r="M25" s="12">
        <f t="shared" si="0"/>
        <v>-10</v>
      </c>
    </row>
    <row r="26" spans="1:15" ht="15.75" thickBot="1" x14ac:dyDescent="0.3">
      <c r="K26" s="77">
        <v>0</v>
      </c>
      <c r="L26" s="12">
        <v>0</v>
      </c>
      <c r="M26" s="12">
        <f t="shared" si="0"/>
        <v>-10</v>
      </c>
    </row>
    <row r="27" spans="1:15" s="10" customFormat="1" ht="19.5" thickBot="1" x14ac:dyDescent="0.35">
      <c r="A27" s="57"/>
      <c r="B27" s="63" t="s">
        <v>2</v>
      </c>
      <c r="C27" s="59"/>
      <c r="D27" s="59"/>
      <c r="E27" s="59"/>
      <c r="F27" s="59"/>
      <c r="G27" s="59"/>
      <c r="H27" s="59"/>
      <c r="I27" s="59"/>
      <c r="J27" s="59"/>
      <c r="K27" s="61">
        <f>SUM(K14:K26)</f>
        <v>10</v>
      </c>
      <c r="L27" s="61"/>
      <c r="M27" s="62">
        <f>+M26</f>
        <v>-10</v>
      </c>
    </row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</sheetData>
  <mergeCells count="2">
    <mergeCell ref="J4:M4"/>
    <mergeCell ref="L6:M6"/>
  </mergeCells>
  <phoneticPr fontId="9" type="noConversion"/>
  <pageMargins left="0.7" right="0.7" top="0.75" bottom="0.75" header="0.3" footer="0.3"/>
  <pageSetup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6D230-FEEC-4AED-9C92-E0292259C1CE}">
  <sheetPr>
    <tabColor rgb="FF0070C0"/>
  </sheetPr>
  <dimension ref="A1:P64"/>
  <sheetViews>
    <sheetView zoomScale="70" zoomScaleNormal="70" workbookViewId="0">
      <selection activeCell="L14" sqref="L14"/>
    </sheetView>
  </sheetViews>
  <sheetFormatPr baseColWidth="10" defaultRowHeight="15" x14ac:dyDescent="0.25"/>
  <cols>
    <col min="1" max="1" width="3" bestFit="1" customWidth="1"/>
    <col min="2" max="2" width="11.5703125" style="1"/>
    <col min="3" max="3" width="59" customWidth="1"/>
    <col min="5" max="5" width="11.5703125" customWidth="1"/>
    <col min="6" max="6" width="22" bestFit="1" customWidth="1"/>
    <col min="7" max="7" width="50.7109375" bestFit="1" customWidth="1"/>
    <col min="8" max="8" width="11.5703125" customWidth="1"/>
    <col min="9" max="9" width="15.28515625" customWidth="1"/>
    <col min="10" max="10" width="13.140625" customWidth="1"/>
    <col min="11" max="11" width="11.5703125" customWidth="1"/>
    <col min="12" max="13" width="18" bestFit="1" customWidth="1"/>
  </cols>
  <sheetData>
    <row r="1" spans="1:16" x14ac:dyDescent="0.25">
      <c r="A1" s="2"/>
      <c r="B1" s="26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6" x14ac:dyDescent="0.25">
      <c r="A2" s="2"/>
      <c r="B2" s="26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6" ht="15.75" thickBot="1" x14ac:dyDescent="0.3">
      <c r="A3" s="2"/>
      <c r="B3" s="26"/>
      <c r="D3" s="2"/>
      <c r="E3" s="2"/>
      <c r="F3" s="2"/>
      <c r="G3" s="2"/>
      <c r="H3" s="2"/>
      <c r="I3" s="27"/>
      <c r="J3" s="27"/>
      <c r="K3" s="27"/>
      <c r="L3" s="27"/>
      <c r="M3" s="27"/>
    </row>
    <row r="4" spans="1:16" ht="19.5" thickBot="1" x14ac:dyDescent="0.35">
      <c r="A4" s="2"/>
      <c r="B4" s="26"/>
      <c r="C4" s="2"/>
      <c r="D4" s="2"/>
      <c r="E4" s="2"/>
      <c r="F4" s="17" t="s">
        <v>7</v>
      </c>
      <c r="G4" s="67" t="s">
        <v>9</v>
      </c>
      <c r="H4" s="105"/>
      <c r="I4" s="108" t="s">
        <v>7</v>
      </c>
      <c r="J4" s="114" t="s">
        <v>9</v>
      </c>
      <c r="K4" s="114"/>
      <c r="L4" s="114"/>
      <c r="M4" s="114"/>
    </row>
    <row r="5" spans="1:16" ht="19.5" thickBot="1" x14ac:dyDescent="0.35">
      <c r="A5" s="2"/>
      <c r="B5" s="26"/>
      <c r="C5" s="2"/>
      <c r="D5" s="2"/>
      <c r="E5" s="2"/>
      <c r="I5" s="16"/>
      <c r="J5" s="16"/>
      <c r="K5" s="16"/>
      <c r="L5" s="16"/>
      <c r="M5" s="16"/>
    </row>
    <row r="6" spans="1:16" ht="19.5" thickBot="1" x14ac:dyDescent="0.35">
      <c r="A6" s="2"/>
      <c r="B6" s="26"/>
      <c r="C6" s="2"/>
      <c r="D6" s="2"/>
      <c r="E6" s="2"/>
      <c r="F6" s="17" t="s">
        <v>8</v>
      </c>
      <c r="G6" s="74" t="s">
        <v>68</v>
      </c>
      <c r="H6" s="76"/>
      <c r="I6" s="106" t="s">
        <v>8</v>
      </c>
      <c r="J6" s="109" t="s">
        <v>68</v>
      </c>
      <c r="K6" s="109"/>
      <c r="L6" s="115" t="s">
        <v>68</v>
      </c>
      <c r="M6" s="115"/>
    </row>
    <row r="7" spans="1:16" ht="18.75" x14ac:dyDescent="0.3">
      <c r="A7" s="2"/>
      <c r="B7" s="26"/>
      <c r="C7" s="2"/>
      <c r="D7" s="2"/>
      <c r="E7" s="2"/>
      <c r="F7" s="2"/>
      <c r="G7" s="2"/>
      <c r="H7" s="31"/>
      <c r="I7" s="3"/>
      <c r="J7" s="3"/>
      <c r="K7" s="3"/>
      <c r="L7" s="3"/>
      <c r="M7" s="3"/>
    </row>
    <row r="8" spans="1:16" x14ac:dyDescent="0.25">
      <c r="A8" s="2"/>
      <c r="B8" s="26"/>
      <c r="C8" s="2"/>
      <c r="D8" s="2"/>
      <c r="E8" s="2"/>
      <c r="F8" s="2"/>
      <c r="G8" s="2"/>
      <c r="H8" s="2"/>
      <c r="I8" s="111"/>
      <c r="J8" s="111"/>
      <c r="K8" s="111"/>
      <c r="L8" s="111"/>
      <c r="M8" s="111"/>
    </row>
    <row r="9" spans="1:16" x14ac:dyDescent="0.25">
      <c r="A9" s="2"/>
      <c r="B9" s="26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6" x14ac:dyDescent="0.25">
      <c r="A10" s="2"/>
      <c r="B10" s="26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6" ht="15.75" thickBot="1" x14ac:dyDescent="0.3">
      <c r="A11" s="27"/>
      <c r="B11" s="28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</row>
    <row r="12" spans="1:16" s="6" customFormat="1" ht="16.5" thickBot="1" x14ac:dyDescent="0.3">
      <c r="A12" s="29"/>
      <c r="B12" s="15" t="s">
        <v>0</v>
      </c>
      <c r="C12" s="15" t="s">
        <v>1</v>
      </c>
      <c r="D12" s="15"/>
      <c r="E12" s="15"/>
      <c r="F12" s="15"/>
      <c r="G12" s="15"/>
      <c r="H12" s="15"/>
      <c r="I12" s="15"/>
      <c r="J12" s="15"/>
      <c r="K12" s="15" t="s">
        <v>3</v>
      </c>
      <c r="L12" s="15" t="s">
        <v>4</v>
      </c>
      <c r="M12" s="30" t="s">
        <v>5</v>
      </c>
      <c r="N12" s="5"/>
      <c r="O12" s="5"/>
      <c r="P12" s="5"/>
    </row>
    <row r="13" spans="1:16" x14ac:dyDescent="0.25">
      <c r="B13" s="24"/>
      <c r="K13" s="12"/>
      <c r="L13" s="12"/>
      <c r="M13" s="12">
        <v>0</v>
      </c>
    </row>
    <row r="14" spans="1:16" x14ac:dyDescent="0.25">
      <c r="A14">
        <v>1</v>
      </c>
      <c r="B14" s="24">
        <v>46152</v>
      </c>
      <c r="C14" t="s">
        <v>74</v>
      </c>
      <c r="K14" s="12">
        <v>0</v>
      </c>
      <c r="L14" s="64">
        <v>200</v>
      </c>
      <c r="M14" s="12">
        <f>+M13-K14+L14</f>
        <v>200</v>
      </c>
    </row>
    <row r="15" spans="1:16" x14ac:dyDescent="0.25">
      <c r="A15">
        <v>2</v>
      </c>
      <c r="B15" s="24"/>
      <c r="K15" s="12">
        <v>0</v>
      </c>
      <c r="L15" s="64">
        <v>0</v>
      </c>
      <c r="M15" s="12">
        <f>+M14-K15+L15</f>
        <v>200</v>
      </c>
    </row>
    <row r="16" spans="1:16" x14ac:dyDescent="0.25">
      <c r="A16">
        <v>3</v>
      </c>
      <c r="B16" s="24"/>
      <c r="K16" s="12">
        <v>0</v>
      </c>
      <c r="L16" s="64">
        <v>0</v>
      </c>
      <c r="M16" s="12">
        <f t="shared" ref="M16:M46" si="0">+M15-K16+L16</f>
        <v>200</v>
      </c>
    </row>
    <row r="17" spans="1:13" x14ac:dyDescent="0.25">
      <c r="A17">
        <v>4</v>
      </c>
      <c r="B17" s="24"/>
      <c r="K17" s="12">
        <v>0</v>
      </c>
      <c r="L17" s="64">
        <v>0</v>
      </c>
      <c r="M17" s="12">
        <f t="shared" si="0"/>
        <v>200</v>
      </c>
    </row>
    <row r="18" spans="1:13" x14ac:dyDescent="0.25">
      <c r="A18">
        <v>5</v>
      </c>
      <c r="B18" s="24"/>
      <c r="K18" s="12">
        <v>0</v>
      </c>
      <c r="L18" s="64">
        <v>0</v>
      </c>
      <c r="M18" s="12">
        <f t="shared" si="0"/>
        <v>200</v>
      </c>
    </row>
    <row r="19" spans="1:13" x14ac:dyDescent="0.25">
      <c r="A19">
        <v>6</v>
      </c>
      <c r="B19" s="24"/>
      <c r="K19" s="12">
        <v>0</v>
      </c>
      <c r="L19" s="64">
        <v>0</v>
      </c>
      <c r="M19" s="12">
        <f>+M18-K19+L19</f>
        <v>200</v>
      </c>
    </row>
    <row r="20" spans="1:13" x14ac:dyDescent="0.25">
      <c r="A20">
        <v>7</v>
      </c>
      <c r="B20" s="24"/>
      <c r="K20" s="12">
        <v>0</v>
      </c>
      <c r="L20" s="64">
        <v>0</v>
      </c>
      <c r="M20" s="12">
        <f>+M19-K20+L20</f>
        <v>200</v>
      </c>
    </row>
    <row r="21" spans="1:13" x14ac:dyDescent="0.25">
      <c r="A21">
        <v>8</v>
      </c>
      <c r="B21" s="24"/>
      <c r="K21" s="12">
        <v>0</v>
      </c>
      <c r="L21" s="64">
        <v>0</v>
      </c>
      <c r="M21" s="12">
        <f t="shared" si="0"/>
        <v>200</v>
      </c>
    </row>
    <row r="22" spans="1:13" x14ac:dyDescent="0.25">
      <c r="A22">
        <v>9</v>
      </c>
      <c r="B22" s="24"/>
      <c r="K22" s="12">
        <v>0</v>
      </c>
      <c r="L22" s="64">
        <v>0</v>
      </c>
      <c r="M22" s="12">
        <f t="shared" si="0"/>
        <v>200</v>
      </c>
    </row>
    <row r="23" spans="1:13" x14ac:dyDescent="0.25">
      <c r="A23">
        <v>10</v>
      </c>
      <c r="B23" s="24"/>
      <c r="K23" s="12">
        <v>0</v>
      </c>
      <c r="L23" s="64">
        <v>0</v>
      </c>
      <c r="M23" s="12">
        <f t="shared" si="0"/>
        <v>200</v>
      </c>
    </row>
    <row r="24" spans="1:13" x14ac:dyDescent="0.25">
      <c r="A24">
        <v>11</v>
      </c>
      <c r="B24" s="24"/>
      <c r="K24" s="12">
        <v>0</v>
      </c>
      <c r="L24" s="64">
        <v>0</v>
      </c>
      <c r="M24" s="12">
        <f t="shared" si="0"/>
        <v>200</v>
      </c>
    </row>
    <row r="25" spans="1:13" x14ac:dyDescent="0.25">
      <c r="A25">
        <v>12</v>
      </c>
      <c r="B25" s="24"/>
      <c r="K25" s="12">
        <v>0</v>
      </c>
      <c r="L25" s="64">
        <v>0</v>
      </c>
      <c r="M25" s="12">
        <f t="shared" si="0"/>
        <v>200</v>
      </c>
    </row>
    <row r="26" spans="1:13" x14ac:dyDescent="0.25">
      <c r="A26">
        <v>13</v>
      </c>
      <c r="B26" s="24"/>
      <c r="K26" s="12">
        <v>0</v>
      </c>
      <c r="L26" s="64">
        <v>0</v>
      </c>
      <c r="M26" s="12">
        <f t="shared" si="0"/>
        <v>200</v>
      </c>
    </row>
    <row r="27" spans="1:13" x14ac:dyDescent="0.25">
      <c r="A27">
        <v>14</v>
      </c>
      <c r="B27" s="24"/>
      <c r="K27" s="12">
        <v>0</v>
      </c>
      <c r="L27" s="64">
        <v>0</v>
      </c>
      <c r="M27" s="12">
        <f t="shared" si="0"/>
        <v>200</v>
      </c>
    </row>
    <row r="28" spans="1:13" x14ac:dyDescent="0.25">
      <c r="A28">
        <v>15</v>
      </c>
      <c r="B28" s="24"/>
      <c r="K28" s="12">
        <v>0</v>
      </c>
      <c r="L28" s="64">
        <v>0</v>
      </c>
      <c r="M28" s="12">
        <f t="shared" si="0"/>
        <v>200</v>
      </c>
    </row>
    <row r="29" spans="1:13" x14ac:dyDescent="0.25">
      <c r="A29">
        <v>16</v>
      </c>
      <c r="B29" s="24"/>
      <c r="K29" s="12">
        <v>0</v>
      </c>
      <c r="L29" s="64">
        <v>0</v>
      </c>
      <c r="M29" s="12">
        <f t="shared" si="0"/>
        <v>200</v>
      </c>
    </row>
    <row r="30" spans="1:13" x14ac:dyDescent="0.25">
      <c r="A30">
        <v>17</v>
      </c>
      <c r="B30" s="24"/>
      <c r="K30" s="12">
        <v>0</v>
      </c>
      <c r="L30" s="64">
        <v>0</v>
      </c>
      <c r="M30" s="12">
        <f t="shared" si="0"/>
        <v>200</v>
      </c>
    </row>
    <row r="31" spans="1:13" x14ac:dyDescent="0.25">
      <c r="A31">
        <v>18</v>
      </c>
      <c r="B31" s="24"/>
      <c r="K31" s="12">
        <v>0</v>
      </c>
      <c r="L31" s="64">
        <v>0</v>
      </c>
      <c r="M31" s="12">
        <f t="shared" si="0"/>
        <v>200</v>
      </c>
    </row>
    <row r="32" spans="1:13" x14ac:dyDescent="0.25">
      <c r="A32">
        <v>19</v>
      </c>
      <c r="B32" s="24"/>
      <c r="K32" s="12">
        <v>0</v>
      </c>
      <c r="L32" s="64">
        <v>0</v>
      </c>
      <c r="M32" s="12">
        <f t="shared" si="0"/>
        <v>200</v>
      </c>
    </row>
    <row r="33" spans="1:13" x14ac:dyDescent="0.25">
      <c r="A33">
        <v>20</v>
      </c>
      <c r="B33" s="24"/>
      <c r="K33" s="12">
        <v>0</v>
      </c>
      <c r="L33" s="64">
        <v>0</v>
      </c>
      <c r="M33" s="12">
        <f t="shared" si="0"/>
        <v>200</v>
      </c>
    </row>
    <row r="34" spans="1:13" x14ac:dyDescent="0.25">
      <c r="A34">
        <v>21</v>
      </c>
      <c r="B34" s="24"/>
      <c r="K34" s="12">
        <v>0</v>
      </c>
      <c r="L34" s="64">
        <v>0</v>
      </c>
      <c r="M34" s="12">
        <f t="shared" si="0"/>
        <v>200</v>
      </c>
    </row>
    <row r="35" spans="1:13" x14ac:dyDescent="0.25">
      <c r="A35">
        <v>22</v>
      </c>
      <c r="B35" s="24"/>
      <c r="K35" s="12">
        <v>0</v>
      </c>
      <c r="L35" s="64">
        <v>0</v>
      </c>
      <c r="M35" s="12">
        <f t="shared" si="0"/>
        <v>200</v>
      </c>
    </row>
    <row r="36" spans="1:13" x14ac:dyDescent="0.25">
      <c r="A36">
        <v>23</v>
      </c>
      <c r="B36" s="24"/>
      <c r="K36" s="12">
        <v>0</v>
      </c>
      <c r="L36" s="64">
        <v>0</v>
      </c>
      <c r="M36" s="12">
        <f t="shared" si="0"/>
        <v>200</v>
      </c>
    </row>
    <row r="37" spans="1:13" x14ac:dyDescent="0.25">
      <c r="A37">
        <v>24</v>
      </c>
      <c r="B37" s="24"/>
      <c r="K37" s="12">
        <v>0</v>
      </c>
      <c r="L37" s="64">
        <v>0</v>
      </c>
      <c r="M37" s="12">
        <f t="shared" si="0"/>
        <v>200</v>
      </c>
    </row>
    <row r="38" spans="1:13" x14ac:dyDescent="0.25">
      <c r="A38">
        <v>25</v>
      </c>
      <c r="B38" s="24"/>
      <c r="K38" s="12">
        <v>0</v>
      </c>
      <c r="L38" s="64">
        <v>0</v>
      </c>
      <c r="M38" s="12">
        <f t="shared" si="0"/>
        <v>200</v>
      </c>
    </row>
    <row r="39" spans="1:13" x14ac:dyDescent="0.25">
      <c r="A39">
        <v>26</v>
      </c>
      <c r="B39" s="24"/>
      <c r="K39" s="12">
        <v>0</v>
      </c>
      <c r="L39" s="64">
        <v>0</v>
      </c>
      <c r="M39" s="12">
        <f t="shared" si="0"/>
        <v>200</v>
      </c>
    </row>
    <row r="40" spans="1:13" x14ac:dyDescent="0.25">
      <c r="A40">
        <v>27</v>
      </c>
      <c r="B40" s="24"/>
      <c r="K40" s="12">
        <v>0</v>
      </c>
      <c r="L40" s="64">
        <v>0</v>
      </c>
      <c r="M40" s="12">
        <f t="shared" si="0"/>
        <v>200</v>
      </c>
    </row>
    <row r="41" spans="1:13" x14ac:dyDescent="0.25">
      <c r="A41">
        <v>28</v>
      </c>
      <c r="B41" s="24"/>
      <c r="K41" s="12">
        <v>0</v>
      </c>
      <c r="L41" s="64">
        <v>0</v>
      </c>
      <c r="M41" s="12">
        <f t="shared" si="0"/>
        <v>200</v>
      </c>
    </row>
    <row r="42" spans="1:13" x14ac:dyDescent="0.25">
      <c r="A42">
        <v>29</v>
      </c>
      <c r="B42" s="24"/>
      <c r="K42" s="12">
        <v>0</v>
      </c>
      <c r="L42" s="64">
        <v>0</v>
      </c>
      <c r="M42" s="12">
        <f t="shared" si="0"/>
        <v>200</v>
      </c>
    </row>
    <row r="43" spans="1:13" x14ac:dyDescent="0.25">
      <c r="A43">
        <v>30</v>
      </c>
      <c r="B43" s="24"/>
      <c r="K43" s="12">
        <v>0</v>
      </c>
      <c r="L43" s="64">
        <v>0</v>
      </c>
      <c r="M43" s="12">
        <f t="shared" si="0"/>
        <v>200</v>
      </c>
    </row>
    <row r="44" spans="1:13" x14ac:dyDescent="0.25">
      <c r="A44">
        <v>31</v>
      </c>
      <c r="B44" s="24"/>
      <c r="K44" s="12">
        <v>0</v>
      </c>
      <c r="L44" s="64">
        <v>0</v>
      </c>
      <c r="M44" s="12">
        <f t="shared" si="0"/>
        <v>200</v>
      </c>
    </row>
    <row r="45" spans="1:13" x14ac:dyDescent="0.25">
      <c r="A45">
        <v>32</v>
      </c>
      <c r="B45" s="24"/>
      <c r="K45" s="12">
        <v>0</v>
      </c>
      <c r="L45" s="64">
        <v>0</v>
      </c>
      <c r="M45" s="12">
        <f t="shared" si="0"/>
        <v>200</v>
      </c>
    </row>
    <row r="46" spans="1:13" x14ac:dyDescent="0.25">
      <c r="A46">
        <v>33</v>
      </c>
      <c r="B46" s="24"/>
      <c r="K46" s="12">
        <v>0</v>
      </c>
      <c r="L46" s="64">
        <v>0</v>
      </c>
      <c r="M46" s="12">
        <f t="shared" si="0"/>
        <v>200</v>
      </c>
    </row>
    <row r="47" spans="1:13" x14ac:dyDescent="0.25">
      <c r="A47">
        <v>34</v>
      </c>
      <c r="B47" s="24"/>
      <c r="K47" s="12">
        <v>0</v>
      </c>
      <c r="L47" s="64">
        <v>0</v>
      </c>
      <c r="M47" s="12">
        <f t="shared" ref="M47:M59" si="1">+M46-K47+L47</f>
        <v>200</v>
      </c>
    </row>
    <row r="48" spans="1:13" x14ac:dyDescent="0.25">
      <c r="A48">
        <v>35</v>
      </c>
      <c r="B48" s="24"/>
      <c r="K48" s="12">
        <v>0</v>
      </c>
      <c r="L48" s="64">
        <v>0</v>
      </c>
      <c r="M48" s="12">
        <f t="shared" si="1"/>
        <v>200</v>
      </c>
    </row>
    <row r="49" spans="1:13" x14ac:dyDescent="0.25">
      <c r="A49">
        <v>36</v>
      </c>
      <c r="B49" s="24"/>
      <c r="K49" s="12">
        <v>0</v>
      </c>
      <c r="L49" s="64">
        <v>0</v>
      </c>
      <c r="M49" s="12">
        <f t="shared" si="1"/>
        <v>200</v>
      </c>
    </row>
    <row r="50" spans="1:13" x14ac:dyDescent="0.25">
      <c r="A50">
        <v>37</v>
      </c>
      <c r="B50" s="24"/>
      <c r="K50" s="12">
        <v>0</v>
      </c>
      <c r="L50" s="64">
        <v>0</v>
      </c>
      <c r="M50" s="12">
        <f t="shared" si="1"/>
        <v>200</v>
      </c>
    </row>
    <row r="51" spans="1:13" x14ac:dyDescent="0.25">
      <c r="A51">
        <v>38</v>
      </c>
      <c r="B51" s="24"/>
      <c r="K51" s="12">
        <v>0</v>
      </c>
      <c r="L51" s="64">
        <v>0</v>
      </c>
      <c r="M51" s="12">
        <f t="shared" si="1"/>
        <v>200</v>
      </c>
    </row>
    <row r="52" spans="1:13" x14ac:dyDescent="0.25">
      <c r="A52">
        <v>39</v>
      </c>
      <c r="B52" s="24"/>
      <c r="K52" s="12">
        <v>0</v>
      </c>
      <c r="L52" s="64">
        <v>0</v>
      </c>
      <c r="M52" s="12">
        <f t="shared" si="1"/>
        <v>200</v>
      </c>
    </row>
    <row r="53" spans="1:13" x14ac:dyDescent="0.25">
      <c r="A53">
        <v>40</v>
      </c>
      <c r="B53" s="24"/>
      <c r="K53" s="12">
        <v>0</v>
      </c>
      <c r="L53" s="64">
        <v>0</v>
      </c>
      <c r="M53" s="12">
        <f t="shared" si="1"/>
        <v>200</v>
      </c>
    </row>
    <row r="54" spans="1:13" x14ac:dyDescent="0.25">
      <c r="A54">
        <v>41</v>
      </c>
      <c r="B54" s="24"/>
      <c r="K54" s="12">
        <v>0</v>
      </c>
      <c r="L54" s="64">
        <v>0</v>
      </c>
      <c r="M54" s="12">
        <f t="shared" si="1"/>
        <v>200</v>
      </c>
    </row>
    <row r="55" spans="1:13" x14ac:dyDescent="0.25">
      <c r="A55">
        <v>42</v>
      </c>
      <c r="B55" s="24"/>
      <c r="K55" s="12">
        <v>0</v>
      </c>
      <c r="L55" s="64">
        <v>0</v>
      </c>
      <c r="M55" s="12">
        <f>+M54-K55+L55</f>
        <v>200</v>
      </c>
    </row>
    <row r="56" spans="1:13" x14ac:dyDescent="0.25">
      <c r="A56">
        <v>43</v>
      </c>
      <c r="B56" s="24"/>
      <c r="K56" s="12">
        <v>0</v>
      </c>
      <c r="L56" s="64">
        <v>0</v>
      </c>
      <c r="M56" s="12">
        <f t="shared" si="1"/>
        <v>200</v>
      </c>
    </row>
    <row r="57" spans="1:13" x14ac:dyDescent="0.25">
      <c r="K57" s="12">
        <v>0</v>
      </c>
      <c r="L57" s="64">
        <v>0</v>
      </c>
      <c r="M57" s="12">
        <f t="shared" si="1"/>
        <v>200</v>
      </c>
    </row>
    <row r="58" spans="1:13" x14ac:dyDescent="0.25">
      <c r="K58" s="12">
        <v>0</v>
      </c>
      <c r="L58" s="64">
        <v>0</v>
      </c>
      <c r="M58" s="12">
        <f t="shared" si="1"/>
        <v>200</v>
      </c>
    </row>
    <row r="59" spans="1:13" ht="15.75" thickBot="1" x14ac:dyDescent="0.3">
      <c r="K59" s="12">
        <v>0</v>
      </c>
      <c r="L59" s="12">
        <v>0</v>
      </c>
      <c r="M59" s="12">
        <f t="shared" si="1"/>
        <v>200</v>
      </c>
    </row>
    <row r="60" spans="1:13" s="10" customFormat="1" ht="16.5" thickBot="1" x14ac:dyDescent="0.3">
      <c r="A60" s="21"/>
      <c r="B60" s="25" t="s">
        <v>2</v>
      </c>
      <c r="C60" s="20"/>
      <c r="D60" s="20"/>
      <c r="E60" s="20"/>
      <c r="F60" s="20"/>
      <c r="G60" s="20"/>
      <c r="H60" s="20"/>
      <c r="I60" s="20"/>
      <c r="J60" s="20"/>
      <c r="K60" s="22">
        <f>SUM(K14:K59)</f>
        <v>0</v>
      </c>
      <c r="L60" s="22">
        <f>SUM(L14:L59)</f>
        <v>200</v>
      </c>
      <c r="M60" s="23">
        <f>+M59</f>
        <v>200</v>
      </c>
    </row>
    <row r="62" spans="1:13" x14ac:dyDescent="0.25">
      <c r="M62" s="39"/>
    </row>
    <row r="63" spans="1:13" x14ac:dyDescent="0.25">
      <c r="M63" s="12"/>
    </row>
    <row r="64" spans="1:13" x14ac:dyDescent="0.25">
      <c r="M64" s="38"/>
    </row>
  </sheetData>
  <autoFilter ref="A12:M12" xr:uid="{EAF6A332-73AA-440D-A0E4-5352477EE621}"/>
  <mergeCells count="2">
    <mergeCell ref="J4:M4"/>
    <mergeCell ref="L6:M6"/>
  </mergeCells>
  <phoneticPr fontId="9" type="noConversion"/>
  <pageMargins left="0.7" right="0.7" top="0.75" bottom="0.75" header="0.3" footer="0.3"/>
  <pageSetup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D14F-58C0-481E-8ECD-EEA3A8E7F71F}">
  <sheetPr>
    <tabColor rgb="FF0070C0"/>
  </sheetPr>
  <dimension ref="A1:P37"/>
  <sheetViews>
    <sheetView zoomScale="80" zoomScaleNormal="80" workbookViewId="0">
      <selection activeCell="L14" sqref="L14"/>
    </sheetView>
  </sheetViews>
  <sheetFormatPr baseColWidth="10" defaultRowHeight="15" x14ac:dyDescent="0.25"/>
  <cols>
    <col min="1" max="1" width="3" bestFit="1" customWidth="1"/>
    <col min="2" max="2" width="11.5703125" style="1"/>
    <col min="3" max="3" width="59" customWidth="1"/>
    <col min="5" max="5" width="11.5703125" customWidth="1"/>
    <col min="6" max="6" width="22.7109375" bestFit="1" customWidth="1"/>
    <col min="7" max="7" width="52.42578125" bestFit="1" customWidth="1"/>
    <col min="8" max="8" width="11.5703125" customWidth="1"/>
    <col min="9" max="9" width="8.85546875" customWidth="1"/>
    <col min="10" max="10" width="11.28515625" customWidth="1"/>
    <col min="11" max="11" width="11.5703125" customWidth="1"/>
    <col min="12" max="13" width="16.85546875" bestFit="1" customWidth="1"/>
    <col min="16" max="16" width="15.28515625" bestFit="1" customWidth="1"/>
  </cols>
  <sheetData>
    <row r="1" spans="1:16" x14ac:dyDescent="0.25">
      <c r="A1" s="2"/>
      <c r="B1" s="26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6" x14ac:dyDescent="0.25">
      <c r="A2" s="2"/>
      <c r="B2" s="26"/>
      <c r="C2" s="2"/>
      <c r="D2" s="2"/>
      <c r="E2" s="2"/>
      <c r="F2" s="2"/>
      <c r="G2" s="2"/>
      <c r="H2" s="2"/>
      <c r="I2" s="27"/>
      <c r="J2" s="27"/>
      <c r="K2" s="27"/>
      <c r="L2" s="27"/>
      <c r="M2" s="27"/>
    </row>
    <row r="3" spans="1:16" ht="15.75" thickBot="1" x14ac:dyDescent="0.3">
      <c r="A3" s="2"/>
      <c r="B3" s="26"/>
      <c r="C3" s="2"/>
      <c r="D3" s="2"/>
      <c r="E3" s="2"/>
      <c r="F3" s="2"/>
      <c r="G3" s="2"/>
      <c r="H3" s="31"/>
    </row>
    <row r="4" spans="1:16" ht="19.5" thickBot="1" x14ac:dyDescent="0.35">
      <c r="A4" s="2"/>
      <c r="B4" s="26"/>
      <c r="D4" s="2"/>
      <c r="E4" s="2"/>
      <c r="F4" s="17" t="s">
        <v>7</v>
      </c>
      <c r="G4" s="67" t="s">
        <v>9</v>
      </c>
      <c r="H4" s="105"/>
      <c r="I4" s="108" t="s">
        <v>7</v>
      </c>
      <c r="J4" s="114" t="s">
        <v>9</v>
      </c>
      <c r="K4" s="114"/>
      <c r="L4" s="114"/>
      <c r="M4" s="114"/>
    </row>
    <row r="5" spans="1:16" ht="19.5" thickBot="1" x14ac:dyDescent="0.35">
      <c r="A5" s="2"/>
      <c r="B5" s="26"/>
      <c r="C5" s="2"/>
      <c r="D5" s="2"/>
      <c r="E5" s="2"/>
      <c r="I5" s="16"/>
      <c r="J5" s="16"/>
      <c r="K5" s="16"/>
      <c r="L5" s="16"/>
      <c r="M5" s="16"/>
    </row>
    <row r="6" spans="1:16" ht="19.5" thickBot="1" x14ac:dyDescent="0.35">
      <c r="A6" s="2"/>
      <c r="B6" s="26"/>
      <c r="C6" s="2"/>
      <c r="D6" s="2"/>
      <c r="E6" s="2"/>
      <c r="F6" s="17" t="s">
        <v>8</v>
      </c>
      <c r="G6" s="74" t="s">
        <v>68</v>
      </c>
      <c r="H6" s="76"/>
      <c r="I6" s="106" t="s">
        <v>8</v>
      </c>
      <c r="J6" s="109" t="s">
        <v>68</v>
      </c>
      <c r="K6" s="109"/>
      <c r="L6" s="115" t="s">
        <v>68</v>
      </c>
      <c r="M6" s="115"/>
    </row>
    <row r="7" spans="1:16" ht="18.75" x14ac:dyDescent="0.3">
      <c r="A7" s="2"/>
      <c r="B7" s="26"/>
      <c r="C7" s="2"/>
      <c r="D7" s="2"/>
      <c r="E7" s="2"/>
      <c r="F7" s="2"/>
      <c r="G7" s="2"/>
      <c r="H7" s="31"/>
      <c r="I7" s="3"/>
      <c r="J7" s="3"/>
      <c r="K7" s="3"/>
      <c r="L7" s="3"/>
      <c r="M7" s="3"/>
    </row>
    <row r="8" spans="1:16" x14ac:dyDescent="0.25">
      <c r="A8" s="2"/>
      <c r="B8" s="26"/>
      <c r="C8" s="2"/>
      <c r="D8" s="2"/>
      <c r="E8" s="2"/>
      <c r="F8" s="2"/>
      <c r="G8" s="2"/>
      <c r="H8" s="31"/>
    </row>
    <row r="9" spans="1:16" x14ac:dyDescent="0.25">
      <c r="A9" s="2"/>
      <c r="B9" s="26"/>
      <c r="C9" s="2"/>
      <c r="D9" s="2"/>
      <c r="E9" s="2"/>
      <c r="F9" s="2"/>
      <c r="G9" s="2"/>
      <c r="H9" s="31"/>
    </row>
    <row r="10" spans="1:16" x14ac:dyDescent="0.25">
      <c r="A10" s="2"/>
      <c r="B10" s="26"/>
      <c r="C10" s="2"/>
      <c r="D10" s="2"/>
      <c r="E10" s="2"/>
      <c r="F10" s="2"/>
      <c r="G10" s="2"/>
      <c r="H10" s="2"/>
      <c r="I10" s="111"/>
      <c r="J10" s="111"/>
      <c r="K10" s="111"/>
      <c r="L10" s="111"/>
      <c r="M10" s="111"/>
    </row>
    <row r="11" spans="1:16" ht="15.75" thickBot="1" x14ac:dyDescent="0.3">
      <c r="A11" s="27"/>
      <c r="B11" s="28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</row>
    <row r="12" spans="1:16" s="6" customFormat="1" ht="16.5" thickBot="1" x14ac:dyDescent="0.3">
      <c r="A12" s="29"/>
      <c r="B12" s="15" t="s">
        <v>0</v>
      </c>
      <c r="C12" s="15" t="s">
        <v>1</v>
      </c>
      <c r="D12" s="15"/>
      <c r="E12" s="15"/>
      <c r="F12" s="15"/>
      <c r="G12" s="15"/>
      <c r="H12" s="15"/>
      <c r="I12" s="15"/>
      <c r="J12" s="15"/>
      <c r="K12" s="15" t="s">
        <v>3</v>
      </c>
      <c r="L12" s="15" t="s">
        <v>4</v>
      </c>
      <c r="M12" s="30" t="s">
        <v>5</v>
      </c>
      <c r="N12" s="5"/>
      <c r="O12" s="5"/>
      <c r="P12" s="5"/>
    </row>
    <row r="13" spans="1:16" x14ac:dyDescent="0.25">
      <c r="B13" s="24"/>
      <c r="K13" s="12"/>
      <c r="L13" s="12"/>
      <c r="M13" s="12">
        <v>0</v>
      </c>
      <c r="P13" s="12"/>
    </row>
    <row r="14" spans="1:16" s="47" customFormat="1" x14ac:dyDescent="0.25">
      <c r="A14" s="47">
        <v>1</v>
      </c>
      <c r="B14" s="50">
        <v>46152</v>
      </c>
      <c r="C14" s="47" t="s">
        <v>75</v>
      </c>
      <c r="K14" s="49">
        <v>0</v>
      </c>
      <c r="L14" s="12">
        <v>50</v>
      </c>
      <c r="M14" s="49">
        <f>+M13-K14+L14</f>
        <v>50</v>
      </c>
      <c r="P14" s="49"/>
    </row>
    <row r="15" spans="1:16" x14ac:dyDescent="0.25">
      <c r="A15">
        <v>2</v>
      </c>
      <c r="B15" s="24"/>
      <c r="K15" s="46">
        <v>0</v>
      </c>
      <c r="L15" s="12">
        <v>0</v>
      </c>
      <c r="M15" s="12">
        <f t="shared" ref="M15:M36" si="0">+M14-K15+L15</f>
        <v>50</v>
      </c>
      <c r="P15" s="12"/>
    </row>
    <row r="16" spans="1:16" x14ac:dyDescent="0.25">
      <c r="A16">
        <v>3</v>
      </c>
      <c r="B16" s="24"/>
      <c r="K16" s="46">
        <v>0</v>
      </c>
      <c r="L16" s="12">
        <v>0</v>
      </c>
      <c r="M16" s="12">
        <f t="shared" ref="M16:M34" si="1">+M15-K16+L16</f>
        <v>50</v>
      </c>
      <c r="P16" s="12"/>
    </row>
    <row r="17" spans="1:16" x14ac:dyDescent="0.25">
      <c r="A17" s="47">
        <v>4</v>
      </c>
      <c r="B17" s="24"/>
      <c r="K17" s="46">
        <v>0</v>
      </c>
      <c r="L17" s="12">
        <v>0</v>
      </c>
      <c r="M17" s="12">
        <f t="shared" si="1"/>
        <v>50</v>
      </c>
      <c r="P17" s="12"/>
    </row>
    <row r="18" spans="1:16" x14ac:dyDescent="0.25">
      <c r="A18" s="47"/>
      <c r="B18" s="24"/>
      <c r="K18" s="46">
        <v>0</v>
      </c>
      <c r="L18" s="12">
        <v>0</v>
      </c>
      <c r="M18" s="12">
        <f t="shared" si="1"/>
        <v>50</v>
      </c>
      <c r="P18" s="12"/>
    </row>
    <row r="19" spans="1:16" x14ac:dyDescent="0.25">
      <c r="A19" s="47"/>
      <c r="B19" s="24"/>
      <c r="K19" s="46">
        <v>0</v>
      </c>
      <c r="L19" s="12">
        <v>0</v>
      </c>
      <c r="M19" s="12">
        <f t="shared" si="1"/>
        <v>50</v>
      </c>
      <c r="P19" s="12"/>
    </row>
    <row r="20" spans="1:16" x14ac:dyDescent="0.25">
      <c r="A20" s="47"/>
      <c r="B20" s="24"/>
      <c r="K20" s="46">
        <v>0</v>
      </c>
      <c r="L20" s="12">
        <v>0</v>
      </c>
      <c r="M20" s="12">
        <f t="shared" si="1"/>
        <v>50</v>
      </c>
      <c r="P20" s="12"/>
    </row>
    <row r="21" spans="1:16" x14ac:dyDescent="0.25">
      <c r="A21" s="47"/>
      <c r="B21" s="24"/>
      <c r="K21" s="46">
        <v>0</v>
      </c>
      <c r="L21" s="12">
        <v>0</v>
      </c>
      <c r="M21" s="12">
        <f t="shared" si="1"/>
        <v>50</v>
      </c>
      <c r="P21" s="12"/>
    </row>
    <row r="22" spans="1:16" x14ac:dyDescent="0.25">
      <c r="A22" s="47"/>
      <c r="B22" s="24"/>
      <c r="K22" s="46">
        <v>0</v>
      </c>
      <c r="L22" s="12">
        <v>0</v>
      </c>
      <c r="M22" s="12">
        <f t="shared" si="1"/>
        <v>50</v>
      </c>
      <c r="P22" s="12"/>
    </row>
    <row r="23" spans="1:16" x14ac:dyDescent="0.25">
      <c r="A23" s="47"/>
      <c r="B23" s="24"/>
      <c r="K23" s="46">
        <v>0</v>
      </c>
      <c r="L23" s="12">
        <v>0</v>
      </c>
      <c r="M23" s="12">
        <f t="shared" si="1"/>
        <v>50</v>
      </c>
      <c r="P23" s="12"/>
    </row>
    <row r="24" spans="1:16" x14ac:dyDescent="0.25">
      <c r="A24" s="47"/>
      <c r="B24" s="24"/>
      <c r="K24" s="46">
        <v>0</v>
      </c>
      <c r="L24" s="12">
        <v>0</v>
      </c>
      <c r="M24" s="12">
        <f t="shared" si="1"/>
        <v>50</v>
      </c>
      <c r="P24" s="12"/>
    </row>
    <row r="25" spans="1:16" x14ac:dyDescent="0.25">
      <c r="A25" s="47"/>
      <c r="B25" s="24"/>
      <c r="K25" s="46">
        <v>0</v>
      </c>
      <c r="L25" s="12">
        <v>0</v>
      </c>
      <c r="M25" s="12">
        <f t="shared" si="1"/>
        <v>50</v>
      </c>
      <c r="P25" s="12"/>
    </row>
    <row r="26" spans="1:16" x14ac:dyDescent="0.25">
      <c r="A26" s="47"/>
      <c r="B26" s="24"/>
      <c r="K26" s="46">
        <v>0</v>
      </c>
      <c r="L26" s="12">
        <v>0</v>
      </c>
      <c r="M26" s="12">
        <f t="shared" si="1"/>
        <v>50</v>
      </c>
      <c r="P26" s="12"/>
    </row>
    <row r="27" spans="1:16" x14ac:dyDescent="0.25">
      <c r="A27" s="47"/>
      <c r="B27" s="24"/>
      <c r="K27" s="46">
        <v>0</v>
      </c>
      <c r="L27" s="12">
        <v>0</v>
      </c>
      <c r="M27" s="12">
        <f t="shared" si="1"/>
        <v>50</v>
      </c>
      <c r="P27" s="12"/>
    </row>
    <row r="28" spans="1:16" x14ac:dyDescent="0.25">
      <c r="A28" s="47"/>
      <c r="B28" s="24"/>
      <c r="K28" s="46">
        <v>0</v>
      </c>
      <c r="L28" s="12">
        <v>0</v>
      </c>
      <c r="M28" s="12">
        <f t="shared" si="1"/>
        <v>50</v>
      </c>
      <c r="P28" s="12"/>
    </row>
    <row r="29" spans="1:16" x14ac:dyDescent="0.25">
      <c r="A29" s="47"/>
      <c r="B29" s="24"/>
      <c r="K29" s="46">
        <v>0</v>
      </c>
      <c r="L29" s="12">
        <v>0</v>
      </c>
      <c r="M29" s="12">
        <f t="shared" si="1"/>
        <v>50</v>
      </c>
      <c r="P29" s="12"/>
    </row>
    <row r="30" spans="1:16" x14ac:dyDescent="0.25">
      <c r="A30" s="47"/>
      <c r="B30" s="24"/>
      <c r="K30" s="46">
        <v>0</v>
      </c>
      <c r="L30" s="12">
        <v>0</v>
      </c>
      <c r="M30" s="12">
        <f t="shared" si="1"/>
        <v>50</v>
      </c>
      <c r="P30" s="12"/>
    </row>
    <row r="31" spans="1:16" x14ac:dyDescent="0.25">
      <c r="A31" s="47"/>
      <c r="B31" s="24"/>
      <c r="K31" s="46">
        <v>0</v>
      </c>
      <c r="L31" s="12">
        <v>0</v>
      </c>
      <c r="M31" s="12">
        <f t="shared" si="1"/>
        <v>50</v>
      </c>
      <c r="P31" s="12"/>
    </row>
    <row r="32" spans="1:16" x14ac:dyDescent="0.25">
      <c r="A32" s="47"/>
      <c r="B32" s="24"/>
      <c r="K32" s="46">
        <v>0</v>
      </c>
      <c r="L32" s="12">
        <v>0</v>
      </c>
      <c r="M32" s="12">
        <f t="shared" si="1"/>
        <v>50</v>
      </c>
      <c r="P32" s="12"/>
    </row>
    <row r="33" spans="1:16" x14ac:dyDescent="0.25">
      <c r="A33" s="47"/>
      <c r="B33" s="24"/>
      <c r="K33" s="46">
        <v>0</v>
      </c>
      <c r="L33" s="12">
        <v>0</v>
      </c>
      <c r="M33" s="12">
        <f t="shared" si="1"/>
        <v>50</v>
      </c>
      <c r="P33" s="12"/>
    </row>
    <row r="34" spans="1:16" x14ac:dyDescent="0.25">
      <c r="A34" s="47"/>
      <c r="K34" s="46">
        <v>0</v>
      </c>
      <c r="L34" s="12">
        <v>0</v>
      </c>
      <c r="M34" s="12">
        <f t="shared" si="1"/>
        <v>50</v>
      </c>
      <c r="P34" s="12"/>
    </row>
    <row r="35" spans="1:16" x14ac:dyDescent="0.25">
      <c r="K35" s="12">
        <v>0</v>
      </c>
      <c r="L35" s="12">
        <v>0</v>
      </c>
      <c r="M35" s="12">
        <f t="shared" si="0"/>
        <v>50</v>
      </c>
    </row>
    <row r="36" spans="1:16" ht="15.75" thickBot="1" x14ac:dyDescent="0.3">
      <c r="K36" s="12">
        <v>0</v>
      </c>
      <c r="L36" s="12">
        <v>0</v>
      </c>
      <c r="M36" s="12">
        <f t="shared" si="0"/>
        <v>50</v>
      </c>
    </row>
    <row r="37" spans="1:16" s="6" customFormat="1" ht="16.5" thickBot="1" x14ac:dyDescent="0.3">
      <c r="A37" s="21"/>
      <c r="B37" s="25" t="s">
        <v>2</v>
      </c>
      <c r="C37" s="20"/>
      <c r="D37" s="20"/>
      <c r="E37" s="20"/>
      <c r="F37" s="20"/>
      <c r="G37" s="20"/>
      <c r="H37" s="20"/>
      <c r="I37" s="20"/>
      <c r="J37" s="20"/>
      <c r="K37" s="22">
        <f>SUM(K14:K36)</f>
        <v>0</v>
      </c>
      <c r="L37" s="22">
        <f>SUM(L14:L36)</f>
        <v>50</v>
      </c>
      <c r="M37" s="23">
        <f>+M36</f>
        <v>50</v>
      </c>
    </row>
  </sheetData>
  <mergeCells count="2">
    <mergeCell ref="J4:M4"/>
    <mergeCell ref="L6:M6"/>
  </mergeCells>
  <pageMargins left="0.7" right="0.7" top="0.75" bottom="0.75" header="0.3" footer="0.3"/>
  <pageSetup orientation="portrait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41891-C362-40DF-A9DB-1458F68ED9E9}">
  <sheetPr>
    <tabColor rgb="FF0070C0"/>
  </sheetPr>
  <dimension ref="A3:P40"/>
  <sheetViews>
    <sheetView zoomScale="80" zoomScaleNormal="80" workbookViewId="0">
      <selection activeCell="L15" sqref="L15"/>
    </sheetView>
  </sheetViews>
  <sheetFormatPr baseColWidth="10" defaultRowHeight="15" x14ac:dyDescent="0.25"/>
  <cols>
    <col min="1" max="1" width="3" bestFit="1" customWidth="1"/>
    <col min="2" max="2" width="11.5703125" style="1"/>
    <col min="3" max="3" width="59" customWidth="1"/>
    <col min="5" max="5" width="11.5703125" customWidth="1"/>
    <col min="6" max="6" width="22.7109375" bestFit="1" customWidth="1"/>
    <col min="7" max="7" width="52.42578125" bestFit="1" customWidth="1"/>
    <col min="8" max="8" width="11.5703125" customWidth="1"/>
    <col min="9" max="9" width="13.7109375" customWidth="1"/>
    <col min="10" max="10" width="13" customWidth="1"/>
    <col min="11" max="11" width="11.5703125" customWidth="1"/>
    <col min="12" max="13" width="15.7109375" bestFit="1" customWidth="1"/>
  </cols>
  <sheetData>
    <row r="3" spans="1:16" x14ac:dyDescent="0.25">
      <c r="I3" s="1"/>
    </row>
    <row r="4" spans="1:16" ht="19.5" thickBot="1" x14ac:dyDescent="0.35">
      <c r="F4" s="2"/>
      <c r="G4" s="2"/>
      <c r="H4" s="31"/>
      <c r="I4" s="108" t="s">
        <v>7</v>
      </c>
      <c r="J4" s="114" t="s">
        <v>9</v>
      </c>
      <c r="K4" s="114"/>
      <c r="L4" s="114"/>
      <c r="M4" s="114"/>
    </row>
    <row r="5" spans="1:16" ht="19.5" thickBot="1" x14ac:dyDescent="0.35">
      <c r="F5" s="17" t="s">
        <v>7</v>
      </c>
      <c r="G5" s="67" t="s">
        <v>9</v>
      </c>
      <c r="H5" s="105"/>
      <c r="I5" s="18"/>
      <c r="J5" s="16"/>
      <c r="K5" s="16"/>
      <c r="L5" s="16"/>
      <c r="M5" s="16"/>
    </row>
    <row r="6" spans="1:16" ht="19.5" thickBot="1" x14ac:dyDescent="0.35">
      <c r="I6" s="108" t="s">
        <v>8</v>
      </c>
      <c r="J6" s="109" t="s">
        <v>68</v>
      </c>
      <c r="K6" s="109"/>
      <c r="L6" s="115" t="s">
        <v>68</v>
      </c>
      <c r="M6" s="115"/>
    </row>
    <row r="7" spans="1:16" ht="19.5" thickBot="1" x14ac:dyDescent="0.35">
      <c r="F7" s="17" t="s">
        <v>8</v>
      </c>
      <c r="G7" s="74" t="s">
        <v>68</v>
      </c>
      <c r="H7" s="76"/>
      <c r="I7" s="19"/>
      <c r="J7" s="3"/>
      <c r="K7" s="3"/>
      <c r="L7" s="3"/>
      <c r="M7" s="3"/>
    </row>
    <row r="11" spans="1:16" ht="15.75" thickBot="1" x14ac:dyDescent="0.3"/>
    <row r="12" spans="1:16" s="6" customFormat="1" ht="16.5" thickBot="1" x14ac:dyDescent="0.3">
      <c r="A12" s="66"/>
      <c r="B12" s="15" t="s">
        <v>0</v>
      </c>
      <c r="C12" s="15" t="s">
        <v>1</v>
      </c>
      <c r="D12" s="15"/>
      <c r="E12" s="15"/>
      <c r="F12" s="15"/>
      <c r="G12" s="15"/>
      <c r="H12" s="15"/>
      <c r="I12" s="15"/>
      <c r="J12" s="15"/>
      <c r="K12" s="15" t="s">
        <v>3</v>
      </c>
      <c r="L12" s="15" t="s">
        <v>4</v>
      </c>
      <c r="M12" s="15" t="s">
        <v>5</v>
      </c>
      <c r="N12" s="5"/>
      <c r="O12" s="5"/>
      <c r="P12" s="5"/>
    </row>
    <row r="13" spans="1:16" x14ac:dyDescent="0.25">
      <c r="B13" s="24"/>
      <c r="K13" s="12"/>
      <c r="L13" s="12">
        <v>0</v>
      </c>
      <c r="M13" s="12">
        <v>0</v>
      </c>
    </row>
    <row r="14" spans="1:16" x14ac:dyDescent="0.25">
      <c r="A14">
        <v>1</v>
      </c>
      <c r="B14" s="24">
        <v>46152</v>
      </c>
      <c r="C14" t="s">
        <v>76</v>
      </c>
      <c r="K14" s="12">
        <v>0</v>
      </c>
      <c r="L14" s="12">
        <v>10</v>
      </c>
      <c r="M14" s="12">
        <f>+M13-K14+L14</f>
        <v>10</v>
      </c>
    </row>
    <row r="15" spans="1:16" x14ac:dyDescent="0.25">
      <c r="A15">
        <v>2</v>
      </c>
      <c r="B15" s="24"/>
      <c r="K15" s="12">
        <v>0</v>
      </c>
      <c r="L15" s="12">
        <v>0</v>
      </c>
      <c r="M15" s="12">
        <f t="shared" ref="M15:M35" si="0">+M14-K15+L15</f>
        <v>10</v>
      </c>
    </row>
    <row r="16" spans="1:16" x14ac:dyDescent="0.25">
      <c r="A16">
        <v>3</v>
      </c>
      <c r="B16" s="24"/>
      <c r="K16" s="12">
        <v>0</v>
      </c>
      <c r="L16" s="12">
        <v>0</v>
      </c>
      <c r="M16" s="12">
        <f t="shared" si="0"/>
        <v>10</v>
      </c>
    </row>
    <row r="17" spans="1:13" x14ac:dyDescent="0.25">
      <c r="A17">
        <v>4</v>
      </c>
      <c r="B17" s="24"/>
      <c r="K17" s="12">
        <v>0</v>
      </c>
      <c r="L17" s="12">
        <v>0</v>
      </c>
      <c r="M17" s="12">
        <f t="shared" si="0"/>
        <v>10</v>
      </c>
    </row>
    <row r="18" spans="1:13" x14ac:dyDescent="0.25">
      <c r="A18">
        <v>5</v>
      </c>
      <c r="B18" s="24"/>
      <c r="K18" s="12">
        <v>0</v>
      </c>
      <c r="L18" s="12">
        <v>0</v>
      </c>
      <c r="M18" s="12">
        <f t="shared" si="0"/>
        <v>10</v>
      </c>
    </row>
    <row r="19" spans="1:13" x14ac:dyDescent="0.25">
      <c r="A19">
        <v>6</v>
      </c>
      <c r="B19" s="24"/>
      <c r="K19" s="12">
        <v>0</v>
      </c>
      <c r="L19" s="12">
        <v>0</v>
      </c>
      <c r="M19" s="12">
        <f t="shared" si="0"/>
        <v>10</v>
      </c>
    </row>
    <row r="20" spans="1:13" x14ac:dyDescent="0.25">
      <c r="A20">
        <v>7</v>
      </c>
      <c r="B20" s="24"/>
      <c r="K20" s="12">
        <v>0</v>
      </c>
      <c r="L20" s="12">
        <v>0</v>
      </c>
      <c r="M20" s="12">
        <f t="shared" si="0"/>
        <v>10</v>
      </c>
    </row>
    <row r="21" spans="1:13" x14ac:dyDescent="0.25">
      <c r="A21">
        <v>8</v>
      </c>
      <c r="B21" s="24"/>
      <c r="K21" s="12">
        <v>0</v>
      </c>
      <c r="L21" s="12">
        <v>0</v>
      </c>
      <c r="M21" s="12">
        <f t="shared" si="0"/>
        <v>10</v>
      </c>
    </row>
    <row r="22" spans="1:13" x14ac:dyDescent="0.25">
      <c r="A22">
        <v>9</v>
      </c>
      <c r="B22" s="24"/>
      <c r="K22" s="12">
        <v>0</v>
      </c>
      <c r="L22" s="12">
        <v>0</v>
      </c>
      <c r="M22" s="12">
        <f t="shared" si="0"/>
        <v>10</v>
      </c>
    </row>
    <row r="23" spans="1:13" x14ac:dyDescent="0.25">
      <c r="A23">
        <v>10</v>
      </c>
      <c r="B23" s="24"/>
      <c r="K23" s="12">
        <v>0</v>
      </c>
      <c r="L23" s="12">
        <v>0</v>
      </c>
      <c r="M23" s="12">
        <f t="shared" si="0"/>
        <v>10</v>
      </c>
    </row>
    <row r="24" spans="1:13" x14ac:dyDescent="0.25">
      <c r="A24">
        <v>11</v>
      </c>
      <c r="B24" s="24"/>
      <c r="K24" s="12">
        <v>0</v>
      </c>
      <c r="L24" s="12">
        <v>0</v>
      </c>
      <c r="M24" s="12">
        <f t="shared" si="0"/>
        <v>10</v>
      </c>
    </row>
    <row r="25" spans="1:13" x14ac:dyDescent="0.25">
      <c r="A25">
        <v>12</v>
      </c>
      <c r="B25" s="24"/>
      <c r="K25" s="12">
        <v>0</v>
      </c>
      <c r="L25" s="12">
        <v>0</v>
      </c>
      <c r="M25" s="12">
        <f t="shared" si="0"/>
        <v>10</v>
      </c>
    </row>
    <row r="26" spans="1:13" x14ac:dyDescent="0.25">
      <c r="A26">
        <v>13</v>
      </c>
      <c r="B26" s="24"/>
      <c r="K26" s="12">
        <v>0</v>
      </c>
      <c r="L26" s="12">
        <v>0</v>
      </c>
      <c r="M26" s="12">
        <f t="shared" si="0"/>
        <v>10</v>
      </c>
    </row>
    <row r="27" spans="1:13" x14ac:dyDescent="0.25">
      <c r="A27">
        <v>14</v>
      </c>
      <c r="B27" s="24"/>
      <c r="K27" s="12">
        <v>0</v>
      </c>
      <c r="L27" s="12">
        <v>0</v>
      </c>
      <c r="M27" s="12">
        <f t="shared" si="0"/>
        <v>10</v>
      </c>
    </row>
    <row r="28" spans="1:13" x14ac:dyDescent="0.25">
      <c r="A28">
        <v>15</v>
      </c>
      <c r="B28" s="24"/>
      <c r="K28" s="12">
        <v>0</v>
      </c>
      <c r="L28" s="12">
        <v>0</v>
      </c>
      <c r="M28" s="12">
        <f t="shared" si="0"/>
        <v>10</v>
      </c>
    </row>
    <row r="29" spans="1:13" x14ac:dyDescent="0.25">
      <c r="A29">
        <v>16</v>
      </c>
      <c r="B29" s="24"/>
      <c r="K29" s="12">
        <v>0</v>
      </c>
      <c r="L29" s="12">
        <v>0</v>
      </c>
      <c r="M29" s="12">
        <f t="shared" si="0"/>
        <v>10</v>
      </c>
    </row>
    <row r="30" spans="1:13" x14ac:dyDescent="0.25">
      <c r="A30">
        <v>17</v>
      </c>
      <c r="B30" s="24"/>
      <c r="K30" s="12">
        <v>0</v>
      </c>
      <c r="L30" s="12">
        <v>0</v>
      </c>
      <c r="M30" s="12">
        <f t="shared" si="0"/>
        <v>10</v>
      </c>
    </row>
    <row r="31" spans="1:13" x14ac:dyDescent="0.25">
      <c r="A31">
        <v>18</v>
      </c>
      <c r="B31" s="24"/>
      <c r="K31" s="12">
        <v>0</v>
      </c>
      <c r="L31" s="12">
        <v>0</v>
      </c>
      <c r="M31" s="12">
        <f t="shared" si="0"/>
        <v>10</v>
      </c>
    </row>
    <row r="32" spans="1:13" x14ac:dyDescent="0.25">
      <c r="A32">
        <v>19</v>
      </c>
      <c r="B32" s="24"/>
      <c r="K32" s="12">
        <v>0</v>
      </c>
      <c r="L32" s="12">
        <v>0</v>
      </c>
      <c r="M32" s="12">
        <f t="shared" si="0"/>
        <v>10</v>
      </c>
    </row>
    <row r="33" spans="1:13" x14ac:dyDescent="0.25">
      <c r="A33">
        <v>20</v>
      </c>
      <c r="B33" s="24"/>
      <c r="K33" s="12">
        <v>0</v>
      </c>
      <c r="L33" s="12">
        <v>0</v>
      </c>
      <c r="M33" s="12">
        <f t="shared" si="0"/>
        <v>10</v>
      </c>
    </row>
    <row r="34" spans="1:13" x14ac:dyDescent="0.25">
      <c r="A34">
        <v>21</v>
      </c>
      <c r="B34" s="24"/>
      <c r="K34" s="12">
        <v>0</v>
      </c>
      <c r="L34" s="12">
        <v>0</v>
      </c>
      <c r="M34" s="12">
        <f t="shared" si="0"/>
        <v>10</v>
      </c>
    </row>
    <row r="35" spans="1:13" x14ac:dyDescent="0.25">
      <c r="A35">
        <v>22</v>
      </c>
      <c r="B35" s="24"/>
      <c r="K35" s="12">
        <v>0</v>
      </c>
      <c r="L35" s="12">
        <v>0</v>
      </c>
      <c r="M35" s="12">
        <f t="shared" si="0"/>
        <v>10</v>
      </c>
    </row>
    <row r="36" spans="1:13" x14ac:dyDescent="0.25">
      <c r="A36">
        <v>23</v>
      </c>
      <c r="B36" s="24"/>
      <c r="K36" s="12">
        <v>0</v>
      </c>
      <c r="L36" s="12">
        <v>0</v>
      </c>
      <c r="M36" s="12">
        <f>+M35-K36+L36</f>
        <v>10</v>
      </c>
    </row>
    <row r="37" spans="1:13" x14ac:dyDescent="0.25">
      <c r="K37" s="12">
        <v>0</v>
      </c>
      <c r="L37" s="12">
        <v>0</v>
      </c>
      <c r="M37" s="12">
        <f t="shared" ref="M37:M39" si="1">+M36-K37+L37</f>
        <v>10</v>
      </c>
    </row>
    <row r="38" spans="1:13" x14ac:dyDescent="0.25">
      <c r="K38" s="12">
        <v>0</v>
      </c>
      <c r="L38" s="12">
        <v>0</v>
      </c>
      <c r="M38" s="12">
        <f t="shared" si="1"/>
        <v>10</v>
      </c>
    </row>
    <row r="39" spans="1:13" ht="15.75" thickBot="1" x14ac:dyDescent="0.3">
      <c r="K39" s="12">
        <v>0</v>
      </c>
      <c r="L39" s="12">
        <v>0</v>
      </c>
      <c r="M39" s="12">
        <f t="shared" si="1"/>
        <v>10</v>
      </c>
    </row>
    <row r="40" spans="1:13" s="10" customFormat="1" ht="16.5" thickBot="1" x14ac:dyDescent="0.3">
      <c r="A40" s="21"/>
      <c r="B40" s="25" t="s">
        <v>2</v>
      </c>
      <c r="C40" s="20"/>
      <c r="D40" s="20"/>
      <c r="E40" s="20"/>
      <c r="F40" s="20"/>
      <c r="G40" s="20"/>
      <c r="H40" s="20"/>
      <c r="I40" s="20"/>
      <c r="J40" s="20"/>
      <c r="K40" s="22">
        <f>SUM(K14:K39)</f>
        <v>0</v>
      </c>
      <c r="L40" s="22">
        <f>SUM(L14:L39)</f>
        <v>10</v>
      </c>
      <c r="M40" s="23">
        <f>+M39</f>
        <v>10</v>
      </c>
    </row>
  </sheetData>
  <mergeCells count="2">
    <mergeCell ref="J4:M4"/>
    <mergeCell ref="L6:M6"/>
  </mergeCells>
  <pageMargins left="0.7" right="0.7" top="0.75" bottom="0.75" header="0.3" footer="0.3"/>
  <pageSetup orientation="portrait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E405B-77D2-479D-B99A-BED20055F1CE}">
  <sheetPr>
    <tabColor rgb="FF0070C0"/>
  </sheetPr>
  <dimension ref="A3:P38"/>
  <sheetViews>
    <sheetView tabSelected="1" zoomScale="80" zoomScaleNormal="80" workbookViewId="0">
      <selection activeCell="M39" sqref="M39"/>
    </sheetView>
  </sheetViews>
  <sheetFormatPr baseColWidth="10" defaultRowHeight="15" x14ac:dyDescent="0.25"/>
  <cols>
    <col min="1" max="1" width="3" bestFit="1" customWidth="1"/>
    <col min="2" max="2" width="11.5703125" style="1"/>
    <col min="3" max="3" width="59" customWidth="1"/>
    <col min="5" max="5" width="11.5703125" customWidth="1"/>
    <col min="6" max="6" width="22.7109375" bestFit="1" customWidth="1"/>
    <col min="7" max="7" width="52.42578125" bestFit="1" customWidth="1"/>
    <col min="8" max="8" width="11.5703125" customWidth="1"/>
    <col min="9" max="9" width="9.140625" customWidth="1"/>
    <col min="10" max="10" width="12.5703125" customWidth="1"/>
    <col min="11" max="11" width="11.5703125" customWidth="1"/>
    <col min="12" max="13" width="16.85546875" bestFit="1" customWidth="1"/>
  </cols>
  <sheetData>
    <row r="3" spans="1:16" ht="15.75" thickBot="1" x14ac:dyDescent="0.3">
      <c r="F3" s="2"/>
      <c r="G3" s="2"/>
      <c r="H3" s="31"/>
      <c r="I3" s="1"/>
    </row>
    <row r="4" spans="1:16" ht="19.5" thickBot="1" x14ac:dyDescent="0.35">
      <c r="F4" s="17" t="s">
        <v>7</v>
      </c>
      <c r="G4" s="67" t="s">
        <v>9</v>
      </c>
      <c r="H4" s="105"/>
      <c r="I4" s="108"/>
      <c r="J4" s="114" t="s">
        <v>9</v>
      </c>
      <c r="K4" s="114"/>
      <c r="L4" s="114"/>
      <c r="M4" s="114"/>
    </row>
    <row r="5" spans="1:16" ht="19.5" thickBot="1" x14ac:dyDescent="0.35">
      <c r="I5" s="18"/>
      <c r="J5" s="16"/>
      <c r="K5" s="16"/>
      <c r="L5" s="16"/>
      <c r="M5" s="16"/>
    </row>
    <row r="6" spans="1:16" ht="19.5" thickBot="1" x14ac:dyDescent="0.35">
      <c r="F6" s="17" t="s">
        <v>8</v>
      </c>
      <c r="G6" s="74" t="s">
        <v>68</v>
      </c>
      <c r="H6" s="76"/>
      <c r="I6" s="108"/>
      <c r="J6" s="109" t="s">
        <v>68</v>
      </c>
      <c r="K6" s="109"/>
      <c r="L6" s="115" t="s">
        <v>68</v>
      </c>
      <c r="M6" s="115"/>
    </row>
    <row r="7" spans="1:16" ht="18.75" x14ac:dyDescent="0.3">
      <c r="I7" s="19"/>
      <c r="J7" s="3"/>
      <c r="K7" s="3"/>
      <c r="L7" s="3"/>
      <c r="M7" s="3"/>
    </row>
    <row r="11" spans="1:16" ht="15.75" thickBot="1" x14ac:dyDescent="0.3"/>
    <row r="12" spans="1:16" s="6" customFormat="1" ht="16.5" thickBot="1" x14ac:dyDescent="0.3">
      <c r="A12" s="66"/>
      <c r="B12" s="15" t="s">
        <v>0</v>
      </c>
      <c r="C12" s="15" t="s">
        <v>1</v>
      </c>
      <c r="D12" s="15"/>
      <c r="E12" s="15"/>
      <c r="F12" s="15"/>
      <c r="G12" s="15"/>
      <c r="H12" s="15"/>
      <c r="I12" s="15"/>
      <c r="J12" s="15"/>
      <c r="K12" s="15" t="s">
        <v>3</v>
      </c>
      <c r="L12" s="15" t="s">
        <v>4</v>
      </c>
      <c r="M12" s="15" t="s">
        <v>5</v>
      </c>
      <c r="N12" s="5"/>
      <c r="O12" s="5"/>
      <c r="P12" s="5"/>
    </row>
    <row r="13" spans="1:16" x14ac:dyDescent="0.25">
      <c r="B13" s="24"/>
      <c r="K13" s="12"/>
      <c r="L13" s="12"/>
      <c r="M13" s="12">
        <v>0</v>
      </c>
    </row>
    <row r="14" spans="1:16" x14ac:dyDescent="0.25">
      <c r="A14">
        <v>1</v>
      </c>
      <c r="B14" s="24">
        <v>46152</v>
      </c>
      <c r="C14" t="s">
        <v>77</v>
      </c>
      <c r="K14" s="12">
        <v>0</v>
      </c>
      <c r="L14" s="12">
        <v>10</v>
      </c>
      <c r="M14" s="12">
        <v>0</v>
      </c>
    </row>
    <row r="15" spans="1:16" x14ac:dyDescent="0.25">
      <c r="A15">
        <v>2</v>
      </c>
      <c r="B15" s="24"/>
      <c r="K15" s="12">
        <v>0</v>
      </c>
      <c r="L15" s="12">
        <v>0</v>
      </c>
      <c r="M15" s="12">
        <v>0</v>
      </c>
    </row>
    <row r="16" spans="1:16" x14ac:dyDescent="0.25">
      <c r="A16">
        <v>3</v>
      </c>
      <c r="B16" s="24"/>
      <c r="K16" s="12">
        <v>0</v>
      </c>
      <c r="L16" s="12">
        <v>0</v>
      </c>
      <c r="M16" s="12">
        <v>0</v>
      </c>
    </row>
    <row r="17" spans="1:13" x14ac:dyDescent="0.25">
      <c r="A17">
        <v>4</v>
      </c>
      <c r="B17" s="24"/>
      <c r="K17" s="12">
        <v>0</v>
      </c>
      <c r="L17" s="12">
        <v>0</v>
      </c>
      <c r="M17" s="12">
        <v>0</v>
      </c>
    </row>
    <row r="18" spans="1:13" x14ac:dyDescent="0.25">
      <c r="A18">
        <v>5</v>
      </c>
      <c r="B18" s="24"/>
      <c r="K18" s="12">
        <v>0</v>
      </c>
      <c r="L18" s="12">
        <v>0</v>
      </c>
      <c r="M18" s="12">
        <v>0</v>
      </c>
    </row>
    <row r="19" spans="1:13" x14ac:dyDescent="0.25">
      <c r="A19">
        <v>6</v>
      </c>
      <c r="B19" s="24"/>
      <c r="K19" s="12">
        <v>0</v>
      </c>
      <c r="L19" s="12">
        <v>0</v>
      </c>
      <c r="M19" s="12">
        <v>0</v>
      </c>
    </row>
    <row r="20" spans="1:13" x14ac:dyDescent="0.25">
      <c r="A20">
        <v>7</v>
      </c>
      <c r="B20" s="24"/>
      <c r="K20" s="12">
        <v>0</v>
      </c>
      <c r="L20" s="12">
        <v>0</v>
      </c>
      <c r="M20" s="12">
        <v>0</v>
      </c>
    </row>
    <row r="21" spans="1:13" x14ac:dyDescent="0.25">
      <c r="A21">
        <v>8</v>
      </c>
      <c r="B21" s="24"/>
      <c r="K21" s="12">
        <v>0</v>
      </c>
      <c r="L21" s="12">
        <v>0</v>
      </c>
      <c r="M21" s="12">
        <v>0</v>
      </c>
    </row>
    <row r="22" spans="1:13" x14ac:dyDescent="0.25">
      <c r="A22">
        <v>9</v>
      </c>
      <c r="B22" s="24"/>
      <c r="K22" s="12">
        <v>0</v>
      </c>
      <c r="L22" s="12">
        <v>0</v>
      </c>
      <c r="M22" s="12">
        <v>0</v>
      </c>
    </row>
    <row r="23" spans="1:13" x14ac:dyDescent="0.25">
      <c r="A23">
        <v>10</v>
      </c>
      <c r="B23" s="24"/>
      <c r="K23" s="12">
        <v>0</v>
      </c>
      <c r="L23" s="12">
        <v>0</v>
      </c>
      <c r="M23" s="12">
        <v>0</v>
      </c>
    </row>
    <row r="24" spans="1:13" x14ac:dyDescent="0.25">
      <c r="A24">
        <v>11</v>
      </c>
      <c r="B24" s="24"/>
      <c r="K24" s="12">
        <v>0</v>
      </c>
      <c r="L24" s="12">
        <v>0</v>
      </c>
      <c r="M24" s="12">
        <v>0</v>
      </c>
    </row>
    <row r="25" spans="1:13" x14ac:dyDescent="0.25">
      <c r="A25">
        <v>12</v>
      </c>
      <c r="B25" s="24"/>
      <c r="K25" s="12">
        <v>0</v>
      </c>
      <c r="L25" s="12">
        <v>0</v>
      </c>
      <c r="M25" s="12">
        <v>0</v>
      </c>
    </row>
    <row r="26" spans="1:13" x14ac:dyDescent="0.25">
      <c r="A26">
        <v>13</v>
      </c>
      <c r="B26" s="24"/>
      <c r="K26" s="12">
        <v>0</v>
      </c>
      <c r="L26" s="12">
        <v>0</v>
      </c>
      <c r="M26" s="12">
        <v>0</v>
      </c>
    </row>
    <row r="27" spans="1:13" x14ac:dyDescent="0.25">
      <c r="A27">
        <v>14</v>
      </c>
      <c r="B27" s="24"/>
      <c r="K27" s="12">
        <v>0</v>
      </c>
      <c r="L27" s="12">
        <v>0</v>
      </c>
      <c r="M27" s="12">
        <v>0</v>
      </c>
    </row>
    <row r="28" spans="1:13" x14ac:dyDescent="0.25">
      <c r="A28">
        <v>15</v>
      </c>
      <c r="B28" s="24"/>
      <c r="K28" s="12">
        <v>0</v>
      </c>
      <c r="L28" s="12">
        <v>0</v>
      </c>
      <c r="M28" s="12">
        <v>0</v>
      </c>
    </row>
    <row r="29" spans="1:13" x14ac:dyDescent="0.25">
      <c r="A29">
        <v>16</v>
      </c>
      <c r="B29" s="24"/>
      <c r="K29" s="12">
        <v>0</v>
      </c>
      <c r="L29" s="12">
        <v>0</v>
      </c>
      <c r="M29" s="12">
        <v>0</v>
      </c>
    </row>
    <row r="30" spans="1:13" x14ac:dyDescent="0.25">
      <c r="A30">
        <v>17</v>
      </c>
      <c r="B30" s="24"/>
      <c r="K30" s="12">
        <v>0</v>
      </c>
      <c r="L30" s="12">
        <v>0</v>
      </c>
      <c r="M30" s="12">
        <v>0</v>
      </c>
    </row>
    <row r="31" spans="1:13" x14ac:dyDescent="0.25">
      <c r="A31">
        <v>18</v>
      </c>
      <c r="B31" s="24"/>
      <c r="K31" s="12">
        <v>0</v>
      </c>
      <c r="L31" s="12">
        <v>0</v>
      </c>
      <c r="M31" s="12">
        <v>0</v>
      </c>
    </row>
    <row r="32" spans="1:13" x14ac:dyDescent="0.25">
      <c r="A32">
        <v>19</v>
      </c>
      <c r="B32" s="24"/>
      <c r="K32" s="12">
        <v>0</v>
      </c>
      <c r="L32" s="12">
        <v>0</v>
      </c>
      <c r="M32" s="12">
        <v>0</v>
      </c>
    </row>
    <row r="33" spans="1:13" x14ac:dyDescent="0.25">
      <c r="A33">
        <v>20</v>
      </c>
      <c r="B33" s="24"/>
      <c r="K33" s="12">
        <v>0</v>
      </c>
      <c r="L33" s="12">
        <v>0</v>
      </c>
      <c r="M33" s="12">
        <v>0</v>
      </c>
    </row>
    <row r="34" spans="1:13" x14ac:dyDescent="0.25">
      <c r="A34">
        <v>21</v>
      </c>
      <c r="B34" s="24"/>
      <c r="K34" s="12">
        <v>0</v>
      </c>
      <c r="L34" s="12">
        <v>0</v>
      </c>
      <c r="M34" s="12">
        <v>0</v>
      </c>
    </row>
    <row r="35" spans="1:13" x14ac:dyDescent="0.25">
      <c r="A35">
        <v>22</v>
      </c>
      <c r="K35" s="12">
        <v>0</v>
      </c>
      <c r="L35" s="12">
        <v>0</v>
      </c>
      <c r="M35" s="12">
        <v>0</v>
      </c>
    </row>
    <row r="36" spans="1:13" x14ac:dyDescent="0.25">
      <c r="K36" s="12">
        <v>0</v>
      </c>
      <c r="L36" s="12">
        <v>0</v>
      </c>
      <c r="M36" s="12">
        <v>0</v>
      </c>
    </row>
    <row r="37" spans="1:13" ht="15.75" thickBot="1" x14ac:dyDescent="0.3">
      <c r="K37" s="12">
        <v>0</v>
      </c>
      <c r="L37" s="12">
        <v>0</v>
      </c>
      <c r="M37" s="12">
        <v>0</v>
      </c>
    </row>
    <row r="38" spans="1:13" s="10" customFormat="1" ht="16.5" thickBot="1" x14ac:dyDescent="0.3">
      <c r="A38" s="21"/>
      <c r="B38" s="25" t="s">
        <v>2</v>
      </c>
      <c r="C38" s="20"/>
      <c r="D38" s="20"/>
      <c r="E38" s="20"/>
      <c r="F38" s="20"/>
      <c r="G38" s="20"/>
      <c r="H38" s="20"/>
      <c r="I38" s="20"/>
      <c r="J38" s="20"/>
      <c r="K38" s="22">
        <f>SUM(K32:K37)</f>
        <v>0</v>
      </c>
      <c r="L38" s="22">
        <v>10</v>
      </c>
      <c r="M38" s="23">
        <v>10</v>
      </c>
    </row>
  </sheetData>
  <mergeCells count="2">
    <mergeCell ref="J4:M4"/>
    <mergeCell ref="L6:M6"/>
  </mergeCells>
  <phoneticPr fontId="9" type="noConversion"/>
  <pageMargins left="0.7" right="0.7" top="0.75" bottom="0.75" header="0.3" footer="0.3"/>
  <pageSetup orientation="portrait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59607-A80A-481B-A847-5398EBA4FDE4}">
  <sheetPr>
    <tabColor rgb="FF0070C0"/>
  </sheetPr>
  <dimension ref="A3:P26"/>
  <sheetViews>
    <sheetView zoomScale="80" zoomScaleNormal="80" workbookViewId="0">
      <selection activeCell="L15" sqref="L15"/>
    </sheetView>
  </sheetViews>
  <sheetFormatPr baseColWidth="10" defaultRowHeight="15" x14ac:dyDescent="0.25"/>
  <cols>
    <col min="1" max="1" width="3" bestFit="1" customWidth="1"/>
    <col min="2" max="2" width="11.5703125" style="1"/>
    <col min="3" max="3" width="59" customWidth="1"/>
    <col min="5" max="5" width="8.28515625" customWidth="1"/>
    <col min="6" max="6" width="22.7109375" bestFit="1" customWidth="1"/>
    <col min="7" max="7" width="52.42578125" bestFit="1" customWidth="1"/>
    <col min="8" max="8" width="11.5703125" customWidth="1"/>
    <col min="9" max="9" width="22" bestFit="1" customWidth="1"/>
    <col min="10" max="11" width="11.5703125" customWidth="1"/>
    <col min="12" max="13" width="16.85546875" bestFit="1" customWidth="1"/>
  </cols>
  <sheetData>
    <row r="3" spans="1:16" ht="18.600000000000001" customHeight="1" thickBot="1" x14ac:dyDescent="0.3">
      <c r="F3" s="2"/>
      <c r="G3" s="2"/>
      <c r="H3" s="31"/>
      <c r="I3" s="1"/>
    </row>
    <row r="4" spans="1:16" ht="19.5" thickBot="1" x14ac:dyDescent="0.35">
      <c r="E4" s="108"/>
      <c r="F4" s="17" t="s">
        <v>7</v>
      </c>
      <c r="G4" s="67" t="s">
        <v>9</v>
      </c>
      <c r="H4" s="105"/>
      <c r="I4" s="106"/>
      <c r="K4" s="106"/>
      <c r="L4" s="106"/>
      <c r="M4" s="106"/>
    </row>
    <row r="5" spans="1:16" ht="19.5" thickBot="1" x14ac:dyDescent="0.35">
      <c r="E5" s="18"/>
      <c r="K5" s="16"/>
      <c r="L5" s="16"/>
      <c r="M5" s="16"/>
    </row>
    <row r="6" spans="1:16" ht="19.5" thickBot="1" x14ac:dyDescent="0.35">
      <c r="E6" s="108"/>
      <c r="F6" s="17" t="s">
        <v>8</v>
      </c>
      <c r="G6" s="74" t="s">
        <v>68</v>
      </c>
      <c r="H6" s="76"/>
      <c r="I6" s="107"/>
      <c r="K6" s="107"/>
      <c r="L6" s="107"/>
      <c r="M6" s="107"/>
    </row>
    <row r="7" spans="1:16" ht="18.75" x14ac:dyDescent="0.3">
      <c r="I7" s="19"/>
      <c r="J7" s="3"/>
      <c r="K7" s="3"/>
      <c r="L7" s="3"/>
      <c r="M7" s="3"/>
    </row>
    <row r="11" spans="1:16" ht="15.75" thickBot="1" x14ac:dyDescent="0.3"/>
    <row r="12" spans="1:16" s="6" customFormat="1" ht="16.5" thickBot="1" x14ac:dyDescent="0.3">
      <c r="A12" s="66"/>
      <c r="B12" s="15" t="s">
        <v>0</v>
      </c>
      <c r="C12" s="15" t="s">
        <v>1</v>
      </c>
      <c r="D12" s="15"/>
      <c r="E12" s="15"/>
      <c r="F12" s="15"/>
      <c r="G12" s="15"/>
      <c r="H12" s="15"/>
      <c r="I12" s="15"/>
      <c r="J12" s="15"/>
      <c r="K12" s="15" t="s">
        <v>3</v>
      </c>
      <c r="L12" s="15" t="s">
        <v>4</v>
      </c>
      <c r="M12" s="15" t="s">
        <v>5</v>
      </c>
      <c r="N12" s="5"/>
      <c r="O12" s="5"/>
      <c r="P12" s="5"/>
    </row>
    <row r="13" spans="1:16" x14ac:dyDescent="0.25">
      <c r="B13" s="24"/>
      <c r="K13" s="12"/>
      <c r="L13" s="12"/>
      <c r="M13" s="12">
        <v>0</v>
      </c>
    </row>
    <row r="14" spans="1:16" x14ac:dyDescent="0.25">
      <c r="A14">
        <v>1</v>
      </c>
      <c r="B14" s="24">
        <v>46152</v>
      </c>
      <c r="C14" t="s">
        <v>78</v>
      </c>
      <c r="K14" s="56">
        <v>0</v>
      </c>
      <c r="L14" s="12">
        <v>10</v>
      </c>
      <c r="M14" s="12">
        <f t="shared" ref="M14:M15" si="0">+M4-K14+L14</f>
        <v>10</v>
      </c>
    </row>
    <row r="15" spans="1:16" x14ac:dyDescent="0.25">
      <c r="A15">
        <v>2</v>
      </c>
      <c r="B15" s="24"/>
      <c r="K15" s="56">
        <v>0</v>
      </c>
      <c r="L15" s="12">
        <v>0</v>
      </c>
      <c r="M15" s="12">
        <f t="shared" si="0"/>
        <v>0</v>
      </c>
    </row>
    <row r="16" spans="1:16" x14ac:dyDescent="0.25">
      <c r="A16">
        <v>3</v>
      </c>
      <c r="B16" s="24"/>
      <c r="K16" s="56">
        <v>0</v>
      </c>
      <c r="L16" s="12">
        <v>0</v>
      </c>
      <c r="M16" s="12">
        <f t="shared" ref="M16:M21" si="1">+M6-K16+L16</f>
        <v>0</v>
      </c>
    </row>
    <row r="17" spans="1:13" x14ac:dyDescent="0.25">
      <c r="A17">
        <v>4</v>
      </c>
      <c r="B17" s="24"/>
      <c r="K17" s="56">
        <v>0</v>
      </c>
      <c r="L17" s="12">
        <v>0</v>
      </c>
      <c r="M17" s="12">
        <f t="shared" si="1"/>
        <v>0</v>
      </c>
    </row>
    <row r="18" spans="1:13" x14ac:dyDescent="0.25">
      <c r="A18">
        <v>5</v>
      </c>
      <c r="B18" s="24"/>
      <c r="K18" s="56">
        <v>0</v>
      </c>
      <c r="L18" s="12">
        <v>0</v>
      </c>
      <c r="M18" s="12">
        <f t="shared" si="1"/>
        <v>0</v>
      </c>
    </row>
    <row r="19" spans="1:13" x14ac:dyDescent="0.25">
      <c r="A19">
        <v>6</v>
      </c>
      <c r="B19" s="24"/>
      <c r="K19" s="56">
        <v>0</v>
      </c>
      <c r="L19" s="12">
        <v>0</v>
      </c>
      <c r="M19" s="12">
        <f t="shared" si="1"/>
        <v>0</v>
      </c>
    </row>
    <row r="20" spans="1:13" x14ac:dyDescent="0.25">
      <c r="A20">
        <v>7</v>
      </c>
      <c r="B20" s="24"/>
      <c r="K20" s="56">
        <v>0</v>
      </c>
      <c r="L20" s="12">
        <v>0</v>
      </c>
      <c r="M20" s="12">
        <f t="shared" si="1"/>
        <v>0</v>
      </c>
    </row>
    <row r="21" spans="1:13" x14ac:dyDescent="0.25">
      <c r="A21">
        <v>8</v>
      </c>
      <c r="B21" s="24"/>
      <c r="K21" s="56">
        <v>0</v>
      </c>
      <c r="L21" s="12">
        <v>0</v>
      </c>
      <c r="M21" s="12">
        <f t="shared" si="1"/>
        <v>0</v>
      </c>
    </row>
    <row r="22" spans="1:13" x14ac:dyDescent="0.25">
      <c r="A22">
        <v>9</v>
      </c>
      <c r="B22" s="50"/>
      <c r="C22" s="47"/>
      <c r="D22" s="47"/>
      <c r="E22" s="47"/>
      <c r="F22" s="47"/>
      <c r="G22" s="47"/>
      <c r="H22" s="47"/>
      <c r="I22" s="47"/>
      <c r="J22" s="47"/>
      <c r="K22" s="56">
        <v>0</v>
      </c>
      <c r="L22" s="12">
        <v>0</v>
      </c>
      <c r="M22" s="12">
        <f>+M13-K22+L22</f>
        <v>0</v>
      </c>
    </row>
    <row r="23" spans="1:13" x14ac:dyDescent="0.25">
      <c r="A23">
        <v>10</v>
      </c>
      <c r="K23" s="56">
        <v>0</v>
      </c>
      <c r="L23" s="12">
        <v>0</v>
      </c>
      <c r="M23" s="12">
        <f>+M14-K23+L23</f>
        <v>10</v>
      </c>
    </row>
    <row r="24" spans="1:13" x14ac:dyDescent="0.25">
      <c r="A24">
        <v>11</v>
      </c>
      <c r="K24" s="12">
        <v>0</v>
      </c>
      <c r="L24" s="12">
        <v>0</v>
      </c>
      <c r="M24" s="12">
        <f>+M23-K24+L24</f>
        <v>10</v>
      </c>
    </row>
    <row r="25" spans="1:13" ht="15.75" thickBot="1" x14ac:dyDescent="0.3">
      <c r="K25" s="12">
        <v>0</v>
      </c>
      <c r="L25" s="12">
        <v>0</v>
      </c>
      <c r="M25" s="12">
        <f t="shared" ref="M25" si="2">+M24-K25+L25</f>
        <v>10</v>
      </c>
    </row>
    <row r="26" spans="1:13" s="10" customFormat="1" ht="16.5" thickBot="1" x14ac:dyDescent="0.3">
      <c r="A26" s="21"/>
      <c r="B26" s="25" t="s">
        <v>2</v>
      </c>
      <c r="C26" s="20"/>
      <c r="D26" s="20"/>
      <c r="E26" s="20"/>
      <c r="F26" s="20"/>
      <c r="G26" s="20"/>
      <c r="H26" s="20"/>
      <c r="I26" s="20"/>
      <c r="J26" s="20"/>
      <c r="K26" s="22">
        <f>SUM(K22:K25)</f>
        <v>0</v>
      </c>
      <c r="L26" s="22">
        <f>SUM(L22:L25)</f>
        <v>0</v>
      </c>
      <c r="M26" s="23">
        <f>+M25</f>
        <v>10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FD863-9BCE-4A59-A18F-B871E26A90ED}">
  <dimension ref="A3:R53"/>
  <sheetViews>
    <sheetView zoomScale="80" zoomScaleNormal="80" workbookViewId="0">
      <selection activeCell="J26" sqref="J26"/>
    </sheetView>
  </sheetViews>
  <sheetFormatPr baseColWidth="10" defaultRowHeight="15" x14ac:dyDescent="0.25"/>
  <cols>
    <col min="1" max="1" width="3" bestFit="1" customWidth="1"/>
    <col min="3" max="3" width="59" customWidth="1"/>
    <col min="5" max="8" width="11.5703125" customWidth="1"/>
    <col min="9" max="9" width="22" bestFit="1" customWidth="1"/>
    <col min="10" max="10" width="30.85546875" bestFit="1" customWidth="1"/>
    <col min="11" max="13" width="11.5703125" customWidth="1"/>
  </cols>
  <sheetData>
    <row r="3" spans="1:18" ht="15.75" thickBot="1" x14ac:dyDescent="0.3">
      <c r="I3" s="1"/>
    </row>
    <row r="4" spans="1:18" ht="19.5" thickBot="1" x14ac:dyDescent="0.35">
      <c r="I4" s="17" t="s">
        <v>7</v>
      </c>
      <c r="J4" s="123" t="s">
        <v>9</v>
      </c>
      <c r="K4" s="123"/>
      <c r="L4" s="123"/>
      <c r="M4" s="123"/>
      <c r="N4" s="123"/>
      <c r="O4" s="124"/>
    </row>
    <row r="5" spans="1:18" ht="19.5" thickBot="1" x14ac:dyDescent="0.35">
      <c r="I5" s="18"/>
      <c r="J5" s="16"/>
      <c r="K5" s="16"/>
      <c r="L5" s="16"/>
      <c r="M5" s="16"/>
      <c r="N5" s="16"/>
      <c r="O5" s="16"/>
    </row>
    <row r="6" spans="1:18" ht="19.5" thickBot="1" x14ac:dyDescent="0.35">
      <c r="I6" s="17" t="s">
        <v>8</v>
      </c>
      <c r="J6" s="116" t="s">
        <v>68</v>
      </c>
      <c r="K6" s="117"/>
      <c r="L6" s="116"/>
      <c r="M6" s="117"/>
      <c r="N6" s="116"/>
      <c r="O6" s="117"/>
    </row>
    <row r="7" spans="1:18" ht="18.75" x14ac:dyDescent="0.3">
      <c r="I7" s="19"/>
      <c r="J7" s="3"/>
      <c r="K7" s="3"/>
      <c r="L7" s="3"/>
      <c r="M7" s="3"/>
      <c r="N7" s="3"/>
      <c r="O7" s="3"/>
    </row>
    <row r="11" spans="1:18" ht="15.75" thickBot="1" x14ac:dyDescent="0.3"/>
    <row r="12" spans="1:18" s="6" customFormat="1" ht="16.5" thickBot="1" x14ac:dyDescent="0.3">
      <c r="A12" s="4"/>
      <c r="B12" s="15" t="s">
        <v>0</v>
      </c>
      <c r="C12" s="15" t="s">
        <v>1</v>
      </c>
      <c r="D12" s="15"/>
      <c r="E12" s="15"/>
      <c r="F12" s="15"/>
      <c r="G12" s="15"/>
      <c r="H12" s="15"/>
      <c r="I12" s="15"/>
      <c r="J12" s="15"/>
      <c r="K12" s="15"/>
      <c r="L12" s="15"/>
      <c r="M12" s="15" t="s">
        <v>3</v>
      </c>
      <c r="N12" s="15" t="s">
        <v>4</v>
      </c>
      <c r="O12" s="15" t="s">
        <v>5</v>
      </c>
      <c r="P12" s="5"/>
      <c r="Q12" s="5"/>
      <c r="R12" s="5"/>
    </row>
    <row r="13" spans="1:18" x14ac:dyDescent="0.25">
      <c r="A13">
        <v>1</v>
      </c>
      <c r="B13" s="11">
        <v>45757</v>
      </c>
      <c r="C13" t="s">
        <v>6</v>
      </c>
      <c r="M13" s="12"/>
      <c r="N13" s="12"/>
      <c r="O13" s="12">
        <v>10</v>
      </c>
    </row>
    <row r="14" spans="1:18" x14ac:dyDescent="0.25">
      <c r="A14">
        <v>2</v>
      </c>
      <c r="M14" s="12">
        <v>0</v>
      </c>
      <c r="N14" s="12">
        <v>0</v>
      </c>
      <c r="O14" s="12">
        <f>+O13-M14+N14</f>
        <v>10</v>
      </c>
    </row>
    <row r="15" spans="1:18" x14ac:dyDescent="0.25">
      <c r="A15">
        <v>3</v>
      </c>
      <c r="M15" s="12">
        <v>0</v>
      </c>
      <c r="N15" s="12">
        <v>0</v>
      </c>
      <c r="O15" s="12">
        <f t="shared" ref="O15:O52" si="0">+O14-M15+N15</f>
        <v>10</v>
      </c>
    </row>
    <row r="16" spans="1:18" x14ac:dyDescent="0.25">
      <c r="A16">
        <v>4</v>
      </c>
      <c r="M16" s="12">
        <v>0</v>
      </c>
      <c r="N16" s="12">
        <v>0</v>
      </c>
      <c r="O16" s="12">
        <f t="shared" si="0"/>
        <v>10</v>
      </c>
    </row>
    <row r="17" spans="1:15" x14ac:dyDescent="0.25">
      <c r="A17">
        <v>5</v>
      </c>
      <c r="M17" s="12">
        <v>0</v>
      </c>
      <c r="N17" s="12">
        <v>0</v>
      </c>
      <c r="O17" s="12">
        <f t="shared" si="0"/>
        <v>10</v>
      </c>
    </row>
    <row r="18" spans="1:15" x14ac:dyDescent="0.25">
      <c r="A18">
        <v>6</v>
      </c>
      <c r="M18" s="12">
        <v>0</v>
      </c>
      <c r="N18" s="12">
        <v>0</v>
      </c>
      <c r="O18" s="12">
        <f t="shared" si="0"/>
        <v>10</v>
      </c>
    </row>
    <row r="19" spans="1:15" x14ac:dyDescent="0.25">
      <c r="A19">
        <v>7</v>
      </c>
      <c r="M19" s="12">
        <v>0</v>
      </c>
      <c r="N19" s="12">
        <v>0</v>
      </c>
      <c r="O19" s="12">
        <f t="shared" si="0"/>
        <v>10</v>
      </c>
    </row>
    <row r="20" spans="1:15" x14ac:dyDescent="0.25">
      <c r="A20">
        <v>8</v>
      </c>
      <c r="M20" s="12">
        <v>0</v>
      </c>
      <c r="N20" s="12">
        <v>0</v>
      </c>
      <c r="O20" s="12">
        <f t="shared" si="0"/>
        <v>10</v>
      </c>
    </row>
    <row r="21" spans="1:15" x14ac:dyDescent="0.25">
      <c r="A21">
        <v>9</v>
      </c>
      <c r="M21" s="12">
        <v>0</v>
      </c>
      <c r="N21" s="12">
        <v>0</v>
      </c>
      <c r="O21" s="12">
        <f t="shared" si="0"/>
        <v>10</v>
      </c>
    </row>
    <row r="22" spans="1:15" x14ac:dyDescent="0.25">
      <c r="A22">
        <v>10</v>
      </c>
      <c r="M22" s="12">
        <v>0</v>
      </c>
      <c r="N22" s="12">
        <v>0</v>
      </c>
      <c r="O22" s="12">
        <f t="shared" si="0"/>
        <v>10</v>
      </c>
    </row>
    <row r="23" spans="1:15" x14ac:dyDescent="0.25">
      <c r="A23">
        <v>11</v>
      </c>
      <c r="M23" s="12">
        <v>0</v>
      </c>
      <c r="N23" s="12">
        <v>0</v>
      </c>
      <c r="O23" s="12">
        <f t="shared" si="0"/>
        <v>10</v>
      </c>
    </row>
    <row r="24" spans="1:15" x14ac:dyDescent="0.25">
      <c r="A24">
        <v>12</v>
      </c>
      <c r="M24" s="12">
        <v>0</v>
      </c>
      <c r="N24" s="12">
        <v>0</v>
      </c>
      <c r="O24" s="12">
        <f t="shared" si="0"/>
        <v>10</v>
      </c>
    </row>
    <row r="25" spans="1:15" x14ac:dyDescent="0.25">
      <c r="A25">
        <v>13</v>
      </c>
      <c r="M25" s="12">
        <v>0</v>
      </c>
      <c r="N25" s="12">
        <v>0</v>
      </c>
      <c r="O25" s="12">
        <f t="shared" si="0"/>
        <v>10</v>
      </c>
    </row>
    <row r="26" spans="1:15" x14ac:dyDescent="0.25">
      <c r="A26">
        <v>14</v>
      </c>
      <c r="M26" s="12">
        <v>0</v>
      </c>
      <c r="N26" s="12">
        <v>0</v>
      </c>
      <c r="O26" s="12">
        <f t="shared" si="0"/>
        <v>10</v>
      </c>
    </row>
    <row r="27" spans="1:15" x14ac:dyDescent="0.25">
      <c r="A27">
        <v>15</v>
      </c>
      <c r="M27" s="12">
        <v>0</v>
      </c>
      <c r="N27" s="12">
        <v>0</v>
      </c>
      <c r="O27" s="12">
        <f t="shared" si="0"/>
        <v>10</v>
      </c>
    </row>
    <row r="28" spans="1:15" x14ac:dyDescent="0.25">
      <c r="A28">
        <v>16</v>
      </c>
      <c r="M28" s="12">
        <v>0</v>
      </c>
      <c r="N28" s="12">
        <v>0</v>
      </c>
      <c r="O28" s="12">
        <f t="shared" si="0"/>
        <v>10</v>
      </c>
    </row>
    <row r="29" spans="1:15" x14ac:dyDescent="0.25">
      <c r="A29">
        <v>17</v>
      </c>
      <c r="M29" s="12">
        <v>0</v>
      </c>
      <c r="N29" s="12">
        <v>0</v>
      </c>
      <c r="O29" s="12">
        <f t="shared" si="0"/>
        <v>10</v>
      </c>
    </row>
    <row r="30" spans="1:15" x14ac:dyDescent="0.25">
      <c r="A30">
        <v>18</v>
      </c>
      <c r="M30" s="12">
        <v>0</v>
      </c>
      <c r="N30" s="12">
        <v>0</v>
      </c>
      <c r="O30" s="12">
        <f t="shared" si="0"/>
        <v>10</v>
      </c>
    </row>
    <row r="31" spans="1:15" x14ac:dyDescent="0.25">
      <c r="A31">
        <v>19</v>
      </c>
      <c r="M31" s="12">
        <v>0</v>
      </c>
      <c r="N31" s="12">
        <v>0</v>
      </c>
      <c r="O31" s="12">
        <f t="shared" si="0"/>
        <v>10</v>
      </c>
    </row>
    <row r="32" spans="1:15" x14ac:dyDescent="0.25">
      <c r="A32">
        <v>20</v>
      </c>
      <c r="M32" s="12">
        <v>0</v>
      </c>
      <c r="N32" s="12">
        <v>0</v>
      </c>
      <c r="O32" s="12">
        <f t="shared" si="0"/>
        <v>10</v>
      </c>
    </row>
    <row r="33" spans="1:15" x14ac:dyDescent="0.25">
      <c r="A33">
        <v>21</v>
      </c>
      <c r="M33" s="12">
        <v>0</v>
      </c>
      <c r="N33" s="12">
        <v>0</v>
      </c>
      <c r="O33" s="12">
        <f t="shared" si="0"/>
        <v>10</v>
      </c>
    </row>
    <row r="34" spans="1:15" x14ac:dyDescent="0.25">
      <c r="A34">
        <v>22</v>
      </c>
      <c r="M34" s="12">
        <v>0</v>
      </c>
      <c r="N34" s="12">
        <v>0</v>
      </c>
      <c r="O34" s="12">
        <f t="shared" si="0"/>
        <v>10</v>
      </c>
    </row>
    <row r="35" spans="1:15" x14ac:dyDescent="0.25">
      <c r="A35">
        <v>23</v>
      </c>
      <c r="M35" s="12">
        <v>0</v>
      </c>
      <c r="N35" s="12">
        <v>0</v>
      </c>
      <c r="O35" s="12">
        <f t="shared" si="0"/>
        <v>10</v>
      </c>
    </row>
    <row r="36" spans="1:15" x14ac:dyDescent="0.25">
      <c r="A36">
        <v>24</v>
      </c>
      <c r="M36" s="12">
        <v>0</v>
      </c>
      <c r="N36" s="12">
        <v>0</v>
      </c>
      <c r="O36" s="12">
        <f t="shared" si="0"/>
        <v>10</v>
      </c>
    </row>
    <row r="37" spans="1:15" x14ac:dyDescent="0.25">
      <c r="A37">
        <v>25</v>
      </c>
      <c r="M37" s="12">
        <v>0</v>
      </c>
      <c r="N37" s="12">
        <v>0</v>
      </c>
      <c r="O37" s="12">
        <f t="shared" si="0"/>
        <v>10</v>
      </c>
    </row>
    <row r="38" spans="1:15" x14ac:dyDescent="0.25">
      <c r="A38">
        <v>26</v>
      </c>
      <c r="M38" s="12">
        <v>0</v>
      </c>
      <c r="N38" s="12">
        <v>0</v>
      </c>
      <c r="O38" s="12">
        <f t="shared" si="0"/>
        <v>10</v>
      </c>
    </row>
    <row r="39" spans="1:15" x14ac:dyDescent="0.25">
      <c r="A39">
        <v>27</v>
      </c>
      <c r="M39" s="12">
        <v>0</v>
      </c>
      <c r="N39" s="12">
        <v>0</v>
      </c>
      <c r="O39" s="12">
        <f t="shared" si="0"/>
        <v>10</v>
      </c>
    </row>
    <row r="40" spans="1:15" x14ac:dyDescent="0.25">
      <c r="A40">
        <v>28</v>
      </c>
      <c r="M40" s="12">
        <v>0</v>
      </c>
      <c r="N40" s="12">
        <v>0</v>
      </c>
      <c r="O40" s="12">
        <f t="shared" si="0"/>
        <v>10</v>
      </c>
    </row>
    <row r="41" spans="1:15" x14ac:dyDescent="0.25">
      <c r="A41">
        <v>29</v>
      </c>
      <c r="M41" s="12">
        <v>0</v>
      </c>
      <c r="N41" s="12">
        <v>0</v>
      </c>
      <c r="O41" s="12">
        <f t="shared" si="0"/>
        <v>10</v>
      </c>
    </row>
    <row r="42" spans="1:15" x14ac:dyDescent="0.25">
      <c r="A42">
        <v>30</v>
      </c>
      <c r="M42" s="12">
        <v>0</v>
      </c>
      <c r="N42" s="12">
        <v>0</v>
      </c>
      <c r="O42" s="12">
        <f t="shared" si="0"/>
        <v>10</v>
      </c>
    </row>
    <row r="43" spans="1:15" x14ac:dyDescent="0.25">
      <c r="A43">
        <v>31</v>
      </c>
      <c r="M43" s="12">
        <v>0</v>
      </c>
      <c r="N43" s="12">
        <v>0</v>
      </c>
      <c r="O43" s="12">
        <f t="shared" si="0"/>
        <v>10</v>
      </c>
    </row>
    <row r="44" spans="1:15" x14ac:dyDescent="0.25">
      <c r="A44">
        <v>32</v>
      </c>
      <c r="M44" s="12">
        <v>0</v>
      </c>
      <c r="N44" s="12">
        <v>0</v>
      </c>
      <c r="O44" s="12">
        <f t="shared" si="0"/>
        <v>10</v>
      </c>
    </row>
    <row r="45" spans="1:15" x14ac:dyDescent="0.25">
      <c r="A45">
        <v>33</v>
      </c>
      <c r="M45" s="12">
        <v>0</v>
      </c>
      <c r="N45" s="12">
        <v>0</v>
      </c>
      <c r="O45" s="12">
        <f t="shared" si="0"/>
        <v>10</v>
      </c>
    </row>
    <row r="46" spans="1:15" x14ac:dyDescent="0.25">
      <c r="A46">
        <v>34</v>
      </c>
      <c r="M46" s="12">
        <v>0</v>
      </c>
      <c r="N46" s="12">
        <v>0</v>
      </c>
      <c r="O46" s="12">
        <f t="shared" si="0"/>
        <v>10</v>
      </c>
    </row>
    <row r="47" spans="1:15" x14ac:dyDescent="0.25">
      <c r="A47">
        <v>35</v>
      </c>
      <c r="M47" s="12">
        <v>0</v>
      </c>
      <c r="N47" s="12">
        <v>0</v>
      </c>
      <c r="O47" s="12">
        <f t="shared" si="0"/>
        <v>10</v>
      </c>
    </row>
    <row r="48" spans="1:15" x14ac:dyDescent="0.25">
      <c r="A48">
        <v>36</v>
      </c>
      <c r="M48" s="12">
        <v>0</v>
      </c>
      <c r="N48" s="12">
        <v>0</v>
      </c>
      <c r="O48" s="12">
        <f t="shared" si="0"/>
        <v>10</v>
      </c>
    </row>
    <row r="49" spans="1:15" x14ac:dyDescent="0.25">
      <c r="A49">
        <v>37</v>
      </c>
      <c r="M49" s="12">
        <v>0</v>
      </c>
      <c r="N49" s="12">
        <v>0</v>
      </c>
      <c r="O49" s="12">
        <f t="shared" si="0"/>
        <v>10</v>
      </c>
    </row>
    <row r="50" spans="1:15" x14ac:dyDescent="0.25">
      <c r="A50">
        <v>38</v>
      </c>
      <c r="M50" s="12">
        <v>0</v>
      </c>
      <c r="N50" s="12">
        <v>0</v>
      </c>
      <c r="O50" s="12">
        <f t="shared" si="0"/>
        <v>10</v>
      </c>
    </row>
    <row r="51" spans="1:15" x14ac:dyDescent="0.25">
      <c r="A51">
        <v>39</v>
      </c>
      <c r="M51" s="12">
        <v>0</v>
      </c>
      <c r="N51" s="12">
        <v>0</v>
      </c>
      <c r="O51" s="12">
        <f t="shared" si="0"/>
        <v>10</v>
      </c>
    </row>
    <row r="52" spans="1:15" ht="15.75" thickBot="1" x14ac:dyDescent="0.3">
      <c r="A52">
        <v>40</v>
      </c>
      <c r="M52" s="12">
        <v>0</v>
      </c>
      <c r="N52" s="12">
        <v>0</v>
      </c>
      <c r="O52" s="12">
        <f t="shared" si="0"/>
        <v>10</v>
      </c>
    </row>
    <row r="53" spans="1:15" s="10" customFormat="1" ht="16.5" thickBot="1" x14ac:dyDescent="0.3">
      <c r="A53" s="7"/>
      <c r="B53" s="8" t="s">
        <v>2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13"/>
      <c r="N53" s="13"/>
      <c r="O53" s="14">
        <f>+O52</f>
        <v>10</v>
      </c>
    </row>
  </sheetData>
  <mergeCells count="4">
    <mergeCell ref="J4:O4"/>
    <mergeCell ref="J6:K6"/>
    <mergeCell ref="L6:M6"/>
    <mergeCell ref="N6:O6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RESUMEN</vt:lpstr>
      <vt:lpstr>EG-TC 1</vt:lpstr>
      <vt:lpstr>EG-RET SOC 2</vt:lpstr>
      <vt:lpstr>EG-EXTRA 3</vt:lpstr>
      <vt:lpstr>EG-IMP 4</vt:lpstr>
      <vt:lpstr>EG-PREST 5</vt:lpstr>
      <vt:lpstr>ING TICKETS 6</vt:lpstr>
      <vt:lpstr>ING SPON 7</vt:lpstr>
      <vt:lpstr>ING CORP 8</vt:lpstr>
      <vt:lpstr>ING GASTRO 9</vt:lpstr>
      <vt:lpstr>ING SERV CHARGE 10</vt:lpstr>
      <vt:lpstr>xxx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HERNAN MILERS (EXTERNAL)</cp:lastModifiedBy>
  <dcterms:created xsi:type="dcterms:W3CDTF">2025-04-09T18:19:17Z</dcterms:created>
  <dcterms:modified xsi:type="dcterms:W3CDTF">2026-05-10T20:06:29Z</dcterms:modified>
</cp:coreProperties>
</file>