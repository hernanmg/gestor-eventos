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stos" sheetId="1" r:id="rId5"/>
    <sheet state="visible" name="RRHH" sheetId="2" r:id="rId6"/>
    <sheet state="hidden" name="Extras" sheetId="3" r:id="rId7"/>
    <sheet state="visible" name="Acciones KM - Buenpa" sheetId="4" r:id="rId8"/>
    <sheet state="visible" name="Acciones KM - Plaza " sheetId="5" r:id="rId9"/>
  </sheets>
  <definedNames/>
  <calcPr/>
</workbook>
</file>

<file path=xl/sharedStrings.xml><?xml version="1.0" encoding="utf-8"?>
<sst xmlns="http://schemas.openxmlformats.org/spreadsheetml/2006/main" count="303" uniqueCount="173">
  <si>
    <t>EVENTO: Festival KM</t>
  </si>
  <si>
    <t>Item</t>
  </si>
  <si>
    <t>Descripción</t>
  </si>
  <si>
    <t>Responsable</t>
  </si>
  <si>
    <t>Consumido en $</t>
  </si>
  <si>
    <t>IVA</t>
  </si>
  <si>
    <t>Consumido total</t>
  </si>
  <si>
    <t>Falta pagar</t>
  </si>
  <si>
    <t>Fecha de pago a proveedores</t>
  </si>
  <si>
    <t>Se avisó al proveedor</t>
  </si>
  <si>
    <t>Animador</t>
  </si>
  <si>
    <t>Lucas Scal</t>
  </si>
  <si>
    <t>PAGADO</t>
  </si>
  <si>
    <t>Call Center</t>
  </si>
  <si>
    <t xml:space="preserve">Lucre </t>
  </si>
  <si>
    <t>Spot</t>
  </si>
  <si>
    <t>Paul Guzman</t>
  </si>
  <si>
    <t>Carpas</t>
  </si>
  <si>
    <t>JAB</t>
  </si>
  <si>
    <t>Operador (1M) + Víaticos (Hotel y nafta)</t>
  </si>
  <si>
    <t>Yankel</t>
  </si>
  <si>
    <t>Viaticos y hotel recupera Vicky ($170.000)</t>
  </si>
  <si>
    <t>Cctv</t>
  </si>
  <si>
    <t>Tato</t>
  </si>
  <si>
    <t>Cobertura Audiovisual</t>
  </si>
  <si>
    <t xml:space="preserve">German Vignoli </t>
  </si>
  <si>
    <t>Baños Vip</t>
  </si>
  <si>
    <t>Simes</t>
  </si>
  <si>
    <t>Landing</t>
  </si>
  <si>
    <t>Karin</t>
  </si>
  <si>
    <t>Qr Palco</t>
  </si>
  <si>
    <t>Hielo</t>
  </si>
  <si>
    <t>Ivan Alpes</t>
  </si>
  <si>
    <t>Agua</t>
  </si>
  <si>
    <t>Castell</t>
  </si>
  <si>
    <t>Mobiliario</t>
  </si>
  <si>
    <t>Unico</t>
  </si>
  <si>
    <t>Luces</t>
  </si>
  <si>
    <t>Ivo</t>
  </si>
  <si>
    <t>Se pagó 4M de seña.</t>
  </si>
  <si>
    <t>Ambulancias</t>
  </si>
  <si>
    <t>Vittal</t>
  </si>
  <si>
    <t>Ticket comida empleados + bandas</t>
  </si>
  <si>
    <t>Ariel Sala</t>
  </si>
  <si>
    <t>Vicky</t>
  </si>
  <si>
    <t>Limpieza</t>
  </si>
  <si>
    <t>Yanila</t>
  </si>
  <si>
    <t>Se pagó 2M + iva de seña. ($2.420.000)</t>
  </si>
  <si>
    <t>pda + caja + front barra + boletería</t>
  </si>
  <si>
    <t>Marcos</t>
  </si>
  <si>
    <t>Cobertura redes en buen pastor y festival KM</t>
  </si>
  <si>
    <t>Juli</t>
  </si>
  <si>
    <t>Serenos - Seguridad</t>
  </si>
  <si>
    <t>Fede</t>
  </si>
  <si>
    <t>Dani</t>
  </si>
  <si>
    <t>Asistencia técnica + puesta de luces</t>
  </si>
  <si>
    <t>Nahuel</t>
  </si>
  <si>
    <t>Fx</t>
  </si>
  <si>
    <t>Sinai</t>
  </si>
  <si>
    <t>ARREGLA MATIAS</t>
  </si>
  <si>
    <t>Catering</t>
  </si>
  <si>
    <t>Arregla Matias</t>
  </si>
  <si>
    <t>Vouchers empleados y bandas</t>
  </si>
  <si>
    <t>Seguridad Privada</t>
  </si>
  <si>
    <t>Squad</t>
  </si>
  <si>
    <t>3M</t>
  </si>
  <si>
    <t>Sonido</t>
  </si>
  <si>
    <t>Impulso</t>
  </si>
  <si>
    <t>Electricista</t>
  </si>
  <si>
    <t>Frankie</t>
  </si>
  <si>
    <t>Módulo Acoplado</t>
  </si>
  <si>
    <t>Basani</t>
  </si>
  <si>
    <t>Contenedores Oficina</t>
  </si>
  <si>
    <t>Baños Quimicos</t>
  </si>
  <si>
    <t>Branding</t>
  </si>
  <si>
    <t>Galará</t>
  </si>
  <si>
    <t>Generador</t>
  </si>
  <si>
    <t>Trovato</t>
  </si>
  <si>
    <t>Pantalla Led</t>
  </si>
  <si>
    <t>Uf</t>
  </si>
  <si>
    <t>Estructuras</t>
  </si>
  <si>
    <t>Dos57</t>
  </si>
  <si>
    <t>Conectividad Y Camaras</t>
  </si>
  <si>
    <t>IPX</t>
  </si>
  <si>
    <t>TOTAL</t>
  </si>
  <si>
    <t>EVENTO: Festival KM - RRHH</t>
  </si>
  <si>
    <t>Asistencia en producción</t>
  </si>
  <si>
    <t>Andres Ceballos</t>
  </si>
  <si>
    <t>Mili</t>
  </si>
  <si>
    <t>Arregla Vicky</t>
  </si>
  <si>
    <t>Mariela Martin</t>
  </si>
  <si>
    <t>Mica Santillan</t>
  </si>
  <si>
    <t>Marcos Diaz</t>
  </si>
  <si>
    <t>Virginia Rizzotti</t>
  </si>
  <si>
    <t>Pipa</t>
  </si>
  <si>
    <t>Matilde</t>
  </si>
  <si>
    <t>EVENTO: EXTRAS Festival KM</t>
  </si>
  <si>
    <t>Datos cuenta</t>
  </si>
  <si>
    <t>FC</t>
  </si>
  <si>
    <t>COMPROBANTES</t>
  </si>
  <si>
    <t>Pauta (7 de abril al 1ero de mayo)</t>
  </si>
  <si>
    <t>Cadena 3 - La Popu</t>
  </si>
  <si>
    <t>Pre evento</t>
  </si>
  <si>
    <t>Ya están en contacto.</t>
  </si>
  <si>
    <t>Host Redes Sociales / Prensa</t>
  </si>
  <si>
    <t>Gastón Pedano</t>
  </si>
  <si>
    <t xml:space="preserve">08/05 - </t>
  </si>
  <si>
    <t>Titular: Gastón Rubén Pedano Martín 
Cuit: 20381821758 
CBU: 0200917311000012161562
Alias: gastonpedano</t>
  </si>
  <si>
    <t>Gastón Pëdano.pdf</t>
  </si>
  <si>
    <t>Host Redes Sociales</t>
  </si>
  <si>
    <t>Feli Peschi</t>
  </si>
  <si>
    <t>ALIAS: felipeschi1
TITULAR: Felicitas Peschi
CBU: 0720813188000000289836
NÚMERO DE CUENTA: 813-002898/3
CUIT: 27-46889063-7</t>
  </si>
  <si>
    <t>Feli Peschi.pdf</t>
  </si>
  <si>
    <t>Pauta</t>
  </si>
  <si>
    <t>Canal 12 / cuarteteando</t>
  </si>
  <si>
    <t>10/04 - 13/04</t>
  </si>
  <si>
    <t>ABONADO</t>
  </si>
  <si>
    <t>Deben factura</t>
  </si>
  <si>
    <t>Comunicación</t>
  </si>
  <si>
    <t>Vane Ludueña</t>
  </si>
  <si>
    <t>Antes del 1/05 (inclusive)</t>
  </si>
  <si>
    <t>Titular: Vanesa Jesica Ludueña 
Cuit: 23312681374
CBU:2850313240096022542468
Alias: vanelu.macro</t>
  </si>
  <si>
    <t>VANE.pdf</t>
  </si>
  <si>
    <t>Paid Media 1.500.000 fee</t>
  </si>
  <si>
    <t>Digital Winds</t>
  </si>
  <si>
    <t>Pagar el fee el 13/04</t>
  </si>
  <si>
    <t>Con FC</t>
  </si>
  <si>
    <t xml:space="preserve">Paid Media 5.000.000 inversión </t>
  </si>
  <si>
    <t>No se factura.</t>
  </si>
  <si>
    <t>MediaBusTV</t>
  </si>
  <si>
    <t>Coniferal</t>
  </si>
  <si>
    <t xml:space="preserve">Razón Social: MABELE SA • CUIT N:° 30710238096 • Banco: BBVA Argentina S.A. • CBU N°: 0170174220000000728634 • CC en $ N°: 174-007286/3 • Notificación de transferencia: clientes@mediabus.tv </t>
  </si>
  <si>
    <t>Influencer</t>
  </si>
  <si>
    <t>Colorete Gianola</t>
  </si>
  <si>
    <t>Titular: Santiago Gianola Alias: DISPUESTO.OJO.LUZ
CBU: 0150515301000210010199
CUIL/CUIT: 20214058481
Cuenta: CA $ 0515/01210010/19</t>
  </si>
  <si>
    <t>Colorete.pdf</t>
  </si>
  <si>
    <t>Dai Terradas</t>
  </si>
  <si>
    <t>Titular: Laura Dahyana Terradas Micieli
Cuit: 27-34130034-2
CBU:2850853340094686996308
Alias:dahyterradas</t>
  </si>
  <si>
    <t>Dai terradas.pdf</t>
  </si>
  <si>
    <t>Campaña Microinfluencers</t>
  </si>
  <si>
    <t>Weiv</t>
  </si>
  <si>
    <t>Pendiente de datos</t>
  </si>
  <si>
    <t>Publicidad en redes</t>
  </si>
  <si>
    <t>Joel Rossi</t>
  </si>
  <si>
    <t>Antes del 15/05 (inclusive)</t>
  </si>
  <si>
    <t>Titular: Joel rossi
CUIT: 20322140534
CBU: 2850313240094844428878
ALIAS: GANCHO.TARTA.CLARIN</t>
  </si>
  <si>
    <t>Nardo Escanilla</t>
  </si>
  <si>
    <t>NOMBRE: Nardo Enrique Escanilla
CUIT: 20279559658
DATOS CUENTA BANCARIA:
CBU: 0200912811000004312712
ALIAS: NUCLEO.BUTACA.CASA</t>
  </si>
  <si>
    <t>Carla Dogliani</t>
  </si>
  <si>
    <t>Alias: carla.dogliani
CVU: 0000003100034251857560
Nombre: Carla Dogliani</t>
  </si>
  <si>
    <t>Emi Castelanelli</t>
  </si>
  <si>
    <t>Emilio Castelanelli
CUIT/CUIL: 20333203147
CBU: 2850328640094997250388
Alias: Emicastelanelli
CTA: CA ARS 432809499725038
Entidad: Banco Macro SA</t>
  </si>
  <si>
    <t>Transporte Interno (Sprinter 19 + h1)</t>
  </si>
  <si>
    <t>Huk</t>
  </si>
  <si>
    <t>Entre lunes 3 y viernes 8 de mayo.</t>
  </si>
  <si>
    <t>Hotel Neper</t>
  </si>
  <si>
    <t>Neper</t>
  </si>
  <si>
    <t>Logo Corporeo Neon</t>
  </si>
  <si>
    <t>TOTALES</t>
  </si>
  <si>
    <t>EVENTO: Festival KM - Acción BUENPA</t>
  </si>
  <si>
    <t>Promotoras</t>
  </si>
  <si>
    <t>Asistencia a producción</t>
  </si>
  <si>
    <t>Pines (20)</t>
  </si>
  <si>
    <t>Santi Soria</t>
  </si>
  <si>
    <t>Folletos (1000)</t>
  </si>
  <si>
    <t>Graffos</t>
  </si>
  <si>
    <t>Filmaker</t>
  </si>
  <si>
    <t>German</t>
  </si>
  <si>
    <t>Seguridad</t>
  </si>
  <si>
    <t>EVENTO: Festival KM - Acción PLAZA</t>
  </si>
  <si>
    <t>Totem interactivo + ploteo</t>
  </si>
  <si>
    <t>Yumba</t>
  </si>
  <si>
    <t>Gus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</si>
</sst>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d/m"/>
  </numFmts>
  <fonts count="15">
    <font>
      <sz val="10.0"/>
      <color rgb="FF000000"/>
      <name val="Arial"/>
      <scheme val="minor"/>
    </font>
    <font>
      <color theme="1"/>
      <name val="Arial"/>
    </font>
    <font>
      <b/>
      <sz val="29.0"/>
      <color rgb="FFFFFFFF"/>
      <name val="Arial"/>
    </font>
    <font/>
    <font>
      <b/>
      <color rgb="FFFFFFFF"/>
      <name val="Arial"/>
    </font>
    <font>
      <sz val="11.0"/>
      <color theme="1"/>
      <name val="Arial"/>
    </font>
    <font>
      <sz val="11.0"/>
      <color rgb="FF000000"/>
      <name val="Calibri"/>
    </font>
    <font>
      <sz val="11.0"/>
      <color theme="1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b/>
      <sz val="11.0"/>
      <color theme="1"/>
      <name val="Arial"/>
    </font>
    <font>
      <b/>
      <sz val="11.0"/>
      <color theme="1"/>
      <name val="Arial"/>
      <scheme val="minor"/>
    </font>
    <font>
      <b/>
      <sz val="13.0"/>
      <color rgb="FFFFFFFF"/>
      <name val="Arial"/>
    </font>
    <font>
      <sz val="11.0"/>
      <color theme="1"/>
      <name val="Calibri"/>
    </font>
    <font>
      <u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CC0000"/>
        <bgColor rgb="FFCC0000"/>
      </patternFill>
    </fill>
    <fill>
      <patternFill patternType="solid">
        <fgColor rgb="FFFFFFFF"/>
        <bgColor rgb="FFFFFFFF"/>
      </patternFill>
    </fill>
    <fill>
      <patternFill patternType="solid">
        <fgColor rgb="FF1C4587"/>
        <bgColor rgb="FF1C4587"/>
      </patternFill>
    </fill>
    <fill>
      <patternFill patternType="solid">
        <fgColor rgb="FFB6D7A8"/>
        <bgColor rgb="FFB6D7A8"/>
      </patternFill>
    </fill>
    <fill>
      <patternFill patternType="solid">
        <fgColor rgb="FF8E7CC3"/>
        <bgColor rgb="FF8E7CC3"/>
      </patternFill>
    </fill>
    <fill>
      <patternFill patternType="solid">
        <fgColor rgb="FFCC4125"/>
        <bgColor rgb="FFCC4125"/>
      </patternFill>
    </fill>
    <fill>
      <patternFill patternType="solid">
        <fgColor rgb="FF93C47D"/>
        <bgColor rgb="FF93C47D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2" fontId="2" numFmtId="0" xfId="0" applyAlignment="1" applyBorder="1" applyFill="1" applyFont="1">
      <alignment horizontal="center" readingOrder="0" shrinkToFit="0" vertical="bottom" wrapText="1"/>
    </xf>
    <xf borderId="3" fillId="0" fontId="3" numFmtId="0" xfId="0" applyBorder="1" applyFont="1"/>
    <xf borderId="4" fillId="0" fontId="3" numFmtId="0" xfId="0" applyBorder="1" applyFont="1"/>
    <xf borderId="0" fillId="3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1" fillId="4" fontId="4" numFmtId="0" xfId="0" applyAlignment="1" applyBorder="1" applyFill="1" applyFont="1">
      <alignment horizontal="center" shrinkToFit="0" vertical="bottom" wrapText="1"/>
    </xf>
    <xf borderId="1" fillId="5" fontId="5" numFmtId="0" xfId="0" applyAlignment="1" applyBorder="1" applyFill="1" applyFont="1">
      <alignment horizontal="center" readingOrder="0" vertical="bottom"/>
    </xf>
    <xf borderId="1" fillId="5" fontId="6" numFmtId="0" xfId="0" applyAlignment="1" applyBorder="1" applyFill="1" applyFont="1">
      <alignment horizontal="center" readingOrder="0" shrinkToFit="0" vertical="bottom" wrapText="0"/>
    </xf>
    <xf borderId="1" fillId="5" fontId="6" numFmtId="164" xfId="0" applyAlignment="1" applyBorder="1" applyFill="1" applyFont="1" applyNumberFormat="1">
      <alignment horizontal="center" readingOrder="0" shrinkToFit="0" vertical="bottom" wrapText="0"/>
    </xf>
    <xf borderId="1" fillId="5" fontId="7" numFmtId="164" xfId="0" applyAlignment="1" applyBorder="1" applyFill="1" applyFont="1" applyNumberFormat="1">
      <alignment horizontal="center" readingOrder="0"/>
    </xf>
    <xf borderId="1" fillId="5" fontId="7" numFmtId="164" xfId="0" applyAlignment="1" applyBorder="1" applyFill="1" applyFont="1" applyNumberFormat="1">
      <alignment horizontal="center"/>
    </xf>
    <xf borderId="1" fillId="5" fontId="5" numFmtId="164" xfId="0" applyAlignment="1" applyBorder="1" applyFill="1" applyFont="1" applyNumberFormat="1">
      <alignment horizontal="center" readingOrder="0" vertical="bottom"/>
    </xf>
    <xf borderId="1" fillId="5" fontId="1" numFmtId="0" xfId="0" applyAlignment="1" applyBorder="1" applyFill="1" applyFont="1">
      <alignment horizontal="center" readingOrder="0" vertical="bottom"/>
    </xf>
    <xf borderId="1" fillId="5" fontId="7" numFmtId="0" xfId="0" applyAlignment="1" applyBorder="1" applyFill="1" applyFont="1">
      <alignment horizontal="center" readingOrder="0"/>
    </xf>
    <xf borderId="1" fillId="5" fontId="5" numFmtId="0" xfId="0" applyAlignment="1" applyBorder="1" applyFill="1" applyFont="1">
      <alignment horizontal="center" vertical="bottom"/>
    </xf>
    <xf borderId="1" fillId="5" fontId="1" numFmtId="0" xfId="0" applyAlignment="1" applyBorder="1" applyFill="1" applyFont="1">
      <alignment horizontal="center" vertical="bottom"/>
    </xf>
    <xf borderId="1" fillId="5" fontId="5" numFmtId="0" xfId="0" applyAlignment="1" applyBorder="1" applyFill="1" applyFont="1">
      <alignment horizontal="center" vertical="center"/>
    </xf>
    <xf borderId="1" fillId="5" fontId="5" numFmtId="164" xfId="0" applyAlignment="1" applyBorder="1" applyFill="1" applyFont="1" applyNumberFormat="1">
      <alignment horizontal="center" readingOrder="0" vertical="center"/>
    </xf>
    <xf borderId="1" fillId="5" fontId="7" numFmtId="164" xfId="0" applyAlignment="1" applyBorder="1" applyFill="1" applyFont="1" applyNumberFormat="1">
      <alignment horizontal="center" vertical="center"/>
    </xf>
    <xf borderId="1" fillId="5" fontId="5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readingOrder="0" vertical="bottom"/>
    </xf>
    <xf borderId="1" fillId="5" fontId="5" numFmtId="0" xfId="0" applyAlignment="1" applyBorder="1" applyFill="1" applyFont="1">
      <alignment horizontal="center" vertical="center"/>
    </xf>
    <xf borderId="1" fillId="5" fontId="1" numFmtId="164" xfId="0" applyAlignment="1" applyBorder="1" applyFill="1" applyFont="1" applyNumberFormat="1">
      <alignment horizontal="center" vertical="bottom"/>
    </xf>
    <xf borderId="1" fillId="5" fontId="1" numFmtId="0" xfId="0" applyAlignment="1" applyBorder="1" applyFill="1" applyFont="1">
      <alignment vertical="bottom"/>
    </xf>
    <xf borderId="1" fillId="5" fontId="7" numFmtId="164" xfId="0" applyAlignment="1" applyBorder="1" applyFill="1" applyFont="1" applyNumberFormat="1">
      <alignment horizontal="center" readingOrder="0" vertical="center"/>
    </xf>
    <xf borderId="1" fillId="5" fontId="8" numFmtId="0" xfId="0" applyAlignment="1" applyBorder="1" applyFill="1" applyFont="1">
      <alignment readingOrder="0"/>
    </xf>
    <xf borderId="1" fillId="5" fontId="8" numFmtId="0" xfId="0" applyBorder="1" applyFill="1" applyFont="1"/>
    <xf borderId="1" fillId="5" fontId="5" numFmtId="0" xfId="0" applyAlignment="1" applyBorder="1" applyFill="1" applyFont="1">
      <alignment horizontal="center" readingOrder="0"/>
    </xf>
    <xf borderId="1" fillId="5" fontId="5" numFmtId="164" xfId="0" applyAlignment="1" applyBorder="1" applyFill="1" applyFont="1" applyNumberFormat="1">
      <alignment horizontal="center"/>
    </xf>
    <xf borderId="1" fillId="5" fontId="5" numFmtId="164" xfId="0" applyAlignment="1" applyBorder="1" applyFill="1" applyFont="1" applyNumberFormat="1">
      <alignment horizontal="center" readingOrder="0"/>
    </xf>
    <xf borderId="1" fillId="5" fontId="5" numFmtId="164" xfId="0" applyAlignment="1" applyBorder="1" applyFill="1" applyFont="1" applyNumberFormat="1">
      <alignment horizontal="center"/>
    </xf>
    <xf borderId="1" fillId="5" fontId="1" numFmtId="0" xfId="0" applyAlignment="1" applyBorder="1" applyFill="1" applyFont="1">
      <alignment vertical="bottom"/>
    </xf>
    <xf borderId="0" fillId="0" fontId="1" numFmtId="164" xfId="0" applyAlignment="1" applyFont="1" applyNumberFormat="1">
      <alignment vertical="bottom"/>
    </xf>
    <xf borderId="1" fillId="5" fontId="7" numFmtId="0" xfId="0" applyAlignment="1" applyBorder="1" applyFill="1" applyFont="1">
      <alignment horizontal="center" readingOrder="0" vertical="center"/>
    </xf>
    <xf borderId="1" fillId="5" fontId="9" numFmtId="164" xfId="0" applyAlignment="1" applyBorder="1" applyFill="1" applyFont="1" applyNumberFormat="1">
      <alignment horizontal="center" readingOrder="0" vertical="center"/>
    </xf>
    <xf borderId="1" fillId="5" fontId="5" numFmtId="164" xfId="0" applyAlignment="1" applyBorder="1" applyFill="1" applyFont="1" applyNumberFormat="1">
      <alignment horizontal="center" vertical="center"/>
    </xf>
    <xf borderId="1" fillId="0" fontId="5" numFmtId="164" xfId="0" applyAlignment="1" applyBorder="1" applyFont="1" applyNumberFormat="1">
      <alignment horizontal="center" vertical="bottom"/>
    </xf>
    <xf borderId="0" fillId="0" fontId="5" numFmtId="164" xfId="0" applyAlignment="1" applyFont="1" applyNumberFormat="1">
      <alignment horizontal="center" vertical="bottom"/>
    </xf>
    <xf borderId="1" fillId="5" fontId="10" numFmtId="164" xfId="0" applyAlignment="1" applyBorder="1" applyFill="1" applyFont="1" applyNumberFormat="1">
      <alignment horizontal="center" readingOrder="0" vertical="bottom"/>
    </xf>
    <xf borderId="1" fillId="0" fontId="5" numFmtId="0" xfId="0" applyAlignment="1" applyBorder="1" applyFont="1">
      <alignment horizontal="center" readingOrder="0" vertical="bottom"/>
    </xf>
    <xf borderId="1" fillId="6" fontId="5" numFmtId="0" xfId="0" applyAlignment="1" applyBorder="1" applyFill="1" applyFont="1">
      <alignment horizontal="center" vertical="center"/>
    </xf>
    <xf borderId="1" fillId="6" fontId="5" numFmtId="0" xfId="0" applyAlignment="1" applyBorder="1" applyFill="1" applyFont="1">
      <alignment horizontal="center" readingOrder="0" vertical="bottom"/>
    </xf>
    <xf borderId="1" fillId="6" fontId="5" numFmtId="164" xfId="0" applyAlignment="1" applyBorder="1" applyFill="1" applyFont="1" applyNumberFormat="1">
      <alignment horizontal="center" readingOrder="0" vertical="center"/>
    </xf>
    <xf borderId="1" fillId="6" fontId="7" numFmtId="164" xfId="0" applyAlignment="1" applyBorder="1" applyFill="1" applyFont="1" applyNumberFormat="1">
      <alignment horizontal="center" vertical="center"/>
    </xf>
    <xf borderId="5" fillId="6" fontId="10" numFmtId="164" xfId="0" applyAlignment="1" applyBorder="1" applyFill="1" applyFont="1" applyNumberFormat="1">
      <alignment horizontal="center" readingOrder="0" vertical="bottom"/>
    </xf>
    <xf borderId="6" fillId="0" fontId="3" numFmtId="0" xfId="0" applyBorder="1" applyFont="1"/>
    <xf borderId="7" fillId="0" fontId="3" numFmtId="0" xfId="0" applyBorder="1" applyFont="1"/>
    <xf borderId="1" fillId="6" fontId="5" numFmtId="0" xfId="0" applyAlignment="1" applyBorder="1" applyFill="1" applyFont="1">
      <alignment horizontal="center" readingOrder="0" vertical="center"/>
    </xf>
    <xf borderId="8" fillId="0" fontId="3" numFmtId="0" xfId="0" applyBorder="1" applyFont="1"/>
    <xf borderId="9" fillId="0" fontId="3" numFmtId="0" xfId="0" applyBorder="1" applyFont="1"/>
    <xf borderId="1" fillId="6" fontId="7" numFmtId="164" xfId="0" applyAlignment="1" applyBorder="1" applyFill="1" applyFont="1" applyNumberFormat="1">
      <alignment horizontal="center" readingOrder="0" vertical="center"/>
    </xf>
    <xf borderId="1" fillId="6" fontId="5" numFmtId="164" xfId="0" applyAlignment="1" applyBorder="1" applyFill="1" applyFont="1" applyNumberFormat="1">
      <alignment horizontal="center" vertical="center"/>
    </xf>
    <xf borderId="1" fillId="6" fontId="5" numFmtId="0" xfId="0" applyAlignment="1" applyBorder="1" applyFill="1" applyFont="1">
      <alignment horizontal="center" shrinkToFit="0" vertical="center" wrapText="1"/>
    </xf>
    <xf borderId="10" fillId="6" fontId="5" numFmtId="0" xfId="0" applyAlignment="1" applyBorder="1" applyFill="1" applyFont="1">
      <alignment horizontal="center" vertical="center"/>
    </xf>
    <xf borderId="10" fillId="6" fontId="7" numFmtId="164" xfId="0" applyAlignment="1" applyBorder="1" applyFill="1" applyFont="1" applyNumberFormat="1">
      <alignment horizontal="center" readingOrder="0" vertical="center"/>
    </xf>
    <xf borderId="10" fillId="6" fontId="7" numFmtId="164" xfId="0" applyAlignment="1" applyBorder="1" applyFill="1" applyFont="1" applyNumberFormat="1">
      <alignment horizontal="center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5" fillId="6" fontId="11" numFmtId="164" xfId="0" applyAlignment="1" applyBorder="1" applyFill="1" applyFont="1" applyNumberFormat="1">
      <alignment horizontal="center" readingOrder="0" shrinkToFit="0" vertical="center" wrapText="1"/>
    </xf>
    <xf borderId="1" fillId="6" fontId="5" numFmtId="0" xfId="0" applyAlignment="1" applyBorder="1" applyFill="1" applyFont="1">
      <alignment horizontal="center" readingOrder="0" shrinkToFit="0" vertical="center" wrapText="1"/>
    </xf>
    <xf borderId="1" fillId="7" fontId="12" numFmtId="164" xfId="0" applyAlignment="1" applyBorder="1" applyFill="1" applyFont="1" applyNumberFormat="1">
      <alignment horizontal="center" vertical="bottom"/>
    </xf>
    <xf borderId="0" fillId="0" fontId="9" numFmtId="0" xfId="0" applyAlignment="1" applyFont="1">
      <alignment readingOrder="0"/>
    </xf>
    <xf borderId="1" fillId="5" fontId="8" numFmtId="0" xfId="0" applyAlignment="1" applyBorder="1" applyFill="1" applyFont="1">
      <alignment horizontal="center" readingOrder="0"/>
    </xf>
    <xf borderId="1" fillId="5" fontId="8" numFmtId="164" xfId="0" applyAlignment="1" applyBorder="1" applyFill="1" applyFont="1" applyNumberFormat="1">
      <alignment horizontal="center" readingOrder="0"/>
    </xf>
    <xf borderId="1" fillId="5" fontId="8" numFmtId="164" xfId="0" applyAlignment="1" applyBorder="1" applyFill="1" applyFont="1" applyNumberFormat="1">
      <alignment horizontal="center"/>
    </xf>
    <xf borderId="1" fillId="0" fontId="8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1" fillId="0" fontId="1" numFmtId="0" xfId="0" applyAlignment="1" applyBorder="1" applyFont="1">
      <alignment vertical="bottom"/>
    </xf>
    <xf borderId="2" fillId="2" fontId="2" numFmtId="0" xfId="0" applyAlignment="1" applyBorder="1" applyFill="1" applyFont="1">
      <alignment horizontal="center" shrinkToFit="0" vertical="bottom" wrapText="1"/>
    </xf>
    <xf borderId="1" fillId="0" fontId="1" numFmtId="0" xfId="0" applyAlignment="1" applyBorder="1" applyFont="1">
      <alignment horizontal="center" vertical="bottom"/>
    </xf>
    <xf borderId="1" fillId="0" fontId="13" numFmtId="0" xfId="0" applyAlignment="1" applyBorder="1" applyFont="1">
      <alignment horizontal="center" vertical="bottom"/>
    </xf>
    <xf borderId="1" fillId="0" fontId="13" numFmtId="164" xfId="0" applyAlignment="1" applyBorder="1" applyFont="1" applyNumberFormat="1">
      <alignment horizontal="center" vertical="bottom"/>
    </xf>
    <xf borderId="1" fillId="0" fontId="1" numFmtId="164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vertical="bottom"/>
    </xf>
    <xf borderId="1" fillId="0" fontId="1" numFmtId="164" xfId="0" applyAlignment="1" applyBorder="1" applyFont="1" applyNumberFormat="1">
      <alignment vertical="bottom"/>
    </xf>
    <xf borderId="0" fillId="0" fontId="1" numFmtId="164" xfId="0" applyAlignment="1" applyFont="1" applyNumberFormat="1">
      <alignment horizontal="center" vertical="bottom"/>
    </xf>
    <xf borderId="1" fillId="0" fontId="14" numFmtId="164" xfId="0" applyAlignment="1" applyBorder="1" applyFont="1" applyNumberFormat="1">
      <alignment vertical="bottom"/>
    </xf>
    <xf borderId="4" fillId="0" fontId="1" numFmtId="164" xfId="0" applyAlignment="1" applyBorder="1" applyFont="1" applyNumberFormat="1">
      <alignment horizontal="center" vertical="bottom"/>
    </xf>
    <xf borderId="1" fillId="8" fontId="13" numFmtId="0" xfId="0" applyAlignment="1" applyBorder="1" applyFill="1" applyFont="1">
      <alignment horizontal="center" vertical="bottom"/>
    </xf>
    <xf borderId="4" fillId="8" fontId="1" numFmtId="164" xfId="0" applyAlignment="1" applyBorder="1" applyFill="1" applyFont="1" applyNumberFormat="1">
      <alignment horizontal="center" vertical="bottom"/>
    </xf>
    <xf borderId="1" fillId="8" fontId="1" numFmtId="164" xfId="0" applyAlignment="1" applyBorder="1" applyFill="1" applyFont="1" applyNumberFormat="1">
      <alignment horizontal="center" vertical="bottom"/>
    </xf>
    <xf borderId="1" fillId="8" fontId="1" numFmtId="164" xfId="0" applyAlignment="1" applyBorder="1" applyFill="1" applyFont="1" applyNumberFormat="1">
      <alignment vertical="bottom"/>
    </xf>
    <xf borderId="1" fillId="8" fontId="1" numFmtId="0" xfId="0" applyAlignment="1" applyBorder="1" applyFill="1" applyFont="1">
      <alignment horizontal="center" vertical="bottom"/>
    </xf>
    <xf borderId="1" fillId="0" fontId="1" numFmtId="164" xfId="0" applyAlignment="1" applyBorder="1" applyFont="1" applyNumberFormat="1">
      <alignment shrinkToFit="0" vertical="bottom" wrapText="1"/>
    </xf>
    <xf borderId="0" fillId="0" fontId="1" numFmtId="0" xfId="0" applyAlignment="1" applyFont="1">
      <alignment horizontal="center" vertical="bottom"/>
    </xf>
    <xf borderId="1" fillId="0" fontId="13" numFmtId="0" xfId="0" applyAlignment="1" applyBorder="1" applyFont="1">
      <alignment horizontal="center" vertical="bottom"/>
    </xf>
    <xf borderId="1" fillId="0" fontId="1" numFmtId="164" xfId="0" applyAlignment="1" applyBorder="1" applyFont="1" applyNumberFormat="1">
      <alignment horizontal="center" vertical="bottom"/>
    </xf>
    <xf borderId="1" fillId="0" fontId="1" numFmtId="164" xfId="0" applyAlignment="1" applyBorder="1" applyFont="1" applyNumberFormat="1">
      <alignment vertical="bottom"/>
    </xf>
    <xf borderId="0" fillId="0" fontId="1" numFmtId="164" xfId="0" applyAlignment="1" applyFont="1" applyNumberFormat="1">
      <alignment vertical="bottom"/>
    </xf>
    <xf borderId="4" fillId="0" fontId="1" numFmtId="164" xfId="0" applyAlignment="1" applyBorder="1" applyFont="1" applyNumberFormat="1">
      <alignment vertical="bottom"/>
    </xf>
    <xf borderId="1" fillId="7" fontId="12" numFmtId="0" xfId="0" applyAlignment="1" applyBorder="1" applyFill="1" applyFont="1">
      <alignment horizontal="center" vertical="bottom"/>
    </xf>
    <xf borderId="1" fillId="7" fontId="1" numFmtId="164" xfId="0" applyAlignment="1" applyBorder="1" applyFill="1" applyFont="1" applyNumberFormat="1">
      <alignment vertical="bottom"/>
    </xf>
    <xf borderId="1" fillId="5" fontId="1" numFmtId="164" xfId="0" applyAlignment="1" applyBorder="1" applyFill="1" applyFont="1" applyNumberFormat="1">
      <alignment horizontal="center" readingOrder="0" vertical="bottom"/>
    </xf>
    <xf borderId="1" fillId="5" fontId="1" numFmtId="165" xfId="0" applyAlignment="1" applyBorder="1" applyFill="1" applyFont="1" applyNumberFormat="1">
      <alignment horizontal="center" readingOrder="0" vertical="bottom"/>
    </xf>
    <xf borderId="1" fillId="0" fontId="1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center" readingOrder="0" shrinkToFit="0" vertical="bottom" wrapText="0"/>
    </xf>
    <xf borderId="5" fillId="6" fontId="8" numFmtId="0" xfId="0" applyAlignment="1" applyBorder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dsAzberU4AYAyz9x7PGvnSA_lrr91uXZ/view?usp=drive_link" TargetMode="External"/><Relationship Id="rId2" Type="http://schemas.openxmlformats.org/officeDocument/2006/relationships/hyperlink" Target="https://drive.google.com/file/d/1BhudHlMmQhizCZcmMiauQgABa7xWu90H/view?usp=drive_link" TargetMode="External"/><Relationship Id="rId3" Type="http://schemas.openxmlformats.org/officeDocument/2006/relationships/hyperlink" Target="https://drive.google.com/file/d/1URsvuFklHkmMGu1eoSxP-ar-Lc7FtgWR/view?usp=drive_link" TargetMode="External"/><Relationship Id="rId4" Type="http://schemas.openxmlformats.org/officeDocument/2006/relationships/hyperlink" Target="https://drive.google.com/file/d/13u_9xetLdnKboVIJOe6PHcAg4XABpJMh/view?usp=drive_link" TargetMode="External"/><Relationship Id="rId5" Type="http://schemas.openxmlformats.org/officeDocument/2006/relationships/hyperlink" Target="https://drive.google.com/file/d/1MWJqcswmBRAGutjZ8n-SQmQpZjQ4SRB3/view?usp=drive_link" TargetMode="External"/><Relationship Id="rId6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49.13"/>
    <col customWidth="1" min="3" max="3" width="31.25"/>
    <col customWidth="1" min="4" max="4" width="17.5"/>
    <col customWidth="1" min="5" max="5" width="20.75"/>
    <col customWidth="1" min="6" max="6" width="21.88"/>
    <col customWidth="1" min="7" max="7" width="17.38"/>
    <col customWidth="1" min="9" max="9" width="39.75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4"/>
      <c r="J1" s="5"/>
      <c r="K1" s="5"/>
      <c r="L1" s="5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5"/>
      <c r="K2" s="5"/>
      <c r="L2" s="5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8">
        <v>1.0</v>
      </c>
      <c r="B3" s="9" t="s">
        <v>10</v>
      </c>
      <c r="C3" s="9" t="s">
        <v>11</v>
      </c>
      <c r="D3" s="10">
        <v>400000.0</v>
      </c>
      <c r="E3" s="11">
        <v>0.0</v>
      </c>
      <c r="F3" s="12">
        <f t="shared" ref="F3:F17" si="1">D3+E3</f>
        <v>400000</v>
      </c>
      <c r="G3" s="13">
        <v>0.0</v>
      </c>
      <c r="H3" s="14" t="s">
        <v>12</v>
      </c>
      <c r="I3" s="14" t="s">
        <v>12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8">
        <v>2.0</v>
      </c>
      <c r="B4" s="9" t="s">
        <v>13</v>
      </c>
      <c r="C4" s="9" t="s">
        <v>14</v>
      </c>
      <c r="D4" s="10">
        <v>200000.0</v>
      </c>
      <c r="E4" s="11">
        <v>0.0</v>
      </c>
      <c r="F4" s="12">
        <f t="shared" si="1"/>
        <v>200000</v>
      </c>
      <c r="G4" s="13">
        <v>0.0</v>
      </c>
      <c r="H4" s="14" t="s">
        <v>12</v>
      </c>
      <c r="I4" s="14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8">
        <v>3.0</v>
      </c>
      <c r="B5" s="15" t="s">
        <v>15</v>
      </c>
      <c r="C5" s="9" t="s">
        <v>16</v>
      </c>
      <c r="D5" s="13">
        <v>150000.0</v>
      </c>
      <c r="E5" s="13">
        <v>0.0</v>
      </c>
      <c r="F5" s="12">
        <f t="shared" si="1"/>
        <v>150000</v>
      </c>
      <c r="G5" s="13">
        <v>0.0</v>
      </c>
      <c r="H5" s="14" t="s">
        <v>12</v>
      </c>
      <c r="I5" s="14" t="s">
        <v>12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8">
        <v>4.0</v>
      </c>
      <c r="B6" s="16" t="s">
        <v>17</v>
      </c>
      <c r="C6" s="8" t="s">
        <v>18</v>
      </c>
      <c r="D6" s="13">
        <v>3500000.0</v>
      </c>
      <c r="E6" s="13">
        <v>0.0</v>
      </c>
      <c r="F6" s="12">
        <f t="shared" si="1"/>
        <v>3500000</v>
      </c>
      <c r="G6" s="13">
        <v>0.0</v>
      </c>
      <c r="H6" s="14" t="s">
        <v>12</v>
      </c>
      <c r="I6" s="17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8">
        <v>5.0</v>
      </c>
      <c r="B7" s="8" t="s">
        <v>19</v>
      </c>
      <c r="C7" s="16" t="s">
        <v>20</v>
      </c>
      <c r="D7" s="13">
        <v>1170000.0</v>
      </c>
      <c r="E7" s="13">
        <v>0.0</v>
      </c>
      <c r="F7" s="12">
        <f t="shared" si="1"/>
        <v>1170000</v>
      </c>
      <c r="G7" s="13">
        <v>0.0</v>
      </c>
      <c r="H7" s="14" t="s">
        <v>12</v>
      </c>
      <c r="I7" s="14" t="s">
        <v>21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8">
        <v>6.0</v>
      </c>
      <c r="B8" s="18" t="s">
        <v>22</v>
      </c>
      <c r="C8" s="18" t="s">
        <v>23</v>
      </c>
      <c r="D8" s="19">
        <v>2800000.0</v>
      </c>
      <c r="E8" s="19">
        <v>0.0</v>
      </c>
      <c r="F8" s="20">
        <f t="shared" si="1"/>
        <v>2800000</v>
      </c>
      <c r="G8" s="13">
        <v>0.0</v>
      </c>
      <c r="H8" s="14" t="s">
        <v>12</v>
      </c>
      <c r="I8" s="14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8">
        <v>7.0</v>
      </c>
      <c r="B9" s="18" t="s">
        <v>24</v>
      </c>
      <c r="C9" s="21" t="s">
        <v>25</v>
      </c>
      <c r="D9" s="19">
        <v>2000000.0</v>
      </c>
      <c r="E9" s="19">
        <v>0.0</v>
      </c>
      <c r="F9" s="20">
        <f t="shared" si="1"/>
        <v>2000000</v>
      </c>
      <c r="G9" s="13">
        <v>0.0</v>
      </c>
      <c r="H9" s="14" t="s">
        <v>12</v>
      </c>
      <c r="I9" s="14"/>
      <c r="J9" s="22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8">
        <v>8.0</v>
      </c>
      <c r="B10" s="18" t="s">
        <v>26</v>
      </c>
      <c r="C10" s="18" t="s">
        <v>27</v>
      </c>
      <c r="D10" s="19">
        <v>1575000.0</v>
      </c>
      <c r="E10" s="19">
        <v>0.0</v>
      </c>
      <c r="F10" s="20">
        <f t="shared" si="1"/>
        <v>1575000</v>
      </c>
      <c r="G10" s="13">
        <v>0.0</v>
      </c>
      <c r="H10" s="14" t="s">
        <v>12</v>
      </c>
      <c r="I10" s="17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8">
        <v>9.0</v>
      </c>
      <c r="B11" s="18" t="s">
        <v>28</v>
      </c>
      <c r="C11" s="23" t="s">
        <v>29</v>
      </c>
      <c r="D11" s="19">
        <v>800000.0</v>
      </c>
      <c r="E11" s="19">
        <v>0.0</v>
      </c>
      <c r="F11" s="20">
        <f t="shared" si="1"/>
        <v>800000</v>
      </c>
      <c r="G11" s="13">
        <v>0.0</v>
      </c>
      <c r="H11" s="14" t="s">
        <v>12</v>
      </c>
      <c r="I11" s="24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8">
        <v>10.0</v>
      </c>
      <c r="B12" s="23" t="s">
        <v>30</v>
      </c>
      <c r="C12" s="23" t="s">
        <v>29</v>
      </c>
      <c r="D12" s="19">
        <v>250000.0</v>
      </c>
      <c r="E12" s="19">
        <v>0.0</v>
      </c>
      <c r="F12" s="20">
        <f t="shared" si="1"/>
        <v>250000</v>
      </c>
      <c r="G12" s="13">
        <v>0.0</v>
      </c>
      <c r="H12" s="14" t="s">
        <v>12</v>
      </c>
      <c r="I12" s="24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8">
        <v>11.0</v>
      </c>
      <c r="B13" s="23" t="s">
        <v>31</v>
      </c>
      <c r="C13" s="23" t="s">
        <v>32</v>
      </c>
      <c r="D13" s="19">
        <v>162000.0</v>
      </c>
      <c r="E13" s="19">
        <v>0.0</v>
      </c>
      <c r="F13" s="20">
        <f t="shared" si="1"/>
        <v>162000</v>
      </c>
      <c r="G13" s="13">
        <v>0.0</v>
      </c>
      <c r="H13" s="14" t="s">
        <v>12</v>
      </c>
      <c r="I13" s="24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8">
        <v>12.0</v>
      </c>
      <c r="B14" s="23" t="s">
        <v>33</v>
      </c>
      <c r="C14" s="23" t="s">
        <v>34</v>
      </c>
      <c r="D14" s="19">
        <v>745000.0</v>
      </c>
      <c r="E14" s="19">
        <f>D14*21/100</f>
        <v>156450</v>
      </c>
      <c r="F14" s="20">
        <f t="shared" si="1"/>
        <v>901450</v>
      </c>
      <c r="G14" s="13">
        <v>0.0</v>
      </c>
      <c r="H14" s="14" t="s">
        <v>12</v>
      </c>
      <c r="I14" s="24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8">
        <v>13.0</v>
      </c>
      <c r="B15" s="18" t="s">
        <v>35</v>
      </c>
      <c r="C15" s="21" t="s">
        <v>36</v>
      </c>
      <c r="D15" s="19">
        <v>3000000.0</v>
      </c>
      <c r="E15" s="19">
        <v>0.0</v>
      </c>
      <c r="F15" s="20">
        <f t="shared" si="1"/>
        <v>3000000</v>
      </c>
      <c r="G15" s="13">
        <v>0.0</v>
      </c>
      <c r="H15" s="14" t="s">
        <v>12</v>
      </c>
      <c r="I15" s="25"/>
      <c r="J15" s="6"/>
      <c r="K15" s="6"/>
      <c r="L15" s="6"/>
      <c r="M15" s="6"/>
      <c r="N15" s="6"/>
      <c r="O15" s="22">
        <v>11.0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8">
        <v>14.0</v>
      </c>
      <c r="B16" s="18" t="s">
        <v>37</v>
      </c>
      <c r="C16" s="18" t="s">
        <v>38</v>
      </c>
      <c r="D16" s="26">
        <v>9000000.0</v>
      </c>
      <c r="E16" s="26">
        <v>0.0</v>
      </c>
      <c r="F16" s="20">
        <f t="shared" si="1"/>
        <v>9000000</v>
      </c>
      <c r="G16" s="13">
        <v>0.0</v>
      </c>
      <c r="H16" s="14" t="s">
        <v>12</v>
      </c>
      <c r="I16" s="27" t="s">
        <v>39</v>
      </c>
    </row>
    <row r="17">
      <c r="A17" s="8">
        <v>15.0</v>
      </c>
      <c r="B17" s="18" t="s">
        <v>40</v>
      </c>
      <c r="C17" s="18" t="s">
        <v>41</v>
      </c>
      <c r="D17" s="26">
        <v>8262000.0</v>
      </c>
      <c r="E17" s="20">
        <f>D17*21/100</f>
        <v>1735020</v>
      </c>
      <c r="F17" s="20">
        <f t="shared" si="1"/>
        <v>9997020</v>
      </c>
      <c r="G17" s="13">
        <v>0.0</v>
      </c>
      <c r="H17" s="14" t="s">
        <v>12</v>
      </c>
      <c r="I17" s="28"/>
    </row>
    <row r="18">
      <c r="A18" s="8">
        <v>16.0</v>
      </c>
      <c r="B18" s="29" t="s">
        <v>42</v>
      </c>
      <c r="C18" s="30" t="s">
        <v>43</v>
      </c>
      <c r="D18" s="31" t="s">
        <v>44</v>
      </c>
      <c r="E18" s="32">
        <v>0.0</v>
      </c>
      <c r="F18" s="32"/>
      <c r="G18" s="13">
        <v>0.0</v>
      </c>
      <c r="H18" s="14" t="s">
        <v>12</v>
      </c>
      <c r="I18" s="33"/>
      <c r="J18" s="34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8">
        <v>17.0</v>
      </c>
      <c r="B19" s="35" t="s">
        <v>45</v>
      </c>
      <c r="C19" s="36" t="s">
        <v>46</v>
      </c>
      <c r="D19" s="19">
        <v>5115750.0</v>
      </c>
      <c r="E19" s="37">
        <f>D19*21/100</f>
        <v>1074307.5</v>
      </c>
      <c r="F19" s="20">
        <f t="shared" ref="F19:F21" si="2">D19+E19</f>
        <v>6190057.5</v>
      </c>
      <c r="G19" s="13">
        <v>0.0</v>
      </c>
      <c r="H19" s="14" t="s">
        <v>12</v>
      </c>
      <c r="I19" s="27" t="s">
        <v>47</v>
      </c>
      <c r="J19" s="38"/>
    </row>
    <row r="20">
      <c r="A20" s="8">
        <v>18.0</v>
      </c>
      <c r="B20" s="35" t="s">
        <v>48</v>
      </c>
      <c r="C20" s="36" t="s">
        <v>49</v>
      </c>
      <c r="D20" s="19">
        <f>3745000-260000</f>
        <v>3485000</v>
      </c>
      <c r="E20" s="19">
        <v>0.0</v>
      </c>
      <c r="F20" s="20">
        <f t="shared" si="2"/>
        <v>3485000</v>
      </c>
      <c r="G20" s="13">
        <v>0.0</v>
      </c>
      <c r="H20" s="14" t="s">
        <v>12</v>
      </c>
      <c r="I20" s="27"/>
      <c r="J20" s="39"/>
    </row>
    <row r="21">
      <c r="A21" s="8">
        <v>19.0</v>
      </c>
      <c r="B21" s="21" t="s">
        <v>50</v>
      </c>
      <c r="C21" s="8" t="s">
        <v>51</v>
      </c>
      <c r="D21" s="19">
        <v>150000.0</v>
      </c>
      <c r="E21" s="19">
        <v>0.0</v>
      </c>
      <c r="F21" s="20">
        <f t="shared" si="2"/>
        <v>150000</v>
      </c>
      <c r="G21" s="13">
        <v>0.0</v>
      </c>
      <c r="H21" s="14" t="s">
        <v>12</v>
      </c>
      <c r="I21" s="40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8">
        <v>20.0</v>
      </c>
      <c r="B22" s="21" t="s">
        <v>52</v>
      </c>
      <c r="C22" s="8" t="s">
        <v>53</v>
      </c>
      <c r="D22" s="19" t="s">
        <v>54</v>
      </c>
      <c r="E22" s="19"/>
      <c r="F22" s="20"/>
      <c r="G22" s="13">
        <v>0.0</v>
      </c>
      <c r="H22" s="14" t="s">
        <v>12</v>
      </c>
      <c r="I22" s="40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8">
        <v>21.0</v>
      </c>
      <c r="B23" s="21" t="s">
        <v>55</v>
      </c>
      <c r="C23" s="8" t="s">
        <v>56</v>
      </c>
      <c r="D23" s="19">
        <v>600000.0</v>
      </c>
      <c r="E23" s="19">
        <v>0.0</v>
      </c>
      <c r="F23" s="26">
        <v>600000.0</v>
      </c>
      <c r="G23" s="13">
        <v>0.0</v>
      </c>
      <c r="H23" s="14" t="s">
        <v>12</v>
      </c>
      <c r="I23" s="40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41">
        <v>22.0</v>
      </c>
      <c r="B24" s="42" t="s">
        <v>57</v>
      </c>
      <c r="C24" s="43" t="s">
        <v>58</v>
      </c>
      <c r="D24" s="44">
        <v>7000000.0</v>
      </c>
      <c r="E24" s="44">
        <v>0.0</v>
      </c>
      <c r="F24" s="45">
        <f>D24+E24</f>
        <v>7000000</v>
      </c>
      <c r="G24" s="46" t="s">
        <v>59</v>
      </c>
      <c r="H24" s="47"/>
      <c r="I24" s="48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41">
        <v>23.0</v>
      </c>
      <c r="B25" s="42" t="s">
        <v>60</v>
      </c>
      <c r="C25" s="49" t="s">
        <v>43</v>
      </c>
      <c r="D25" s="44" t="s">
        <v>61</v>
      </c>
      <c r="E25" s="44">
        <v>0.0</v>
      </c>
      <c r="F25" s="45"/>
      <c r="G25" s="50"/>
      <c r="I25" s="51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41">
        <v>24.0</v>
      </c>
      <c r="B26" s="49" t="s">
        <v>62</v>
      </c>
      <c r="C26" s="49" t="s">
        <v>43</v>
      </c>
      <c r="D26" s="44" t="s">
        <v>61</v>
      </c>
      <c r="E26" s="44">
        <v>0.0</v>
      </c>
      <c r="F26" s="45"/>
      <c r="G26" s="50"/>
      <c r="I26" s="51"/>
    </row>
    <row r="27">
      <c r="A27" s="41">
        <v>25.0</v>
      </c>
      <c r="B27" s="42" t="s">
        <v>63</v>
      </c>
      <c r="C27" s="42" t="s">
        <v>64</v>
      </c>
      <c r="D27" s="44" t="s">
        <v>61</v>
      </c>
      <c r="E27" s="52">
        <v>0.0</v>
      </c>
      <c r="F27" s="45"/>
      <c r="G27" s="50"/>
      <c r="I27" s="51"/>
    </row>
    <row r="28">
      <c r="A28" s="41">
        <v>26.0</v>
      </c>
      <c r="B28" s="42" t="s">
        <v>63</v>
      </c>
      <c r="C28" s="49" t="s">
        <v>65</v>
      </c>
      <c r="D28" s="44" t="s">
        <v>61</v>
      </c>
      <c r="E28" s="52">
        <v>0.0</v>
      </c>
      <c r="F28" s="45"/>
      <c r="G28" s="50"/>
      <c r="I28" s="51"/>
    </row>
    <row r="29">
      <c r="A29" s="41">
        <v>27.0</v>
      </c>
      <c r="B29" s="42" t="s">
        <v>66</v>
      </c>
      <c r="C29" s="42" t="s">
        <v>67</v>
      </c>
      <c r="D29" s="53">
        <v>1.6E7</v>
      </c>
      <c r="E29" s="52">
        <v>0.0</v>
      </c>
      <c r="F29" s="45">
        <f>D29+E29</f>
        <v>16000000</v>
      </c>
      <c r="G29" s="50"/>
      <c r="I29" s="51"/>
    </row>
    <row r="30">
      <c r="A30" s="41">
        <v>28.0</v>
      </c>
      <c r="B30" s="42" t="s">
        <v>68</v>
      </c>
      <c r="C30" s="42" t="s">
        <v>69</v>
      </c>
      <c r="D30" s="44" t="s">
        <v>61</v>
      </c>
      <c r="E30" s="52">
        <v>0.0</v>
      </c>
      <c r="F30" s="45"/>
      <c r="G30" s="50"/>
      <c r="I30" s="51"/>
    </row>
    <row r="31">
      <c r="A31" s="41">
        <v>29.0</v>
      </c>
      <c r="B31" s="54" t="s">
        <v>70</v>
      </c>
      <c r="C31" s="55" t="s">
        <v>71</v>
      </c>
      <c r="D31" s="56">
        <v>1.314E7</v>
      </c>
      <c r="E31" s="56">
        <v>0.0</v>
      </c>
      <c r="F31" s="57">
        <f>D31+E31</f>
        <v>13140000</v>
      </c>
      <c r="G31" s="50"/>
      <c r="I31" s="51"/>
    </row>
    <row r="32">
      <c r="A32" s="41">
        <v>30.0</v>
      </c>
      <c r="B32" s="54" t="s">
        <v>72</v>
      </c>
      <c r="C32" s="58"/>
      <c r="D32" s="58"/>
      <c r="E32" s="58"/>
      <c r="F32" s="58"/>
      <c r="G32" s="50"/>
      <c r="I32" s="51"/>
    </row>
    <row r="33">
      <c r="A33" s="41">
        <v>31.0</v>
      </c>
      <c r="B33" s="54" t="s">
        <v>73</v>
      </c>
      <c r="C33" s="59"/>
      <c r="D33" s="59"/>
      <c r="E33" s="59"/>
      <c r="F33" s="59"/>
      <c r="G33" s="60"/>
      <c r="H33" s="61"/>
      <c r="I33" s="62"/>
    </row>
    <row r="34">
      <c r="A34" s="41">
        <v>32.0</v>
      </c>
      <c r="B34" s="54" t="s">
        <v>74</v>
      </c>
      <c r="C34" s="54" t="s">
        <v>75</v>
      </c>
      <c r="D34" s="63" t="s">
        <v>59</v>
      </c>
      <c r="E34" s="47"/>
      <c r="F34" s="47"/>
      <c r="G34" s="47"/>
      <c r="H34" s="47"/>
      <c r="I34" s="48"/>
    </row>
    <row r="35">
      <c r="A35" s="41">
        <v>33.0</v>
      </c>
      <c r="B35" s="54" t="s">
        <v>76</v>
      </c>
      <c r="C35" s="54" t="s">
        <v>77</v>
      </c>
      <c r="D35" s="50"/>
      <c r="I35" s="51"/>
    </row>
    <row r="36">
      <c r="A36" s="41">
        <v>34.0</v>
      </c>
      <c r="B36" s="54" t="s">
        <v>78</v>
      </c>
      <c r="C36" s="54" t="s">
        <v>79</v>
      </c>
      <c r="D36" s="50"/>
      <c r="I36" s="51"/>
    </row>
    <row r="37">
      <c r="A37" s="41">
        <v>35.0</v>
      </c>
      <c r="B37" s="54" t="s">
        <v>80</v>
      </c>
      <c r="C37" s="54" t="s">
        <v>81</v>
      </c>
      <c r="D37" s="50"/>
      <c r="I37" s="51"/>
    </row>
    <row r="38">
      <c r="A38" s="41">
        <v>36.0</v>
      </c>
      <c r="B38" s="54" t="s">
        <v>82</v>
      </c>
      <c r="C38" s="64" t="s">
        <v>83</v>
      </c>
      <c r="D38" s="60"/>
      <c r="E38" s="61"/>
      <c r="F38" s="61"/>
      <c r="G38" s="61"/>
      <c r="H38" s="61"/>
      <c r="I38" s="62"/>
    </row>
    <row r="39">
      <c r="C39" s="65" t="s">
        <v>84</v>
      </c>
      <c r="D39" s="65">
        <f t="shared" ref="D39:G39" si="3">SUM(D3:D38)</f>
        <v>79504750</v>
      </c>
      <c r="E39" s="65">
        <f t="shared" si="3"/>
        <v>2965777.5</v>
      </c>
      <c r="F39" s="65">
        <f t="shared" si="3"/>
        <v>82470527.5</v>
      </c>
      <c r="G39" s="65">
        <f t="shared" si="3"/>
        <v>0</v>
      </c>
    </row>
    <row r="41">
      <c r="B41" s="66"/>
    </row>
    <row r="42">
      <c r="B42" s="66"/>
    </row>
    <row r="43">
      <c r="B43" s="66"/>
    </row>
    <row r="44">
      <c r="B44" s="66"/>
    </row>
    <row r="45">
      <c r="B45" s="66"/>
    </row>
    <row r="46">
      <c r="B46" s="66"/>
    </row>
    <row r="47">
      <c r="B47" s="66"/>
    </row>
    <row r="48">
      <c r="B48" s="66"/>
    </row>
    <row r="49">
      <c r="B49" s="66"/>
    </row>
    <row r="50">
      <c r="B50" s="66"/>
    </row>
    <row r="51">
      <c r="B51" s="66"/>
    </row>
    <row r="52">
      <c r="B52" s="66"/>
    </row>
    <row r="53">
      <c r="B53" s="66"/>
    </row>
    <row r="54">
      <c r="B54" s="66"/>
    </row>
    <row r="55">
      <c r="B55" s="66"/>
    </row>
    <row r="56">
      <c r="B56" s="66"/>
    </row>
  </sheetData>
  <mergeCells count="7">
    <mergeCell ref="B1:I1"/>
    <mergeCell ref="G24:I33"/>
    <mergeCell ref="C31:C33"/>
    <mergeCell ref="D31:D33"/>
    <mergeCell ref="E31:E33"/>
    <mergeCell ref="F31:F33"/>
    <mergeCell ref="D34:I3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20.25"/>
  </cols>
  <sheetData>
    <row r="1">
      <c r="A1" s="1"/>
      <c r="B1" s="2" t="s">
        <v>85</v>
      </c>
      <c r="C1" s="3"/>
      <c r="D1" s="3"/>
      <c r="E1" s="3"/>
      <c r="F1" s="3"/>
      <c r="G1" s="3"/>
      <c r="H1" s="3"/>
      <c r="I1" s="4"/>
      <c r="J1" s="5"/>
      <c r="K1" s="5"/>
      <c r="L1" s="5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5"/>
      <c r="K2" s="5"/>
      <c r="L2" s="5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67">
        <v>1.0</v>
      </c>
      <c r="B3" s="67" t="s">
        <v>86</v>
      </c>
      <c r="C3" s="67" t="s">
        <v>87</v>
      </c>
      <c r="D3" s="67" t="s">
        <v>61</v>
      </c>
      <c r="E3" s="68">
        <v>0.0</v>
      </c>
      <c r="F3" s="69"/>
      <c r="G3" s="68">
        <v>0.0</v>
      </c>
      <c r="H3" s="67" t="s">
        <v>12</v>
      </c>
      <c r="I3" s="70"/>
    </row>
    <row r="4">
      <c r="A4" s="67">
        <v>2.0</v>
      </c>
      <c r="B4" s="67" t="s">
        <v>86</v>
      </c>
      <c r="C4" s="67" t="s">
        <v>88</v>
      </c>
      <c r="D4" s="67" t="s">
        <v>89</v>
      </c>
      <c r="E4" s="68">
        <v>0.0</v>
      </c>
      <c r="F4" s="69"/>
      <c r="G4" s="68">
        <v>0.0</v>
      </c>
      <c r="H4" s="67" t="s">
        <v>12</v>
      </c>
      <c r="I4" s="70"/>
    </row>
    <row r="5">
      <c r="A5" s="67">
        <v>3.0</v>
      </c>
      <c r="B5" s="67" t="s">
        <v>86</v>
      </c>
      <c r="C5" s="67" t="s">
        <v>90</v>
      </c>
      <c r="D5" s="67" t="s">
        <v>89</v>
      </c>
      <c r="E5" s="68">
        <v>0.0</v>
      </c>
      <c r="F5" s="69"/>
      <c r="G5" s="68">
        <v>0.0</v>
      </c>
      <c r="H5" s="67" t="s">
        <v>12</v>
      </c>
      <c r="I5" s="70"/>
    </row>
    <row r="6">
      <c r="A6" s="67">
        <v>4.0</v>
      </c>
      <c r="B6" s="67" t="s">
        <v>86</v>
      </c>
      <c r="C6" s="67" t="s">
        <v>91</v>
      </c>
      <c r="D6" s="67" t="s">
        <v>89</v>
      </c>
      <c r="E6" s="68">
        <v>0.0</v>
      </c>
      <c r="F6" s="69"/>
      <c r="G6" s="68">
        <v>0.0</v>
      </c>
      <c r="H6" s="67" t="s">
        <v>12</v>
      </c>
      <c r="I6" s="70"/>
    </row>
    <row r="7">
      <c r="A7" s="67">
        <v>5.0</v>
      </c>
      <c r="B7" s="67" t="s">
        <v>86</v>
      </c>
      <c r="C7" s="67" t="s">
        <v>92</v>
      </c>
      <c r="D7" s="67" t="s">
        <v>89</v>
      </c>
      <c r="E7" s="68">
        <v>0.0</v>
      </c>
      <c r="F7" s="69"/>
      <c r="G7" s="68">
        <v>0.0</v>
      </c>
      <c r="H7" s="67" t="s">
        <v>12</v>
      </c>
      <c r="I7" s="70"/>
    </row>
    <row r="8">
      <c r="A8" s="67">
        <v>6.0</v>
      </c>
      <c r="B8" s="67" t="s">
        <v>86</v>
      </c>
      <c r="C8" s="67" t="s">
        <v>93</v>
      </c>
      <c r="D8" s="68">
        <v>450000.0</v>
      </c>
      <c r="E8" s="68">
        <v>0.0</v>
      </c>
      <c r="F8" s="69">
        <f>D8+E8</f>
        <v>450000</v>
      </c>
      <c r="G8" s="68">
        <v>0.0</v>
      </c>
      <c r="H8" s="67" t="s">
        <v>12</v>
      </c>
      <c r="I8" s="70"/>
    </row>
    <row r="9">
      <c r="A9" s="67">
        <v>7.0</v>
      </c>
      <c r="B9" s="67" t="s">
        <v>86</v>
      </c>
      <c r="C9" s="67" t="s">
        <v>94</v>
      </c>
      <c r="D9" s="67" t="s">
        <v>89</v>
      </c>
      <c r="E9" s="68">
        <v>0.0</v>
      </c>
      <c r="F9" s="69"/>
      <c r="G9" s="68">
        <v>0.0</v>
      </c>
      <c r="H9" s="67" t="s">
        <v>12</v>
      </c>
      <c r="I9" s="70"/>
    </row>
    <row r="10">
      <c r="A10" s="67">
        <v>8.0</v>
      </c>
      <c r="B10" s="67" t="s">
        <v>86</v>
      </c>
      <c r="C10" s="67" t="s">
        <v>95</v>
      </c>
      <c r="D10" s="67" t="s">
        <v>61</v>
      </c>
      <c r="E10" s="68">
        <v>0.0</v>
      </c>
      <c r="F10" s="69"/>
      <c r="G10" s="68">
        <v>0.0</v>
      </c>
      <c r="H10" s="67" t="s">
        <v>12</v>
      </c>
      <c r="I10" s="70"/>
    </row>
    <row r="11">
      <c r="A11" s="71"/>
      <c r="B11" s="71"/>
      <c r="C11" s="65" t="s">
        <v>84</v>
      </c>
      <c r="D11" s="65">
        <f t="shared" ref="D11:G11" si="1">SUM(D8)</f>
        <v>450000</v>
      </c>
      <c r="E11" s="65">
        <f t="shared" si="1"/>
        <v>0</v>
      </c>
      <c r="F11" s="65">
        <f t="shared" si="1"/>
        <v>450000</v>
      </c>
      <c r="G11" s="65">
        <f t="shared" si="1"/>
        <v>0</v>
      </c>
      <c r="H11" s="71"/>
      <c r="I11" s="71"/>
    </row>
  </sheetData>
  <mergeCells count="1">
    <mergeCell ref="B1:I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46.38"/>
    <col customWidth="1" min="3" max="3" width="28.0"/>
    <col customWidth="1" min="4" max="4" width="17.88"/>
    <col customWidth="1" min="5" max="5" width="14.88"/>
    <col customWidth="1" min="6" max="6" width="16.25"/>
    <col customWidth="1" min="7" max="7" width="18.75"/>
    <col customWidth="1" min="8" max="8" width="21.0"/>
    <col customWidth="1" min="10" max="10" width="22.38"/>
    <col customWidth="1" min="11" max="11" width="17.25"/>
    <col customWidth="1" min="12" max="12" width="19.88"/>
  </cols>
  <sheetData>
    <row r="1">
      <c r="A1" s="72"/>
      <c r="B1" s="73" t="s">
        <v>96</v>
      </c>
      <c r="C1" s="3"/>
      <c r="D1" s="3"/>
      <c r="E1" s="3"/>
      <c r="F1" s="3"/>
      <c r="G1" s="3"/>
      <c r="H1" s="3"/>
      <c r="I1" s="3"/>
      <c r="J1" s="3"/>
      <c r="K1" s="4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97</v>
      </c>
      <c r="J2" s="7" t="s">
        <v>98</v>
      </c>
      <c r="K2" s="7" t="s">
        <v>99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4">
        <v>1.0</v>
      </c>
      <c r="B3" s="75" t="s">
        <v>100</v>
      </c>
      <c r="C3" s="75" t="s">
        <v>101</v>
      </c>
      <c r="D3" s="76">
        <v>8200000.0</v>
      </c>
      <c r="E3" s="77">
        <f>D3*21/100</f>
        <v>1722000</v>
      </c>
      <c r="F3" s="77">
        <f t="shared" ref="F3:F10" si="1">D3+E3</f>
        <v>9922000</v>
      </c>
      <c r="G3" s="77">
        <f>F3</f>
        <v>9922000</v>
      </c>
      <c r="H3" s="74" t="s">
        <v>102</v>
      </c>
      <c r="I3" s="78" t="s">
        <v>103</v>
      </c>
      <c r="J3" s="79"/>
      <c r="K3" s="78"/>
      <c r="L3" s="34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4">
        <v>2.0</v>
      </c>
      <c r="B4" s="75" t="s">
        <v>104</v>
      </c>
      <c r="C4" s="75" t="s">
        <v>105</v>
      </c>
      <c r="D4" s="80">
        <v>1250000.0</v>
      </c>
      <c r="E4" s="77">
        <v>0.0</v>
      </c>
      <c r="F4" s="77">
        <f t="shared" si="1"/>
        <v>1250000</v>
      </c>
      <c r="G4" s="77">
        <f t="shared" ref="G4:G5" si="2">E4+F4</f>
        <v>1250000</v>
      </c>
      <c r="H4" s="74" t="s">
        <v>106</v>
      </c>
      <c r="I4" s="78" t="s">
        <v>107</v>
      </c>
      <c r="J4" s="81" t="s">
        <v>108</v>
      </c>
      <c r="K4" s="79"/>
      <c r="L4" s="34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4">
        <v>3.0</v>
      </c>
      <c r="B5" s="75" t="s">
        <v>109</v>
      </c>
      <c r="C5" s="75" t="s">
        <v>110</v>
      </c>
      <c r="D5" s="82">
        <v>850000.0</v>
      </c>
      <c r="E5" s="77">
        <v>0.0</v>
      </c>
      <c r="F5" s="77">
        <f t="shared" si="1"/>
        <v>850000</v>
      </c>
      <c r="G5" s="77">
        <f t="shared" si="2"/>
        <v>850000</v>
      </c>
      <c r="H5" s="74" t="s">
        <v>106</v>
      </c>
      <c r="I5" s="78" t="s">
        <v>111</v>
      </c>
      <c r="J5" s="81" t="s">
        <v>112</v>
      </c>
      <c r="K5" s="79"/>
      <c r="L5" s="34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4">
        <v>4.0</v>
      </c>
      <c r="B6" s="83" t="s">
        <v>113</v>
      </c>
      <c r="C6" s="83" t="s">
        <v>114</v>
      </c>
      <c r="D6" s="84">
        <v>2000000.0</v>
      </c>
      <c r="E6" s="84">
        <f>D6*21/100</f>
        <v>420000</v>
      </c>
      <c r="F6" s="85">
        <f t="shared" si="1"/>
        <v>2420000</v>
      </c>
      <c r="G6" s="86"/>
      <c r="H6" s="87" t="s">
        <v>115</v>
      </c>
      <c r="I6" s="86" t="s">
        <v>116</v>
      </c>
      <c r="J6" s="79" t="s">
        <v>117</v>
      </c>
      <c r="K6" s="79"/>
      <c r="L6" s="34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74">
        <v>6.0</v>
      </c>
      <c r="B7" s="75" t="s">
        <v>118</v>
      </c>
      <c r="C7" s="75" t="s">
        <v>119</v>
      </c>
      <c r="D7" s="80">
        <v>800000.0</v>
      </c>
      <c r="E7" s="77">
        <v>0.0</v>
      </c>
      <c r="F7" s="77">
        <f t="shared" si="1"/>
        <v>800000</v>
      </c>
      <c r="G7" s="77">
        <f>E7+F7</f>
        <v>800000</v>
      </c>
      <c r="H7" s="74" t="s">
        <v>120</v>
      </c>
      <c r="I7" s="79" t="s">
        <v>121</v>
      </c>
      <c r="J7" s="81" t="s">
        <v>122</v>
      </c>
      <c r="K7" s="79"/>
      <c r="L7" s="34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87">
        <v>7.0</v>
      </c>
      <c r="B8" s="83" t="s">
        <v>123</v>
      </c>
      <c r="C8" s="83" t="s">
        <v>124</v>
      </c>
      <c r="D8" s="84">
        <v>1500000.0</v>
      </c>
      <c r="E8" s="85">
        <f t="shared" ref="E8:E9" si="3">D8*21/100</f>
        <v>315000</v>
      </c>
      <c r="F8" s="85">
        <f t="shared" si="1"/>
        <v>1815000</v>
      </c>
      <c r="G8" s="86"/>
      <c r="H8" s="87" t="s">
        <v>125</v>
      </c>
      <c r="I8" s="86" t="s">
        <v>12</v>
      </c>
      <c r="J8" s="79" t="s">
        <v>126</v>
      </c>
      <c r="K8" s="79"/>
      <c r="L8" s="34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87">
        <v>7.0</v>
      </c>
      <c r="B9" s="83" t="s">
        <v>127</v>
      </c>
      <c r="C9" s="83" t="s">
        <v>124</v>
      </c>
      <c r="D9" s="84">
        <v>5000000.0</v>
      </c>
      <c r="E9" s="85">
        <f t="shared" si="3"/>
        <v>1050000</v>
      </c>
      <c r="F9" s="85">
        <f t="shared" si="1"/>
        <v>6050000</v>
      </c>
      <c r="G9" s="86"/>
      <c r="H9" s="87" t="s">
        <v>125</v>
      </c>
      <c r="I9" s="86" t="s">
        <v>12</v>
      </c>
      <c r="J9" s="79" t="s">
        <v>128</v>
      </c>
      <c r="K9" s="79"/>
      <c r="L9" s="34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4">
        <v>8.0</v>
      </c>
      <c r="B10" s="75" t="s">
        <v>129</v>
      </c>
      <c r="C10" s="75" t="s">
        <v>130</v>
      </c>
      <c r="D10" s="82">
        <v>350000.0</v>
      </c>
      <c r="E10" s="77">
        <v>0.0</v>
      </c>
      <c r="F10" s="77">
        <f t="shared" si="1"/>
        <v>350000</v>
      </c>
      <c r="G10" s="77">
        <f>E10+F10</f>
        <v>350000</v>
      </c>
      <c r="H10" s="74" t="s">
        <v>106</v>
      </c>
      <c r="I10" s="88" t="s">
        <v>131</v>
      </c>
      <c r="J10" s="79"/>
      <c r="K10" s="79"/>
      <c r="L10" s="34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74">
        <v>9.0</v>
      </c>
      <c r="B11" s="89" t="s">
        <v>132</v>
      </c>
      <c r="C11" s="75" t="s">
        <v>133</v>
      </c>
      <c r="D11" s="82">
        <v>900000.0</v>
      </c>
      <c r="E11" s="82">
        <v>0.0</v>
      </c>
      <c r="F11" s="77">
        <v>900000.0</v>
      </c>
      <c r="G11" s="77">
        <v>900000.0</v>
      </c>
      <c r="H11" s="74" t="s">
        <v>120</v>
      </c>
      <c r="I11" s="79" t="s">
        <v>134</v>
      </c>
      <c r="J11" s="81" t="s">
        <v>135</v>
      </c>
      <c r="K11" s="79"/>
      <c r="L11" s="34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74">
        <v>11.0</v>
      </c>
      <c r="B12" s="74" t="s">
        <v>132</v>
      </c>
      <c r="C12" s="75" t="s">
        <v>136</v>
      </c>
      <c r="D12" s="77">
        <v>600000.0</v>
      </c>
      <c r="E12" s="77">
        <v>0.0</v>
      </c>
      <c r="F12" s="77">
        <f t="shared" ref="F12:G12" si="4">D12+E12</f>
        <v>600000</v>
      </c>
      <c r="G12" s="77">
        <f t="shared" si="4"/>
        <v>600000</v>
      </c>
      <c r="H12" s="74" t="s">
        <v>120</v>
      </c>
      <c r="I12" s="79" t="s">
        <v>137</v>
      </c>
      <c r="J12" s="81" t="s">
        <v>138</v>
      </c>
      <c r="K12" s="79"/>
      <c r="L12" s="34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4">
        <v>12.0</v>
      </c>
      <c r="B13" s="74" t="s">
        <v>139</v>
      </c>
      <c r="C13" s="75" t="s">
        <v>140</v>
      </c>
      <c r="D13" s="77">
        <v>200000.0</v>
      </c>
      <c r="E13" s="77">
        <v>0.0</v>
      </c>
      <c r="F13" s="77">
        <f t="shared" ref="F13:G13" si="5">D13+E13</f>
        <v>200000</v>
      </c>
      <c r="G13" s="77">
        <f t="shared" si="5"/>
        <v>200000</v>
      </c>
      <c r="H13" s="74" t="s">
        <v>120</v>
      </c>
      <c r="I13" s="79" t="s">
        <v>141</v>
      </c>
      <c r="J13" s="79"/>
      <c r="K13" s="79"/>
      <c r="L13" s="34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74">
        <v>13.0</v>
      </c>
      <c r="B14" s="75" t="s">
        <v>142</v>
      </c>
      <c r="C14" s="74" t="s">
        <v>143</v>
      </c>
      <c r="D14" s="77">
        <v>100000.0</v>
      </c>
      <c r="E14" s="79"/>
      <c r="F14" s="79"/>
      <c r="G14" s="79"/>
      <c r="H14" s="74" t="s">
        <v>144</v>
      </c>
      <c r="I14" s="79" t="s">
        <v>145</v>
      </c>
      <c r="J14" s="79"/>
      <c r="K14" s="79"/>
      <c r="L14" s="34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72"/>
      <c r="B15" s="90" t="s">
        <v>142</v>
      </c>
      <c r="C15" s="1" t="s">
        <v>146</v>
      </c>
      <c r="D15" s="77">
        <v>100000.0</v>
      </c>
      <c r="E15" s="79"/>
      <c r="F15" s="79"/>
      <c r="G15" s="79"/>
      <c r="H15" s="91" t="s">
        <v>144</v>
      </c>
      <c r="I15" s="92" t="s">
        <v>147</v>
      </c>
      <c r="J15" s="92"/>
      <c r="K15" s="92"/>
      <c r="L15" s="93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72"/>
      <c r="B16" s="90" t="s">
        <v>142</v>
      </c>
      <c r="C16" s="1" t="s">
        <v>148</v>
      </c>
      <c r="D16" s="77">
        <v>150000.0</v>
      </c>
      <c r="E16" s="79"/>
      <c r="F16" s="79"/>
      <c r="G16" s="79"/>
      <c r="H16" s="1" t="s">
        <v>144</v>
      </c>
      <c r="I16" s="78" t="s">
        <v>149</v>
      </c>
      <c r="J16" s="72"/>
      <c r="K16" s="72"/>
      <c r="L16" s="6"/>
      <c r="M16" s="6"/>
      <c r="N16" s="6"/>
      <c r="O16" s="6"/>
      <c r="P16" s="6"/>
      <c r="Q16" s="6"/>
      <c r="R16" s="6"/>
      <c r="S16" s="6"/>
      <c r="T16" s="6"/>
      <c r="U16" s="6"/>
    </row>
    <row r="17">
      <c r="A17" s="72"/>
      <c r="B17" s="90" t="s">
        <v>142</v>
      </c>
      <c r="C17" s="1" t="s">
        <v>150</v>
      </c>
      <c r="D17" s="77">
        <v>100000.0</v>
      </c>
      <c r="E17" s="79"/>
      <c r="F17" s="79"/>
      <c r="G17" s="79"/>
      <c r="H17" s="1" t="s">
        <v>144</v>
      </c>
      <c r="I17" s="72" t="s">
        <v>151</v>
      </c>
      <c r="J17" s="72"/>
      <c r="K17" s="72"/>
      <c r="L17" s="6"/>
      <c r="M17" s="6"/>
      <c r="N17" s="6"/>
      <c r="O17" s="6"/>
      <c r="P17" s="6"/>
      <c r="Q17" s="6"/>
      <c r="R17" s="6"/>
      <c r="S17" s="6"/>
      <c r="T17" s="6"/>
      <c r="U17" s="6"/>
    </row>
    <row r="18">
      <c r="A18" s="78"/>
      <c r="B18" s="1" t="s">
        <v>152</v>
      </c>
      <c r="C18" s="90" t="s">
        <v>153</v>
      </c>
      <c r="D18" s="77">
        <v>800000.0</v>
      </c>
      <c r="E18" s="79"/>
      <c r="F18" s="94"/>
      <c r="G18" s="79"/>
      <c r="H18" s="1" t="s">
        <v>154</v>
      </c>
      <c r="I18" s="72"/>
      <c r="J18" s="72"/>
      <c r="K18" s="72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>
      <c r="A19" s="72"/>
      <c r="B19" s="1" t="s">
        <v>155</v>
      </c>
      <c r="C19" s="90" t="s">
        <v>156</v>
      </c>
      <c r="D19" s="77">
        <f>90000*10</f>
        <v>900000</v>
      </c>
      <c r="E19" s="77">
        <f t="shared" ref="E19:E20" si="6">D19*21/100</f>
        <v>189000</v>
      </c>
      <c r="F19" s="82">
        <f t="shared" ref="F19:F20" si="7">D19+E19</f>
        <v>1089000</v>
      </c>
      <c r="G19" s="77">
        <f t="shared" ref="G19:G20" si="8">F19</f>
        <v>1089000</v>
      </c>
      <c r="H19" s="1" t="s">
        <v>144</v>
      </c>
      <c r="I19" s="72"/>
      <c r="J19" s="72"/>
      <c r="K19" s="72"/>
      <c r="L19" s="6"/>
      <c r="M19" s="6"/>
      <c r="N19" s="6"/>
      <c r="O19" s="6"/>
      <c r="P19" s="6"/>
      <c r="Q19" s="6"/>
      <c r="R19" s="6"/>
      <c r="S19" s="6"/>
      <c r="T19" s="6"/>
      <c r="U19" s="6"/>
    </row>
    <row r="20">
      <c r="A20" s="72"/>
      <c r="B20" s="1" t="s">
        <v>157</v>
      </c>
      <c r="C20" s="90" t="s">
        <v>75</v>
      </c>
      <c r="D20" s="77">
        <v>1500000.0</v>
      </c>
      <c r="E20" s="77">
        <f t="shared" si="6"/>
        <v>315000</v>
      </c>
      <c r="F20" s="82">
        <f t="shared" si="7"/>
        <v>1815000</v>
      </c>
      <c r="G20" s="77">
        <f t="shared" si="8"/>
        <v>1815000</v>
      </c>
      <c r="H20" s="1" t="s">
        <v>144</v>
      </c>
      <c r="I20" s="72"/>
      <c r="J20" s="72"/>
      <c r="K20" s="72"/>
      <c r="L20" s="6"/>
      <c r="M20" s="6"/>
      <c r="N20" s="6"/>
      <c r="O20" s="6"/>
      <c r="P20" s="6"/>
      <c r="Q20" s="6"/>
      <c r="R20" s="6"/>
      <c r="S20" s="6"/>
      <c r="T20" s="6"/>
      <c r="U20" s="6"/>
    </row>
    <row r="21">
      <c r="A21" s="72"/>
      <c r="B21" s="72"/>
      <c r="C21" s="95" t="s">
        <v>158</v>
      </c>
      <c r="D21" s="65">
        <f t="shared" ref="D21:G21" si="9">SUM(D3:D20)</f>
        <v>25300000</v>
      </c>
      <c r="E21" s="65">
        <f t="shared" si="9"/>
        <v>4011000</v>
      </c>
      <c r="F21" s="65">
        <f t="shared" si="9"/>
        <v>28061000</v>
      </c>
      <c r="G21" s="65">
        <f t="shared" si="9"/>
        <v>17776000</v>
      </c>
      <c r="H21" s="96"/>
      <c r="I21" s="72"/>
      <c r="J21" s="72"/>
      <c r="K21" s="72"/>
      <c r="L21" s="6"/>
      <c r="M21" s="6"/>
      <c r="N21" s="6"/>
      <c r="O21" s="6"/>
      <c r="P21" s="6"/>
      <c r="Q21" s="6"/>
      <c r="R21" s="6"/>
      <c r="S21" s="6"/>
      <c r="T21" s="6"/>
      <c r="U21" s="6"/>
    </row>
    <row r="22">
      <c r="A22" s="6"/>
      <c r="B22" s="6"/>
      <c r="C22" s="6"/>
      <c r="D22" s="6"/>
      <c r="E22" s="6"/>
      <c r="F22" s="6"/>
      <c r="G22" s="6"/>
      <c r="H22" s="6"/>
      <c r="I22" s="72"/>
      <c r="J22" s="72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</row>
    <row r="1006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</row>
    <row r="1007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</row>
  </sheetData>
  <mergeCells count="1">
    <mergeCell ref="B1:K1"/>
  </mergeCells>
  <hyperlinks>
    <hyperlink r:id="rId1" ref="J4"/>
    <hyperlink r:id="rId2" ref="J5"/>
    <hyperlink r:id="rId3" ref="J7"/>
    <hyperlink r:id="rId4" ref="J11"/>
    <hyperlink r:id="rId5" ref="J12"/>
  </hyperlinks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63"/>
    <col customWidth="1" min="4" max="4" width="16.75"/>
    <col customWidth="1" min="7" max="7" width="16.88"/>
    <col customWidth="1" min="9" max="9" width="15.25"/>
  </cols>
  <sheetData>
    <row r="1">
      <c r="A1" s="1"/>
      <c r="B1" s="2" t="s">
        <v>159</v>
      </c>
      <c r="C1" s="3"/>
      <c r="D1" s="3"/>
      <c r="E1" s="3"/>
      <c r="F1" s="3"/>
      <c r="G1" s="3"/>
      <c r="H1" s="3"/>
      <c r="I1" s="4"/>
      <c r="J1" s="5"/>
      <c r="K1" s="5"/>
      <c r="L1" s="5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5"/>
      <c r="K2" s="5"/>
      <c r="L2" s="5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4">
        <v>1.0</v>
      </c>
      <c r="B3" s="9" t="s">
        <v>160</v>
      </c>
      <c r="C3" s="9" t="s">
        <v>49</v>
      </c>
      <c r="D3" s="10">
        <v>120000.0</v>
      </c>
      <c r="E3" s="97">
        <v>0.0</v>
      </c>
      <c r="F3" s="24">
        <f t="shared" ref="F3:F7" si="1">D3+E3</f>
        <v>120000</v>
      </c>
      <c r="G3" s="97">
        <v>0.0</v>
      </c>
      <c r="H3" s="98"/>
      <c r="I3" s="14" t="s">
        <v>12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4">
        <v>2.0</v>
      </c>
      <c r="B4" s="9" t="s">
        <v>161</v>
      </c>
      <c r="C4" s="9" t="s">
        <v>49</v>
      </c>
      <c r="D4" s="10">
        <f>170000/2</f>
        <v>85000</v>
      </c>
      <c r="E4" s="97">
        <v>0.0</v>
      </c>
      <c r="F4" s="24">
        <f t="shared" si="1"/>
        <v>85000</v>
      </c>
      <c r="G4" s="97">
        <v>0.0</v>
      </c>
      <c r="H4" s="98"/>
      <c r="I4" s="14" t="s">
        <v>12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4">
        <v>3.0</v>
      </c>
      <c r="B5" s="9" t="s">
        <v>162</v>
      </c>
      <c r="C5" s="9" t="s">
        <v>163</v>
      </c>
      <c r="D5" s="10">
        <v>46000.0</v>
      </c>
      <c r="E5" s="97">
        <v>0.0</v>
      </c>
      <c r="F5" s="24">
        <f t="shared" si="1"/>
        <v>46000</v>
      </c>
      <c r="G5" s="97"/>
      <c r="H5" s="98"/>
      <c r="I5" s="14" t="s">
        <v>12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4">
        <v>4.0</v>
      </c>
      <c r="B6" s="9" t="s">
        <v>164</v>
      </c>
      <c r="C6" s="9" t="s">
        <v>165</v>
      </c>
      <c r="D6" s="10">
        <v>912000.0</v>
      </c>
      <c r="E6" s="97">
        <v>0.0</v>
      </c>
      <c r="F6" s="24">
        <f t="shared" si="1"/>
        <v>912000</v>
      </c>
      <c r="G6" s="97"/>
      <c r="H6" s="98"/>
      <c r="I6" s="14" t="s">
        <v>12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4">
        <v>5.0</v>
      </c>
      <c r="B7" s="9" t="s">
        <v>166</v>
      </c>
      <c r="C7" s="9" t="s">
        <v>167</v>
      </c>
      <c r="D7" s="10">
        <v>500000.0</v>
      </c>
      <c r="E7" s="97">
        <v>0.0</v>
      </c>
      <c r="F7" s="24">
        <f t="shared" si="1"/>
        <v>500000</v>
      </c>
      <c r="G7" s="24">
        <f>E7+F7</f>
        <v>500000</v>
      </c>
      <c r="H7" s="98">
        <v>46142.0</v>
      </c>
      <c r="I7" s="14" t="s">
        <v>12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99">
        <v>6.0</v>
      </c>
      <c r="B8" s="100" t="s">
        <v>80</v>
      </c>
      <c r="C8" s="100" t="s">
        <v>81</v>
      </c>
      <c r="D8" s="101" t="s">
        <v>59</v>
      </c>
      <c r="E8" s="47"/>
      <c r="F8" s="47"/>
      <c r="G8" s="47"/>
      <c r="H8" s="47"/>
      <c r="I8" s="48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99">
        <v>7.0</v>
      </c>
      <c r="B9" s="100" t="s">
        <v>66</v>
      </c>
      <c r="C9" s="100"/>
      <c r="D9" s="50"/>
      <c r="I9" s="51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99">
        <v>8.0</v>
      </c>
      <c r="B10" s="100" t="s">
        <v>168</v>
      </c>
      <c r="C10" s="100" t="s">
        <v>65</v>
      </c>
      <c r="D10" s="60"/>
      <c r="E10" s="61"/>
      <c r="F10" s="61"/>
      <c r="G10" s="61"/>
      <c r="H10" s="61"/>
      <c r="I10" s="62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C11" s="65" t="s">
        <v>84</v>
      </c>
      <c r="D11" s="65">
        <f t="shared" ref="D11:G11" si="2">SUM(D3:D10)</f>
        <v>1663000</v>
      </c>
      <c r="E11" s="65">
        <f t="shared" si="2"/>
        <v>0</v>
      </c>
      <c r="F11" s="65">
        <f t="shared" si="2"/>
        <v>1663000</v>
      </c>
      <c r="G11" s="65">
        <f t="shared" si="2"/>
        <v>500000</v>
      </c>
    </row>
  </sheetData>
  <mergeCells count="2">
    <mergeCell ref="B1:I1"/>
    <mergeCell ref="D8:I1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4.38"/>
    <col customWidth="1" min="4" max="4" width="22.75"/>
    <col customWidth="1" min="5" max="5" width="18.25"/>
    <col customWidth="1" min="6" max="6" width="24.25"/>
    <col customWidth="1" min="7" max="7" width="20.5"/>
  </cols>
  <sheetData>
    <row r="1">
      <c r="A1" s="1"/>
      <c r="B1" s="2" t="s">
        <v>169</v>
      </c>
      <c r="C1" s="3"/>
      <c r="D1" s="3"/>
      <c r="E1" s="3"/>
      <c r="F1" s="3"/>
      <c r="G1" s="3"/>
      <c r="H1" s="3"/>
      <c r="I1" s="4"/>
    </row>
    <row r="2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</row>
    <row r="3">
      <c r="A3" s="14">
        <v>1.0</v>
      </c>
      <c r="B3" s="9" t="s">
        <v>170</v>
      </c>
      <c r="C3" s="9" t="s">
        <v>171</v>
      </c>
      <c r="D3" s="10">
        <v>480000.0</v>
      </c>
      <c r="E3" s="97">
        <v>0.0</v>
      </c>
      <c r="F3" s="24">
        <f t="shared" ref="F3:F6" si="1">D3+E3</f>
        <v>480000</v>
      </c>
      <c r="G3" s="97">
        <f>F3</f>
        <v>480000</v>
      </c>
      <c r="H3" s="14" t="s">
        <v>12</v>
      </c>
      <c r="I3" s="14"/>
    </row>
    <row r="4">
      <c r="A4" s="14">
        <v>2.0</v>
      </c>
      <c r="B4" s="9" t="s">
        <v>160</v>
      </c>
      <c r="C4" s="9" t="s">
        <v>172</v>
      </c>
      <c r="D4" s="10">
        <v>360000.0</v>
      </c>
      <c r="E4" s="97">
        <v>0.0</v>
      </c>
      <c r="F4" s="24">
        <f t="shared" si="1"/>
        <v>360000</v>
      </c>
      <c r="G4" s="97">
        <v>0.0</v>
      </c>
      <c r="H4" s="14" t="s">
        <v>12</v>
      </c>
      <c r="I4" s="14"/>
    </row>
    <row r="5">
      <c r="A5" s="14">
        <v>3.0</v>
      </c>
      <c r="B5" s="9" t="s">
        <v>86</v>
      </c>
      <c r="C5" s="9" t="s">
        <v>172</v>
      </c>
      <c r="D5" s="10">
        <v>80000.0</v>
      </c>
      <c r="E5" s="97">
        <v>0.0</v>
      </c>
      <c r="F5" s="24">
        <f t="shared" si="1"/>
        <v>80000</v>
      </c>
      <c r="G5" s="97">
        <v>0.0</v>
      </c>
      <c r="H5" s="14" t="s">
        <v>12</v>
      </c>
      <c r="I5" s="14"/>
    </row>
    <row r="6">
      <c r="A6" s="14">
        <v>4.0</v>
      </c>
      <c r="B6" s="9" t="s">
        <v>86</v>
      </c>
      <c r="C6" s="9" t="s">
        <v>94</v>
      </c>
      <c r="D6" s="10">
        <v>80000.0</v>
      </c>
      <c r="E6" s="97">
        <v>0.0</v>
      </c>
      <c r="F6" s="24">
        <f t="shared" si="1"/>
        <v>80000</v>
      </c>
      <c r="G6" s="97">
        <v>0.0</v>
      </c>
      <c r="H6" s="14" t="s">
        <v>12</v>
      </c>
      <c r="I6" s="14"/>
    </row>
    <row r="7">
      <c r="C7" s="65" t="s">
        <v>84</v>
      </c>
      <c r="D7" s="65">
        <f t="shared" ref="D7:G7" si="2">SUM(D3:D6)</f>
        <v>1000000</v>
      </c>
      <c r="E7" s="65">
        <f t="shared" si="2"/>
        <v>0</v>
      </c>
      <c r="F7" s="65">
        <f t="shared" si="2"/>
        <v>1000000</v>
      </c>
      <c r="G7" s="65">
        <f t="shared" si="2"/>
        <v>480000</v>
      </c>
    </row>
  </sheetData>
  <mergeCells count="1">
    <mergeCell ref="B1:I1"/>
  </mergeCells>
  <drawing r:id="rId1"/>
</worksheet>
</file>